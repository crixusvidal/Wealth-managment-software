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Estructura_Valuacion" sheetId="2" state="visible" r:id="rId4"/>
    <sheet name="Notas_Graficos" sheetId="3" state="visible" r:id="rId5"/>
    <sheet name="Pendientes_Bloomberg" sheetId="4" state="visible" r:id="rId6"/>
    <sheet name="V1_Football" sheetId="5" state="visible" r:id="rId7"/>
    <sheet name="V2_WACC_Tasas" sheetId="6" state="visible" r:id="rId8"/>
    <sheet name="V3_ValueDriver" sheetId="7" state="visible" r:id="rId9"/>
    <sheet name="V4_CapitalTrabajo" sheetId="8" state="visible" r:id="rId10"/>
    <sheet name="V5_CapRate" sheetId="9" state="visible" r:id="rId11"/>
    <sheet name="V6_DCFInverso" sheetId="10" state="visible" r:id="rId12"/>
    <sheet name="V7_Multiplos" sheetId="11" state="visible" r:id="rId13"/>
    <sheet name="V8_PeersPrecio" sheetId="12" state="visible" r:id="rId14"/>
    <sheet name="WACC_Construcc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<sst xmlns="http://schemas.openxmlformats.org/spreadsheetml/2006/main" count="537" uniqueCount="463">
  <si>
    <t xml:space="preserve">Mallplaza — datos para las figuras de Valuación</t>
  </si>
  <si>
    <t xml:space="preserve">Hoja</t>
  </si>
  <si>
    <t xml:space="preserve">Contenido</t>
  </si>
  <si>
    <t xml:space="preserve">Estructura_Valuacion</t>
  </si>
  <si>
    <t xml:space="preserve">Orden de la sección, mensaje de cada bloque, figuras y cifras a citar.</t>
  </si>
  <si>
    <t xml:space="preserve">Notas_Graficos</t>
  </si>
  <si>
    <t xml:space="preserve">Tipo de gráfico, ejes, qué destacar, título y fuente de cada figura.</t>
  </si>
  <si>
    <t xml:space="preserve">Pendientes_Bloomberg</t>
  </si>
  <si>
    <t xml:space="preserve">Datos a completar en Bloomberg (celdas amarillas).</t>
  </si>
  <si>
    <t xml:space="preserve">V1_Football</t>
  </si>
  <si>
    <t xml:space="preserve">Síntesis: ningún método llega a CLP 3.555.</t>
  </si>
  <si>
    <t xml:space="preserve">V2_WACC_Tasas</t>
  </si>
  <si>
    <t xml:space="preserve">Tasa de descuento: a CLP 3.555 el patrimonio rinde casi lo mismo que la deuda.</t>
  </si>
  <si>
    <t xml:space="preserve">V3_ValueDriver</t>
  </si>
  <si>
    <t xml:space="preserve">Crecimiento terminal: RONIC 5,0% &lt; WACC real 7,2% → g real 0%.</t>
  </si>
  <si>
    <t xml:space="preserve">V4_CapitalTrabajo</t>
  </si>
  <si>
    <t xml:space="preserve">Capital de trabajo: supuesto de bajo impacto (±1,2%).</t>
  </si>
  <si>
    <t xml:space="preserve">V5_CapRate</t>
  </si>
  <si>
    <t xml:space="preserve">Validación 1: cap rate del DCF 10,1% vs mercado 6,0%.</t>
  </si>
  <si>
    <t xml:space="preserve">V6_DCFInverso</t>
  </si>
  <si>
    <t xml:space="preserve">Validación 2: el precio exige una WACC 285 pb menor.</t>
  </si>
  <si>
    <t xml:space="preserve">V7_Multiplos</t>
  </si>
  <si>
    <t xml:space="preserve">Múltiplos: por qué Chile pesa 70%.</t>
  </si>
  <si>
    <t xml:space="preserve">V8_PeersPrecio</t>
  </si>
  <si>
    <t xml:space="preserve">Gráfico del equipo (precio de pares vs múltiplos).</t>
  </si>
  <si>
    <t xml:space="preserve">WACC_Construccion</t>
  </si>
  <si>
    <t xml:space="preserve">Apéndice: WACC completa con fórmulas; control contra v2 = 0 pb.</t>
  </si>
  <si>
    <t xml:space="preserve">Convenciones</t>
  </si>
  <si>
    <t xml:space="preserve">Azul = dato de v2 u otra fuente citada. Negro = fórmula. Amarillo = pendiente de Bloomberg. Rojo (fila 3) = tipo de gráfico. MM CLP salvo indicación.</t>
  </si>
  <si>
    <t xml:space="preserve">Fechas</t>
  </si>
  <si>
    <t xml:space="preserve">Datos de mercado al 30-06-26 (fecha de valoración); precio al 30-09-26. Datos posteriores solo como argumentos aislados, marcados en las notas.</t>
  </si>
  <si>
    <t xml:space="preserve">Réplica del DCF</t>
  </si>
  <si>
    <t xml:space="preserve">V4 y V6 usan una réplica del DCF de v2 (reproduce CLP 1.856,8 exactamente).</t>
  </si>
  <si>
    <t xml:space="preserve">Estructura de la sección de Valuación</t>
  </si>
  <si>
    <t xml:space="preserve">Orden de la página, mensaje de cada bloque, figura y cifras a citar. Todas las cifras salen de v2 o de esta planilla; las de Riesgos se citan, no se repiten.</t>
  </si>
  <si>
    <t xml:space="preserve">Bloque</t>
  </si>
  <si>
    <t xml:space="preserve">Mensaje (borrador para el texto)</t>
  </si>
  <si>
    <t xml:space="preserve">Figura</t>
  </si>
  <si>
    <t xml:space="preserve">Cifras a citar</t>
  </si>
  <si>
    <t xml:space="preserve">Se cita de Riesgos / Anexo</t>
  </si>
  <si>
    <t xml:space="preserve">1. Síntesis y método</t>
  </si>
  <si>
    <t xml:space="preserve">Recomendación de VENTA con precio objetivo de CLP 2.076 (−42% vs CLP 3.555). Ponderamos 80% DCF de FCFF y 20% múltiplos EV/EBITDA: el DCF captura el pipeline, la estructura de capital que converge a 3,5x y la exposición a tres países; los múltiplos anclan el valor al mercado. Ningún método ni rango de sensibilidad llega al precio actual.</t>
  </si>
  <si>
    <t xml:space="preserve">V1</t>
  </si>
  <si>
    <t xml:space="preserve">DCF CLP 1.857; múltiplos CLP 2.951; APV CLP 1.894 (chequeo, −1,9%); precio objetivo CLP 2.076; upside −41,6%.</t>
  </si>
  <si>
    <t xml:space="preserve">—</t>
  </si>
  <si>
    <t xml:space="preserve">2. DCF: tasa de descuento</t>
  </si>
  <si>
    <t xml:space="preserve">WACC nominal de 10,54% (2S26E) a 10,41% (terminal), con D/E que converge de 20% a 28,5%. La validamos contra el mercado: al precio actual, la WACC real implícita es 4,4%, solo 83 pb sobre el costo real de la deuda de la propia Mallplaza. El patrimonio prácticamente no recibiría prima sobre un bono AA+.</t>
  </si>
  <si>
    <t xml:space="preserve">V2 (+ apéndice WACC_Construccion)</t>
  </si>
  <si>
    <t xml:space="preserve">Rf 4,98% + β 1,09–1,14 × ERP 4,14% + CRP 1,41%; Kd real 3,6%; bono en UF 10 años 2,50% y en pesos 5,43% al 30-06-26; WACC real 7,2%.</t>
  </si>
  <si>
    <t xml:space="preserve">Anexo: Rf y UST 10Y 5,22% (argumento aislado, posterior).</t>
  </si>
  <si>
    <t xml:space="preserve">3. DCF: crecimiento terminal</t>
  </si>
  <si>
    <t xml:space="preserve">g nominal 3,0% = inflación (g real 0%), por value driver: la expansión rinde un RONIC real de 5,0%, bajo la WACC real de 7,2%. Crecer exigiría reinvertir a una tasa que destruye valor; por eso un g mayor reduce el precio (ver Fig. 25).</t>
  </si>
  <si>
    <t xml:space="preserve">V3</t>
  </si>
  <si>
    <t xml:space="preserve">Yield on cost 6,9%; RONIC 5,0%; reinversión terminal 0%; valor terminal 76% del EV.</t>
  </si>
  <si>
    <t xml:space="preserve">Fig. 25 (WACC vs g).</t>
  </si>
  <si>
    <t xml:space="preserve">4. DCF: capital de trabajo</t>
  </si>
  <si>
    <t xml:space="preserve">CTN de 15,6% de los ingresos (dic-25, primer cierre con Perú completo). Es un supuesto de bajo impacto: eliminarlo o duplicarlo mueve el precio objetivo ±1,2%.</t>
  </si>
  <si>
    <t xml:space="preserve">V4</t>
  </si>
  <si>
    <t xml:space="preserve">CTN CLP 102.039 MM; ±CLP 25 en el precio objetivo.</t>
  </si>
  <si>
    <t xml:space="preserve">5. Validación del DCF</t>
  </si>
  <si>
    <t xml:space="preserve">Dos chequeos independientes: (a) el DCF implica un cap rate de 10,1%, frente a 6,0% del mercado, 6,4% de los pares chilenos y 7,5% del valor libro; (b) para justificar CLP 3.555 la WACC tendría que ser 7,56%, 285 pb bajo la nuestra. Mallplaza misma compró Gran Plaza a un cap rate de 9,4% (hecho posterior, argumento aislado).</t>
  </si>
  <si>
    <t xml:space="preserve">V5, V6</t>
  </si>
  <si>
    <t xml:space="preserve">Cap rate DCF 10,1% vs mercado 6,0% (brecha 490 pb); WACC implícita 7,56% (−285 pb).</t>
  </si>
  <si>
    <t xml:space="preserve">Riesgos (análisis de sensibilidad): cap rate ~6,0% vs 10,1%.</t>
  </si>
  <si>
    <t xml:space="preserve">6. Múltiplos comparables (20%)</t>
  </si>
  <si>
    <t xml:space="preserve">EV/EBITDA LTM ponderado 70% mediana Chile y 30% set común: 14,4x → CLP 2.951. Chile pesa más porque la brecha de múltiplos con Brasil se explica por tasas: el spread real del cap rate sobre el bono indexado local es similar en ambos países. Cualquier ponderación deja el precio objetivo entre CLP 1.916 y 2.144.</t>
  </si>
  <si>
    <t xml:space="preserve">V7, V8</t>
  </si>
  <si>
    <t xml:space="preserve">Chile 15,7x vs Brasil 9,0x; spread real Chile 385 pb (Brasil: pendiente NTN-B); Mallplaza transa a 16,8x.</t>
  </si>
  <si>
    <t xml:space="preserve">7. Sensibilidad y riesgo de la valoración</t>
  </si>
  <si>
    <t xml:space="preserve">El valor depende de la tasa, no de la operación: el peor caso operacional resta 10,0% al DCF; +100 pb de WACC restan 17,2% al DCF (12,3% al precio objetivo). No se hizo Monte Carlo porque los insumos operacionales no son sensibles. Incluso la mejor celda de la Fig. 25 queda bajo el precio actual.</t>
  </si>
  <si>
    <t xml:space="preserve">(se citan)</t>
  </si>
  <si>
    <t xml:space="preserve">Usar la misma base al comparar (DCF o precio objetivo).</t>
  </si>
  <si>
    <t xml:space="preserve">Figs. 24, 25 y 26.</t>
  </si>
  <si>
    <t xml:space="preserve">Apéndice</t>
  </si>
  <si>
    <t xml:space="preserve">Construcción completa de la WACC por período, betas de pares, CRP ponderado, control contra el modelo y la discusión de la tasa libre de riesgo (UST + CRP vs bono en pesos).</t>
  </si>
  <si>
    <t xml:space="preserve">Con el bono en pesos el precio objetivo sería CLP 2.439 (aún −31%).</t>
  </si>
  <si>
    <t xml:space="preserve">Coherencia pendiente en Riesgos</t>
  </si>
  <si>
    <t xml:space="preserve">• "CLP 2.487" (mejor celda de la Fig. 25) no está en v2: la tabla de v2 da como máximo CLP 2.453 en DCF (WACC −1%, g 2,5%). Alinear la figura con el Excel.</t>
  </si>
  <si>
    <t xml:space="preserve">• Comparar el −10,0% operacional y el efecto de +100 pb sobre la misma base (DCF: −10,0% vs −17,2%).</t>
  </si>
  <si>
    <t xml:space="preserve">• "6,7 años" aparece como duración de contratos y de la deuda: verificar.</t>
  </si>
  <si>
    <t xml:space="preserve">Especificación de cada gráfico (para construirlos en Claude Code)</t>
  </si>
  <si>
    <t xml:space="preserve">Celdas amarillas = pendientes de Bloomberg (ver hoja Pendientes_Bloomberg). Todo lo demás está listo.</t>
  </si>
  <si>
    <t xml:space="preserve">Tipo de gráfico</t>
  </si>
  <si>
    <t xml:space="preserve">Ejes / series</t>
  </si>
  <si>
    <t xml:space="preserve">Qué destacar</t>
  </si>
  <si>
    <t xml:space="preserve">Título sugerido</t>
  </si>
  <si>
    <t xml:space="preserve">Fuente (pie de figura)</t>
  </si>
  <si>
    <t xml:space="preserve">Pendiente</t>
  </si>
  <si>
    <t xml:space="preserve">Barras horizontales flotantes (mín–máx) — football field</t>
  </si>
  <si>
    <t xml:space="preserve">Eje X: CLP por acción. Una barra por método (filas 5–10). Punto en el valor central.</t>
  </si>
  <si>
    <t xml:space="preserve">Línea vertical sólida en el precio objetivo (B12) y punteada en el precio actual (B13). Ninguna barra llega a 3.555.</t>
  </si>
  <si>
    <t xml:space="preserve">Ningún método justifica el precio actual</t>
  </si>
  <si>
    <t xml:space="preserve">Análisis del equipo; Bloomberg</t>
  </si>
  <si>
    <t xml:space="preserve">Rango 52 semanas (B10:C10)</t>
  </si>
  <si>
    <t xml:space="preserve">Panel A: cascada (waterfall). Panel B: tabla de 5 filas</t>
  </si>
  <si>
    <t xml:space="preserve">A: componentes dic-25 (D5:D9) → total D10. B: filas 15–19, columnas CTN/ingresos, precio objetivo y Δ.</t>
  </si>
  <si>
    <t xml:space="preserve">Poner el ±1,2% en el título. Positivos y negativos con colores distintos.</t>
  </si>
  <si>
    <t xml:space="preserve">Capital de trabajo: un supuesto que no mueve el precio</t>
  </si>
  <si>
    <t xml:space="preserve">EEFF Mallplaza; análisis del equipo</t>
  </si>
  <si>
    <t xml:space="preserve">Barras horizontales ordenadas de menor a mayor</t>
  </si>
  <si>
    <t xml:space="preserve">Eje X: cap rate (%). Categorías A5:A10, valores B5:B10.</t>
  </si>
  <si>
    <t xml:space="preserve">Barras del DCF en color propio; Gran Plaza en gris con etiqueta "hecho posterior"; anotar la brecha de 490 pb (B12).</t>
  </si>
  <si>
    <t xml:space="preserve">El mercado paga 6,0%; nuestros flujos valen 10,1%</t>
  </si>
  <si>
    <t xml:space="preserve">Mallplaza; Bloomberg; DF (Gran Plaza); análisis del equipo</t>
  </si>
  <si>
    <t xml:space="preserve">Barras horizontales (tasas reales, columna C), orden ascendente</t>
  </si>
  <si>
    <t xml:space="preserve">Eje X: tasa real (%). Categorías A7:A14.</t>
  </si>
  <si>
    <t xml:space="preserve">Destacar la WACC implícita (C11) y la nuestra (C13); corchete con el spread de 83 pb sobre el Kd (B16).</t>
  </si>
  <si>
    <t xml:space="preserve">A CLP 3.555 el patrimonio rinde casi lo mismo que la deuda</t>
  </si>
  <si>
    <t xml:space="preserve">BCCh (30-06-26); Mallplaza; análisis del equipo</t>
  </si>
  <si>
    <t xml:space="preserve">Tabla (estilo Kozminski Fig. 44) + línea opcional</t>
  </si>
  <si>
    <t xml:space="preserve">Tabla: B4:B11 y A13:F17. Línea opcional: Panel C, eje X g real (A24:A27), 3 series B–D.</t>
  </si>
  <si>
    <t xml:space="preserve">Fila de g = 3,0% resaltada; en la línea, la serie de Mallplaza cae y la de RONIC 10% sube.</t>
  </si>
  <si>
    <t xml:space="preserve">Crecer bajo la WACC destruye valor: g real = 0%</t>
  </si>
  <si>
    <t xml:space="preserve">Análisis del equipo</t>
  </si>
  <si>
    <t xml:space="preserve">Línea (valor vs WACC)</t>
  </si>
  <si>
    <t xml:space="preserve">Eje X: WACC terminal (B5:B15). Series: valor DCF (C) y precio objetivo (D). Línea horizontal: precio actual (E).</t>
  </si>
  <si>
    <t xml:space="preserve">Marcadores en la WACC base (10,41%) y en la implícita (7,56%, B17); flecha con −285 pb (B18).</t>
  </si>
  <si>
    <t xml:space="preserve">El precio exige una WACC 285 pb menor</t>
  </si>
  <si>
    <t xml:space="preserve">Panel A: dispersión. Panel B: barras de spread. Panel C (apéndice): tabla</t>
  </si>
  <si>
    <t xml:space="preserve">A: eje X bono real local (E8:E13), eje Y EV/EBITDA (C8:C13), color por país. B: spread real (F15:F16). C: A26:E30.</t>
  </si>
  <si>
    <t xml:space="preserve">Mostrar que el spread real es parecido en ambos países pese a la gran brecha de múltiplos. Mallplaza con marcador distinto.</t>
  </si>
  <si>
    <t xml:space="preserve">Chile y Brasil cobran la misma prima: los múltiplos difieren por las tasas</t>
  </si>
  <si>
    <t xml:space="preserve">Bloomberg; BCCh; análisis del equipo</t>
  </si>
  <si>
    <t xml:space="preserve">NTN-B (E6) y macro Brasil (C21:C23, B22:B23)</t>
  </si>
  <si>
    <t xml:space="preserve">Apéndice: tabla de construcción + línea por período</t>
  </si>
  <si>
    <t xml:space="preserve">Tabla: secciones A–D. Línea: WACC nominal (fila 65) y D/E (fila 56) por período.</t>
  </si>
  <si>
    <t xml:space="preserve">Control de la sección E en 0. Sección F como respuesta preparada a "¿por qué no el bono en pesos?".</t>
  </si>
  <si>
    <t xml:space="preserve">Construcción de la WACC</t>
  </si>
  <si>
    <t xml:space="preserve">Damodaran; Bloomberg; BCCh; análisis del equipo</t>
  </si>
  <si>
    <t xml:space="preserve">Betas de regresión (B85:B86), opcional</t>
  </si>
  <si>
    <t xml:space="preserve">El del equipo</t>
  </si>
  <si>
    <t xml:space="preserve">Mismo set de pares y fecha que V7.</t>
  </si>
  <si>
    <t xml:space="preserve">Bloomberg; análisis del equipo</t>
  </si>
  <si>
    <t xml:space="preserve">Pendientes para llenar con Bloomberg</t>
  </si>
  <si>
    <t xml:space="preserve">Fecha de los datos: 30-06-2026 (fecha de valoración), salvo el rango de 52 semanas, que va con el precio al 30-09-2026. Verificar los tickers en el terminal.</t>
  </si>
  <si>
    <t xml:space="preserve">Celda</t>
  </si>
  <si>
    <t xml:space="preserve">Dato</t>
  </si>
  <si>
    <t xml:space="preserve">Ticker / campo sugerido</t>
  </si>
  <si>
    <t xml:space="preserve">Fecha</t>
  </si>
  <si>
    <t xml:space="preserve">Comentario</t>
  </si>
  <si>
    <t xml:space="preserve">V1_Football!B10</t>
  </si>
  <si>
    <t xml:space="preserve">Mínimo 52 semanas Mallplaza</t>
  </si>
  <si>
    <t xml:space="preserve">MALLPLAZ CI Equity · LOW_52WEEK</t>
  </si>
  <si>
    <t xml:space="preserve">30-09-26</t>
  </si>
  <si>
    <t xml:space="preserve">COMPLETADO: 2.470 (10-10-25) · Mismo día que el precio de referencia</t>
  </si>
  <si>
    <t xml:space="preserve">V1_Football!C10</t>
  </si>
  <si>
    <t xml:space="preserve">Máximo 52 semanas Mallplaza</t>
  </si>
  <si>
    <t xml:space="preserve">MALLPLAZ CI Equity · HIGH_52WEEK</t>
  </si>
  <si>
    <t xml:space="preserve">COMPLETADO: 4.700 (27-04-26) · </t>
  </si>
  <si>
    <t xml:space="preserve">V7_Multiplos!E6</t>
  </si>
  <si>
    <t xml:space="preserve">NTN-B ~10 años (tasa real)</t>
  </si>
  <si>
    <t xml:space="preserve">NTN-B 2035 · YLD_YTM_MID</t>
  </si>
  <si>
    <t xml:space="preserve">30-06-26</t>
  </si>
  <si>
    <t xml:space="preserve">COMPLETADO: 8,0777% · Activa los spreads de Brasil (F11:F13, F16)</t>
  </si>
  <si>
    <t xml:space="preserve">V7_Multiplos!C21</t>
  </si>
  <si>
    <t xml:space="preserve">Tasa nominal 10 años Brasil</t>
  </si>
  <si>
    <t xml:space="preserve">GEBR10Y Index (o DI jan/36: ODF36 Comdty) · PX_LAST</t>
  </si>
  <si>
    <t xml:space="preserve">COMPLETADO: 14,34% (GTBRL10YR Corp) · </t>
  </si>
  <si>
    <t xml:space="preserve">V7_Multiplos!B22:C22</t>
  </si>
  <si>
    <t xml:space="preserve">Inflación esperada 2026 Chile y Brasil</t>
  </si>
  <si>
    <t xml:space="preserve">ECFC (consenso) · CPI 2026</t>
  </si>
  <si>
    <t xml:space="preserve">COMPLETADO con fuentes públicas (no con ECFC): IPC 2026 Chile 4,1% (EEE jun-26) y Brasil 5,33% (Focus 26-06-26). Si se quiere ECFC, reemplazar B22:C22.</t>
  </si>
  <si>
    <t xml:space="preserve">V7_Multiplos!B23:C23</t>
  </si>
  <si>
    <t xml:space="preserve">PIB esperado 2026 Chile y Brasil</t>
  </si>
  <si>
    <t xml:space="preserve">ECFC (consenso) · GDP 2026</t>
  </si>
  <si>
    <t xml:space="preserve">COMPLETADO con fuentes públicas: PIB 2026 Chile 1,6% (EEE jun-26) y Brasil 1,99% (Focus). Si se quiere ECFC, reemplazar B23:C23.</t>
  </si>
  <si>
    <t xml:space="preserve">WACC_Construccion!B85</t>
  </si>
  <si>
    <t xml:space="preserve">Beta de regresión vs IPSA (opcional)</t>
  </si>
  <si>
    <t xml:space="preserve">MALLPLAZ CI Equity · BETA (índice IPSA Index, 2 años semanal)</t>
  </si>
  <si>
    <t xml:space="preserve">NO EXTRAÍDO: opcional; el cálculo con overrides de BETA falló en la sesión. No cambia el modelo.</t>
  </si>
  <si>
    <t xml:space="preserve">WACC_Construccion!B86</t>
  </si>
  <si>
    <t xml:space="preserve">Beta ajustada (opcional)</t>
  </si>
  <si>
    <t xml:space="preserve">MALLPLAZ CI Equity · ADJUSTED_BETA</t>
  </si>
  <si>
    <t xml:space="preserve">NO EXTRAÍDO: opcional. No cambia el modelo.</t>
  </si>
  <si>
    <t xml:space="preserve">V1 — Football field (CLP por acción)</t>
  </si>
  <si>
    <t xml:space="preserve">Barras horizontales: mínimo–máximo de cada método; líneas verticales en precio objetivo y precio actual.</t>
  </si>
  <si>
    <t xml:space="preserve">Gráfico: Barras horizontales flotantes (mín–máx) — football field. Rango 52 semanas completado con Bloomberg</t>
  </si>
  <si>
    <t xml:space="preserve">Método</t>
  </si>
  <si>
    <t xml:space="preserve">Mínimo</t>
  </si>
  <si>
    <t xml:space="preserve">Máximo</t>
  </si>
  <si>
    <t xml:space="preserve">Punto central</t>
  </si>
  <si>
    <t xml:space="preserve">Fuente / rango</t>
  </si>
  <si>
    <t xml:space="preserve">DCF FCFF (WACC ±50 pb, g 3,0%)</t>
  </si>
  <si>
    <t xml:space="preserve">v2 Sensibilidad, Tabla 1</t>
  </si>
  <si>
    <t xml:space="preserve">DCF FCFF (WACC ±100 pb, g 2,5–4,0%)</t>
  </si>
  <si>
    <t xml:space="preserve">v2 Sensibilidad, Tabla 1 completa</t>
  </si>
  <si>
    <t xml:space="preserve">APV (chequeo)</t>
  </si>
  <si>
    <t xml:space="preserve">v2 APV</t>
  </si>
  <si>
    <t xml:space="preserve">Múltiplos EV/EBITDA (100% set común – 100% Chile)</t>
  </si>
  <si>
    <t xml:space="preserve">V7; central = 70/30 (v2 Precio_Objetivo)</t>
  </si>
  <si>
    <t xml:space="preserve">Múltiplos EV/EBITDA NTM / EV/EBIT LTM</t>
  </si>
  <si>
    <t xml:space="preserve">v2 Precio_Objetivo</t>
  </si>
  <si>
    <t xml:space="preserve">Rango 52 semanas (intradía, 01-10-25 a 30-09-26)</t>
  </si>
  <si>
    <t xml:space="preserve">Bloomberg BDH PX_LOW/PX_HIGH: mín 10-10-25, máx 27-04-26. Base cierres: 2.522 – 4.650. Central = cierre 30-09-26.</t>
  </si>
  <si>
    <t xml:space="preserve">Precio objetivo (80% DCF + 20% múltiplos)</t>
  </si>
  <si>
    <t xml:space="preserve">Precio 30-09-2026</t>
  </si>
  <si>
    <t xml:space="preserve">v2 Supuestos A</t>
  </si>
  <si>
    <t xml:space="preserve">Upside / (downside)</t>
  </si>
  <si>
    <t xml:space="preserve">Excluir P/E (CLP 8.644): incluye revalorizaciones de propiedades. P/BV (CLP 3.171) solo como referencia, si se muestra.</t>
  </si>
  <si>
    <t xml:space="preserve">V2 — Validación de la WACC: escalera de tasas (reales, en UF)</t>
  </si>
  <si>
    <t xml:space="preserve">Barras horizontales ordenadas de menor a mayor. Mensaje: la WACC implícita en el precio queda pegada al costo de la deuda.</t>
  </si>
  <si>
    <t xml:space="preserve">Gráfico: Barras horizontales (tasas reales, columna C), orden ascendente. Pendiente Bloomberg: —</t>
  </si>
  <si>
    <t xml:space="preserve">Inflación de largo plazo Chile (meta BCCh)</t>
  </si>
  <si>
    <t xml:space="preserve">v2 Supuestos B</t>
  </si>
  <si>
    <t xml:space="preserve">Tasa</t>
  </si>
  <si>
    <t xml:space="preserve">Nominal CLP</t>
  </si>
  <si>
    <t xml:space="preserve">Real (UF)</t>
  </si>
  <si>
    <t xml:space="preserve">Fuente</t>
  </si>
  <si>
    <t xml:space="preserve">Bono en UF 10 años BCCh (real)</t>
  </si>
  <si>
    <t xml:space="preserve">BCCh, Informativo Diario 2-jul-26 (tasa al 30-06-26)</t>
  </si>
  <si>
    <t xml:space="preserve">Bono en pesos 10 años BCCh (nominal)</t>
  </si>
  <si>
    <t xml:space="preserve">BCCh, Informativo Diario 2-jul-26 (tasa al 30-06-26); = Rf "Chile" de v2</t>
  </si>
  <si>
    <t xml:space="preserve">Base del modelo: Rf UST + CRP Chile, convertida a CLP</t>
  </si>
  <si>
    <t xml:space="preserve">v2 Supuestos B (Rf 4,98%, CRP 1,04%, breakeven 2,24%)</t>
  </si>
  <si>
    <t xml:space="preserve">Kd Mallplaza (cupón última emisión UF)</t>
  </si>
  <si>
    <t xml:space="preserve">WACC implícita en el precio actual (DCF inverso)</t>
  </si>
  <si>
    <t xml:space="preserve">V6</t>
  </si>
  <si>
    <t xml:space="preserve">WACC real de la tasación (Nota 11, Chile jun-26)</t>
  </si>
  <si>
    <t xml:space="preserve">v2 WACC (punto medio Nota 11)</t>
  </si>
  <si>
    <t xml:space="preserve">Nuestra WACC terminal</t>
  </si>
  <si>
    <t xml:space="preserve">v2 WACC</t>
  </si>
  <si>
    <t xml:space="preserve">Nuestro Ke terminal</t>
  </si>
  <si>
    <t xml:space="preserve">Spread WACC implícita − Kd Mallplaza (pb, real)</t>
  </si>
  <si>
    <t xml:space="preserve">Spread WACC implícita − BCU 10 (pb, real)</t>
  </si>
  <si>
    <t xml:space="preserve">Spread nuestra WACC − BCU 10 (pb, real)</t>
  </si>
  <si>
    <t xml:space="preserve">Lectura: a CLP 3.555 la WACC real implícita (~4,4%) supera en solo ~80 pb al costo real de la deuda de la propia Mallplaza (3,6%).</t>
  </si>
  <si>
    <t xml:space="preserve">Eso implica que el patrimonio (78% del capital) casi no recibe prima sobre un bono corporativo AA+: un premio por riesgo difícil de sostener.</t>
  </si>
  <si>
    <t xml:space="preserve">La base del modelo (Rf + CRP en CLP, 6,80%) queda 137 pb sobre el bono en pesos a 10 años al 30-06 (5,43%). Es una elección conservadora: ver hoja WACC_Construccion, sección F.</t>
  </si>
  <si>
    <t xml:space="preserve">Argumento aislado (dato posterior, no entra al modelo): al 1-oct-26 el bono en pesos a 10 años subió a 6,25% y el UST a 5,22% (anexo), lo que acerca el mercado a la base del modelo.</t>
  </si>
  <si>
    <t xml:space="preserve">V3 — Crecimiento terminal por value driver</t>
  </si>
  <si>
    <t xml:space="preserve">Panel A: tabla tipo Kozminski Fig. 44. Panel B: por qué un g mayor resta valor. Panel C: ilustración con RONIC &gt; WACC.</t>
  </si>
  <si>
    <t xml:space="preserve">Gráfico: Tabla (estilo Kozminski Fig. 44) + línea opcional. Pendiente Bloomberg: —</t>
  </si>
  <si>
    <t xml:space="preserve">Yield on cost de la expansión (EBITDA maduro / inversión)</t>
  </si>
  <si>
    <t xml:space="preserve">v2 Expansion D</t>
  </si>
  <si>
    <t xml:space="preserve">Tasa de impuesto</t>
  </si>
  <si>
    <t xml:space="preserve">v2 Supuestos D</t>
  </si>
  <si>
    <t xml:space="preserve">RONIC real después de impuestos</t>
  </si>
  <si>
    <t xml:space="preserve">WACC real terminal</t>
  </si>
  <si>
    <t xml:space="preserve">Spread RONIC − WACC real (pb)</t>
  </si>
  <si>
    <t xml:space="preserve">g real elegido</t>
  </si>
  <si>
    <t xml:space="preserve">v2 Supuestos G</t>
  </si>
  <si>
    <t xml:space="preserve">Tasa de reinversión = g real / RONIC</t>
  </si>
  <si>
    <t xml:space="preserve">g nominal = (1 + g real)(1 + inflación) − 1</t>
  </si>
  <si>
    <t xml:space="preserve">g nominal</t>
  </si>
  <si>
    <t xml:space="preserve">g real</t>
  </si>
  <si>
    <t xml:space="preserve">Reinversión (% NOPAT)</t>
  </si>
  <si>
    <t xml:space="preserve">FCFF 2032E (MM CLP)</t>
  </si>
  <si>
    <t xml:space="preserve">Valor DCF (CLP)</t>
  </si>
  <si>
    <t xml:space="preserve">Δ vs base</t>
  </si>
  <si>
    <t xml:space="preserve">FCFF 2032E y valor: v2 Sensibilidad (auxiliar y Tabla 1). g 2,5% implica g real negativo: el modelo libera capital (desinversión), por eso sube; conviene mostrar solo 3,0–4,0%.</t>
  </si>
  <si>
    <t xml:space="preserve">Panel C — ilustración: valor terminal relativo = (1 − g/RONIC) / (WACC real − g), índice 100 con g = 0</t>
  </si>
  <si>
    <t xml:space="preserve">WACC real (ilustración)</t>
  </si>
  <si>
    <t xml:space="preserve">RONIC 5,0% (Mallplaza)</t>
  </si>
  <si>
    <t xml:space="preserve">RONIC = WACC (7,2%)</t>
  </si>
  <si>
    <t xml:space="preserve">RONIC 10,0%</t>
  </si>
  <si>
    <t xml:space="preserve">RONIC →</t>
  </si>
  <si>
    <t xml:space="preserve">Con RONIC &lt; WACC cada punto de crecimiento baja el valor; con RONIC = WACC el valor no cambia; con RONIC &gt; WACC crecer suma valor.</t>
  </si>
  <si>
    <t xml:space="preserve">V4 — Capital de trabajo</t>
  </si>
  <si>
    <t xml:space="preserve">Panel A: cascada dic-25 (estilo Kozminski Fig. 37). Panel B: sensibilidad del valor al supuesto CTN/ingresos.</t>
  </si>
  <si>
    <t xml:space="preserve">Gráfico: Panel A: cascada (waterfall). Panel B: tabla de 5 filas. Pendiente Bloomberg: —</t>
  </si>
  <si>
    <t xml:space="preserve">Componente (MM CLP)</t>
  </si>
  <si>
    <t xml:space="preserve">dic-23</t>
  </si>
  <si>
    <t xml:space="preserve">dic-24</t>
  </si>
  <si>
    <t xml:space="preserve">dic-25</t>
  </si>
  <si>
    <t xml:space="preserve">(+) Deudores comerciales</t>
  </si>
  <si>
    <t xml:space="preserve">v2 Capital_Trabajo</t>
  </si>
  <si>
    <t xml:space="preserve">(+) CxC relacionadas</t>
  </si>
  <si>
    <t xml:space="preserve">(−) CxP comerciales operativas (sin dividendo)</t>
  </si>
  <si>
    <t xml:space="preserve">(−) CxP relacionadas</t>
  </si>
  <si>
    <t xml:space="preserve">(−) Otros pasivos no financieros (arriendos anticipados)</t>
  </si>
  <si>
    <t xml:space="preserve">Capital de trabajo neto</t>
  </si>
  <si>
    <t xml:space="preserve">Ingresos del año</t>
  </si>
  <si>
    <t xml:space="preserve">CTN / ingresos</t>
  </si>
  <si>
    <t xml:space="preserve">Escenario (CTN/ingresos vs base 15,6%)</t>
  </si>
  <si>
    <t xml:space="preserve">Multiplicador</t>
  </si>
  <si>
    <t xml:space="preserve">CTN/ingresos</t>
  </si>
  <si>
    <t xml:space="preserve">Precio objetivo (CLP)</t>
  </si>
  <si>
    <t xml:space="preserve">Sin capital de trabajo</t>
  </si>
  <si>
    <t xml:space="preserve">Mitad</t>
  </si>
  <si>
    <t xml:space="preserve">Base (dic-25)</t>
  </si>
  <si>
    <t xml:space="preserve">+50%</t>
  </si>
  <si>
    <t xml:space="preserve">Doble</t>
  </si>
  <si>
    <t xml:space="preserve">Valor DCF: réplica del DCF v2 escalando la inversión en capital de trabajo de todos los períodos y del año terminal (base = CLP 1.856,8).</t>
  </si>
  <si>
    <t xml:space="preserve">Lectura: todo el capital de trabajo vale ~CLP 32 por acción (1,7% del DCF). El valor no depende de este supuesto.</t>
  </si>
  <si>
    <t xml:space="preserve">Limitación (v2): las CxP comerciales incluyen proveedores de obras (capex); sin la nota de desglose no se separan.</t>
  </si>
  <si>
    <t xml:space="preserve">V5 — Cap rate implícito vs referencias</t>
  </si>
  <si>
    <t xml:space="preserve">Barras: cap rate = EBITDA LTM / EV. Línea horizontal en el cap rate del DCF.</t>
  </si>
  <si>
    <t xml:space="preserve">Gráfico: Barras horizontales ordenadas de menor a mayor. Pendiente Bloomberg: —</t>
  </si>
  <si>
    <t xml:space="preserve">Referencia</t>
  </si>
  <si>
    <t xml:space="preserve">Cap rate</t>
  </si>
  <si>
    <t xml:space="preserve">Mercado: Mallplaza al precio actual</t>
  </si>
  <si>
    <t xml:space="preserve">v2 Precio_Objetivo C</t>
  </si>
  <si>
    <t xml:space="preserve">Pares chilenos (1 / mediana EV/EBITDA Chile)</t>
  </si>
  <si>
    <t xml:space="preserve">Valor libro (EBITDA LTM / propiedades de inversión)</t>
  </si>
  <si>
    <t xml:space="preserve">v2 DCF, chequeos</t>
  </si>
  <si>
    <t xml:space="preserve">Compra Gran Plaza, Colombia (NOI / precio) — argumento aislado</t>
  </si>
  <si>
    <t xml:space="preserve">NOI LTM COP 111.000 MM / precio COP 1.177.806 MM (DF, 31-jul-26). Hecho posterior: no entra al modelo</t>
  </si>
  <si>
    <t xml:space="preserve">Nuestro DCF (EBITDA LTM / EV DCF)</t>
  </si>
  <si>
    <t xml:space="preserve">Nuestro DCF, valor terminal (EBITDA 2032E / VT)</t>
  </si>
  <si>
    <t xml:space="preserve">Brecha DCF − mercado (pb)</t>
  </si>
  <si>
    <t xml:space="preserve">Mensaje: el mercado valora Mallplaza como si sus activos rindieran 6,0%; los pares chilenos, 6,4%; la propia contabilidad a valor razonable, 7,5%.</t>
  </si>
  <si>
    <t xml:space="preserve">Gran Plaza: es Colombia (CRP 3,70% vs 1,04% Chile) y usa NOI, no EBITDA. Mostrar con color distinto y nota de "hecho posterior".</t>
  </si>
  <si>
    <t xml:space="preserve">Defensa ante la Nota 11 (tasación con WACC real 5,55%): ver V2. La tasación usa una tasa real más baja que la de cualquier inversionista de patrimonio.</t>
  </si>
  <si>
    <t xml:space="preserve">V6 — DCF inverso: valor por acción según la WACC</t>
  </si>
  <si>
    <t xml:space="preserve">Línea: valor DCF y precio objetivo vs WACC terminal; líneas horizontales en CLP 3.555 y CLP 2.076; marcar WACC base 10,41% y WACC implícita 7,56%.</t>
  </si>
  <si>
    <t xml:space="preserve">Gráfico: Línea (valor vs WACC). Pendiente Bloomberg: —</t>
  </si>
  <si>
    <t xml:space="preserve">Δ WACC (todos los períodos)</t>
  </si>
  <si>
    <t xml:space="preserve">WACC terminal</t>
  </si>
  <si>
    <t xml:space="preserve">Precio objetivo 80/20 (CLP)</t>
  </si>
  <si>
    <t xml:space="preserve">Precio actual</t>
  </si>
  <si>
    <t xml:space="preserve">WACC terminal que iguala el DCF al precio actual</t>
  </si>
  <si>
    <t xml:space="preserve">Búsqueda de objetivo sobre la réplica del DCF</t>
  </si>
  <si>
    <t xml:space="preserve">Brecha vs nuestra WACC (pb)</t>
  </si>
  <si>
    <t xml:space="preserve">WACC terminal que iguala el precio objetivo 80/20 al precio actual</t>
  </si>
  <si>
    <t xml:space="preserve">Ídem, con múltiplos fijos</t>
  </si>
  <si>
    <t xml:space="preserve">Valores −1% a +1% coinciden con v2 Sensibilidad (g 3,0%). Fuera de ese rango: réplica del DCF, mismo método (desplazamiento paralelo de la WACC por período).</t>
  </si>
  <si>
    <t xml:space="preserve">Mensaje: para justificar CLP 3.555 el mercado debe descontar a ~7,6% nominal (~4,4% real), 285 pb bajo nuestra WACC (ver V2).</t>
  </si>
  <si>
    <t xml:space="preserve">V7 — Múltiplos: por qué Chile pesa 70%</t>
  </si>
  <si>
    <t xml:space="preserve">Panel A: EV/EBITDA vs tasa local. Panel B: spread real del cap rate sobre el bono indexado local. Panel C: sensibilidad del precio objetivo a la ponderación.</t>
  </si>
  <si>
    <t xml:space="preserve">Gráfico: Panel A: dispersión. Panel B: barras de spread. Panel C (apéndice): tabla. NTN-B (E6) y tasa nominal Brasil (C21) completadas; inflación y PIB esperados (B22:C23) completados con fuentes públicas (C21:C23, B22:B23)</t>
  </si>
  <si>
    <t xml:space="preserve">Empresa</t>
  </si>
  <si>
    <t xml:space="preserve">País</t>
  </si>
  <si>
    <t xml:space="preserve">EV/EBITDA LTM</t>
  </si>
  <si>
    <t xml:space="preserve">Cap rate (1/múltiplo)</t>
  </si>
  <si>
    <t xml:space="preserve">Bono real 10 años local</t>
  </si>
  <si>
    <t xml:space="preserve">Spread real (pb)</t>
  </si>
  <si>
    <t xml:space="preserve">Bono real Chile: UF 10 años BCCh</t>
  </si>
  <si>
    <t xml:space="preserve">BCCh, tasa al 30-06-26</t>
  </si>
  <si>
    <t xml:space="preserve">Bono real Brasil: NTN-B ~10 años (IPCA+)</t>
  </si>
  <si>
    <t xml:space="preserve">Bloomberg: BNTNB 6 05/15/35 Govt (vence 15-05-2035), YLD_YTM_MID al 30-06-26 = 8,0777%</t>
  </si>
  <si>
    <t xml:space="preserve">Mallplaza (precio actual)</t>
  </si>
  <si>
    <t xml:space="preserve">Chile</t>
  </si>
  <si>
    <t xml:space="preserve">Parque Arauco</t>
  </si>
  <si>
    <t xml:space="preserve">Cencosud Shopping</t>
  </si>
  <si>
    <t xml:space="preserve">Multiplan</t>
  </si>
  <si>
    <t xml:space="preserve">Brasil</t>
  </si>
  <si>
    <t xml:space="preserve">Allos</t>
  </si>
  <si>
    <t xml:space="preserve">Iguatemi</t>
  </si>
  <si>
    <t xml:space="preserve">Mediana Chile (pares)</t>
  </si>
  <si>
    <t xml:space="preserve">Mediana Brasil</t>
  </si>
  <si>
    <t xml:space="preserve">Múltiplos: v2 Comparables (precio 30-09-2026). IRSA (12,3x) se omite del panel: cifras NIC 29 y tasas argentinas no comparables.</t>
  </si>
  <si>
    <t xml:space="preserve">Contexto macro</t>
  </si>
  <si>
    <t xml:space="preserve">Tasa de política monetaria (30-06-26)</t>
  </si>
  <si>
    <t xml:space="preserve">BCCh (TPM 4,50%); Copom jun-26 (Selic 14,25%)</t>
  </si>
  <si>
    <t xml:space="preserve">Tasa nominal 10 años (30-06-26)</t>
  </si>
  <si>
    <t xml:space="preserve">Chile: BCCh 30-06-26 · Brasil: Bloomberg GTBRL10YR Corp, PX_LAST al 30-06-26 (14,34%)</t>
  </si>
  <si>
    <t xml:space="preserve">Inflación esperada 2026 (encuesta a jun-26)</t>
  </si>
  <si>
    <t xml:space="preserve">Chile: EEE BCCh jun-26 (IPC dic-26, mediana 4,1%) · Brasil: Boletim Focus 29-06-26, ref. 26-06-26 (IPCA 2026, mediana 5,33%)</t>
  </si>
  <si>
    <t xml:space="preserve">Crecimiento PIB 2026 (encuesta a jun-26)</t>
  </si>
  <si>
    <t xml:space="preserve">Chile: EEE BCCh jun-26 (PIB 2026, mediana 1,6%) · Brasil: Boletim Focus 29-06-26 (PIB 2026, mediana 1,99%)</t>
  </si>
  <si>
    <t xml:space="preserve">Peso de Chile en el múltiplo</t>
  </si>
  <si>
    <t xml:space="preserve">Múltiplo</t>
  </si>
  <si>
    <t xml:space="preserve">Valor por múltiplos (CLP)</t>
  </si>
  <si>
    <t xml:space="preserve">Medianas: Chile 15,74x y set común 11,15x (v2 Comparables). Deuda neta y minoritarios BBG (v2 Supuestos A).</t>
  </si>
  <si>
    <t xml:space="preserve">Lectura: la ponderación mueve el precio objetivo entre CLP 1.916 y 2.144 (±3%). Ninguna ponderación se acerca a CLP 3.555.</t>
  </si>
  <si>
    <t xml:space="preserve">Advertencia honesta: la mediana chilena son solo 2 pares (Parque Arauco y Cencosud Shopping); el set común (30%) aporta diversificación.</t>
  </si>
  <si>
    <t xml:space="preserve">Spread Brasil y medianas calculados con la NTN-B de 8,08% real (30-06-26).</t>
  </si>
  <si>
    <t xml:space="preserve">V8 — Precio de los pares vs sus múltiplos (gráfico del equipo, ya listo)</t>
  </si>
  <si>
    <t xml:space="preserve">Gráfico: el del equipo. Va inmediatamente después de V7, como evidencia del 20% asignado a múltiplos.</t>
  </si>
  <si>
    <t xml:space="preserve">Revisar que use los mismos pares, la misma fecha de precio (30-09-26) y la misma definición de EV/EBITDA LTM que v2 Comparables.</t>
  </si>
  <si>
    <t xml:space="preserve">Apéndice — Construcción de la WACC (réplica con fórmulas de v2, hoja WACC)</t>
  </si>
  <si>
    <t xml:space="preserve">Todo se calcula desde los inputs azules. La sección E compara contra v2: las diferencias deben ser 0.</t>
  </si>
  <si>
    <t xml:space="preserve">Gráfico: Apéndice: tabla de construcción + línea por período. Pendiente Bloomberg: Betas de regresión (B85:B86), opcional</t>
  </si>
  <si>
    <t xml:space="preserve">A. Inputs</t>
  </si>
  <si>
    <t xml:space="preserve">Rf — bono del Tesoro EE.UU. 10 años</t>
  </si>
  <si>
    <t xml:space="preserve">v2 Supuestos B (Tasa_WACC.xlsm FFCF!C11)</t>
  </si>
  <si>
    <t xml:space="preserve">Prima por riesgo de mercado (ERP)</t>
  </si>
  <si>
    <t xml:space="preserve">Damodaran (v2 Supuestos B)</t>
  </si>
  <si>
    <t xml:space="preserve">CRP Chile</t>
  </si>
  <si>
    <t xml:space="preserve">Damodaran (v2)</t>
  </si>
  <si>
    <t xml:space="preserve">CRP Perú</t>
  </si>
  <si>
    <t xml:space="preserve">CRP Colombia</t>
  </si>
  <si>
    <t xml:space="preserve">Inflación LP Chile (meta BCCh)</t>
  </si>
  <si>
    <t xml:space="preserve">Inflación LP EE.UU. (breakeven 10Y, jun-26)</t>
  </si>
  <si>
    <t xml:space="preserve">Bloomberg USGG10YR − USGGT10Y (v2)</t>
  </si>
  <si>
    <t xml:space="preserve">Tasa de impuesto Chile</t>
  </si>
  <si>
    <t xml:space="preserve">Ley de Impuesto a la Renta (v2)</t>
  </si>
  <si>
    <t xml:space="preserve">Kd real — cupón última emisión UF</t>
  </si>
  <si>
    <t xml:space="preserve">Aumento Kd real por vuelta de DFN/EBITDA</t>
  </si>
  <si>
    <t xml:space="preserve">Supuesto del equipo (v2 Supuestos C)</t>
  </si>
  <si>
    <t xml:space="preserve">DFN/EBITDA inicial (30-06-26)</t>
  </si>
  <si>
    <t xml:space="preserve">v2 Supuestos C</t>
  </si>
  <si>
    <t xml:space="preserve">DFN/EBITDA objetivo</t>
  </si>
  <si>
    <t xml:space="preserve">Años de convergencia (30-06-26 a dic-2031)</t>
  </si>
  <si>
    <t xml:space="preserve">Deuda financiera bruta (estructura actual)</t>
  </si>
  <si>
    <t xml:space="preserve">Tasa_WACC.xlsm FFCF!G23:G24 (v2)</t>
  </si>
  <si>
    <t xml:space="preserve">Market cap (estructura WACC)</t>
  </si>
  <si>
    <t xml:space="preserve">Tasa_WACC.xlsm FFCF!G26 (v2)</t>
  </si>
  <si>
    <t xml:space="preserve">EBITDA LTM 2T26</t>
  </si>
  <si>
    <t xml:space="preserve">Release 2Q26 (v2)</t>
  </si>
  <si>
    <t xml:space="preserve">Caja 30-06-26</t>
  </si>
  <si>
    <t xml:space="preserve">Ingresos LTM consolidados (MM CLP)</t>
  </si>
  <si>
    <t xml:space="preserve">v2</t>
  </si>
  <si>
    <t xml:space="preserve">Ingresos LTM Chile (MM CLP)</t>
  </si>
  <si>
    <t xml:space="preserve">Ingresos LTM Perú (miles PEN)</t>
  </si>
  <si>
    <t xml:space="preserve">Ingresos LTM Colombia (MM COP)</t>
  </si>
  <si>
    <t xml:space="preserve">USDCLP</t>
  </si>
  <si>
    <t xml:space="preserve">USDPEN</t>
  </si>
  <si>
    <t xml:space="preserve">USDCOP</t>
  </si>
  <si>
    <t xml:space="preserve">B. Beta: pares desapalancados (Hamada) → mediana → re-apalancada por período</t>
  </si>
  <si>
    <t xml:space="preserve">Beta apalancada</t>
  </si>
  <si>
    <t xml:space="preserve">Deuda (MM CLP)</t>
  </si>
  <si>
    <t xml:space="preserve">Market cap (MM CLP)</t>
  </si>
  <si>
    <t xml:space="preserve">Impuesto</t>
  </si>
  <si>
    <t xml:space="preserve">Beta desapalancada</t>
  </si>
  <si>
    <t xml:space="preserve">Incluida (1/0)</t>
  </si>
  <si>
    <t xml:space="preserve">Para mediana</t>
  </si>
  <si>
    <t xml:space="preserve">Costa Verde</t>
  </si>
  <si>
    <t xml:space="preserve">IRSA</t>
  </si>
  <si>
    <t xml:space="preserve">Fuente: v2 WACC A (betas Bloomberg). Costa Verde excluida: no está en comparables.</t>
  </si>
  <si>
    <t xml:space="preserve">Beta desapalancada: mediana de incluidas</t>
  </si>
  <si>
    <t xml:space="preserve">C. Riesgo país ponderado por ingresos</t>
  </si>
  <si>
    <t xml:space="preserve">Ingresos Perú (MM CLP)</t>
  </si>
  <si>
    <t xml:space="preserve">Ingresos Colombia (MM CLP)</t>
  </si>
  <si>
    <t xml:space="preserve">Ponderación Chile</t>
  </si>
  <si>
    <t xml:space="preserve">Ponderación Perú = resto × participación de Perú en el exterior</t>
  </si>
  <si>
    <t xml:space="preserve">Ponderación Colombia = resto × participación de Colombia</t>
  </si>
  <si>
    <t xml:space="preserve">CRP ponderado</t>
  </si>
  <si>
    <t xml:space="preserve">Método de v2: Chile = ingresos Chile / consolidado; el resto se reparte entre Perú y Colombia según sus ingresos convertidos (así las ponderaciones suman 100%).</t>
  </si>
  <si>
    <t xml:space="preserve">D. WACC por período (D/E converge linealmente de la estructura actual a la objetivo)</t>
  </si>
  <si>
    <t xml:space="preserve">Concepto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</si>
  <si>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</si>
  <si>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</si>
  <si>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</si>
  <si>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</si>
  <si>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</si>
  <si>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</si>
  <si>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</si>
  <si>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Años desde 30-06-26</t>
  </si>
  <si>
    <t xml:space="preserve">DFN/EBITDA</t>
  </si>
  <si>
    <t xml:space="preserve">D/E actual</t>
  </si>
  <si>
    <t xml:space="preserve">D/E objetivo</t>
  </si>
  <si>
    <t xml:space="preserve">D/E usado</t>
  </si>
  <si>
    <t xml:space="preserve">D/V</t>
  </si>
  <si>
    <t xml:space="preserve">E/V</t>
  </si>
  <si>
    <t xml:space="preserve">Beta re-apalancada</t>
  </si>
  <si>
    <t xml:space="preserve">Ke USD = Rf + β·ERP + CRP</t>
  </si>
  <si>
    <t xml:space="preserve">Ke nominal CLP</t>
  </si>
  <si>
    <t xml:space="preserve">Kd real (UF) con spread</t>
  </si>
  <si>
    <t xml:space="preserve">Kd nominal CLP</t>
  </si>
  <si>
    <t xml:space="preserve">Kd después de impuestos</t>
  </si>
  <si>
    <t xml:space="preserve">WACC nominal CLP</t>
  </si>
  <si>
    <t xml:space="preserve">WACC real</t>
  </si>
  <si>
    <t xml:space="preserve">E. Control contra v2 (diferencia en pb; debe ser 0)</t>
  </si>
  <si>
    <t xml:space="preserve">WACC v2 (hoja WACC)</t>
  </si>
  <si>
    <t xml:space="preserve">Diferencia (pb)</t>
  </si>
  <si>
    <t xml:space="preserve">F. Elección de la tasa libre de riesgo (posible pregunta de los jueces)</t>
  </si>
  <si>
    <t xml:space="preserve">Base del modelo: Rf EE.UU. + CRP Chile, en CLP</t>
  </si>
  <si>
    <t xml:space="preserve">Bono en pesos 10 años BCCh al 30-06-26</t>
  </si>
  <si>
    <t xml:space="preserve">BCCh, Informativo Diario 2-jul-26 (= Rf "Chile" del archivo original)</t>
  </si>
  <si>
    <t xml:space="preserve">Efecto aproximado en la WACC terminal (pb) = diferencia × E/V</t>
  </si>
  <si>
    <t xml:space="preserve">Valor DCF si se usara el bono en pesos (CLP)</t>
  </si>
  <si>
    <t xml:space="preserve">Réplica del DCF v2 con WACC −107 pb en todos los períodos</t>
  </si>
  <si>
    <t xml:space="preserve">Precio objetivo 80/20 en ese caso (CLP)</t>
  </si>
  <si>
    <t xml:space="preserve">Por qué UST + CRP y no el bono en pesos: (1) el bono local ya trae riesgo Chile, y sumarle el CRP lo contaría dos veces; (2) un 28% de los ingresos viene de Perú y Colombia, cuyo riesgo se agrega con el CRP ponderado.</t>
  </si>
  <si>
    <t xml:space="preserve">Es la elección más conservadora: con el bono en pesos el precio objetivo sube a ~CLP 2.439, todavía 31% bajo el precio de CLP 3.555. La recomendación no cambia.</t>
  </si>
  <si>
    <t xml:space="preserve">Argumento aislado (posterior): al 1-oct-26 el bono en pesos a 10 años llegó a 6,25%, acercándose a la base del modelo (anexo macro).</t>
  </si>
  <si>
    <t xml:space="preserve">G. Chequeo de beta por regresión (opcional, como Kozminski Annex 13)</t>
  </si>
  <si>
    <t xml:space="preserve">Beta de regresión MALLPLAZ CI vs IPSA (2 años, semanal)</t>
  </si>
  <si>
    <t xml:space="preserve">BLOOMBERG: BETA — MALLPLAZ CI Equity, índice IPSA Index, al 30-06-26</t>
  </si>
  <si>
    <t xml:space="preserve">Beta ajustada (Blume) de Bloomberg</t>
  </si>
  <si>
    <t xml:space="preserve">BLOOMBERG: ADJUSTED_BETA, mismo período</t>
  </si>
  <si>
    <t xml:space="preserve">Beta re-apalancada del modelo (2S26E)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</si>
</sst>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%;\(0.0%\);\-"/>
    <numFmt numFmtId="167" formatCode="0.00%;\(0.00%\);\-"/>
    <numFmt numFmtId="168" formatCode="0"/>
    <numFmt numFmtId="169" formatCode="0.0"/>
    <numFmt numFmtId="170" formatCode="0.0\x"/>
    <numFmt numFmtId="171" formatCode="\+0.0%;\-0.0%;0.0%"/>
    <numFmt numFmtId="172" formatCode="0.00%"/>
    <numFmt numFmtId="173" formatCode="0%"/>
    <numFmt numFmtId="174" formatCode="0.00\x"/>
    <numFmt numFmtId="175" formatCode="#,##0.00"/>
    <numFmt numFmtId="176" formatCode="0.000"/>
    <numFmt numFmtId="17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4" t="s">
        <v>3</v>
      </c>
      <c r="B4" s="4" t="s">
        <v>4</v>
      </c>
    </row>
    <row r="5" customFormat="false" ht="15" hidden="false" customHeight="true" outlineLevel="0" collapsed="false">
      <c r="A5" s="4" t="s">
        <v>5</v>
      </c>
      <c r="B5" s="4" t="s">
        <v>6</v>
      </c>
    </row>
    <row r="6" customFormat="false" ht="15" hidden="false" customHeight="true" outlineLevel="0" collapsed="false">
      <c r="A6" s="4" t="s">
        <v>7</v>
      </c>
      <c r="B6" s="4" t="s">
        <v>8</v>
      </c>
    </row>
    <row r="7" customFormat="false" ht="15" hidden="false" customHeight="true" outlineLevel="0" collapsed="false">
      <c r="A7" s="4" t="s">
        <v>9</v>
      </c>
      <c r="B7" s="4" t="s">
        <v>10</v>
      </c>
    </row>
    <row r="8" customFormat="false" ht="15" hidden="false" customHeight="true" outlineLevel="0" collapsed="false">
      <c r="A8" s="4" t="s">
        <v>11</v>
      </c>
      <c r="B8" s="4" t="s">
        <v>12</v>
      </c>
    </row>
    <row r="9" customFormat="false" ht="15" hidden="false" customHeight="true" outlineLevel="0" collapsed="false">
      <c r="A9" s="4" t="s">
        <v>13</v>
      </c>
      <c r="B9" s="4" t="s">
        <v>14</v>
      </c>
    </row>
    <row r="10" customFormat="false" ht="15" hidden="false" customHeight="true" outlineLevel="0" collapsed="false">
      <c r="A10" s="4" t="s">
        <v>15</v>
      </c>
      <c r="B10" s="4" t="s">
        <v>16</v>
      </c>
    </row>
    <row r="11" customFormat="false" ht="15" hidden="false" customHeight="true" outlineLevel="0" collapsed="false">
      <c r="A11" s="4" t="s">
        <v>17</v>
      </c>
      <c r="B11" s="4" t="s">
        <v>18</v>
      </c>
    </row>
    <row r="12" customFormat="false" ht="15" hidden="false" customHeight="true" outlineLevel="0" collapsed="false">
      <c r="A12" s="4" t="s">
        <v>19</v>
      </c>
      <c r="B12" s="4" t="s">
        <v>20</v>
      </c>
    </row>
    <row r="13" customFormat="false" ht="15" hidden="false" customHeight="true" outlineLevel="0" collapsed="false">
      <c r="A13" s="4" t="s">
        <v>21</v>
      </c>
      <c r="B13" s="4" t="s">
        <v>22</v>
      </c>
    </row>
    <row r="14" customFormat="false" ht="15" hidden="false" customHeight="true" outlineLevel="0" collapsed="false">
      <c r="A14" s="4" t="s">
        <v>23</v>
      </c>
      <c r="B14" s="4" t="s">
        <v>24</v>
      </c>
    </row>
    <row r="15" customFormat="false" ht="15" hidden="false" customHeight="true" outlineLevel="0" collapsed="false">
      <c r="A15" s="4" t="s">
        <v>25</v>
      </c>
      <c r="B15" s="4" t="s">
        <v>26</v>
      </c>
    </row>
    <row r="16" customFormat="false" ht="15" hidden="false" customHeight="true" outlineLevel="0" collapsed="false">
      <c r="A16" s="4"/>
      <c r="B16" s="4"/>
    </row>
    <row r="17" customFormat="false" ht="15" hidden="false" customHeight="true" outlineLevel="0" collapsed="false">
      <c r="A17" s="4" t="s">
        <v>27</v>
      </c>
      <c r="B17" s="4" t="s">
        <v>28</v>
      </c>
    </row>
    <row r="18" customFormat="false" ht="15" hidden="false" customHeight="true" outlineLevel="0" collapsed="false">
      <c r="A18" s="4" t="s">
        <v>29</v>
      </c>
      <c r="B18" s="4" t="s">
        <v>30</v>
      </c>
    </row>
    <row r="19" customFormat="false" ht="15" hidden="false" customHeight="true" outlineLevel="0" collapsed="false">
      <c r="A19" s="4" t="s">
        <v>31</v>
      </c>
      <c r="B19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34"/>
  </cols>
  <sheetData>
    <row r="1" customFormat="false" ht="15" hidden="false" customHeight="true" outlineLevel="0" collapsed="false">
      <c r="A1" s="2" t="s">
        <v>33</v>
      </c>
    </row>
    <row r="2" customFormat="false" ht="15" hidden="false" customHeight="true" outlineLevel="0" collapsed="false">
      <c r="A2" s="5" t="s">
        <v>34</v>
      </c>
    </row>
    <row r="4" customFormat="false" ht="1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</row>
    <row r="5" customFormat="false" ht="57" hidden="false" customHeight="true" outlineLevel="0" collapsed="false">
      <c r="A5" s="7" t="s">
        <v>40</v>
      </c>
      <c r="B5" s="8" t="s">
        <v>41</v>
      </c>
      <c r="C5" s="8" t="s">
        <v>42</v>
      </c>
      <c r="D5" s="8" t="s">
        <v>43</v>
      </c>
      <c r="E5" s="8" t="s">
        <v>44</v>
      </c>
    </row>
    <row r="6" customFormat="false" ht="57" hidden="false" customHeight="true" outlineLevel="0" collapsed="false">
      <c r="A6" s="7" t="s">
        <v>45</v>
      </c>
      <c r="B6" s="8" t="s">
        <v>46</v>
      </c>
      <c r="C6" s="8" t="s">
        <v>47</v>
      </c>
      <c r="D6" s="8" t="s">
        <v>48</v>
      </c>
      <c r="E6" s="8" t="s">
        <v>49</v>
      </c>
    </row>
    <row r="7" customFormat="false" ht="45.75" hidden="false" customHeight="true" outlineLevel="0" collapsed="false">
      <c r="A7" s="7" t="s">
        <v>50</v>
      </c>
      <c r="B7" s="8" t="s">
        <v>51</v>
      </c>
      <c r="C7" s="8" t="s">
        <v>52</v>
      </c>
      <c r="D7" s="8" t="s">
        <v>53</v>
      </c>
      <c r="E7" s="8" t="s">
        <v>54</v>
      </c>
    </row>
    <row r="8" customFormat="false" ht="34.5" hidden="false" customHeight="true" outlineLevel="0" collapsed="false">
      <c r="A8" s="7" t="s">
        <v>55</v>
      </c>
      <c r="B8" s="8" t="s">
        <v>56</v>
      </c>
      <c r="C8" s="8" t="s">
        <v>57</v>
      </c>
      <c r="D8" s="8" t="s">
        <v>58</v>
      </c>
      <c r="E8" s="8" t="s">
        <v>44</v>
      </c>
    </row>
    <row r="9" customFormat="false" ht="57" hidden="false" customHeight="true" outlineLevel="0" collapsed="false">
      <c r="A9" s="7" t="s">
        <v>59</v>
      </c>
      <c r="B9" s="8" t="s">
        <v>60</v>
      </c>
      <c r="C9" s="8" t="s">
        <v>61</v>
      </c>
      <c r="D9" s="8" t="s">
        <v>62</v>
      </c>
      <c r="E9" s="8" t="s">
        <v>63</v>
      </c>
    </row>
    <row r="10" customFormat="false" ht="57" hidden="false" customHeight="true" outlineLevel="0" collapsed="false">
      <c r="A10" s="7" t="s">
        <v>64</v>
      </c>
      <c r="B10" s="8" t="s">
        <v>65</v>
      </c>
      <c r="C10" s="8" t="s">
        <v>66</v>
      </c>
      <c r="D10" s="8" t="s">
        <v>67</v>
      </c>
      <c r="E10" s="8" t="s">
        <v>44</v>
      </c>
    </row>
    <row r="11" customFormat="false" ht="57" hidden="false" customHeight="true" outlineLevel="0" collapsed="false">
      <c r="A11" s="7" t="s">
        <v>68</v>
      </c>
      <c r="B11" s="8" t="s">
        <v>69</v>
      </c>
      <c r="C11" s="8" t="s">
        <v>70</v>
      </c>
      <c r="D11" s="8" t="s">
        <v>71</v>
      </c>
      <c r="E11" s="8" t="s">
        <v>72</v>
      </c>
    </row>
    <row r="12" customFormat="false" ht="34.5" hidden="false" customHeight="true" outlineLevel="0" collapsed="false">
      <c r="A12" s="7" t="s">
        <v>73</v>
      </c>
      <c r="B12" s="8" t="s">
        <v>74</v>
      </c>
      <c r="C12" s="8" t="s">
        <v>25</v>
      </c>
      <c r="D12" s="8" t="s">
        <v>75</v>
      </c>
      <c r="E12" s="8" t="s">
        <v>44</v>
      </c>
    </row>
    <row r="14" customFormat="false" ht="15" hidden="false" customHeight="true" outlineLevel="0" collapsed="false">
      <c r="A14" s="3" t="s">
        <v>76</v>
      </c>
    </row>
    <row r="15" customFormat="false" ht="15" hidden="false" customHeight="true" outlineLevel="0" collapsed="false">
      <c r="A15" s="4" t="s">
        <v>77</v>
      </c>
    </row>
    <row r="16" customFormat="false" ht="15" hidden="false" customHeight="true" outlineLevel="0" collapsed="false">
      <c r="A16" s="4" t="s">
        <v>78</v>
      </c>
    </row>
    <row r="17" customFormat="false" ht="15" hidden="false" customHeight="true" outlineLevel="0" collapsed="false">
      <c r="A17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44"/>
    <col collapsed="false" customWidth="true" hidden="false" outlineLevel="0" max="7" min="5" style="1" width="40"/>
  </cols>
  <sheetData>
    <row r="1" customFormat="false" ht="15" hidden="false" customHeight="true" outlineLevel="0" collapsed="false">
      <c r="A1" s="2" t="s">
        <v>80</v>
      </c>
    </row>
    <row r="2" customFormat="false" ht="15" hidden="false" customHeight="true" outlineLevel="0" collapsed="false">
      <c r="A2" s="5" t="s">
        <v>81</v>
      </c>
    </row>
    <row r="4" customFormat="false" ht="15" hidden="false" customHeight="true" outlineLevel="0" collapsed="false">
      <c r="A4" s="6" t="s">
        <v>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86</v>
      </c>
      <c r="G4" s="6" t="s">
        <v>87</v>
      </c>
    </row>
    <row r="5" customFormat="false" ht="34.5" hidden="false" customHeight="true" outlineLevel="0" collapsed="false">
      <c r="A5" s="8" t="s">
        <v>9</v>
      </c>
      <c r="B5" s="8" t="s">
        <v>88</v>
      </c>
      <c r="C5" s="8" t="s">
        <v>89</v>
      </c>
      <c r="D5" s="8" t="s">
        <v>90</v>
      </c>
      <c r="E5" s="8" t="s">
        <v>91</v>
      </c>
      <c r="F5" s="8" t="s">
        <v>92</v>
      </c>
      <c r="G5" s="8" t="s">
        <v>93</v>
      </c>
    </row>
    <row r="6" customFormat="false" ht="34.5" hidden="false" customHeight="true" outlineLevel="0" collapsed="false">
      <c r="A6" s="8" t="s">
        <v>15</v>
      </c>
      <c r="B6" s="8" t="s">
        <v>94</v>
      </c>
      <c r="C6" s="8" t="s">
        <v>95</v>
      </c>
      <c r="D6" s="8" t="s">
        <v>96</v>
      </c>
      <c r="E6" s="8" t="s">
        <v>97</v>
      </c>
      <c r="F6" s="8" t="s">
        <v>98</v>
      </c>
      <c r="G6" s="8" t="s">
        <v>44</v>
      </c>
    </row>
    <row r="7" customFormat="false" ht="34.5" hidden="false" customHeight="true" outlineLevel="0" collapsed="false">
      <c r="A7" s="8" t="s">
        <v>17</v>
      </c>
      <c r="B7" s="8" t="s">
        <v>99</v>
      </c>
      <c r="C7" s="8" t="s">
        <v>100</v>
      </c>
      <c r="D7" s="8" t="s">
        <v>101</v>
      </c>
      <c r="E7" s="8" t="s">
        <v>102</v>
      </c>
      <c r="F7" s="8" t="s">
        <v>103</v>
      </c>
      <c r="G7" s="8" t="s">
        <v>44</v>
      </c>
    </row>
    <row r="8" customFormat="false" ht="34.5" hidden="false" customHeight="true" outlineLevel="0" collapsed="false">
      <c r="A8" s="8" t="s">
        <v>11</v>
      </c>
      <c r="B8" s="8" t="s">
        <v>104</v>
      </c>
      <c r="C8" s="8" t="s">
        <v>105</v>
      </c>
      <c r="D8" s="8" t="s">
        <v>106</v>
      </c>
      <c r="E8" s="8" t="s">
        <v>107</v>
      </c>
      <c r="F8" s="8" t="s">
        <v>108</v>
      </c>
      <c r="G8" s="8" t="s">
        <v>44</v>
      </c>
    </row>
    <row r="9" customFormat="false" ht="23.25" hidden="false" customHeight="true" outlineLevel="0" collapsed="false">
      <c r="A9" s="8" t="s">
        <v>13</v>
      </c>
      <c r="B9" s="8" t="s">
        <v>109</v>
      </c>
      <c r="C9" s="8" t="s">
        <v>110</v>
      </c>
      <c r="D9" s="8" t="s">
        <v>111</v>
      </c>
      <c r="E9" s="8" t="s">
        <v>112</v>
      </c>
      <c r="F9" s="8" t="s">
        <v>113</v>
      </c>
      <c r="G9" s="8" t="s">
        <v>44</v>
      </c>
    </row>
    <row r="10" customFormat="false" ht="34.5" hidden="false" customHeight="true" outlineLevel="0" collapsed="false">
      <c r="A10" s="8" t="s">
        <v>19</v>
      </c>
      <c r="B10" s="8" t="s">
        <v>114</v>
      </c>
      <c r="C10" s="8" t="s">
        <v>115</v>
      </c>
      <c r="D10" s="8" t="s">
        <v>116</v>
      </c>
      <c r="E10" s="8" t="s">
        <v>117</v>
      </c>
      <c r="F10" s="8" t="s">
        <v>113</v>
      </c>
      <c r="G10" s="8" t="s">
        <v>44</v>
      </c>
    </row>
    <row r="11" customFormat="false" ht="34.5" hidden="false" customHeight="true" outlineLevel="0" collapsed="false">
      <c r="A11" s="8" t="s">
        <v>21</v>
      </c>
      <c r="B11" s="8" t="s">
        <v>118</v>
      </c>
      <c r="C11" s="8" t="s">
        <v>119</v>
      </c>
      <c r="D11" s="8" t="s">
        <v>120</v>
      </c>
      <c r="E11" s="8" t="s">
        <v>121</v>
      </c>
      <c r="F11" s="8" t="s">
        <v>122</v>
      </c>
      <c r="G11" s="8" t="s">
        <v>123</v>
      </c>
    </row>
    <row r="12" customFormat="false" ht="34.5" hidden="false" customHeight="true" outlineLevel="0" collapsed="false">
      <c r="A12" s="8" t="s">
        <v>25</v>
      </c>
      <c r="B12" s="8" t="s">
        <v>124</v>
      </c>
      <c r="C12" s="8" t="s">
        <v>125</v>
      </c>
      <c r="D12" s="8" t="s">
        <v>126</v>
      </c>
      <c r="E12" s="8" t="s">
        <v>127</v>
      </c>
      <c r="F12" s="8" t="s">
        <v>128</v>
      </c>
      <c r="G12" s="8" t="s">
        <v>129</v>
      </c>
    </row>
    <row r="13" customFormat="false" ht="15" hidden="false" customHeight="true" outlineLevel="0" collapsed="false">
      <c r="A13" s="8" t="s">
        <v>23</v>
      </c>
      <c r="B13" s="8" t="s">
        <v>130</v>
      </c>
      <c r="C13" s="8" t="s">
        <v>44</v>
      </c>
      <c r="D13" s="8" t="s">
        <v>131</v>
      </c>
      <c r="E13" s="8" t="s">
        <v>44</v>
      </c>
      <c r="F13" s="8" t="s">
        <v>132</v>
      </c>
      <c r="G13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44"/>
    <col collapsed="false" customWidth="true" hidden="false" outlineLevel="0" max="4" min="4" style="1" width="16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133</v>
      </c>
    </row>
    <row r="2" customFormat="false" ht="15" hidden="false" customHeight="true" outlineLevel="0" collapsed="false">
      <c r="A2" s="5" t="s">
        <v>134</v>
      </c>
    </row>
    <row r="4" customFormat="false" ht="15" hidden="false" customHeight="tru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</row>
    <row r="5" customFormat="false" ht="15" hidden="false" customHeight="true" outlineLevel="0" collapsed="false">
      <c r="A5" s="8" t="s">
        <v>140</v>
      </c>
      <c r="B5" s="8" t="s">
        <v>141</v>
      </c>
      <c r="C5" s="8" t="s">
        <v>142</v>
      </c>
      <c r="D5" s="8" t="s">
        <v>143</v>
      </c>
      <c r="E5" s="9" t="s">
        <v>144</v>
      </c>
    </row>
    <row r="6" customFormat="false" ht="15" hidden="false" customHeight="true" outlineLevel="0" collapsed="false">
      <c r="A6" s="8" t="s">
        <v>145</v>
      </c>
      <c r="B6" s="8" t="s">
        <v>146</v>
      </c>
      <c r="C6" s="8" t="s">
        <v>147</v>
      </c>
      <c r="D6" s="8" t="s">
        <v>143</v>
      </c>
      <c r="E6" s="9" t="s">
        <v>148</v>
      </c>
    </row>
    <row r="7" customFormat="false" ht="15" hidden="false" customHeight="true" outlineLevel="0" collapsed="false">
      <c r="A7" s="8" t="s">
        <v>149</v>
      </c>
      <c r="B7" s="8" t="s">
        <v>150</v>
      </c>
      <c r="C7" s="8" t="s">
        <v>151</v>
      </c>
      <c r="D7" s="8" t="s">
        <v>152</v>
      </c>
      <c r="E7" s="9" t="s">
        <v>153</v>
      </c>
    </row>
    <row r="8" customFormat="false" ht="23.25" hidden="false" customHeight="true" outlineLevel="0" collapsed="false">
      <c r="A8" s="8" t="s">
        <v>154</v>
      </c>
      <c r="B8" s="8" t="s">
        <v>155</v>
      </c>
      <c r="C8" s="8" t="s">
        <v>156</v>
      </c>
      <c r="D8" s="8" t="s">
        <v>152</v>
      </c>
      <c r="E8" s="9" t="s">
        <v>157</v>
      </c>
    </row>
    <row r="9" customFormat="false" ht="23.25" hidden="false" customHeight="true" outlineLevel="0" collapsed="false">
      <c r="A9" s="8" t="s">
        <v>158</v>
      </c>
      <c r="B9" s="8" t="s">
        <v>159</v>
      </c>
      <c r="C9" s="8" t="s">
        <v>160</v>
      </c>
      <c r="D9" s="8" t="s">
        <v>152</v>
      </c>
      <c r="E9" s="9" t="s">
        <v>161</v>
      </c>
    </row>
    <row r="10" customFormat="false" ht="23.25" hidden="false" customHeight="true" outlineLevel="0" collapsed="false">
      <c r="A10" s="8" t="s">
        <v>162</v>
      </c>
      <c r="B10" s="8" t="s">
        <v>163</v>
      </c>
      <c r="C10" s="8" t="s">
        <v>164</v>
      </c>
      <c r="D10" s="8" t="s">
        <v>152</v>
      </c>
      <c r="E10" s="9" t="s">
        <v>165</v>
      </c>
    </row>
    <row r="11" customFormat="false" ht="23.25" hidden="false" customHeight="true" outlineLevel="0" collapsed="false">
      <c r="A11" s="8" t="s">
        <v>166</v>
      </c>
      <c r="B11" s="8" t="s">
        <v>167</v>
      </c>
      <c r="C11" s="8" t="s">
        <v>168</v>
      </c>
      <c r="D11" s="8" t="s">
        <v>152</v>
      </c>
      <c r="E11" s="8" t="s">
        <v>169</v>
      </c>
    </row>
    <row r="12" customFormat="false" ht="23.25" hidden="false" customHeight="true" outlineLevel="0" collapsed="false">
      <c r="A12" s="8" t="s">
        <v>170</v>
      </c>
      <c r="B12" s="8" t="s">
        <v>171</v>
      </c>
      <c r="C12" s="8" t="s">
        <v>172</v>
      </c>
      <c r="D12" s="8" t="s">
        <v>152</v>
      </c>
      <c r="E12" s="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174</v>
      </c>
    </row>
    <row r="2" customFormat="false" ht="15" hidden="false" customHeight="true" outlineLevel="0" collapsed="false">
      <c r="A2" s="5" t="s">
        <v>175</v>
      </c>
    </row>
    <row r="3" customFormat="false" ht="15" hidden="false" customHeight="true" outlineLevel="0" collapsed="false">
      <c r="A3" s="10" t="s">
        <v>176</v>
      </c>
    </row>
    <row r="4" customFormat="false" ht="15" hidden="false" customHeight="true" outlineLevel="0" collapsed="false">
      <c r="A4" s="6" t="s">
        <v>177</v>
      </c>
      <c r="B4" s="6" t="s">
        <v>178</v>
      </c>
      <c r="C4" s="6" t="s">
        <v>179</v>
      </c>
      <c r="D4" s="6" t="s">
        <v>180</v>
      </c>
      <c r="E4" s="6" t="s">
        <v>181</v>
      </c>
    </row>
    <row r="5" customFormat="false" ht="15" hidden="false" customHeight="true" outlineLevel="0" collapsed="false">
      <c r="A5" s="4" t="s">
        <v>182</v>
      </c>
      <c r="B5" s="11" t="n">
        <v>1686.94389181781</v>
      </c>
      <c r="C5" s="11" t="n">
        <v>2051.79933329428</v>
      </c>
      <c r="D5" s="11" t="n">
        <v>1856.81199718015</v>
      </c>
      <c r="E5" s="5" t="s">
        <v>183</v>
      </c>
    </row>
    <row r="6" customFormat="false" ht="15" hidden="false" customHeight="true" outlineLevel="0" collapsed="false">
      <c r="A6" s="4" t="s">
        <v>184</v>
      </c>
      <c r="B6" s="11" t="n">
        <v>1379.44188269913</v>
      </c>
      <c r="C6" s="11" t="n">
        <v>2328.90760780526</v>
      </c>
      <c r="D6" s="11" t="n">
        <v>1856.81199718015</v>
      </c>
      <c r="E6" s="5" t="s">
        <v>185</v>
      </c>
    </row>
    <row r="7" customFormat="false" ht="15" hidden="false" customHeight="true" outlineLevel="0" collapsed="false">
      <c r="A7" s="4" t="s">
        <v>186</v>
      </c>
      <c r="B7" s="11" t="n">
        <v>1893.65312381858</v>
      </c>
      <c r="C7" s="11" t="n">
        <v>1893.65312381858</v>
      </c>
      <c r="D7" s="11" t="n">
        <v>1893.65312381858</v>
      </c>
      <c r="E7" s="5" t="s">
        <v>187</v>
      </c>
    </row>
    <row r="8" customFormat="false" ht="15" hidden="false" customHeight="true" outlineLevel="0" collapsed="false">
      <c r="A8" s="4" t="s">
        <v>188</v>
      </c>
      <c r="B8" s="11" t="n">
        <v>2152</v>
      </c>
      <c r="C8" s="11" t="n">
        <v>3294</v>
      </c>
      <c r="D8" s="11" t="n">
        <v>2951.38547083101</v>
      </c>
      <c r="E8" s="5" t="s">
        <v>189</v>
      </c>
    </row>
    <row r="9" customFormat="false" ht="15" hidden="false" customHeight="true" outlineLevel="0" collapsed="false">
      <c r="A9" s="4" t="s">
        <v>190</v>
      </c>
      <c r="B9" s="11" t="n">
        <v>2914.35679520534</v>
      </c>
      <c r="C9" s="11" t="n">
        <v>3098.23701907886</v>
      </c>
      <c r="D9" s="12" t="n">
        <f aca="false">AVERAGE(B9:C9)</f>
        <v>3006.2969071421</v>
      </c>
      <c r="E9" s="5" t="s">
        <v>191</v>
      </c>
    </row>
    <row r="10" customFormat="false" ht="15" hidden="false" customHeight="true" outlineLevel="0" collapsed="false">
      <c r="A10" s="4" t="s">
        <v>192</v>
      </c>
      <c r="B10" s="13" t="n">
        <v>2470</v>
      </c>
      <c r="C10" s="13" t="n">
        <v>4700</v>
      </c>
      <c r="D10" s="13" t="n">
        <v>3555</v>
      </c>
      <c r="E10" s="5" t="s">
        <v>193</v>
      </c>
    </row>
    <row r="12" customFormat="false" ht="15" hidden="false" customHeight="true" outlineLevel="0" collapsed="false">
      <c r="A12" s="4" t="s">
        <v>194</v>
      </c>
      <c r="B12" s="12" t="n">
        <f aca="false">0.8*D5+0.2*D8</f>
        <v>2075.72669191032</v>
      </c>
    </row>
    <row r="13" customFormat="false" ht="15" hidden="false" customHeight="true" outlineLevel="0" collapsed="false">
      <c r="A13" s="4" t="s">
        <v>195</v>
      </c>
      <c r="B13" s="11" t="n">
        <v>3555</v>
      </c>
      <c r="C13" s="5" t="s">
        <v>196</v>
      </c>
    </row>
    <row r="14" customFormat="false" ht="15" hidden="false" customHeight="true" outlineLevel="0" collapsed="false">
      <c r="A14" s="4" t="s">
        <v>197</v>
      </c>
      <c r="B14" s="14" t="n">
        <f aca="false">B12/B13-1</f>
        <v>-0.41611063518697</v>
      </c>
    </row>
    <row r="16" customFormat="false" ht="15" hidden="false" customHeight="true" outlineLevel="0" collapsed="false">
      <c r="A16" s="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199</v>
      </c>
    </row>
    <row r="2" customFormat="false" ht="15" hidden="false" customHeight="true" outlineLevel="0" collapsed="false">
      <c r="A2" s="5" t="s">
        <v>200</v>
      </c>
    </row>
    <row r="3" customFormat="false" ht="15" hidden="false" customHeight="true" outlineLevel="0" collapsed="false">
      <c r="A3" s="10" t="s">
        <v>201</v>
      </c>
    </row>
    <row r="4" customFormat="false" ht="15" hidden="false" customHeight="true" outlineLevel="0" collapsed="false">
      <c r="A4" s="4" t="s">
        <v>202</v>
      </c>
      <c r="B4" s="15" t="n">
        <v>0.03</v>
      </c>
      <c r="C4" s="5" t="s">
        <v>203</v>
      </c>
    </row>
    <row r="6" customFormat="false" ht="15" hidden="false" customHeight="true" outlineLevel="0" collapsed="false">
      <c r="A6" s="6" t="s">
        <v>204</v>
      </c>
      <c r="B6" s="6" t="s">
        <v>205</v>
      </c>
      <c r="C6" s="6" t="s">
        <v>206</v>
      </c>
      <c r="D6" s="6" t="s">
        <v>207</v>
      </c>
    </row>
    <row r="7" customFormat="false" ht="15" hidden="false" customHeight="true" outlineLevel="0" collapsed="false">
      <c r="A7" s="4" t="s">
        <v>208</v>
      </c>
      <c r="B7" s="16" t="n">
        <f aca="false">(1+C7)*(1+$B$4)-1</f>
        <v>0.05575</v>
      </c>
      <c r="C7" s="17" t="n">
        <v>0.025</v>
      </c>
      <c r="D7" s="16" t="s">
        <v>209</v>
      </c>
    </row>
    <row r="8" customFormat="false" ht="15" hidden="false" customHeight="true" outlineLevel="0" collapsed="false">
      <c r="A8" s="4" t="s">
        <v>210</v>
      </c>
      <c r="B8" s="17" t="n">
        <v>0.0543</v>
      </c>
      <c r="C8" s="16" t="n">
        <f aca="false">(1+B8)/(1+$B$4)-1</f>
        <v>0.0235922330097087</v>
      </c>
      <c r="D8" s="16" t="s">
        <v>211</v>
      </c>
    </row>
    <row r="9" customFormat="false" ht="15" hidden="false" customHeight="true" outlineLevel="0" collapsed="false">
      <c r="A9" s="4" t="s">
        <v>212</v>
      </c>
      <c r="B9" s="16" t="n">
        <f aca="false">(1+0.049778+0.0104)*(1+B4)/(1+0.022431)-1</f>
        <v>0.0680264389479584</v>
      </c>
      <c r="C9" s="16" t="n">
        <f aca="false">(1+B9)/(1+$B$4)-1</f>
        <v>0.0369188727650081</v>
      </c>
      <c r="D9" s="16" t="s">
        <v>213</v>
      </c>
    </row>
    <row r="10" customFormat="false" ht="15" hidden="false" customHeight="true" outlineLevel="0" collapsed="false">
      <c r="A10" s="4" t="s">
        <v>214</v>
      </c>
      <c r="B10" s="16" t="n">
        <f aca="false">(1+C10)*(1+$B$4)-1</f>
        <v>0.06708</v>
      </c>
      <c r="C10" s="17" t="n">
        <v>0.036</v>
      </c>
      <c r="D10" s="16" t="s">
        <v>203</v>
      </c>
    </row>
    <row r="11" customFormat="false" ht="15" hidden="false" customHeight="true" outlineLevel="0" collapsed="false">
      <c r="A11" s="4" t="s">
        <v>215</v>
      </c>
      <c r="B11" s="17" t="n">
        <v>0.0756146197226035</v>
      </c>
      <c r="C11" s="16" t="n">
        <f aca="false">(1+B11)/(1+$B$4)-1</f>
        <v>0.0442860385656345</v>
      </c>
      <c r="D11" s="16" t="s">
        <v>216</v>
      </c>
    </row>
    <row r="12" customFormat="false" ht="15" hidden="false" customHeight="true" outlineLevel="0" collapsed="false">
      <c r="A12" s="4" t="s">
        <v>217</v>
      </c>
      <c r="B12" s="16" t="n">
        <f aca="false">(1+C12)*(1+$B$4)-1</f>
        <v>0.0871650000000002</v>
      </c>
      <c r="C12" s="17" t="n">
        <v>0.0555</v>
      </c>
      <c r="D12" s="16" t="s">
        <v>218</v>
      </c>
    </row>
    <row r="13" customFormat="false" ht="15" hidden="false" customHeight="true" outlineLevel="0" collapsed="false">
      <c r="A13" s="4" t="s">
        <v>219</v>
      </c>
      <c r="B13" s="17" t="n">
        <v>0.104138867416108</v>
      </c>
      <c r="C13" s="16" t="n">
        <f aca="false">(1+B13)/(1+$B$4)-1</f>
        <v>0.0719794829282603</v>
      </c>
      <c r="D13" s="16" t="s">
        <v>220</v>
      </c>
    </row>
    <row r="14" customFormat="false" ht="15" hidden="false" customHeight="true" outlineLevel="0" collapsed="false">
      <c r="A14" s="4" t="s">
        <v>221</v>
      </c>
      <c r="B14" s="17" t="n">
        <v>0.119262901170031</v>
      </c>
      <c r="C14" s="16" t="n">
        <f aca="false">(1+B14)/(1+$B$4)-1</f>
        <v>0.0866630108446902</v>
      </c>
      <c r="D14" s="16" t="s">
        <v>220</v>
      </c>
    </row>
    <row r="16" customFormat="false" ht="15" hidden="false" customHeight="true" outlineLevel="0" collapsed="false">
      <c r="A16" s="4" t="s">
        <v>222</v>
      </c>
      <c r="B16" s="18" t="n">
        <f aca="false">(C11-C10)*10000</f>
        <v>82.8603856563451</v>
      </c>
    </row>
    <row r="17" customFormat="false" ht="15" hidden="false" customHeight="true" outlineLevel="0" collapsed="false">
      <c r="A17" s="4" t="s">
        <v>223</v>
      </c>
      <c r="B17" s="18" t="n">
        <f aca="false">(C11-C7)*10000</f>
        <v>192.860385656345</v>
      </c>
    </row>
    <row r="18" customFormat="false" ht="15" hidden="false" customHeight="true" outlineLevel="0" collapsed="false">
      <c r="A18" s="4" t="s">
        <v>224</v>
      </c>
      <c r="B18" s="18" t="n">
        <f aca="false">(C13-C7)*10000</f>
        <v>469.794829282603</v>
      </c>
    </row>
    <row r="20" customFormat="false" ht="15" hidden="false" customHeight="true" outlineLevel="0" collapsed="false">
      <c r="A20" s="5" t="s">
        <v>225</v>
      </c>
    </row>
    <row r="21" customFormat="false" ht="15" hidden="false" customHeight="true" outlineLevel="0" collapsed="false">
      <c r="A21" s="5" t="s">
        <v>226</v>
      </c>
    </row>
    <row r="22" customFormat="false" ht="15" hidden="false" customHeight="true" outlineLevel="0" collapsed="false">
      <c r="A22" s="5" t="s">
        <v>227</v>
      </c>
    </row>
    <row r="23" customFormat="false" ht="15" hidden="false" customHeight="true" outlineLevel="0" collapsed="false">
      <c r="A23" s="5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229</v>
      </c>
    </row>
    <row r="2" customFormat="false" ht="15" hidden="false" customHeight="true" outlineLevel="0" collapsed="false">
      <c r="A2" s="5" t="s">
        <v>230</v>
      </c>
    </row>
    <row r="3" customFormat="false" ht="15" hidden="false" customHeight="true" outlineLevel="0" collapsed="false">
      <c r="A3" s="10" t="s">
        <v>231</v>
      </c>
    </row>
    <row r="4" customFormat="false" ht="15" hidden="false" customHeight="true" outlineLevel="0" collapsed="false">
      <c r="A4" s="4" t="s">
        <v>232</v>
      </c>
      <c r="B4" s="17" t="n">
        <v>0.0690189707474264</v>
      </c>
      <c r="C4" s="5" t="s">
        <v>233</v>
      </c>
    </row>
    <row r="5" customFormat="false" ht="15" hidden="false" customHeight="true" outlineLevel="0" collapsed="false">
      <c r="A5" s="4" t="s">
        <v>234</v>
      </c>
      <c r="B5" s="15" t="n">
        <v>0.27</v>
      </c>
      <c r="C5" s="5" t="s">
        <v>235</v>
      </c>
    </row>
    <row r="6" customFormat="false" ht="15" hidden="false" customHeight="true" outlineLevel="0" collapsed="false">
      <c r="A6" s="4" t="s">
        <v>236</v>
      </c>
      <c r="B6" s="16" t="n">
        <f aca="false">B4*(1-B5)</f>
        <v>0.0503838486456213</v>
      </c>
    </row>
    <row r="7" customFormat="false" ht="15" hidden="false" customHeight="true" outlineLevel="0" collapsed="false">
      <c r="A7" s="4" t="s">
        <v>237</v>
      </c>
      <c r="B7" s="17" t="n">
        <v>0.0719794829282607</v>
      </c>
      <c r="C7" s="5" t="s">
        <v>220</v>
      </c>
    </row>
    <row r="8" customFormat="false" ht="15" hidden="false" customHeight="true" outlineLevel="0" collapsed="false">
      <c r="A8" s="4" t="s">
        <v>238</v>
      </c>
      <c r="B8" s="18" t="n">
        <f aca="false">(B6-B7)*10000</f>
        <v>-215.956342826394</v>
      </c>
    </row>
    <row r="9" customFormat="false" ht="15" hidden="false" customHeight="true" outlineLevel="0" collapsed="false">
      <c r="A9" s="4" t="s">
        <v>239</v>
      </c>
      <c r="B9" s="17" t="n">
        <v>0</v>
      </c>
      <c r="C9" s="5" t="s">
        <v>240</v>
      </c>
    </row>
    <row r="10" customFormat="false" ht="15" hidden="false" customHeight="true" outlineLevel="0" collapsed="false">
      <c r="A10" s="4" t="s">
        <v>241</v>
      </c>
      <c r="B10" s="14" t="n">
        <f aca="false">B9/B6</f>
        <v>0</v>
      </c>
    </row>
    <row r="11" customFormat="false" ht="15" hidden="false" customHeight="true" outlineLevel="0" collapsed="false">
      <c r="A11" s="4" t="s">
        <v>242</v>
      </c>
      <c r="B11" s="14" t="n">
        <f aca="false">(1+B9)*(1+0.03)-1</f>
        <v>0.03</v>
      </c>
    </row>
    <row r="13" customFormat="false" ht="15" hidden="false" customHeight="true" outlineLevel="0" collapsed="false">
      <c r="A13" s="6" t="s">
        <v>243</v>
      </c>
      <c r="B13" s="6" t="s">
        <v>244</v>
      </c>
      <c r="C13" s="6" t="s">
        <v>245</v>
      </c>
      <c r="D13" s="6" t="s">
        <v>246</v>
      </c>
      <c r="E13" s="6" t="s">
        <v>247</v>
      </c>
      <c r="F13" s="6" t="s">
        <v>248</v>
      </c>
    </row>
    <row r="14" customFormat="false" ht="15" hidden="false" customHeight="true" outlineLevel="0" collapsed="false">
      <c r="A14" s="15" t="n">
        <v>0.025</v>
      </c>
      <c r="B14" s="16" t="n">
        <f aca="false">(1+A14)/1.03-1</f>
        <v>-0.00485436893203894</v>
      </c>
      <c r="C14" s="14" t="n">
        <f aca="false">B14/$B$6</f>
        <v>-0.0963477198056569</v>
      </c>
      <c r="D14" s="11" t="n">
        <v>582787.013869718</v>
      </c>
      <c r="E14" s="11" t="n">
        <v>1917.83874034918</v>
      </c>
      <c r="F14" s="14" t="n">
        <f aca="false">E14/$E$15-1</f>
        <v>0.0328664093412301</v>
      </c>
    </row>
    <row r="15" customFormat="false" ht="15" hidden="false" customHeight="true" outlineLevel="0" collapsed="false">
      <c r="A15" s="15" t="n">
        <v>0.03</v>
      </c>
      <c r="B15" s="16" t="n">
        <f aca="false">(1+A15)/1.03-1</f>
        <v>0</v>
      </c>
      <c r="C15" s="14" t="n">
        <f aca="false">B15/$B$6</f>
        <v>0</v>
      </c>
      <c r="D15" s="11" t="n">
        <v>528835.311960595</v>
      </c>
      <c r="E15" s="11" t="n">
        <v>1856.81199718015</v>
      </c>
      <c r="F15" s="14" t="n">
        <f aca="false">E15/$E$15-1</f>
        <v>0</v>
      </c>
    </row>
    <row r="16" customFormat="false" ht="15" hidden="false" customHeight="true" outlineLevel="0" collapsed="false">
      <c r="A16" s="15" t="n">
        <v>0.035</v>
      </c>
      <c r="B16" s="16" t="n">
        <f aca="false">(1+A16)/1.03-1</f>
        <v>0.00485436893203883</v>
      </c>
      <c r="C16" s="14" t="n">
        <f aca="false">B16/$B$6</f>
        <v>0.0963477198056547</v>
      </c>
      <c r="D16" s="11" t="n">
        <v>474339.436361579</v>
      </c>
      <c r="E16" s="11" t="n">
        <v>1784.87985066846</v>
      </c>
      <c r="F16" s="14" t="n">
        <f aca="false">E16/$E$15-1</f>
        <v>-0.0387395959423624</v>
      </c>
    </row>
    <row r="17" customFormat="false" ht="15" hidden="false" customHeight="true" outlineLevel="0" collapsed="false">
      <c r="A17" s="15" t="n">
        <v>0.04</v>
      </c>
      <c r="B17" s="16" t="n">
        <f aca="false">(1+A17)/1.03-1</f>
        <v>0.00970873786407767</v>
      </c>
      <c r="C17" s="14" t="n">
        <f aca="false">B17/$B$6</f>
        <v>0.192695439611309</v>
      </c>
      <c r="D17" s="11" t="n">
        <v>419299.387072671</v>
      </c>
      <c r="E17" s="11" t="n">
        <v>1699.49188081559</v>
      </c>
      <c r="F17" s="14" t="n">
        <f aca="false">E17/$E$15-1</f>
        <v>-0.0847259262668888</v>
      </c>
    </row>
    <row r="18" customFormat="false" ht="15" hidden="false" customHeight="true" outlineLevel="0" collapsed="false">
      <c r="A18" s="5" t="s">
        <v>249</v>
      </c>
    </row>
    <row r="20" customFormat="false" ht="15" hidden="false" customHeight="true" outlineLevel="0" collapsed="false">
      <c r="A20" s="3" t="s">
        <v>250</v>
      </c>
    </row>
    <row r="21" customFormat="false" ht="15" hidden="false" customHeight="true" outlineLevel="0" collapsed="false">
      <c r="A21" s="4" t="s">
        <v>251</v>
      </c>
      <c r="B21" s="16" t="n">
        <f aca="false">B7</f>
        <v>0.0719794829282607</v>
      </c>
    </row>
    <row r="22" customFormat="false" ht="15" hidden="false" customHeight="true" outlineLevel="0" collapsed="false">
      <c r="A22" s="6" t="s">
        <v>244</v>
      </c>
      <c r="B22" s="6" t="s">
        <v>252</v>
      </c>
      <c r="C22" s="6" t="s">
        <v>253</v>
      </c>
      <c r="D22" s="6" t="s">
        <v>254</v>
      </c>
    </row>
    <row r="23" customFormat="false" ht="15" hidden="false" customHeight="true" outlineLevel="0" collapsed="false">
      <c r="A23" s="4" t="s">
        <v>255</v>
      </c>
      <c r="B23" s="16" t="n">
        <f aca="false">B6</f>
        <v>0.0503838486456213</v>
      </c>
      <c r="C23" s="16" t="n">
        <f aca="false">B7</f>
        <v>0.0719794829282607</v>
      </c>
      <c r="D23" s="17" t="n">
        <v>0.1</v>
      </c>
    </row>
    <row r="24" customFormat="false" ht="15" hidden="false" customHeight="true" outlineLevel="0" collapsed="false">
      <c r="A24" s="15" t="n">
        <v>0</v>
      </c>
      <c r="B24" s="19" t="n">
        <f aca="false">100*((1-$A24/B$23)/($B$21-$A24))/(1/$B$21)</f>
        <v>100</v>
      </c>
      <c r="C24" s="19" t="n">
        <f aca="false">100*((1-$A24/C$23)/($B$21-$A24))/(1/$B$21)</f>
        <v>100</v>
      </c>
      <c r="D24" s="19" t="n">
        <f aca="false">100*((1-$A24/D$23)/($B$21-$A24))/(1/$B$21)</f>
        <v>100</v>
      </c>
    </row>
    <row r="25" customFormat="false" ht="15" hidden="false" customHeight="true" outlineLevel="0" collapsed="false">
      <c r="A25" s="15" t="n">
        <v>0.005</v>
      </c>
      <c r="B25" s="19" t="n">
        <f aca="false">100*((1-$A25/B$23)/($B$21-$A25))/(1/$B$21)</f>
        <v>96.8003473141003</v>
      </c>
      <c r="C25" s="19" t="n">
        <f aca="false">100*((1-$A25/C$23)/($B$21-$A25))/(1/$B$21)</f>
        <v>100</v>
      </c>
      <c r="D25" s="19" t="n">
        <f aca="false">100*((1-$A25/D$23)/($B$21-$A25))/(1/$B$21)</f>
        <v>102.091723901613</v>
      </c>
    </row>
    <row r="26" customFormat="false" ht="15" hidden="false" customHeight="true" outlineLevel="0" collapsed="false">
      <c r="A26" s="15" t="n">
        <v>0.01</v>
      </c>
      <c r="B26" s="19" t="n">
        <f aca="false">100*((1-$A26/B$23)/($B$21-$A26))/(1/$B$21)</f>
        <v>93.0844507786669</v>
      </c>
      <c r="C26" s="19" t="n">
        <f aca="false">100*((1-$A26/C$23)/($B$21-$A26))/(1/$B$21)</f>
        <v>100</v>
      </c>
      <c r="D26" s="19" t="n">
        <f aca="false">100*((1-$A26/D$23)/($B$21-$A26))/(1/$B$21)</f>
        <v>104.520934307273</v>
      </c>
    </row>
    <row r="27" customFormat="false" ht="15" hidden="false" customHeight="true" outlineLevel="0" collapsed="false">
      <c r="A27" s="15" t="n">
        <v>0.015</v>
      </c>
      <c r="B27" s="19" t="n">
        <f aca="false">100*((1-$A27/B$23)/($B$21-$A27))/(1/$B$21)</f>
        <v>88.7164078311448</v>
      </c>
      <c r="C27" s="19" t="n">
        <f aca="false">100*((1-$A27/C$23)/($B$21-$A27))/(1/$B$21)</f>
        <v>100</v>
      </c>
      <c r="D27" s="19" t="n">
        <f aca="false">100*((1-$A27/D$23)/($B$21-$A27))/(1/$B$21)</f>
        <v>107.376475434241</v>
      </c>
    </row>
    <row r="29" customFormat="false" ht="15" hidden="false" customHeight="true" outlineLevel="0" collapsed="false">
      <c r="A29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257</v>
      </c>
    </row>
    <row r="2" customFormat="false" ht="15" hidden="false" customHeight="true" outlineLevel="0" collapsed="false">
      <c r="A2" s="5" t="s">
        <v>258</v>
      </c>
    </row>
    <row r="3" customFormat="false" ht="15" hidden="false" customHeight="true" outlineLevel="0" collapsed="false">
      <c r="A3" s="10" t="s">
        <v>259</v>
      </c>
    </row>
    <row r="4" customFormat="false" ht="15" hidden="false" customHeight="true" outlineLevel="0" collapsed="false">
      <c r="A4" s="6" t="s">
        <v>260</v>
      </c>
      <c r="B4" s="6" t="s">
        <v>261</v>
      </c>
      <c r="C4" s="6" t="s">
        <v>262</v>
      </c>
      <c r="D4" s="6" t="s">
        <v>263</v>
      </c>
    </row>
    <row r="5" customFormat="false" ht="15" hidden="false" customHeight="true" outlineLevel="0" collapsed="false">
      <c r="A5" s="4" t="s">
        <v>264</v>
      </c>
      <c r="B5" s="11" t="n">
        <v>109044.234</v>
      </c>
      <c r="C5" s="11" t="n">
        <v>111058.299</v>
      </c>
      <c r="D5" s="11" t="n">
        <v>122369.806</v>
      </c>
      <c r="E5" s="5" t="s">
        <v>265</v>
      </c>
    </row>
    <row r="6" customFormat="false" ht="15" hidden="false" customHeight="true" outlineLevel="0" collapsed="false">
      <c r="A6" s="4" t="s">
        <v>266</v>
      </c>
      <c r="B6" s="11" t="n">
        <v>45909.292</v>
      </c>
      <c r="C6" s="11" t="n">
        <v>19565.384</v>
      </c>
      <c r="D6" s="11" t="n">
        <v>13695.594</v>
      </c>
      <c r="E6" s="5" t="s">
        <v>265</v>
      </c>
    </row>
    <row r="7" customFormat="false" ht="15" hidden="false" customHeight="true" outlineLevel="0" collapsed="false">
      <c r="A7" s="4" t="s">
        <v>267</v>
      </c>
      <c r="B7" s="11" t="n">
        <v>56494.871</v>
      </c>
      <c r="C7" s="11" t="n">
        <v>24351.691</v>
      </c>
      <c r="D7" s="11" t="n">
        <v>11484.079</v>
      </c>
      <c r="E7" s="5" t="s">
        <v>265</v>
      </c>
    </row>
    <row r="8" customFormat="false" ht="15" hidden="false" customHeight="true" outlineLevel="0" collapsed="false">
      <c r="A8" s="4" t="s">
        <v>268</v>
      </c>
      <c r="B8" s="11" t="n">
        <v>34486.698</v>
      </c>
      <c r="C8" s="11" t="n">
        <v>2641.613</v>
      </c>
      <c r="D8" s="11" t="n">
        <v>2296.174</v>
      </c>
      <c r="E8" s="5" t="s">
        <v>265</v>
      </c>
    </row>
    <row r="9" customFormat="false" ht="15" hidden="false" customHeight="true" outlineLevel="0" collapsed="false">
      <c r="A9" s="4" t="s">
        <v>269</v>
      </c>
      <c r="B9" s="11" t="n">
        <v>10367.061</v>
      </c>
      <c r="C9" s="11" t="n">
        <v>23176.757</v>
      </c>
      <c r="D9" s="11" t="n">
        <v>20246.646</v>
      </c>
      <c r="E9" s="5" t="s">
        <v>265</v>
      </c>
    </row>
    <row r="10" customFormat="false" ht="15" hidden="false" customHeight="true" outlineLevel="0" collapsed="false">
      <c r="A10" s="4" t="s">
        <v>270</v>
      </c>
      <c r="B10" s="12" t="n">
        <f aca="false">B5+B6-B7-B8-B9</f>
        <v>53604.896</v>
      </c>
      <c r="C10" s="12" t="n">
        <f aca="false">C5+C6-C7-C8-C9</f>
        <v>80453.622</v>
      </c>
      <c r="D10" s="12" t="n">
        <f aca="false">D5+D6-D7-D8-D9</f>
        <v>102038.501</v>
      </c>
    </row>
    <row r="11" customFormat="false" ht="15" hidden="false" customHeight="true" outlineLevel="0" collapsed="false">
      <c r="A11" s="4" t="s">
        <v>271</v>
      </c>
      <c r="B11" s="11" t="n">
        <v>419904</v>
      </c>
      <c r="C11" s="11" t="n">
        <v>494605</v>
      </c>
      <c r="D11" s="11" t="n">
        <v>653911</v>
      </c>
      <c r="E11" s="5" t="s">
        <v>265</v>
      </c>
    </row>
    <row r="12" customFormat="false" ht="15" hidden="false" customHeight="true" outlineLevel="0" collapsed="false">
      <c r="A12" s="4" t="s">
        <v>272</v>
      </c>
      <c r="B12" s="14" t="n">
        <f aca="false">B10/B11</f>
        <v>0.127659884163999</v>
      </c>
      <c r="C12" s="14" t="n">
        <f aca="false">C10/C11</f>
        <v>0.162662370982906</v>
      </c>
      <c r="D12" s="14" t="n">
        <f aca="false">D10/D11</f>
        <v>0.156043408047884</v>
      </c>
    </row>
    <row r="14" customFormat="false" ht="15" hidden="false" customHeight="true" outlineLevel="0" collapsed="false">
      <c r="A14" s="6" t="s">
        <v>273</v>
      </c>
      <c r="B14" s="6" t="s">
        <v>274</v>
      </c>
      <c r="C14" s="6" t="s">
        <v>275</v>
      </c>
      <c r="D14" s="6" t="s">
        <v>247</v>
      </c>
      <c r="E14" s="6" t="s">
        <v>276</v>
      </c>
      <c r="F14" s="6" t="s">
        <v>248</v>
      </c>
    </row>
    <row r="15" customFormat="false" ht="15" hidden="false" customHeight="true" outlineLevel="0" collapsed="false">
      <c r="A15" s="4" t="s">
        <v>277</v>
      </c>
      <c r="B15" s="20" t="n">
        <v>0</v>
      </c>
      <c r="C15" s="14" t="n">
        <f aca="false">B15*$D$12</f>
        <v>0</v>
      </c>
      <c r="D15" s="11" t="n">
        <v>1888.8</v>
      </c>
      <c r="E15" s="12" t="n">
        <f aca="false">0.8*D15+0.2*2951.38547083101</f>
        <v>2101.3170941662</v>
      </c>
      <c r="F15" s="14" t="n">
        <f aca="false">E15/$E$17-1</f>
        <v>0.0123330872361886</v>
      </c>
    </row>
    <row r="16" customFormat="false" ht="15" hidden="false" customHeight="true" outlineLevel="0" collapsed="false">
      <c r="A16" s="4" t="s">
        <v>278</v>
      </c>
      <c r="B16" s="20" t="n">
        <v>0.5</v>
      </c>
      <c r="C16" s="14" t="n">
        <f aca="false">B16*$D$12</f>
        <v>0.0780217040239421</v>
      </c>
      <c r="D16" s="11" t="n">
        <v>1872.8</v>
      </c>
      <c r="E16" s="12" t="n">
        <f aca="false">0.8*D16+0.2*2951.38547083101</f>
        <v>2088.5170941662</v>
      </c>
      <c r="F16" s="14" t="n">
        <f aca="false">E16/$E$17-1</f>
        <v>0.00616654361809421</v>
      </c>
    </row>
    <row r="17" customFormat="false" ht="15" hidden="false" customHeight="true" outlineLevel="0" collapsed="false">
      <c r="A17" s="4" t="s">
        <v>279</v>
      </c>
      <c r="B17" s="20" t="n">
        <v>1</v>
      </c>
      <c r="C17" s="14" t="n">
        <f aca="false">B17*$D$12</f>
        <v>0.156043408047884</v>
      </c>
      <c r="D17" s="11" t="n">
        <v>1856.8</v>
      </c>
      <c r="E17" s="12" t="n">
        <f aca="false">0.8*D17+0.2*2951.38547083101</f>
        <v>2075.7170941662</v>
      </c>
      <c r="F17" s="14" t="n">
        <f aca="false">E17/$E$17-1</f>
        <v>0</v>
      </c>
    </row>
    <row r="18" customFormat="false" ht="15" hidden="false" customHeight="true" outlineLevel="0" collapsed="false">
      <c r="A18" s="4" t="s">
        <v>280</v>
      </c>
      <c r="B18" s="20" t="n">
        <v>1.5</v>
      </c>
      <c r="C18" s="14" t="n">
        <f aca="false">B18*$D$12</f>
        <v>0.234065112071826</v>
      </c>
      <c r="D18" s="11" t="n">
        <v>1840.8</v>
      </c>
      <c r="E18" s="12" t="n">
        <f aca="false">0.8*D18+0.2*2951.38547083101</f>
        <v>2062.9170941662</v>
      </c>
      <c r="F18" s="14" t="n">
        <f aca="false">E18/$E$17-1</f>
        <v>-0.00616654361809421</v>
      </c>
    </row>
    <row r="19" customFormat="false" ht="15" hidden="false" customHeight="true" outlineLevel="0" collapsed="false">
      <c r="A19" s="4" t="s">
        <v>281</v>
      </c>
      <c r="B19" s="20" t="n">
        <v>2</v>
      </c>
      <c r="C19" s="14" t="n">
        <f aca="false">B19*$D$12</f>
        <v>0.312086816095768</v>
      </c>
      <c r="D19" s="11" t="n">
        <v>1824.8</v>
      </c>
      <c r="E19" s="12" t="n">
        <f aca="false">0.8*D19+0.2*2951.38547083101</f>
        <v>2050.1170941662</v>
      </c>
      <c r="F19" s="14" t="n">
        <f aca="false">E19/$E$17-1</f>
        <v>-0.0123330872361888</v>
      </c>
    </row>
    <row r="21" customFormat="false" ht="15" hidden="false" customHeight="true" outlineLevel="0" collapsed="false">
      <c r="A21" s="5" t="s">
        <v>282</v>
      </c>
    </row>
    <row r="22" customFormat="false" ht="15" hidden="false" customHeight="true" outlineLevel="0" collapsed="false">
      <c r="A22" s="5" t="s">
        <v>283</v>
      </c>
    </row>
    <row r="23" customFormat="false" ht="15" hidden="false" customHeight="true" outlineLevel="0" collapsed="false">
      <c r="A23" s="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285</v>
      </c>
    </row>
    <row r="2" customFormat="false" ht="15" hidden="false" customHeight="true" outlineLevel="0" collapsed="false">
      <c r="A2" s="5" t="s">
        <v>286</v>
      </c>
    </row>
    <row r="3" customFormat="false" ht="15" hidden="false" customHeight="true" outlineLevel="0" collapsed="false">
      <c r="A3" s="10" t="s">
        <v>287</v>
      </c>
    </row>
    <row r="4" customFormat="false" ht="15" hidden="false" customHeight="true" outlineLevel="0" collapsed="false">
      <c r="A4" s="6" t="s">
        <v>288</v>
      </c>
      <c r="B4" s="6" t="s">
        <v>289</v>
      </c>
      <c r="C4" s="6"/>
      <c r="D4" s="6" t="s">
        <v>207</v>
      </c>
    </row>
    <row r="5" customFormat="false" ht="15" hidden="false" customHeight="true" outlineLevel="0" collapsed="false">
      <c r="A5" s="4" t="s">
        <v>290</v>
      </c>
      <c r="B5" s="15" t="n">
        <v>0.0595696699374472</v>
      </c>
      <c r="C5" s="14"/>
      <c r="D5" s="14" t="s">
        <v>291</v>
      </c>
    </row>
    <row r="6" customFormat="false" ht="15" hidden="false" customHeight="true" outlineLevel="0" collapsed="false">
      <c r="A6" s="4" t="s">
        <v>292</v>
      </c>
      <c r="B6" s="15" t="n">
        <v>0.0635409535170989</v>
      </c>
      <c r="C6" s="14"/>
      <c r="D6" s="14" t="s">
        <v>291</v>
      </c>
    </row>
    <row r="7" customFormat="false" ht="15" hidden="false" customHeight="true" outlineLevel="0" collapsed="false">
      <c r="A7" s="4" t="s">
        <v>293</v>
      </c>
      <c r="B7" s="15" t="n">
        <v>0.075</v>
      </c>
      <c r="C7" s="14"/>
      <c r="D7" s="14" t="s">
        <v>294</v>
      </c>
    </row>
    <row r="8" customFormat="false" ht="15" hidden="false" customHeight="true" outlineLevel="0" collapsed="false">
      <c r="A8" s="4" t="s">
        <v>295</v>
      </c>
      <c r="B8" s="15" t="n">
        <v>0.094</v>
      </c>
      <c r="C8" s="14"/>
      <c r="D8" s="14" t="s">
        <v>296</v>
      </c>
    </row>
    <row r="9" customFormat="false" ht="15" hidden="false" customHeight="true" outlineLevel="0" collapsed="false">
      <c r="A9" s="4" t="s">
        <v>297</v>
      </c>
      <c r="B9" s="15" t="n">
        <v>0.100857870301779</v>
      </c>
      <c r="C9" s="14"/>
      <c r="D9" s="14" t="s">
        <v>294</v>
      </c>
    </row>
    <row r="10" customFormat="false" ht="15" hidden="false" customHeight="true" outlineLevel="0" collapsed="false">
      <c r="A10" s="4" t="s">
        <v>298</v>
      </c>
      <c r="B10" s="15" t="n">
        <v>0.112715304010366</v>
      </c>
      <c r="C10" s="14"/>
      <c r="D10" s="14" t="s">
        <v>294</v>
      </c>
    </row>
    <row r="12" customFormat="false" ht="15" hidden="false" customHeight="true" outlineLevel="0" collapsed="false">
      <c r="A12" s="4" t="s">
        <v>299</v>
      </c>
      <c r="B12" s="18" t="n">
        <f aca="false">(B9-B5)*10000</f>
        <v>412.882003643318</v>
      </c>
    </row>
    <row r="14" customFormat="false" ht="15" hidden="false" customHeight="true" outlineLevel="0" collapsed="false">
      <c r="A14" s="5" t="s">
        <v>300</v>
      </c>
    </row>
    <row r="15" customFormat="false" ht="15" hidden="false" customHeight="true" outlineLevel="0" collapsed="false">
      <c r="A15" s="5" t="s">
        <v>301</v>
      </c>
    </row>
    <row r="16" customFormat="false" ht="15" hidden="false" customHeight="true" outlineLevel="0" collapsed="false">
      <c r="A16" s="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303</v>
      </c>
    </row>
    <row r="2" customFormat="false" ht="15" hidden="false" customHeight="true" outlineLevel="0" collapsed="false">
      <c r="A2" s="5" t="s">
        <v>304</v>
      </c>
    </row>
    <row r="3" customFormat="false" ht="15" hidden="false" customHeight="true" outlineLevel="0" collapsed="false">
      <c r="A3" s="10" t="s">
        <v>305</v>
      </c>
    </row>
    <row r="4" customFormat="false" ht="15" hidden="false" customHeight="true" outlineLevel="0" collapsed="false">
      <c r="A4" s="6" t="s">
        <v>306</v>
      </c>
      <c r="B4" s="6" t="s">
        <v>307</v>
      </c>
      <c r="C4" s="6" t="s">
        <v>247</v>
      </c>
      <c r="D4" s="6" t="s">
        <v>308</v>
      </c>
      <c r="E4" s="6" t="s">
        <v>309</v>
      </c>
    </row>
    <row r="5" customFormat="false" ht="15" hidden="false" customHeight="true" outlineLevel="0" collapsed="false">
      <c r="A5" s="21" t="n">
        <v>-0.04</v>
      </c>
      <c r="B5" s="16" t="n">
        <f aca="false">0.104138867416108+A5</f>
        <v>0.064138867416108</v>
      </c>
      <c r="C5" s="11" t="n">
        <v>5051</v>
      </c>
      <c r="D5" s="12" t="n">
        <f aca="false">0.8*C5+0.2*2951.38547083101</f>
        <v>4631.0770941662</v>
      </c>
      <c r="E5" s="11" t="n">
        <v>3555</v>
      </c>
    </row>
    <row r="6" customFormat="false" ht="15" hidden="false" customHeight="true" outlineLevel="0" collapsed="false">
      <c r="A6" s="21" t="n">
        <v>-0.035</v>
      </c>
      <c r="B6" s="16" t="n">
        <f aca="false">0.104138867416108+A6</f>
        <v>0.069138867416108</v>
      </c>
      <c r="C6" s="11" t="n">
        <v>4290</v>
      </c>
      <c r="D6" s="12" t="n">
        <f aca="false">0.8*C6+0.2*2951.38547083101</f>
        <v>4022.2770941662</v>
      </c>
      <c r="E6" s="11" t="n">
        <v>3555</v>
      </c>
    </row>
    <row r="7" customFormat="false" ht="15" hidden="false" customHeight="true" outlineLevel="0" collapsed="false">
      <c r="A7" s="21" t="n">
        <v>-0.03</v>
      </c>
      <c r="B7" s="16" t="n">
        <f aca="false">0.104138867416108+A7</f>
        <v>0.074138867416108</v>
      </c>
      <c r="C7" s="11" t="n">
        <v>3703</v>
      </c>
      <c r="D7" s="12" t="n">
        <f aca="false">0.8*C7+0.2*2951.38547083101</f>
        <v>3552.6770941662</v>
      </c>
      <c r="E7" s="11" t="n">
        <v>3555</v>
      </c>
    </row>
    <row r="8" customFormat="false" ht="15" hidden="false" customHeight="true" outlineLevel="0" collapsed="false">
      <c r="A8" s="21" t="n">
        <v>-0.025</v>
      </c>
      <c r="B8" s="16" t="n">
        <f aca="false">0.104138867416108+A8</f>
        <v>0.079138867416108</v>
      </c>
      <c r="C8" s="11" t="n">
        <v>3237</v>
      </c>
      <c r="D8" s="12" t="n">
        <f aca="false">0.8*C8+0.2*2951.38547083101</f>
        <v>3179.8770941662</v>
      </c>
      <c r="E8" s="11" t="n">
        <v>3555</v>
      </c>
    </row>
    <row r="9" customFormat="false" ht="15" hidden="false" customHeight="true" outlineLevel="0" collapsed="false">
      <c r="A9" s="21" t="n">
        <v>-0.02</v>
      </c>
      <c r="B9" s="16" t="n">
        <f aca="false">0.104138867416108+A9</f>
        <v>0.084138867416108</v>
      </c>
      <c r="C9" s="11" t="n">
        <v>2857</v>
      </c>
      <c r="D9" s="12" t="n">
        <f aca="false">0.8*C9+0.2*2951.38547083101</f>
        <v>2875.8770941662</v>
      </c>
      <c r="E9" s="11" t="n">
        <v>3555</v>
      </c>
    </row>
    <row r="10" customFormat="false" ht="15" hidden="false" customHeight="true" outlineLevel="0" collapsed="false">
      <c r="A10" s="21" t="n">
        <v>-0.015</v>
      </c>
      <c r="B10" s="16" t="n">
        <f aca="false">0.104138867416108+A10</f>
        <v>0.089138867416108</v>
      </c>
      <c r="C10" s="11" t="n">
        <v>2543</v>
      </c>
      <c r="D10" s="12" t="n">
        <f aca="false">0.8*C10+0.2*2951.38547083101</f>
        <v>2624.6770941662</v>
      </c>
      <c r="E10" s="11" t="n">
        <v>3555</v>
      </c>
    </row>
    <row r="11" customFormat="false" ht="15" hidden="false" customHeight="true" outlineLevel="0" collapsed="false">
      <c r="A11" s="21" t="n">
        <v>-0.01</v>
      </c>
      <c r="B11" s="16" t="n">
        <f aca="false">0.104138867416108+A11</f>
        <v>0.094138867416108</v>
      </c>
      <c r="C11" s="11" t="n">
        <v>2278</v>
      </c>
      <c r="D11" s="12" t="n">
        <f aca="false">0.8*C11+0.2*2951.38547083101</f>
        <v>2412.6770941662</v>
      </c>
      <c r="E11" s="11" t="n">
        <v>3555</v>
      </c>
    </row>
    <row r="12" customFormat="false" ht="15" hidden="false" customHeight="true" outlineLevel="0" collapsed="false">
      <c r="A12" s="21" t="n">
        <v>-0.005</v>
      </c>
      <c r="B12" s="16" t="n">
        <f aca="false">0.104138867416108+A12</f>
        <v>0.099138867416108</v>
      </c>
      <c r="C12" s="11" t="n">
        <v>2052</v>
      </c>
      <c r="D12" s="12" t="n">
        <f aca="false">0.8*C12+0.2*2951.38547083101</f>
        <v>2231.8770941662</v>
      </c>
      <c r="E12" s="11" t="n">
        <v>3555</v>
      </c>
    </row>
    <row r="13" customFormat="false" ht="15" hidden="false" customHeight="true" outlineLevel="0" collapsed="false">
      <c r="A13" s="21" t="n">
        <v>0</v>
      </c>
      <c r="B13" s="16" t="n">
        <f aca="false">0.104138867416108+A13</f>
        <v>0.104138867416108</v>
      </c>
      <c r="C13" s="11" t="n">
        <v>1857</v>
      </c>
      <c r="D13" s="12" t="n">
        <f aca="false">0.8*C13+0.2*2951.38547083101</f>
        <v>2075.8770941662</v>
      </c>
      <c r="E13" s="11" t="n">
        <v>3555</v>
      </c>
    </row>
    <row r="14" customFormat="false" ht="15" hidden="false" customHeight="true" outlineLevel="0" collapsed="false">
      <c r="A14" s="21" t="n">
        <v>0.005</v>
      </c>
      <c r="B14" s="16" t="n">
        <f aca="false">0.104138867416108+A14</f>
        <v>0.109138867416108</v>
      </c>
      <c r="C14" s="11" t="n">
        <v>1687</v>
      </c>
      <c r="D14" s="12" t="n">
        <f aca="false">0.8*C14+0.2*2951.38547083101</f>
        <v>1939.8770941662</v>
      </c>
      <c r="E14" s="11" t="n">
        <v>3555</v>
      </c>
    </row>
    <row r="15" customFormat="false" ht="15" hidden="false" customHeight="true" outlineLevel="0" collapsed="false">
      <c r="A15" s="21" t="n">
        <v>0.01</v>
      </c>
      <c r="B15" s="16" t="n">
        <f aca="false">0.104138867416108+A15</f>
        <v>0.114138867416108</v>
      </c>
      <c r="C15" s="11" t="n">
        <v>1538</v>
      </c>
      <c r="D15" s="12" t="n">
        <f aca="false">0.8*C15+0.2*2951.38547083101</f>
        <v>1820.6770941662</v>
      </c>
      <c r="E15" s="11" t="n">
        <v>3555</v>
      </c>
    </row>
    <row r="17" customFormat="false" ht="15" hidden="false" customHeight="true" outlineLevel="0" collapsed="false">
      <c r="A17" s="4" t="s">
        <v>310</v>
      </c>
      <c r="B17" s="17" t="n">
        <v>0.0756146197226035</v>
      </c>
      <c r="C17" s="5" t="s">
        <v>311</v>
      </c>
    </row>
    <row r="18" customFormat="false" ht="15" hidden="false" customHeight="true" outlineLevel="0" collapsed="false">
      <c r="A18" s="4" t="s">
        <v>312</v>
      </c>
      <c r="B18" s="18" t="n">
        <f aca="false">(B17-0.104138867416108)*10000</f>
        <v>-285.242476935045</v>
      </c>
    </row>
    <row r="19" customFormat="false" ht="15" hidden="false" customHeight="true" outlineLevel="0" collapsed="false">
      <c r="A19" s="4" t="s">
        <v>313</v>
      </c>
      <c r="B19" s="17" t="n">
        <v>0.0741153260304354</v>
      </c>
      <c r="C19" s="5" t="s">
        <v>314</v>
      </c>
    </row>
    <row r="21" customFormat="false" ht="15" hidden="false" customHeight="true" outlineLevel="0" collapsed="false">
      <c r="A21" s="5" t="s">
        <v>315</v>
      </c>
    </row>
    <row r="22" customFormat="false" ht="15" hidden="false" customHeight="true" outlineLevel="0" collapsed="false">
      <c r="A22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317</v>
      </c>
    </row>
    <row r="2" customFormat="false" ht="15" hidden="false" customHeight="true" outlineLevel="0" collapsed="false">
      <c r="A2" s="5" t="s">
        <v>318</v>
      </c>
    </row>
    <row r="3" customFormat="false" ht="15" hidden="false" customHeight="true" outlineLevel="0" collapsed="false">
      <c r="A3" s="10" t="s">
        <v>319</v>
      </c>
    </row>
    <row r="4" customFormat="false" ht="15" hidden="false" customHeight="true" outlineLevel="0" collapsed="false">
      <c r="A4" s="6" t="s">
        <v>320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325</v>
      </c>
    </row>
    <row r="5" customFormat="false" ht="15" hidden="false" customHeight="true" outlineLevel="0" collapsed="false">
      <c r="A5" s="4" t="s">
        <v>326</v>
      </c>
      <c r="B5" s="16"/>
      <c r="C5" s="16"/>
      <c r="D5" s="16"/>
      <c r="E5" s="17" t="n">
        <v>0.025</v>
      </c>
      <c r="F5" s="5" t="s">
        <v>327</v>
      </c>
    </row>
    <row r="6" customFormat="false" ht="15" hidden="false" customHeight="true" outlineLevel="0" collapsed="false">
      <c r="A6" s="4" t="s">
        <v>328</v>
      </c>
      <c r="B6" s="16"/>
      <c r="C6" s="16"/>
      <c r="D6" s="16"/>
      <c r="E6" s="22" t="n">
        <v>0.080777</v>
      </c>
      <c r="F6" s="5" t="s">
        <v>329</v>
      </c>
    </row>
    <row r="8" customFormat="false" ht="15" hidden="false" customHeight="true" outlineLevel="0" collapsed="false">
      <c r="A8" s="4" t="s">
        <v>330</v>
      </c>
      <c r="B8" s="4" t="s">
        <v>331</v>
      </c>
      <c r="C8" s="20" t="n">
        <v>16.7870663216714</v>
      </c>
      <c r="D8" s="14" t="n">
        <f aca="false">1/C8</f>
        <v>0.0595696699374471</v>
      </c>
      <c r="E8" s="16" t="n">
        <f aca="false">IF($E$5="","",$E$5)</f>
        <v>0.025</v>
      </c>
      <c r="F8" s="18" t="n">
        <f aca="false">IF(E8="","",(D8-E8)*10000)</f>
        <v>345.696699374471</v>
      </c>
    </row>
    <row r="9" customFormat="false" ht="15" hidden="false" customHeight="true" outlineLevel="0" collapsed="false">
      <c r="A9" s="4" t="s">
        <v>332</v>
      </c>
      <c r="B9" s="4" t="s">
        <v>331</v>
      </c>
      <c r="C9" s="20" t="n">
        <v>18.441862447395</v>
      </c>
      <c r="D9" s="14" t="n">
        <f aca="false">1/C9</f>
        <v>0.054224458232051</v>
      </c>
      <c r="E9" s="16" t="n">
        <f aca="false">IF($E$5="","",$E$5)</f>
        <v>0.025</v>
      </c>
      <c r="F9" s="18" t="n">
        <f aca="false">IF(E9="","",(D9-E9)*10000)</f>
        <v>292.24458232051</v>
      </c>
    </row>
    <row r="10" customFormat="false" ht="15" hidden="false" customHeight="true" outlineLevel="0" collapsed="false">
      <c r="A10" s="4" t="s">
        <v>333</v>
      </c>
      <c r="B10" s="4" t="s">
        <v>331</v>
      </c>
      <c r="C10" s="20" t="n">
        <v>13.0339006517817</v>
      </c>
      <c r="D10" s="14" t="n">
        <f aca="false">1/C10</f>
        <v>0.076723003091427</v>
      </c>
      <c r="E10" s="16" t="n">
        <f aca="false">IF($E$5="","",$E$5)</f>
        <v>0.025</v>
      </c>
      <c r="F10" s="18" t="n">
        <f aca="false">IF(E10="","",(D10-E10)*10000)</f>
        <v>517.23003091427</v>
      </c>
    </row>
    <row r="11" customFormat="false" ht="15" hidden="false" customHeight="true" outlineLevel="0" collapsed="false">
      <c r="A11" s="4" t="s">
        <v>334</v>
      </c>
      <c r="B11" s="4" t="s">
        <v>335</v>
      </c>
      <c r="C11" s="20" t="n">
        <v>9.0124422835631</v>
      </c>
      <c r="D11" s="14" t="n">
        <f aca="false">1/C11</f>
        <v>0.110957714738856</v>
      </c>
      <c r="E11" s="16" t="n">
        <f aca="false">IF($E$6="","",$E$6)</f>
        <v>0.080777</v>
      </c>
      <c r="F11" s="18" t="n">
        <f aca="false">IF(E11="","",(D11-E11)*10000)</f>
        <v>301.807147388562</v>
      </c>
    </row>
    <row r="12" customFormat="false" ht="15" hidden="false" customHeight="true" outlineLevel="0" collapsed="false">
      <c r="A12" s="4" t="s">
        <v>336</v>
      </c>
      <c r="B12" s="4" t="s">
        <v>335</v>
      </c>
      <c r="C12" s="20" t="n">
        <v>10.0170499078843</v>
      </c>
      <c r="D12" s="14" t="n">
        <f aca="false">1/C12</f>
        <v>0.0998297911257198</v>
      </c>
      <c r="E12" s="16" t="n">
        <f aca="false">IF($E$6="","",$E$6)</f>
        <v>0.080777</v>
      </c>
      <c r="F12" s="18" t="n">
        <f aca="false">IF(E12="","",(D12-E12)*10000)</f>
        <v>190.527911257198</v>
      </c>
    </row>
    <row r="13" customFormat="false" ht="15" hidden="false" customHeight="true" outlineLevel="0" collapsed="false">
      <c r="A13" s="4" t="s">
        <v>337</v>
      </c>
      <c r="B13" s="4" t="s">
        <v>335</v>
      </c>
      <c r="C13" s="20" t="n">
        <v>8.75410023334625</v>
      </c>
      <c r="D13" s="14" t="n">
        <f aca="false">1/C13</f>
        <v>0.114232185301099</v>
      </c>
      <c r="E13" s="16" t="n">
        <f aca="false">IF($E$6="","",$E$6)</f>
        <v>0.080777</v>
      </c>
      <c r="F13" s="18" t="n">
        <f aca="false">IF(E13="","",(D13-E13)*10000)</f>
        <v>334.551853010987</v>
      </c>
    </row>
    <row r="15" customFormat="false" ht="15" hidden="false" customHeight="true" outlineLevel="0" collapsed="false">
      <c r="A15" s="3" t="s">
        <v>338</v>
      </c>
      <c r="B15" s="3"/>
      <c r="C15" s="23" t="n">
        <f aca="false">MEDIAN(C9:C10)</f>
        <v>15.7378815495884</v>
      </c>
      <c r="D15" s="24" t="n">
        <f aca="false">1/C15</f>
        <v>0.0635409535170988</v>
      </c>
      <c r="E15" s="25" t="n">
        <f aca="false">$E$5</f>
        <v>0.025</v>
      </c>
      <c r="F15" s="26" t="n">
        <f aca="false">IF(E15="","",(D15-E15)*10000)</f>
        <v>385.409535170988</v>
      </c>
    </row>
    <row r="16" customFormat="false" ht="15" hidden="false" customHeight="true" outlineLevel="0" collapsed="false">
      <c r="A16" s="3" t="s">
        <v>339</v>
      </c>
      <c r="B16" s="3"/>
      <c r="C16" s="23" t="n">
        <f aca="false">MEDIAN(C11:C13)</f>
        <v>9.0124422835631</v>
      </c>
      <c r="D16" s="24" t="n">
        <f aca="false">1/C16</f>
        <v>0.110957714738856</v>
      </c>
      <c r="E16" s="25" t="n">
        <f aca="false">IF($E$6="","",$E$6)</f>
        <v>0.080777</v>
      </c>
      <c r="F16" s="26" t="n">
        <f aca="false">IF(E16="","",(D16-E16)*10000)</f>
        <v>301.807147388562</v>
      </c>
    </row>
    <row r="17" customFormat="false" ht="15" hidden="false" customHeight="true" outlineLevel="0" collapsed="false">
      <c r="A17" s="5" t="s">
        <v>340</v>
      </c>
    </row>
    <row r="19" customFormat="false" ht="15" hidden="false" customHeight="true" outlineLevel="0" collapsed="false">
      <c r="A19" s="6" t="s">
        <v>341</v>
      </c>
      <c r="B19" s="6" t="s">
        <v>331</v>
      </c>
      <c r="C19" s="6" t="s">
        <v>335</v>
      </c>
      <c r="D19" s="6" t="s">
        <v>207</v>
      </c>
    </row>
    <row r="20" customFormat="false" ht="15" hidden="false" customHeight="true" outlineLevel="0" collapsed="false">
      <c r="A20" s="4" t="s">
        <v>342</v>
      </c>
      <c r="B20" s="17" t="n">
        <v>0.045</v>
      </c>
      <c r="C20" s="17" t="n">
        <v>0.1425</v>
      </c>
      <c r="D20" s="5" t="s">
        <v>343</v>
      </c>
    </row>
    <row r="21" customFormat="false" ht="15" hidden="false" customHeight="true" outlineLevel="0" collapsed="false">
      <c r="A21" s="4" t="s">
        <v>344</v>
      </c>
      <c r="B21" s="17" t="n">
        <v>0.0543</v>
      </c>
      <c r="C21" s="22" t="n">
        <v>0.1434375</v>
      </c>
      <c r="D21" s="5" t="s">
        <v>345</v>
      </c>
    </row>
    <row r="22" customFormat="false" ht="15" hidden="false" customHeight="true" outlineLevel="0" collapsed="false">
      <c r="A22" s="4" t="s">
        <v>346</v>
      </c>
      <c r="B22" s="22" t="n">
        <v>0.041</v>
      </c>
      <c r="C22" s="22" t="n">
        <v>0.0533</v>
      </c>
      <c r="D22" s="5" t="s">
        <v>347</v>
      </c>
    </row>
    <row r="23" customFormat="false" ht="15" hidden="false" customHeight="true" outlineLevel="0" collapsed="false">
      <c r="A23" s="4" t="s">
        <v>348</v>
      </c>
      <c r="B23" s="22" t="n">
        <v>0.016</v>
      </c>
      <c r="C23" s="22" t="n">
        <v>0.0199</v>
      </c>
      <c r="D23" s="5" t="s">
        <v>349</v>
      </c>
    </row>
    <row r="25" customFormat="false" ht="15" hidden="false" customHeight="true" outlineLevel="0" collapsed="false">
      <c r="A25" s="6" t="s">
        <v>350</v>
      </c>
      <c r="B25" s="6" t="s">
        <v>351</v>
      </c>
      <c r="C25" s="6" t="s">
        <v>352</v>
      </c>
      <c r="D25" s="6" t="s">
        <v>276</v>
      </c>
      <c r="E25" s="6" t="s">
        <v>248</v>
      </c>
    </row>
    <row r="26" customFormat="false" ht="15" hidden="false" customHeight="true" outlineLevel="0" collapsed="false">
      <c r="A26" s="27" t="n">
        <v>1</v>
      </c>
      <c r="B26" s="28" t="n">
        <f aca="false">A26*15.7378815495883+(1-A26)*11.1490876866811</f>
        <v>15.7378815495883</v>
      </c>
      <c r="C26" s="12" t="n">
        <f aca="false">(B26*544935-1311568.558-50841.428)/2190</f>
        <v>3293.93264667804</v>
      </c>
      <c r="D26" s="12" t="n">
        <f aca="false">0.8*1856.81199718015+0.2*C26</f>
        <v>2144.23612707973</v>
      </c>
      <c r="E26" s="14" t="n">
        <f aca="false">D26/$D$27-1</f>
        <v>0.0330050364705556</v>
      </c>
    </row>
    <row r="27" customFormat="false" ht="15" hidden="false" customHeight="true" outlineLevel="0" collapsed="false">
      <c r="A27" s="27" t="n">
        <v>0.7</v>
      </c>
      <c r="B27" s="28" t="n">
        <f aca="false">A27*15.7378815495883+(1-A27)*11.1490876866811</f>
        <v>14.3612433907161</v>
      </c>
      <c r="C27" s="12" t="n">
        <f aca="false">(B27*544935-1311568.558-50841.428)/2190</f>
        <v>2951.385470831</v>
      </c>
      <c r="D27" s="12" t="n">
        <f aca="false">0.8*1856.81199718015+0.2*C27</f>
        <v>2075.72669191032</v>
      </c>
      <c r="E27" s="14" t="n">
        <f aca="false">D27/$D$27-1</f>
        <v>0</v>
      </c>
    </row>
    <row r="28" customFormat="false" ht="15" hidden="false" customHeight="true" outlineLevel="0" collapsed="false">
      <c r="A28" s="27" t="n">
        <v>0.5</v>
      </c>
      <c r="B28" s="28" t="n">
        <f aca="false">A28*15.7378815495883+(1-A28)*11.1490876866811</f>
        <v>13.4434846181347</v>
      </c>
      <c r="C28" s="12" t="n">
        <f aca="false">(B28*544935-1311568.558-50841.428)/2190</f>
        <v>2723.02068693298</v>
      </c>
      <c r="D28" s="12" t="n">
        <f aca="false">0.8*1856.81199718015+0.2*C28</f>
        <v>2030.05373513072</v>
      </c>
      <c r="E28" s="14" t="n">
        <f aca="false">D28/$D$27-1</f>
        <v>-0.0220033576470374</v>
      </c>
    </row>
    <row r="29" customFormat="false" ht="15" hidden="false" customHeight="true" outlineLevel="0" collapsed="false">
      <c r="A29" s="27" t="n">
        <v>0.3</v>
      </c>
      <c r="B29" s="28" t="n">
        <f aca="false">A29*15.7378815495883+(1-A29)*11.1490876866811</f>
        <v>12.5257258455533</v>
      </c>
      <c r="C29" s="12" t="n">
        <f aca="false">(B29*544935-1311568.558-50841.428)/2190</f>
        <v>2494.65590303496</v>
      </c>
      <c r="D29" s="12" t="n">
        <f aca="false">0.8*1856.81199718015+0.2*C29</f>
        <v>1984.38077835111</v>
      </c>
      <c r="E29" s="14" t="n">
        <f aca="false">D29/$D$27-1</f>
        <v>-0.0440067152940746</v>
      </c>
    </row>
    <row r="30" customFormat="false" ht="15" hidden="false" customHeight="true" outlineLevel="0" collapsed="false">
      <c r="A30" s="27" t="n">
        <v>0</v>
      </c>
      <c r="B30" s="28" t="n">
        <f aca="false">A30*15.7378815495883+(1-A30)*11.1490876866811</f>
        <v>11.1490876866811</v>
      </c>
      <c r="C30" s="12" t="n">
        <f aca="false">(B30*544935-1311568.558-50841.428)/2190</f>
        <v>2152.10872718793</v>
      </c>
      <c r="D30" s="12" t="n">
        <f aca="false">0.8*1856.81199718015+0.2*C30</f>
        <v>1915.87134318171</v>
      </c>
      <c r="E30" s="14" t="n">
        <f aca="false">D30/$D$27-1</f>
        <v>-0.0770117517646305</v>
      </c>
    </row>
    <row r="32" customFormat="false" ht="15" hidden="false" customHeight="true" outlineLevel="0" collapsed="false">
      <c r="A32" s="5" t="s">
        <v>353</v>
      </c>
    </row>
    <row r="33" customFormat="false" ht="15" hidden="false" customHeight="true" outlineLevel="0" collapsed="false">
      <c r="A33" s="5" t="s">
        <v>354</v>
      </c>
    </row>
    <row r="34" customFormat="false" ht="15" hidden="false" customHeight="true" outlineLevel="0" collapsed="false">
      <c r="A34" s="5" t="s">
        <v>355</v>
      </c>
    </row>
    <row r="35" customFormat="false" ht="15" hidden="false" customHeight="true" outlineLevel="0" collapsed="false">
      <c r="A35" s="5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357</v>
      </c>
    </row>
    <row r="3" customFormat="false" ht="15" hidden="false" customHeight="true" outlineLevel="0" collapsed="false">
      <c r="A3" s="10" t="s">
        <v>358</v>
      </c>
    </row>
    <row r="5" customFormat="false" ht="15" hidden="false" customHeight="true" outlineLevel="0" collapsed="false">
      <c r="A5" s="4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360</v>
      </c>
    </row>
    <row r="2" customFormat="false" ht="15" hidden="false" customHeight="true" outlineLevel="0" collapsed="false">
      <c r="A2" s="5" t="s">
        <v>361</v>
      </c>
    </row>
    <row r="3" customFormat="false" ht="15" hidden="false" customHeight="true" outlineLevel="0" collapsed="false">
      <c r="A3" s="10" t="s">
        <v>362</v>
      </c>
    </row>
    <row r="4" customFormat="false" ht="15" hidden="false" customHeight="true" outlineLevel="0" collapsed="false">
      <c r="A4" s="3" t="s">
        <v>363</v>
      </c>
    </row>
    <row r="5" customFormat="false" ht="15" hidden="false" customHeight="true" outlineLevel="0" collapsed="false">
      <c r="A5" s="4" t="s">
        <v>364</v>
      </c>
      <c r="B5" s="17" t="n">
        <v>0.049778</v>
      </c>
      <c r="C5" s="5" t="s">
        <v>365</v>
      </c>
    </row>
    <row r="6" customFormat="false" ht="15" hidden="false" customHeight="true" outlineLevel="0" collapsed="false">
      <c r="A6" s="4" t="s">
        <v>366</v>
      </c>
      <c r="B6" s="17" t="n">
        <v>0.0414</v>
      </c>
      <c r="C6" s="5" t="s">
        <v>367</v>
      </c>
    </row>
    <row r="7" customFormat="false" ht="15" hidden="false" customHeight="true" outlineLevel="0" collapsed="false">
      <c r="A7" s="4" t="s">
        <v>368</v>
      </c>
      <c r="B7" s="17" t="n">
        <v>0.0104</v>
      </c>
      <c r="C7" s="5" t="s">
        <v>369</v>
      </c>
    </row>
    <row r="8" customFormat="false" ht="15" hidden="false" customHeight="true" outlineLevel="0" collapsed="false">
      <c r="A8" s="4" t="s">
        <v>370</v>
      </c>
      <c r="B8" s="17" t="n">
        <v>0.0155</v>
      </c>
      <c r="C8" s="5" t="s">
        <v>369</v>
      </c>
    </row>
    <row r="9" customFormat="false" ht="15" hidden="false" customHeight="true" outlineLevel="0" collapsed="false">
      <c r="A9" s="4" t="s">
        <v>371</v>
      </c>
      <c r="B9" s="17" t="n">
        <v>0.037</v>
      </c>
      <c r="C9" s="5" t="s">
        <v>369</v>
      </c>
    </row>
    <row r="10" customFormat="false" ht="15" hidden="false" customHeight="true" outlineLevel="0" collapsed="false">
      <c r="A10" s="4" t="s">
        <v>372</v>
      </c>
      <c r="B10" s="17" t="n">
        <v>0.03</v>
      </c>
      <c r="C10" s="5" t="s">
        <v>203</v>
      </c>
    </row>
    <row r="11" customFormat="false" ht="15" hidden="false" customHeight="true" outlineLevel="0" collapsed="false">
      <c r="A11" s="4" t="s">
        <v>373</v>
      </c>
      <c r="B11" s="17" t="n">
        <v>0.022431</v>
      </c>
      <c r="C11" s="5" t="s">
        <v>374</v>
      </c>
    </row>
    <row r="12" customFormat="false" ht="15" hidden="false" customHeight="true" outlineLevel="0" collapsed="false">
      <c r="A12" s="4" t="s">
        <v>375</v>
      </c>
      <c r="B12" s="15" t="n">
        <v>0.27</v>
      </c>
      <c r="C12" s="5" t="s">
        <v>376</v>
      </c>
    </row>
    <row r="13" customFormat="false" ht="15" hidden="false" customHeight="true" outlineLevel="0" collapsed="false">
      <c r="A13" s="4" t="s">
        <v>377</v>
      </c>
      <c r="B13" s="17" t="n">
        <v>0.036</v>
      </c>
      <c r="C13" s="5" t="s">
        <v>203</v>
      </c>
    </row>
    <row r="14" customFormat="false" ht="15" hidden="false" customHeight="true" outlineLevel="0" collapsed="false">
      <c r="A14" s="4" t="s">
        <v>378</v>
      </c>
      <c r="B14" s="17" t="n">
        <v>0.0025</v>
      </c>
      <c r="C14" s="5" t="s">
        <v>379</v>
      </c>
    </row>
    <row r="15" customFormat="false" ht="15" hidden="false" customHeight="true" outlineLevel="0" collapsed="false">
      <c r="A15" s="4" t="s">
        <v>380</v>
      </c>
      <c r="B15" s="29" t="n">
        <v>2.3594373640893</v>
      </c>
      <c r="C15" s="5" t="s">
        <v>381</v>
      </c>
    </row>
    <row r="16" customFormat="false" ht="15" hidden="false" customHeight="true" outlineLevel="0" collapsed="false">
      <c r="A16" s="4" t="s">
        <v>382</v>
      </c>
      <c r="B16" s="29" t="n">
        <v>3.5</v>
      </c>
      <c r="C16" s="5" t="s">
        <v>381</v>
      </c>
    </row>
    <row r="17" customFormat="false" ht="15" hidden="false" customHeight="true" outlineLevel="0" collapsed="false">
      <c r="A17" s="4" t="s">
        <v>383</v>
      </c>
      <c r="B17" s="30" t="n">
        <v>5.5</v>
      </c>
      <c r="C17" s="5" t="s">
        <v>381</v>
      </c>
    </row>
    <row r="18" customFormat="false" ht="15" hidden="false" customHeight="true" outlineLevel="0" collapsed="false">
      <c r="A18" s="4" t="s">
        <v>384</v>
      </c>
      <c r="B18" s="11" t="n">
        <v>1579315.2</v>
      </c>
      <c r="C18" s="5" t="s">
        <v>385</v>
      </c>
    </row>
    <row r="19" customFormat="false" ht="15" hidden="false" customHeight="true" outlineLevel="0" collapsed="false">
      <c r="A19" s="4" t="s">
        <v>386</v>
      </c>
      <c r="B19" s="11" t="n">
        <v>7905900</v>
      </c>
      <c r="C19" s="5" t="s">
        <v>387</v>
      </c>
    </row>
    <row r="20" customFormat="false" ht="15" hidden="false" customHeight="true" outlineLevel="0" collapsed="false">
      <c r="A20" s="4" t="s">
        <v>388</v>
      </c>
      <c r="B20" s="11" t="n">
        <v>544935</v>
      </c>
      <c r="C20" s="5" t="s">
        <v>389</v>
      </c>
    </row>
    <row r="21" customFormat="false" ht="15" hidden="false" customHeight="true" outlineLevel="0" collapsed="false">
      <c r="A21" s="4" t="s">
        <v>390</v>
      </c>
      <c r="B21" s="11" t="n">
        <v>347621</v>
      </c>
      <c r="C21" s="5" t="s">
        <v>389</v>
      </c>
    </row>
    <row r="22" customFormat="false" ht="15" hidden="false" customHeight="true" outlineLevel="0" collapsed="false">
      <c r="A22" s="4" t="s">
        <v>391</v>
      </c>
      <c r="B22" s="11" t="n">
        <v>677333</v>
      </c>
      <c r="C22" s="5" t="s">
        <v>392</v>
      </c>
    </row>
    <row r="23" customFormat="false" ht="15" hidden="false" customHeight="true" outlineLevel="0" collapsed="false">
      <c r="A23" s="4" t="s">
        <v>393</v>
      </c>
      <c r="B23" s="11" t="n">
        <v>486084</v>
      </c>
      <c r="C23" s="5" t="s">
        <v>392</v>
      </c>
    </row>
    <row r="24" customFormat="false" ht="15" hidden="false" customHeight="true" outlineLevel="0" collapsed="false">
      <c r="A24" s="4" t="s">
        <v>394</v>
      </c>
      <c r="B24" s="11" t="n">
        <v>463174</v>
      </c>
      <c r="C24" s="5" t="s">
        <v>392</v>
      </c>
    </row>
    <row r="25" customFormat="false" ht="15" hidden="false" customHeight="true" outlineLevel="0" collapsed="false">
      <c r="A25" s="4" t="s">
        <v>395</v>
      </c>
      <c r="B25" s="11" t="n">
        <v>275461</v>
      </c>
      <c r="C25" s="5" t="s">
        <v>392</v>
      </c>
    </row>
    <row r="26" customFormat="false" ht="15" hidden="false" customHeight="true" outlineLevel="0" collapsed="false">
      <c r="A26" s="4" t="s">
        <v>396</v>
      </c>
      <c r="B26" s="31" t="n">
        <v>922.21</v>
      </c>
      <c r="C26" s="5" t="s">
        <v>392</v>
      </c>
    </row>
    <row r="27" customFormat="false" ht="15" hidden="false" customHeight="true" outlineLevel="0" collapsed="false">
      <c r="A27" s="4" t="s">
        <v>397</v>
      </c>
      <c r="B27" s="31" t="n">
        <v>3.41</v>
      </c>
      <c r="C27" s="5" t="s">
        <v>392</v>
      </c>
    </row>
    <row r="28" customFormat="false" ht="15" hidden="false" customHeight="true" outlineLevel="0" collapsed="false">
      <c r="A28" s="4" t="s">
        <v>398</v>
      </c>
      <c r="B28" s="31" t="n">
        <v>3416.45</v>
      </c>
      <c r="C28" s="5" t="s">
        <v>392</v>
      </c>
    </row>
    <row r="30" customFormat="false" ht="15" hidden="false" customHeight="true" outlineLevel="0" collapsed="false">
      <c r="A30" s="3" t="s">
        <v>399</v>
      </c>
    </row>
    <row r="31" customFormat="false" ht="15" hidden="false" customHeight="true" outlineLevel="0" collapsed="false">
      <c r="A31" s="6" t="s">
        <v>320</v>
      </c>
      <c r="B31" s="6" t="s">
        <v>400</v>
      </c>
      <c r="C31" s="6" t="s">
        <v>401</v>
      </c>
      <c r="D31" s="6" t="s">
        <v>402</v>
      </c>
      <c r="E31" s="6" t="s">
        <v>403</v>
      </c>
      <c r="F31" s="6" t="s">
        <v>404</v>
      </c>
      <c r="G31" s="6" t="s">
        <v>405</v>
      </c>
      <c r="H31" s="6" t="s">
        <v>406</v>
      </c>
    </row>
    <row r="32" customFormat="false" ht="15" hidden="false" customHeight="true" outlineLevel="0" collapsed="false">
      <c r="A32" s="4" t="s">
        <v>332</v>
      </c>
      <c r="B32" s="32" t="n">
        <v>1.25</v>
      </c>
      <c r="C32" s="11" t="n">
        <v>1700506.9</v>
      </c>
      <c r="D32" s="11" t="n">
        <v>3828031</v>
      </c>
      <c r="E32" s="15" t="n">
        <v>0.27</v>
      </c>
      <c r="F32" s="33" t="n">
        <f aca="false">B32/(1+(1-E32)*C32/D32)</f>
        <v>0.943906137051591</v>
      </c>
      <c r="G32" s="34" t="n">
        <v>1</v>
      </c>
      <c r="H32" s="33" t="n">
        <f aca="false">IF(G32=1,F32,"")</f>
        <v>0.943906137051591</v>
      </c>
    </row>
    <row r="33" customFormat="false" ht="15" hidden="false" customHeight="true" outlineLevel="0" collapsed="false">
      <c r="A33" s="4" t="s">
        <v>333</v>
      </c>
      <c r="B33" s="32" t="n">
        <v>1.075</v>
      </c>
      <c r="C33" s="11" t="n">
        <v>762153.7</v>
      </c>
      <c r="D33" s="11" t="n">
        <v>3942858</v>
      </c>
      <c r="E33" s="15" t="n">
        <v>0.27</v>
      </c>
      <c r="F33" s="33" t="n">
        <f aca="false">B33/(1+(1-E33)*C33/D33)</f>
        <v>0.942066122568686</v>
      </c>
      <c r="G33" s="34" t="n">
        <v>1</v>
      </c>
      <c r="H33" s="33" t="n">
        <f aca="false">IF(G33=1,F33,"")</f>
        <v>0.942066122568686</v>
      </c>
    </row>
    <row r="34" customFormat="false" ht="15" hidden="false" customHeight="true" outlineLevel="0" collapsed="false">
      <c r="A34" s="4" t="s">
        <v>336</v>
      </c>
      <c r="B34" s="32" t="n">
        <v>1.164</v>
      </c>
      <c r="C34" s="11" t="n">
        <v>960191</v>
      </c>
      <c r="D34" s="11" t="n">
        <v>2712166.2</v>
      </c>
      <c r="E34" s="15" t="n">
        <v>0.34</v>
      </c>
      <c r="F34" s="33" t="n">
        <f aca="false">B34/(1+(1-E34)*C34/D34)</f>
        <v>0.943533506604902</v>
      </c>
      <c r="G34" s="34" t="n">
        <v>1</v>
      </c>
      <c r="H34" s="33" t="n">
        <f aca="false">IF(G34=1,F34,"")</f>
        <v>0.943533506604902</v>
      </c>
    </row>
    <row r="35" customFormat="false" ht="15" hidden="false" customHeight="true" outlineLevel="0" collapsed="false">
      <c r="A35" s="4" t="s">
        <v>337</v>
      </c>
      <c r="B35" s="32" t="n">
        <v>0.908</v>
      </c>
      <c r="C35" s="11" t="n">
        <v>647396.6</v>
      </c>
      <c r="D35" s="11" t="n">
        <v>1421560.1</v>
      </c>
      <c r="E35" s="15" t="n">
        <v>0.34</v>
      </c>
      <c r="F35" s="33" t="n">
        <f aca="false">B35/(1+(1-E35)*C35/D35)</f>
        <v>0.698154126385161</v>
      </c>
      <c r="G35" s="34" t="n">
        <v>1</v>
      </c>
      <c r="H35" s="33" t="n">
        <f aca="false">IF(G35=1,F35,"")</f>
        <v>0.698154126385161</v>
      </c>
    </row>
    <row r="36" customFormat="false" ht="15" hidden="false" customHeight="true" outlineLevel="0" collapsed="false">
      <c r="A36" s="4" t="s">
        <v>407</v>
      </c>
      <c r="B36" s="32" t="n">
        <v>0.025</v>
      </c>
      <c r="C36" s="11" t="n">
        <v>203967.5</v>
      </c>
      <c r="D36" s="11" t="n">
        <v>489349.7</v>
      </c>
      <c r="E36" s="15" t="n">
        <v>0.3</v>
      </c>
      <c r="F36" s="33" t="n">
        <f aca="false">B36/(1+(1-E36)*C36/D36)</f>
        <v>0.0193532999977299</v>
      </c>
      <c r="G36" s="34" t="n">
        <v>0</v>
      </c>
      <c r="H36" s="33" t="str">
        <f aca="false">IF(G36=1,F36,"")</f>
        <v/>
      </c>
    </row>
    <row r="37" customFormat="false" ht="15" hidden="false" customHeight="true" outlineLevel="0" collapsed="false">
      <c r="A37" s="4" t="s">
        <v>408</v>
      </c>
      <c r="B37" s="32" t="n">
        <v>0.427</v>
      </c>
      <c r="C37" s="11" t="n">
        <v>625046.5</v>
      </c>
      <c r="D37" s="11" t="n">
        <v>1218777.1</v>
      </c>
      <c r="E37" s="15" t="n">
        <v>0.35</v>
      </c>
      <c r="F37" s="33" t="n">
        <f aca="false">B37/(1+(1-E37)*C37/D37)</f>
        <v>0.320245823758863</v>
      </c>
      <c r="G37" s="34" t="n">
        <v>1</v>
      </c>
      <c r="H37" s="33" t="n">
        <f aca="false">IF(G37=1,F37,"")</f>
        <v>0.320245823758863</v>
      </c>
    </row>
    <row r="38" customFormat="false" ht="15" hidden="false" customHeight="true" outlineLevel="0" collapsed="false">
      <c r="A38" s="4" t="s">
        <v>334</v>
      </c>
      <c r="B38" s="32" t="n">
        <v>1.219</v>
      </c>
      <c r="C38" s="11" t="n">
        <v>191478.3</v>
      </c>
      <c r="D38" s="11" t="n">
        <v>2959844.9</v>
      </c>
      <c r="E38" s="15" t="n">
        <v>0.34</v>
      </c>
      <c r="F38" s="33" t="n">
        <f aca="false">B38/(1+(1-E38)*C38/D38)</f>
        <v>1.16908394650073</v>
      </c>
      <c r="G38" s="34" t="n">
        <v>1</v>
      </c>
      <c r="H38" s="33" t="n">
        <f aca="false">IF(G38=1,F38,"")</f>
        <v>1.16908394650073</v>
      </c>
    </row>
    <row r="39" customFormat="false" ht="15" hidden="false" customHeight="true" outlineLevel="0" collapsed="false">
      <c r="A39" s="5" t="s">
        <v>409</v>
      </c>
    </row>
    <row r="40" customFormat="false" ht="15" hidden="false" customHeight="true" outlineLevel="0" collapsed="false">
      <c r="A40" s="3" t="s">
        <v>410</v>
      </c>
      <c r="B40" s="33" t="n">
        <f aca="false">MEDIAN(H32:H38)</f>
        <v>0.942799814586794</v>
      </c>
    </row>
    <row r="42" customFormat="false" ht="15" hidden="false" customHeight="true" outlineLevel="0" collapsed="false">
      <c r="A42" s="3" t="s">
        <v>411</v>
      </c>
    </row>
    <row r="43" customFormat="false" ht="15" hidden="false" customHeight="true" outlineLevel="0" collapsed="false">
      <c r="A43" s="4" t="s">
        <v>412</v>
      </c>
      <c r="B43" s="12" t="n">
        <f aca="false">B24/1000*B26/B27</f>
        <v>125262.080510264</v>
      </c>
    </row>
    <row r="44" customFormat="false" ht="15" hidden="false" customHeight="true" outlineLevel="0" collapsed="false">
      <c r="A44" s="4" t="s">
        <v>413</v>
      </c>
      <c r="B44" s="12" t="n">
        <f aca="false">B25*B26/B28</f>
        <v>74355.8046539537</v>
      </c>
    </row>
    <row r="45" customFormat="false" ht="15" hidden="false" customHeight="true" outlineLevel="0" collapsed="false">
      <c r="A45" s="4" t="s">
        <v>414</v>
      </c>
      <c r="B45" s="14" t="n">
        <f aca="false">B23/B22</f>
        <v>0.717644053958688</v>
      </c>
    </row>
    <row r="46" customFormat="false" ht="15" hidden="false" customHeight="true" outlineLevel="0" collapsed="false">
      <c r="A46" s="4" t="s">
        <v>415</v>
      </c>
      <c r="B46" s="14" t="n">
        <f aca="false">(1-B45)*B43/(B43+B44)</f>
        <v>0.17718098364023</v>
      </c>
    </row>
    <row r="47" customFormat="false" ht="15" hidden="false" customHeight="true" outlineLevel="0" collapsed="false">
      <c r="A47" s="4" t="s">
        <v>416</v>
      </c>
      <c r="B47" s="14" t="n">
        <f aca="false">(1-B45)*B44/(B43+B44)</f>
        <v>0.105174962401082</v>
      </c>
    </row>
    <row r="48" customFormat="false" ht="15" hidden="false" customHeight="true" outlineLevel="0" collapsed="false">
      <c r="A48" s="3" t="s">
        <v>417</v>
      </c>
      <c r="B48" s="16" t="n">
        <f aca="false">B45*B7+B46*B8+B47*B9</f>
        <v>0.014101277016434</v>
      </c>
    </row>
    <row r="49" customFormat="false" ht="15" hidden="false" customHeight="true" outlineLevel="0" collapsed="false">
      <c r="A49" s="5" t="s">
        <v>418</v>
      </c>
    </row>
    <row r="50" customFormat="false" ht="15" hidden="false" customHeight="true" outlineLevel="0" collapsed="false">
      <c r="A50" s="3" t="s">
        <v>419</v>
      </c>
    </row>
    <row r="51" customFormat="false" ht="15" hidden="false" customHeight="true" outlineLevel="0" collapsed="false">
      <c r="A51" s="6" t="s">
        <v>420</v>
      </c>
      <c r="B51" s="6" t="s">
        <v>421</v>
      </c>
      <c r="C51" s="6" t="s">
        <v>422</v>
      </c>
      <c r="D51" s="6" t="s">
        <v>423</v>
      </c>
      <c r="E51" s="6" t="s">
        <v>424</v>
      </c>
      <c r="F51" s="6" t="s">
        <v>425</v>
      </c>
      <c r="G51" s="6" t="s">
        <v>426</v>
      </c>
      <c r="H51" s="6" t="s">
        <v>427</v>
      </c>
    </row>
    <row r="52" customFormat="false" ht="15" hidden="false" customHeight="true" outlineLevel="0" collapsed="false">
      <c r="A52" s="4" t="s">
        <v>428</v>
      </c>
      <c r="B52" s="30" t="n">
        <v>0.5</v>
      </c>
      <c r="C52" s="30" t="n">
        <v>1.5</v>
      </c>
      <c r="D52" s="30" t="n">
        <v>2.5</v>
      </c>
      <c r="E52" s="30" t="n">
        <v>3.5</v>
      </c>
      <c r="F52" s="30" t="n">
        <v>4.5</v>
      </c>
      <c r="G52" s="30" t="n">
        <v>5.5</v>
      </c>
      <c r="H52" s="19" t="n">
        <f aca="false">G52</f>
        <v>5.5</v>
      </c>
    </row>
    <row r="53" customFormat="false" ht="15" hidden="false" customHeight="true" outlineLevel="0" collapsed="false">
      <c r="A53" s="4" t="s">
        <v>429</v>
      </c>
      <c r="B53" s="35" t="n">
        <f aca="false">$B$15+($B$16-$B$15)*MIN(B52/$B$17,1)</f>
        <v>2.46312487644482</v>
      </c>
      <c r="C53" s="35" t="n">
        <f aca="false">$B$15+($B$16-$B$15)*MIN(C52/$B$17,1)</f>
        <v>2.67049990115585</v>
      </c>
      <c r="D53" s="35" t="n">
        <f aca="false">$B$15+($B$16-$B$15)*MIN(D52/$B$17,1)</f>
        <v>2.87787492586689</v>
      </c>
      <c r="E53" s="35" t="n">
        <f aca="false">$B$15+($B$16-$B$15)*MIN(E52/$B$17,1)</f>
        <v>3.08524995057793</v>
      </c>
      <c r="F53" s="35" t="n">
        <f aca="false">$B$15+($B$16-$B$15)*MIN(F52/$B$17,1)</f>
        <v>3.29262497528896</v>
      </c>
      <c r="G53" s="35" t="n">
        <f aca="false">$B$15+($B$16-$B$15)*MIN(G52/$B$17,1)</f>
        <v>3.5</v>
      </c>
      <c r="H53" s="35" t="n">
        <f aca="false">$B$15+($B$16-$B$15)*MIN(H52/$B$17,1)</f>
        <v>3.5</v>
      </c>
    </row>
    <row r="54" customFormat="false" ht="15" hidden="false" customHeight="true" outlineLevel="0" collapsed="false">
      <c r="A54" s="4" t="s">
        <v>430</v>
      </c>
      <c r="B54" s="16" t="n">
        <f aca="false">$B$18/$B$19</f>
        <v>0.199764125526506</v>
      </c>
      <c r="C54" s="16" t="n">
        <f aca="false">$B$18/$B$19</f>
        <v>0.199764125526506</v>
      </c>
      <c r="D54" s="16" t="n">
        <f aca="false">$B$18/$B$19</f>
        <v>0.199764125526506</v>
      </c>
      <c r="E54" s="16" t="n">
        <f aca="false">$B$18/$B$19</f>
        <v>0.199764125526506</v>
      </c>
      <c r="F54" s="16" t="n">
        <f aca="false">$B$18/$B$19</f>
        <v>0.199764125526506</v>
      </c>
      <c r="G54" s="16" t="n">
        <f aca="false">$B$18/$B$19</f>
        <v>0.199764125526506</v>
      </c>
      <c r="H54" s="16" t="n">
        <f aca="false">$B$18/$B$19</f>
        <v>0.199764125526506</v>
      </c>
    </row>
    <row r="55" customFormat="false" ht="15" hidden="false" customHeight="true" outlineLevel="0" collapsed="false">
      <c r="A55" s="4" t="s">
        <v>431</v>
      </c>
      <c r="B55" s="16" t="n">
        <f aca="false">($B$16*$B$20+$B$21)/$B$19</f>
        <v>0.285216547135683</v>
      </c>
      <c r="C55" s="16" t="n">
        <f aca="false">($B$16*$B$20+$B$21)/$B$19</f>
        <v>0.285216547135683</v>
      </c>
      <c r="D55" s="16" t="n">
        <f aca="false">($B$16*$B$20+$B$21)/$B$19</f>
        <v>0.285216547135683</v>
      </c>
      <c r="E55" s="16" t="n">
        <f aca="false">($B$16*$B$20+$B$21)/$B$19</f>
        <v>0.285216547135683</v>
      </c>
      <c r="F55" s="16" t="n">
        <f aca="false">($B$16*$B$20+$B$21)/$B$19</f>
        <v>0.285216547135683</v>
      </c>
      <c r="G55" s="16" t="n">
        <f aca="false">($B$16*$B$20+$B$21)/$B$19</f>
        <v>0.285216547135683</v>
      </c>
      <c r="H55" s="16" t="n">
        <f aca="false">($B$16*$B$20+$B$21)/$B$19</f>
        <v>0.285216547135683</v>
      </c>
    </row>
    <row r="56" customFormat="false" ht="15" hidden="false" customHeight="true" outlineLevel="0" collapsed="false">
      <c r="A56" s="4" t="s">
        <v>432</v>
      </c>
      <c r="B56" s="16" t="n">
        <f aca="false">B54+(B55-B54)*MIN(B52/$B$17,1)</f>
        <v>0.207532527490976</v>
      </c>
      <c r="C56" s="16" t="n">
        <f aca="false">C54+(C55-C54)*MIN(C52/$B$17,1)</f>
        <v>0.223069331419918</v>
      </c>
      <c r="D56" s="16" t="n">
        <f aca="false">D54+(D55-D54)*MIN(D52/$B$17,1)</f>
        <v>0.238606135348859</v>
      </c>
      <c r="E56" s="16" t="n">
        <f aca="false">E54+(E55-E54)*MIN(E52/$B$17,1)</f>
        <v>0.254142939277801</v>
      </c>
      <c r="F56" s="16" t="n">
        <f aca="false">F54+(F55-F54)*MIN(F52/$B$17,1)</f>
        <v>0.269679743206742</v>
      </c>
      <c r="G56" s="16" t="n">
        <f aca="false">G54+(G55-G54)*MIN(G52/$B$17,1)</f>
        <v>0.285216547135683</v>
      </c>
      <c r="H56" s="16" t="n">
        <f aca="false">H54+(H55-H54)*MIN(H52/$B$17,1)</f>
        <v>0.285216547135683</v>
      </c>
    </row>
    <row r="57" customFormat="false" ht="15" hidden="false" customHeight="true" outlineLevel="0" collapsed="false">
      <c r="A57" s="4" t="s">
        <v>433</v>
      </c>
      <c r="B57" s="14" t="n">
        <f aca="false">B56/(1+B56)</f>
        <v>0.171864958306498</v>
      </c>
      <c r="C57" s="14" t="n">
        <f aca="false">C56/(1+C56)</f>
        <v>0.182384862157361</v>
      </c>
      <c r="D57" s="14" t="n">
        <f aca="false">D56/(1+D56)</f>
        <v>0.192640847271158</v>
      </c>
      <c r="E57" s="14" t="n">
        <f aca="false">E56/(1+E56)</f>
        <v>0.202642722227619</v>
      </c>
      <c r="F57" s="14" t="n">
        <f aca="false">F56/(1+F56)</f>
        <v>0.212399815504365</v>
      </c>
      <c r="G57" s="14" t="n">
        <f aca="false">G56/(1+G56)</f>
        <v>0.221921004496352</v>
      </c>
      <c r="H57" s="14" t="n">
        <f aca="false">H56/(1+H56)</f>
        <v>0.221921004496352</v>
      </c>
    </row>
    <row r="58" customFormat="false" ht="15" hidden="false" customHeight="true" outlineLevel="0" collapsed="false">
      <c r="A58" s="4" t="s">
        <v>434</v>
      </c>
      <c r="B58" s="14" t="n">
        <f aca="false">1-B57</f>
        <v>0.828135041693503</v>
      </c>
      <c r="C58" s="14" t="n">
        <f aca="false">1-C57</f>
        <v>0.817615137842639</v>
      </c>
      <c r="D58" s="14" t="n">
        <f aca="false">1-D57</f>
        <v>0.807359152728842</v>
      </c>
      <c r="E58" s="14" t="n">
        <f aca="false">1-E57</f>
        <v>0.797357277772381</v>
      </c>
      <c r="F58" s="14" t="n">
        <f aca="false">1-F57</f>
        <v>0.787600184495635</v>
      </c>
      <c r="G58" s="14" t="n">
        <f aca="false">1-G57</f>
        <v>0.778078995503649</v>
      </c>
      <c r="H58" s="14" t="n">
        <f aca="false">1-H57</f>
        <v>0.778078995503649</v>
      </c>
    </row>
    <row r="59" customFormat="false" ht="15" hidden="false" customHeight="true" outlineLevel="0" collapsed="false">
      <c r="A59" s="4" t="s">
        <v>435</v>
      </c>
      <c r="B59" s="33" t="n">
        <f aca="false">$B$40*(1+(1-$B$12)*B56)</f>
        <v>1.08563280334743</v>
      </c>
      <c r="C59" s="33" t="n">
        <f aca="false">$B$40*(1+(1-$B$12)*C56)</f>
        <v>1.09632591332776</v>
      </c>
      <c r="D59" s="33" t="n">
        <f aca="false">$B$40*(1+(1-$B$12)*D56)</f>
        <v>1.1070190233081</v>
      </c>
      <c r="E59" s="33" t="n">
        <f aca="false">$B$40*(1+(1-$B$12)*E56)</f>
        <v>1.11771213328844</v>
      </c>
      <c r="F59" s="33" t="n">
        <f aca="false">$B$40*(1+(1-$B$12)*F56)</f>
        <v>1.12840524326878</v>
      </c>
      <c r="G59" s="33" t="n">
        <f aca="false">$B$40*(1+(1-$B$12)*G56)</f>
        <v>1.13909835324912</v>
      </c>
      <c r="H59" s="33" t="n">
        <f aca="false">$B$40*(1+(1-$B$12)*H56)</f>
        <v>1.13909835324912</v>
      </c>
    </row>
    <row r="60" customFormat="false" ht="15" hidden="false" customHeight="true" outlineLevel="0" collapsed="false">
      <c r="A60" s="4" t="s">
        <v>436</v>
      </c>
      <c r="B60" s="16" t="n">
        <f aca="false">$B$5+B59*$B$6+$B$48</f>
        <v>0.108824475075017</v>
      </c>
      <c r="C60" s="16" t="n">
        <f aca="false">$B$5+C59*$B$6+$B$48</f>
        <v>0.109267169828203</v>
      </c>
      <c r="D60" s="16" t="n">
        <f aca="false">$B$5+D59*$B$6+$B$48</f>
        <v>0.109709864581389</v>
      </c>
      <c r="E60" s="16" t="n">
        <f aca="false">$B$5+E59*$B$6+$B$48</f>
        <v>0.110152559334575</v>
      </c>
      <c r="F60" s="16" t="n">
        <f aca="false">$B$5+F59*$B$6+$B$48</f>
        <v>0.110595254087761</v>
      </c>
      <c r="G60" s="16" t="n">
        <f aca="false">$B$5+G59*$B$6+$B$48</f>
        <v>0.111037948840947</v>
      </c>
      <c r="H60" s="16" t="n">
        <f aca="false">$B$5+H59*$B$6+$B$48</f>
        <v>0.111037948840947</v>
      </c>
    </row>
    <row r="61" customFormat="false" ht="15" hidden="false" customHeight="true" outlineLevel="0" collapsed="false">
      <c r="A61" s="4" t="s">
        <v>437</v>
      </c>
      <c r="B61" s="16" t="n">
        <f aca="false">(1+B60)*(1+$B$10)/(1+$B$11)-1</f>
        <v>0.117033041180547</v>
      </c>
      <c r="C61" s="16" t="n">
        <f aca="false">(1+C60)*(1+$B$10)/(1+$B$11)-1</f>
        <v>0.117479013178444</v>
      </c>
      <c r="D61" s="16" t="n">
        <f aca="false">(1+D60)*(1+$B$10)/(1+$B$11)-1</f>
        <v>0.11792498517634</v>
      </c>
      <c r="E61" s="16" t="n">
        <f aca="false">(1+E60)*(1+$B$10)/(1+$B$11)-1</f>
        <v>0.118370957174237</v>
      </c>
      <c r="F61" s="16" t="n">
        <f aca="false">(1+F60)*(1+$B$10)/(1+$B$11)-1</f>
        <v>0.118816929172134</v>
      </c>
      <c r="G61" s="16" t="n">
        <f aca="false">(1+G60)*(1+$B$10)/(1+$B$11)-1</f>
        <v>0.119262901170031</v>
      </c>
      <c r="H61" s="16" t="n">
        <f aca="false">(1+H60)*(1+$B$10)/(1+$B$11)-1</f>
        <v>0.119262901170031</v>
      </c>
    </row>
    <row r="62" customFormat="false" ht="15" hidden="false" customHeight="true" outlineLevel="0" collapsed="false">
      <c r="A62" s="4" t="s">
        <v>438</v>
      </c>
      <c r="B62" s="16" t="n">
        <f aca="false">$B$13+$B$14*(B53-$B$15)</f>
        <v>0.0362592187808888</v>
      </c>
      <c r="C62" s="16" t="n">
        <f aca="false">$B$13+$B$14*(C53-$B$15)</f>
        <v>0.0367776563426664</v>
      </c>
      <c r="D62" s="16" t="n">
        <f aca="false">$B$13+$B$14*(D53-$B$15)</f>
        <v>0.037296093904444</v>
      </c>
      <c r="E62" s="16" t="n">
        <f aca="false">$B$13+$B$14*(E53-$B$15)</f>
        <v>0.0378145314662216</v>
      </c>
      <c r="F62" s="16" t="n">
        <f aca="false">$B$13+$B$14*(F53-$B$15)</f>
        <v>0.0383329690279992</v>
      </c>
      <c r="G62" s="16" t="n">
        <f aca="false">$B$13+$B$14*(G53-$B$15)</f>
        <v>0.0388514065897767</v>
      </c>
      <c r="H62" s="16" t="n">
        <f aca="false">$B$13+$B$14*(H53-$B$15)</f>
        <v>0.0388514065897767</v>
      </c>
    </row>
    <row r="63" customFormat="false" ht="15" hidden="false" customHeight="true" outlineLevel="0" collapsed="false">
      <c r="A63" s="4" t="s">
        <v>439</v>
      </c>
      <c r="B63" s="16" t="n">
        <f aca="false">(1+B62)*(1+$B$10)-1</f>
        <v>0.0673469953443155</v>
      </c>
      <c r="C63" s="16" t="n">
        <f aca="false">(1+C62)*(1+$B$10)-1</f>
        <v>0.0678809860329463</v>
      </c>
      <c r="D63" s="16" t="n">
        <f aca="false">(1+D62)*(1+$B$10)-1</f>
        <v>0.0684149767215774</v>
      </c>
      <c r="E63" s="16" t="n">
        <f aca="false">(1+E62)*(1+$B$10)-1</f>
        <v>0.0689489674102082</v>
      </c>
      <c r="F63" s="16" t="n">
        <f aca="false">(1+F62)*(1+$B$10)-1</f>
        <v>0.0694829580988392</v>
      </c>
      <c r="G63" s="16" t="n">
        <f aca="false">(1+G62)*(1+$B$10)-1</f>
        <v>0.07001694878747</v>
      </c>
      <c r="H63" s="16" t="n">
        <f aca="false">(1+H62)*(1+$B$10)-1</f>
        <v>0.07001694878747</v>
      </c>
    </row>
    <row r="64" customFormat="false" ht="15" hidden="false" customHeight="true" outlineLevel="0" collapsed="false">
      <c r="A64" s="4" t="s">
        <v>440</v>
      </c>
      <c r="B64" s="16" t="n">
        <f aca="false">B63*(1-$B$12)</f>
        <v>0.0491633066013503</v>
      </c>
      <c r="C64" s="16" t="n">
        <f aca="false">C63*(1-$B$12)</f>
        <v>0.0495531198040508</v>
      </c>
      <c r="D64" s="16" t="n">
        <f aca="false">D63*(1-$B$12)</f>
        <v>0.0499429330067515</v>
      </c>
      <c r="E64" s="16" t="n">
        <f aca="false">E63*(1-$B$12)</f>
        <v>0.050332746209452</v>
      </c>
      <c r="F64" s="16" t="n">
        <f aca="false">F63*(1-$B$12)</f>
        <v>0.0507225594121526</v>
      </c>
      <c r="G64" s="16" t="n">
        <f aca="false">G63*(1-$B$12)</f>
        <v>0.0511123726148531</v>
      </c>
      <c r="H64" s="16" t="n">
        <f aca="false">H63*(1-$B$12)</f>
        <v>0.0511123726148531</v>
      </c>
    </row>
    <row r="65" customFormat="false" ht="15" hidden="false" customHeight="true" outlineLevel="0" collapsed="false">
      <c r="A65" s="3" t="s">
        <v>441</v>
      </c>
      <c r="B65" s="16" t="n">
        <f aca="false">B58*B61+B57*B64</f>
        <v>0.10536861207682</v>
      </c>
      <c r="C65" s="16" t="n">
        <f aca="false">C58*C61+C57*C64</f>
        <v>0.10509035847844</v>
      </c>
      <c r="D65" s="16" t="n">
        <f aca="false">D58*D61+D57*D64</f>
        <v>0.104828865047159</v>
      </c>
      <c r="E65" s="16" t="n">
        <f aca="false">E58*E61+E57*E64</f>
        <v>0.104583508888836</v>
      </c>
      <c r="F65" s="16" t="n">
        <f aca="false">F58*F61+F57*F64</f>
        <v>0.104353697598228</v>
      </c>
      <c r="G65" s="16" t="n">
        <f aca="false">G58*G61+G57*G64</f>
        <v>0.104138867416108</v>
      </c>
      <c r="H65" s="16" t="n">
        <f aca="false">H58*H61+H57*H64</f>
        <v>0.104138867416108</v>
      </c>
    </row>
    <row r="66" customFormat="false" ht="15" hidden="false" customHeight="true" outlineLevel="0" collapsed="false">
      <c r="A66" s="3" t="s">
        <v>442</v>
      </c>
      <c r="B66" s="16" t="n">
        <f aca="false">(1+B65)/(1+$B$10)-1</f>
        <v>0.0731734097833205</v>
      </c>
      <c r="C66" s="16" t="n">
        <f aca="false">(1+C65)/(1+$B$10)-1</f>
        <v>0.072903260658679</v>
      </c>
      <c r="D66" s="16" t="n">
        <f aca="false">(1+D65)/(1+$B$10)-1</f>
        <v>0.0726493835409308</v>
      </c>
      <c r="E66" s="16" t="n">
        <f aca="false">(1+E65)/(1+$B$10)-1</f>
        <v>0.0724111736784818</v>
      </c>
      <c r="F66" s="16" t="n">
        <f aca="false">(1+F65)/(1+$B$10)-1</f>
        <v>0.0721880559206096</v>
      </c>
      <c r="G66" s="16" t="n">
        <f aca="false">(1+G65)/(1+$B$10)-1</f>
        <v>0.0719794829282607</v>
      </c>
      <c r="H66" s="16" t="n">
        <f aca="false">(1+H65)/(1+$B$10)-1</f>
        <v>0.0719794829282607</v>
      </c>
    </row>
    <row r="68" customFormat="false" ht="15" hidden="false" customHeight="true" outlineLevel="0" collapsed="false">
      <c r="A68" s="3" t="s">
        <v>443</v>
      </c>
    </row>
    <row r="69" customFormat="false" ht="15" hidden="false" customHeight="true" outlineLevel="0" collapsed="false">
      <c r="A69" s="4" t="s">
        <v>444</v>
      </c>
      <c r="B69" s="17" t="n">
        <v>0.10536861207682</v>
      </c>
      <c r="C69" s="17" t="n">
        <v>0.10509035847844</v>
      </c>
      <c r="D69" s="17" t="n">
        <v>0.104828865047159</v>
      </c>
      <c r="E69" s="17" t="n">
        <v>0.104583508888836</v>
      </c>
      <c r="F69" s="17" t="n">
        <v>0.104353697598228</v>
      </c>
      <c r="G69" s="17" t="n">
        <v>0.104138867416108</v>
      </c>
      <c r="H69" s="17" t="n">
        <v>0.104138867416108</v>
      </c>
    </row>
    <row r="70" customFormat="false" ht="15" hidden="false" customHeight="true" outlineLevel="0" collapsed="false">
      <c r="A70" s="4" t="s">
        <v>445</v>
      </c>
      <c r="B70" s="36" t="n">
        <f aca="false">(B65-B69)*10000</f>
        <v>0</v>
      </c>
      <c r="C70" s="36" t="n">
        <f aca="false">(C65-C69)*10000</f>
        <v>-4.9960036108132E-012</v>
      </c>
      <c r="D70" s="36" t="n">
        <f aca="false">(D65-D69)*10000</f>
        <v>0</v>
      </c>
      <c r="E70" s="36" t="n">
        <f aca="false">(E65-E69)*10000</f>
        <v>0</v>
      </c>
      <c r="F70" s="36" t="n">
        <f aca="false">(F65-F69)*10000</f>
        <v>0</v>
      </c>
      <c r="G70" s="36" t="n">
        <f aca="false">(G65-G69)*10000</f>
        <v>4.57966997657877E-012</v>
      </c>
      <c r="H70" s="36" t="n">
        <f aca="false">(H65-H69)*10000</f>
        <v>4.57966997657877E-012</v>
      </c>
    </row>
    <row r="72" customFormat="false" ht="15" hidden="false" customHeight="true" outlineLevel="0" collapsed="false">
      <c r="A72" s="3" t="s">
        <v>446</v>
      </c>
    </row>
    <row r="73" customFormat="false" ht="15" hidden="false" customHeight="true" outlineLevel="0" collapsed="false">
      <c r="A73" s="4" t="s">
        <v>447</v>
      </c>
      <c r="B73" s="16" t="n">
        <f aca="false">(1+B5+B7)*(1+B10)/(1+B11)-1</f>
        <v>0.0680264389479584</v>
      </c>
    </row>
    <row r="74" customFormat="false" ht="15" hidden="false" customHeight="true" outlineLevel="0" collapsed="false">
      <c r="A74" s="4" t="s">
        <v>448</v>
      </c>
      <c r="B74" s="17" t="n">
        <v>0.0543</v>
      </c>
      <c r="C74" s="5" t="s">
        <v>449</v>
      </c>
    </row>
    <row r="75" customFormat="false" ht="15" hidden="false" customHeight="true" outlineLevel="0" collapsed="false">
      <c r="A75" s="4" t="s">
        <v>445</v>
      </c>
      <c r="B75" s="18" t="n">
        <f aca="false">(B73-B74)*10000</f>
        <v>137.264389479583</v>
      </c>
    </row>
    <row r="76" customFormat="false" ht="15" hidden="false" customHeight="true" outlineLevel="0" collapsed="false">
      <c r="A76" s="4" t="s">
        <v>450</v>
      </c>
      <c r="B76" s="18" t="n">
        <f aca="false">-B75*H58</f>
        <v>-106.802538284696</v>
      </c>
    </row>
    <row r="77" customFormat="false" ht="15" hidden="false" customHeight="true" outlineLevel="0" collapsed="false">
      <c r="A77" s="4" t="s">
        <v>451</v>
      </c>
      <c r="B77" s="11" t="n">
        <v>2311</v>
      </c>
      <c r="C77" s="5" t="s">
        <v>452</v>
      </c>
    </row>
    <row r="78" customFormat="false" ht="15" hidden="false" customHeight="true" outlineLevel="0" collapsed="false">
      <c r="A78" s="4" t="s">
        <v>453</v>
      </c>
      <c r="B78" s="12" t="n">
        <f aca="false">0.8*B77+0.2*2951.38547083101</f>
        <v>2439.0770941662</v>
      </c>
    </row>
    <row r="80" customFormat="false" ht="15" hidden="false" customHeight="true" outlineLevel="0" collapsed="false">
      <c r="A80" s="5" t="s">
        <v>454</v>
      </c>
    </row>
    <row r="81" customFormat="false" ht="15" hidden="false" customHeight="true" outlineLevel="0" collapsed="false">
      <c r="A81" s="5" t="s">
        <v>455</v>
      </c>
    </row>
    <row r="82" customFormat="false" ht="15" hidden="false" customHeight="true" outlineLevel="0" collapsed="false">
      <c r="A82" s="5" t="s">
        <v>456</v>
      </c>
    </row>
    <row r="84" customFormat="false" ht="15" hidden="false" customHeight="true" outlineLevel="0" collapsed="false">
      <c r="A84" s="3" t="s">
        <v>457</v>
      </c>
    </row>
    <row r="85" customFormat="false" ht="15" hidden="false" customHeight="true" outlineLevel="0" collapsed="false">
      <c r="A85" s="4" t="s">
        <v>458</v>
      </c>
      <c r="B85" s="37"/>
      <c r="C85" s="5" t="s">
        <v>459</v>
      </c>
    </row>
    <row r="86" customFormat="false" ht="15" hidden="false" customHeight="true" outlineLevel="0" collapsed="false">
      <c r="A86" s="4" t="s">
        <v>460</v>
      </c>
      <c r="B86" s="37"/>
      <c r="C86" s="5" t="s">
        <v>461</v>
      </c>
    </row>
    <row r="87" customFormat="false" ht="15" hidden="false" customHeight="true" outlineLevel="0" collapsed="false">
      <c r="A87" s="4" t="s">
        <v>462</v>
      </c>
      <c r="B87" s="33" t="n">
        <f aca="false">B59</f>
        <v>1.08563280334743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2026-10-11T23:45:47Z</dcterms:created>
  <dc:creator>openpyxl</dc:creator>
  <dc:description/>
  <dc:language>en-US</dc:language>
  <cp:lastModifiedBy/>
  <dcterms:modified xsi:type="dcterms:W3CDTF">2026-10-14T13:43:06Z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