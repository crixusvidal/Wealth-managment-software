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Fig_CapRate" sheetId="2" state="visible" r:id="rId4"/>
    <sheet name="Fig_Precio" sheetId="3" state="visible" r:id="rId5"/>
    <sheet name="Caja_Mercado" sheetId="4" state="visible" r:id="rId6"/>
    <sheet name="NAV" sheetId="5" state="visible" r:id="rId7"/>
    <sheet name="Catalizadores" sheetId="6" state="visible" r:id="rId8"/>
    <sheet name="Fuen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<sst xmlns="http://schemas.openxmlformats.org/spreadsheetml/2006/main" count="312" uniqueCount="249">
  <si>
    <t xml:space="preserve">Datos para llenar el espacio del informe Mallplaza (CFA RC)</t>
  </si>
  <si>
    <t xml:space="preserve">Extraído el 19-oct-2026 desde Bloomberg (Excel add-in) y el Banco Central de Chile. Azul = dato extraído; negro = fórmula. Cada hoja tiene una tabla de datos y un gráfico de muestra; el gráfico final se hace con el motor de gráficos del equipo.</t>
  </si>
  <si>
    <t xml:space="preserve">1. Spread del cap rate vs bono UF (gráfico nuevo, el más importante)</t>
  </si>
  <si>
    <t xml:space="preserve">Hoja de datos</t>
  </si>
  <si>
    <t xml:space="preserve">Fig_CapRate</t>
  </si>
  <si>
    <t xml:space="preserve">Dónde va</t>
  </si>
  <si>
    <t xml:space="preserve">Valuation, página 8 (columna derecha, en el espacio libre). Va justo después del párrafo «What the market would have to believe».</t>
  </si>
  <si>
    <t xml:space="preserve">Tipo de gráfico</t>
  </si>
  <si>
    <t xml:space="preserve">Combinado: dos líneas (cap rate implícito pro forma de Mallplaza y BCU 10 años) y barras grises del spread (diferencia) en el eje secundario. Eje X: trimestres 4T22 a 30-sep-26. Eje Y: % real.</t>
  </si>
  <si>
    <t xml:space="preserve">Series</t>
  </si>
  <si>
    <t xml:space="preserve">Línea navy = «Cap rate pro forma» (col. I). Línea celeste = «BCU 10 años» (col. J). Barras gris claro = «Spread (pb)» (col. K), eje derecho. Marcar con etiqueta el último punto (5,96% / 2,61% / 335 pb) y el promedio 4T22–3T25 del spread (línea punteada roja, col. L).</t>
  </si>
  <si>
    <t xml:space="preserve">Título (EN)</t>
  </si>
  <si>
    <t xml:space="preserve">The premium over the real risk-free rate has halved: from ~615 bp to 335 bp</t>
  </si>
  <si>
    <t xml:space="preserve">Título (ES)</t>
  </si>
  <si>
    <t xml:space="preserve">El premio sobre la tasa real libre de riesgo se redujo a la mitad: de ~615 pb a 335 pb</t>
  </si>
  <si>
    <t xml:space="preserve">Nota y fuente</t>
  </si>
  <si>
    <t xml:space="preserve">Cap rate = EBITDA LTM / EV (capitalización + deuda neta + minoritarios). 4T24–3T25 pro forma con Perú 12 meses (estimación del equipo; consolida desde dic-24). BCU 10 años: promedio mensual del mes de cierre. Fuente: Bloomberg; Banco Central de Chile; análisis del equipo.</t>
  </si>
  <si>
    <t xml:space="preserve">Texto del apartado (EN)</t>
  </si>
  <si>
    <t xml:space="preserve">The market has re-rated Mallplaza's cash flows, not its business. Between 4Q22 and 3Q25 the implied cap rate (LTM EBITDA over enterprise value) averaged a ~615 bp premium over the 10-year UF bond; at CLP 3,555 that premium is 335 bp, the lowest in the series, while the real risk-free rate barely moved (1.7%–2.9%). Rents and margins did not change enough to justify it: LTM EBITDA grew in line with the portfolio. If the spread only returned to its 4Q22–3Q25 average at today's 2.61% BCU, the implied cap rate would be ~8.8% and the equity worth ~CLP 2,200 per share, close to our CLP 2,077 target (Figure X).</t>
  </si>
  <si>
    <t xml:space="preserve">Texto del apartado (ES)</t>
  </si>
  <si>
    <t xml:space="preserve">El mercado re-tasó los flujos de Mallplaza, no su negocio. Entre 4T22 y 3T25 el cap rate implícito (EBITDA UDM sobre valor empresa) pagaba en promedio ~615 pb sobre el bono UF a 10 años; a CLP 3.555 ese premio es de 335 pb, el más bajo de la serie, mientras la tasa real libre de riesgo casi no se movió (1,7%–2,9%). Si el spread solo volviera a su promedio 4T22–3T25 con el BCU actual (2,61%), el cap rate implícito sería ~8,8% y el patrimonio valdría ~CLP 2.200 por acción, cerca de nuestro precio objetivo de CLP 2.077 (Figura X).</t>
  </si>
  <si>
    <t xml:space="preserve">Ojo</t>
  </si>
  <si>
    <t xml:space="preserve">La serie parte en 4T22 porque Bloomberg no tiene el EBITDA comparable (sin revalorización) de Mallplaza antes de 2022. Sin el ajuste pro forma de Perú, 4T24–3T25 se ve artificialmente bajo; usar la columna I, no la G. El 3T24 tiene deuda neta baja (775 mil MM) por la caja del aumento de capital antes de pagar Perú.</t>
  </si>
  <si>
    <t xml:space="preserve">2. Precio a 5 años rebasado vs IPSA y pares</t>
  </si>
  <si>
    <t xml:space="preserve">Fig_Precio</t>
  </si>
  <si>
    <t xml:space="preserve">Investment Summary, página 10, columna derecha: reemplaza la Figura 32 (que hoy une hitos de documentos del equipo).</t>
  </si>
  <si>
    <t xml:space="preserve">Líneas, base 100 = 1-oct-2021, frecuencia semanal. Eje X: fechas (etiquetas cada 6 meses). Eje Y: índice.</t>
  </si>
  <si>
    <t xml:space="preserve">Navy grueso = Mallplaza (col. G). Gris = IPSA (col. H). Celeste = Parque Arauco (col. I). Celeste claro punteado = Cenco Malls (col. J). Anotar 4 hitos sobre la línea de Mallplaza: mínimo 10-oct-25 (CLP 2.470), inclusión MSCI 25-nov-25, máximo 27-abr-26 (CLP 4.700) y 30-sep-26 (CLP 3.555).</t>
  </si>
  <si>
    <t xml:space="preserve">Mallplaza rose ~4x in five years, ahead of the IPSA; the last leg came with no change in the business</t>
  </si>
  <si>
    <t xml:space="preserve">Mallplaza subió ~4x en cinco años, más que el IPSA; el último tramo llegó sin cambios en el negocio</t>
  </si>
  <si>
    <t xml:space="preserve">Precio de cierre semanal, base 100 = 1-oct-21, ajustado por el aumento de capital de 2024. IPSA hasta 31-ago-26 (último dato disponible en el terminal). Hitos de precio: cierres diarios. Fuente: Bloomberg; análisis del equipo.</t>
  </si>
  <si>
    <t xml:space="preserve">Mallplaza has returned ~4.2x since October 2021, against ~2.6x for the IPSA and ~2.3x for Cenco Malls; only Parque Arauco, the most leveraged peer, rose more. Most of the move is recent: from its 10-Oct-25 low (CLP 2,470) the stock reached CLP 4,700 on 27-Apr-26, around MSCI EM Mid Cap inclusion, before falling 24% to CLP 3,555. Over the same period LTM EBITDA rose 10%. The price chart therefore shows a re-rating of the whole sector, not of Mallplaza's earnings.</t>
  </si>
  <si>
    <t xml:space="preserve">Mallplaza rentó ~4,2x desde octubre de 2021, frente a ~2,6x del IPSA y ~2,3x de Cenco Malls; solo Parque Arauco, el par más apalancado, subió más. La mayor parte es reciente: desde su mínimo del 10-oct-25 (CLP 2.470) la acción llegó a CLP 4.700 el 27-abr-26, en torno a la inclusión en MSCI EM Mid Cap, y luego cayó 24% a CLP 3.555. En el mismo período el EBITDA UDM creció 10%. El gráfico muestra una re-valorización de todo el sector, no de las utilidades de Mallplaza.</t>
  </si>
  <si>
    <t xml:space="preserve">El EBITDA UDM pasó de 493,5 (3T25) a 544,9 mil MM (2T26), +10%. Si el espacio es poco, mostrar solo 2 años (desde oct-24): la historia del rally se lee mejor.</t>
  </si>
  <si>
    <t xml:space="preserve">3. Caja de datos de mercado (página 1)</t>
  </si>
  <si>
    <t xml:space="preserve">Caja_Mercado</t>
  </si>
  <si>
    <t xml:space="preserve">Página 1, segunda fila de cajitas bajo Recomendación / Precio objetivo / Precio / Upside. Seis cajas pequeñas, sin gráfico.</t>
  </si>
  <si>
    <t xml:space="preserve">Contenido</t>
  </si>
  <si>
    <t xml:space="preserve">Market cap (CLP bn y USD bn), rango 52 semanas, free float, volumen diario promedio 3 meses (CLP bn), dividend yield, beta. Usar la columna «Para el informe (30-sep-26)».</t>
  </si>
  <si>
    <t xml:space="preserve">Bloomberg entrega datos al 19-oct-26; el rango de 52 semanas al 19-oct ya no incluye el mínimo de 2.470 (salió de la ventana). Por eso la columna del informe usa los valores al 30-sep-26.</t>
  </si>
  <si>
    <t xml:space="preserve">4. NAV y P/NAV vs pares</t>
  </si>
  <si>
    <t xml:space="preserve">NAV</t>
  </si>
  <si>
    <t xml:space="preserve">Financial Analysis, página 5 (espacio libre de la columna izquierda): tabla corta + 3 líneas de texto. Además, agregar dos barras a la Figura 20 (football field): NAV contable CLP 2.201 y NAV + impuestos diferidos CLP 2.788.</t>
  </si>
  <si>
    <t xml:space="preserve">Tabla (no gráfico) con 3 filas: Mallplaza, Parque Arauco, Cenco Malls. Columnas: NAV/acción, P/BV, P/NAV ajustado. Si se prefiere gráfico: barras horizontales de P/NAV ajustado con línea en 1,0x.</t>
  </si>
  <si>
    <t xml:space="preserve">Even adding back all deferred taxes, the price is 27% above NAV</t>
  </si>
  <si>
    <t xml:space="preserve">Aun sumando todos los impuestos diferidos, el precio está 27% sobre el NAV</t>
  </si>
  <si>
    <t xml:space="preserve">NAV contable = patrimonio atribuible (propiedades a valor razonable). NAV ajustado ≈ EPRA NTA: + pasivos por impuestos diferidos − goodwill − intangibles. Balance al 30-jun-26; capitalización al 30-sep-26. Fuente: Bloomberg (BS_DEF_TAX_LIAB, BS_GOODWILL, BS_DISCLOSED_INTANGIBLES); EEFF CMF; análisis del equipo.</t>
  </si>
  <si>
    <t xml:space="preserve">For a property company the natural cross-check is NAV, and it does not reach the price either. Book equity, with every mall at the appraisers' 5.55% real rate, is worth CLP 2,201 per share; adding back all CLP 1,293bn of deferred taxes, as EPRA NTA does, gives CLP 2,788. At CLP 3,555 the stock trades at 1.28x that adjusted NAV, above Cenco Malls (0.99x) and below only Parque Arauco (1.48x). The market is paying more than the appraisers, whose rate we already consider low; we use NAV as a reference, not in the target price.</t>
  </si>
  <si>
    <t xml:space="preserve">Para una inmobiliaria el contraste natural es el NAV, y tampoco alcanza el precio. El patrimonio contable, con todos los malls a la tasa real de 5,55% de los tasadores, vale CLP 2.201 por acción; sumando los CLP 1.293 mil MM de impuestos diferidos, como hace el EPRA NTA, da CLP 2.788. A CLP 3.555 la acción transa a 1,28x ese NAV ajustado, sobre Cenco Malls (0,99x) y solo bajo Parque Arauco (1,48x). El mercado paga más que los tasadores, cuya tasa ya consideramos baja; usamos el NAV como referencia, no en el precio objetivo.</t>
  </si>
  <si>
    <t xml:space="preserve">Bloomberg da impuestos diferidos de CLP 1.292,7 mil MM; el Anexo 10 del informe usa 1.313,7 (EEFF). Con 1.313,7 el NAV ajustado sería CLP 2.797. Elegir una fuente y usarla en las tres empresas (Bloomberg es la comparable entre pares). Sumar el 100% de los diferidos es generoso: en una venta real parte de ese impuesto se paga.</t>
  </si>
  <si>
    <t xml:space="preserve">5. Tabla de catalizadores</t>
  </si>
  <si>
    <t xml:space="preserve">Catalizadores</t>
  </si>
  <si>
    <t xml:space="preserve">Investment Summary, página 10, columna izquierda (reemplaza el párrafo «Versus the consensus and catalysts» o va bajo él).</t>
  </si>
  <si>
    <t xml:space="preserve">Tipo</t>
  </si>
  <si>
    <t xml:space="preserve">Tabla de 4 columnas: Fecha · Evento · Qué mirar · Efecto en la tesis (↑ refuerza SELL / ↓ en contra).</t>
  </si>
  <si>
    <t xml:space="preserve">Catalysts over the next 12 months</t>
  </si>
  <si>
    <t xml:space="preserve">The SELL case does not need a single event: each appraisal and each rate print moves the cap rate toward our value. The next tests are the 3Q26 results (~10-Nov), MSCI's November review (11-Nov, effective 1-Dec), the December IPoM (16-Dec) and, above all, the FY26 appraisal in Note 11 (Feb–Mar 2027). Against the thesis: the gradual tax cut (25.5% in 2027 to 23% in 2029) and any further compression of long rates.</t>
  </si>
  <si>
    <t xml:space="preserve">6. Pendiente / Monte Carlo</t>
  </si>
  <si>
    <t xml:space="preserve">Monte Carlo</t>
  </si>
  <si>
    <t xml:space="preserve">No requiere datos nuevos: lo genera el prompt de corrección con la réplica del DCF. Va en Valuation p. 8 (bajo el gráfico de spread) si cabe; si no, Anexo 18.</t>
  </si>
  <si>
    <t xml:space="preserve">Corrección detectada</t>
  </si>
  <si>
    <t xml:space="preserve">Gran Plaza ya se cerró el 1-oct-26 (aprobación SIC; COP 1,18 billones; cap rate 9,4%; ~180.000 m²). El GLA total supera 2,5 MM m². Actualizar «announced acquisition» → «closed on 1-Oct-26 (subsequent event)».</t>
  </si>
  <si>
    <t xml:space="preserve">La rebaja del impuesto es gradual: 25,5% (2027), 24% (2028), 23% (2029). Revisar que el +5,2% al precio objetivo use esa trayectoria.</t>
  </si>
  <si>
    <t xml:space="preserve">Archivo en tu PC</t>
  </si>
  <si>
    <t xml:space="preserve">Las fórmulas BDH/BDP quedaron en el libro «A1» de tu OneDrive (hojas Hoja1–Hoja3); puedes refrescarlas desde la pestaña Bloomberg.</t>
  </si>
  <si>
    <t xml:space="preserve">Cap rate implícito de Mallplaza vs BCU 10 años (CLP MM; tasas en %)</t>
  </si>
  <si>
    <t xml:space="preserve">Trimestre</t>
  </si>
  <si>
    <t xml:space="preserve">Fecha cierre</t>
  </si>
  <si>
    <t xml:space="preserve">Capitalización</t>
  </si>
  <si>
    <t xml:space="preserve">Deuda neta</t>
  </si>
  <si>
    <t xml:space="preserve">Minoritarios</t>
  </si>
  <si>
    <t xml:space="preserve">EV</t>
  </si>
  <si>
    <t xml:space="preserve">EBITDA UDM</t>
  </si>
  <si>
    <t xml:space="preserve">Ajuste pro forma Perú</t>
  </si>
  <si>
    <t xml:space="preserve">Cap rate pro forma</t>
  </si>
  <si>
    <t xml:space="preserve">BCU 10 años (%)</t>
  </si>
  <si>
    <t xml:space="preserve">Spread (pb)</t>
  </si>
  <si>
    <t xml:space="preserve">Spread prom. 4T22–3T25 (pb)</t>
  </si>
  <si>
    <t xml:space="preserve">Cap rate sin ajuste</t>
  </si>
  <si>
    <t xml:space="preserve">EBITDA trimestral (comparable)</t>
  </si>
  <si>
    <t xml:space="preserve">4T22</t>
  </si>
  <si>
    <t xml:space="preserve">3T22</t>
  </si>
  <si>
    <t xml:space="preserve">2T23</t>
  </si>
  <si>
    <t xml:space="preserve">3T23</t>
  </si>
  <si>
    <t xml:space="preserve">1T23</t>
  </si>
  <si>
    <t xml:space="preserve">4T23</t>
  </si>
  <si>
    <t xml:space="preserve">1T24</t>
  </si>
  <si>
    <t xml:space="preserve">2T24</t>
  </si>
  <si>
    <t xml:space="preserve">3T24</t>
  </si>
  <si>
    <t xml:space="preserve">4T24</t>
  </si>
  <si>
    <t xml:space="preserve">1T25</t>
  </si>
  <si>
    <t xml:space="preserve">2T25</t>
  </si>
  <si>
    <t xml:space="preserve">3T25</t>
  </si>
  <si>
    <t xml:space="preserve">4T25</t>
  </si>
  <si>
    <t xml:space="preserve">1T26</t>
  </si>
  <si>
    <t xml:space="preserve">2T26</t>
  </si>
  <si>
    <t xml:space="preserve">30-sep-26</t>
  </si>
  <si>
    <t xml:space="preserve">Reversión del spread a su promedio 4T22–3T25</t>
  </si>
  <si>
    <t xml:space="preserve">BCU 10 años actual</t>
  </si>
  <si>
    <t xml:space="preserve">Spread promedio 4T22–3T25 (pb)</t>
  </si>
  <si>
    <t xml:space="preserve">Cap rate con spread promedio</t>
  </si>
  <si>
    <t xml:space="preserve">EV implícito (CLP MM)</t>
  </si>
  <si>
    <t xml:space="preserve">(−) Deuda neta y minoritarios</t>
  </si>
  <si>
    <t xml:space="preserve">Patrimonio implícito (CLP MM)</t>
  </si>
  <si>
    <t xml:space="preserve">Acciones (MM)</t>
  </si>
  <si>
    <t xml:space="preserve">Valor por acción (CLP)</t>
  </si>
  <si>
    <t xml:space="preserve">Fuentes: capitalización (CUR_MKT_CAP), deuda neta (NET_DEBT), minoritarios (MINORITY_NONCONTROLLING_INTEREST) y EBITDA trimestral (IS_COMPARABLE_EBITDA, sin revalorización): Bloomberg, extraído 19-oct-26. FY2022 = EBITDA anual 282.699.</t>
  </si>
  <si>
    <t xml:space="preserve">BCU 10 años: Banco Central de Chile, Base de Datos Estadísticos (Tasas BCU 10 años, promedio mensual del mes de cierre del trimestre).</t>
  </si>
  <si>
    <t xml:space="preserve">Ajuste pro forma Perú (estimación del equipo): Open Plaza Perú consolida desde dic-24; se suman los meses faltantes de un EBITDA anual de Perú de 104.300 MM (UDM jun-26, Anexo 11B). 30-sep-26 usa EBITDA UDM 2T26 y deuda neta de jun-26.</t>
  </si>
  <si>
    <t xml:space="preserve">1T23 no se incluye: Bloomberg no tiene EBITDA comparable trimestral antes de 3T22, así que no se puede armar el UDM de ese trimestre.</t>
  </si>
  <si>
    <t xml:space="preserve">Precio semanal y base 100 = 1-oct-2021</t>
  </si>
  <si>
    <t xml:space="preserve">Fecha</t>
  </si>
  <si>
    <t xml:space="preserve">Mallplaza (CLP)</t>
  </si>
  <si>
    <t xml:space="preserve">IPSA</t>
  </si>
  <si>
    <t xml:space="preserve">Parque Arauco (CLP)</t>
  </si>
  <si>
    <t xml:space="preserve">Cenco Malls (CLP)</t>
  </si>
  <si>
    <t xml:space="preserve">Mallplaza (base 100)</t>
  </si>
  <si>
    <t xml:space="preserve">IPSA (base 100)</t>
  </si>
  <si>
    <t xml:space="preserve">Parque Arauco (base 100)</t>
  </si>
  <si>
    <t xml:space="preserve">Cenco Malls (base 100)</t>
  </si>
  <si>
    <t xml:space="preserve">Fuente: Bloomberg BDH PX_LAST, frecuencia semanal (viernes), extraído 19-oct-26. Mallplaza ajustado por el aumento de capital de 2024 (por eso los precios de 2021–2023 no son los nominales de la época).</t>
  </si>
  <si>
    <t xml:space="preserve">Última fila = cierre del 30-sep-26 (Mallplaza 3.555; Parque Arauco 3.505; Cenco Malls 2.175, consistentes con el modelo). IPSA: el terminal no entrega datos posteriores al 31-ago-26; la semana 04-sep-26 repite ese cierre.</t>
  </si>
  <si>
    <t xml:space="preserve">Hitos diarios para anotar: mínimo 52s 2.470 (10-oct-25); inclusión MSCI EM Mid Cap 25-nov-25; máximo 4.700 (27-abr-26); 3.555 (30-sep-26).</t>
  </si>
  <si>
    <t xml:space="preserve">Retorno del período</t>
  </si>
  <si>
    <t xml:space="preserve">Mallplaza</t>
  </si>
  <si>
    <t xml:space="preserve">IPSA (a 31-ago-26)</t>
  </si>
  <si>
    <t xml:space="preserve">Parque Arauco</t>
  </si>
  <si>
    <t xml:space="preserve">Cenco Malls</t>
  </si>
  <si>
    <t xml:space="preserve">Datos de mercado (página 1)</t>
  </si>
  <si>
    <t xml:space="preserve">Dato</t>
  </si>
  <si>
    <t xml:space="preserve">Mallplaza (Bloomberg, 19-oct-26)</t>
  </si>
  <si>
    <t xml:space="preserve">Para el informe (30-sep-26)</t>
  </si>
  <si>
    <t xml:space="preserve">Campo / fuente</t>
  </si>
  <si>
    <t xml:space="preserve">Precio (CLP)</t>
  </si>
  <si>
    <t xml:space="preserve">PX_LAST; informe: cierre 30-sep-26</t>
  </si>
  <si>
    <t xml:space="preserve">Capitalización (CLP MM)</t>
  </si>
  <si>
    <t xml:space="preserve">CUR_MKT_CAP; informe: precio × acciones</t>
  </si>
  <si>
    <t xml:space="preserve">EQY_SH_OUT</t>
  </si>
  <si>
    <t xml:space="preserve">Dólar observado 30-sep-26 (CLP/USD)</t>
  </si>
  <si>
    <t xml:space="preserve">Modelo v4 usa 922,34 (30-jun-26); reemplazar por el dólar observado del 30-sep-26 si se prefiere</t>
  </si>
  <si>
    <t xml:space="preserve">Capitalización (USD MM)</t>
  </si>
  <si>
    <t xml:space="preserve">Cálculo</t>
  </si>
  <si>
    <t xml:space="preserve">Free float (%)</t>
  </si>
  <si>
    <t xml:space="preserve">EQY_FREE_FLOAT_PCT</t>
  </si>
  <si>
    <t xml:space="preserve">Volumen promedio 3 meses (acciones)</t>
  </si>
  <si>
    <t xml:space="preserve">VOLUME_AVG_3M</t>
  </si>
  <si>
    <t xml:space="preserve">Volumen promedio 3 meses (CLP MM/día)</t>
  </si>
  <si>
    <t xml:space="preserve">Cálculo: acciones × precio</t>
  </si>
  <si>
    <t xml:space="preserve">Máximo 52 semanas (CLP)</t>
  </si>
  <si>
    <t xml:space="preserve">HIGH_52WEEK (27-abr-26)</t>
  </si>
  <si>
    <t xml:space="preserve">Mínimo 52 semanas (CLP)</t>
  </si>
  <si>
    <t xml:space="preserve">LOW_52WEEK; al 30-sep-26 el mínimo era 2.470 (10-oct-25)</t>
  </si>
  <si>
    <t xml:space="preserve">Dividend yield 12m (%)</t>
  </si>
  <si>
    <t xml:space="preserve">EQY_DVD_YLD_12M</t>
  </si>
  <si>
    <t xml:space="preserve">Beta Bloomberg (ajustada, vs índice local)</t>
  </si>
  <si>
    <t xml:space="preserve">EQY_BETA. El modelo usa beta re-apalancada de pares (1,09–1,14); aclararlo en la caja</t>
  </si>
  <si>
    <t xml:space="preserve">Precio objetivo consenso (CLP)</t>
  </si>
  <si>
    <t xml:space="preserve">BEST_TARGET_PRICE; informe usa 4.111 (fecha del informe)</t>
  </si>
  <si>
    <t xml:space="preserve">Recomendaciones compra / mantener / venta</t>
  </si>
  <si>
    <t xml:space="preserve">1 / 10 / 2</t>
  </si>
  <si>
    <t xml:space="preserve">5 / 4 / 4</t>
  </si>
  <si>
    <t xml:space="preserve">6 / 3 / 2</t>
  </si>
  <si>
    <t xml:space="preserve">TOT_BUY_REC / TOT_HOLD_REC / TOT_SELL_REC</t>
  </si>
  <si>
    <t xml:space="preserve">Fuente: Bloomberg BDP, extraído el 19-oct-26 vía Excel add-in. Columna E = valores a usar en el informe, alineados con la fecha de precio (30-sep-26).</t>
  </si>
  <si>
    <t xml:space="preserve">NAV por acción y P/NAV (balance 30-jun-26; capitalización 30-sep-26; CLP MM)</t>
  </si>
  <si>
    <t xml:space="preserve">Concepto</t>
  </si>
  <si>
    <t xml:space="preserve">Fuente</t>
  </si>
  <si>
    <t xml:space="preserve">Patrimonio atribuible (A)</t>
  </si>
  <si>
    <t xml:space="preserve">TOT_COMMON_EQY, FUND_PER=Q (30-jun-26)</t>
  </si>
  <si>
    <t xml:space="preserve">Pasivos por impuestos diferidos (B)</t>
  </si>
  <si>
    <t xml:space="preserve">BS_DEF_TAX_LIAB, FUND_PER=Q. Mallplaza en EEFF (Anexo 10): 1.313.700</t>
  </si>
  <si>
    <t xml:space="preserve">Goodwill (C)</t>
  </si>
  <si>
    <t xml:space="preserve">BS_GOODWILL (Cenco: sin dato en Bloomberg, se asume 0)</t>
  </si>
  <si>
    <t xml:space="preserve">Intangibles (D)</t>
  </si>
  <si>
    <t xml:space="preserve">BS_DISCLOSED_INTANGIBLES</t>
  </si>
  <si>
    <t xml:space="preserve">NAV contable ≈ EPRA NDV = A</t>
  </si>
  <si>
    <t xml:space="preserve">NAV ajustado ≈ EPRA NTA = A + B − C − D</t>
  </si>
  <si>
    <t xml:space="preserve">EQY_SH_OUT (Parque Arauco: 981,6 tras el aumento de capital; BS_SH_OUT jun-26 = 905,7)</t>
  </si>
  <si>
    <t xml:space="preserve">NAV contable por acción (CLP)</t>
  </si>
  <si>
    <t xml:space="preserve">NAV ajustado por acción (CLP)</t>
  </si>
  <si>
    <t xml:space="preserve">Capitalización 30-sep-26</t>
  </si>
  <si>
    <t xml:space="preserve">Modelo v4, hoja Comparables (Bloomberg, 30-sep-26)</t>
  </si>
  <si>
    <t xml:space="preserve">P/BV (= P/NAV contable)</t>
  </si>
  <si>
    <t xml:space="preserve">P/NAV ajustado</t>
  </si>
  <si>
    <t xml:space="preserve">Precio 30-sep-26 (CLP)</t>
  </si>
  <si>
    <t xml:space="preserve">Informe</t>
  </si>
  <si>
    <t xml:space="preserve">Prima del precio sobre NAV contable</t>
  </si>
  <si>
    <t xml:space="preserve">Prima del precio sobre NAV ajustado</t>
  </si>
  <si>
    <t xml:space="preserve">Sensibilidad: con los impuestos diferidos de los EEFF de Mallplaza (1.313.700) el NAV ajustado por acción sería:</t>
  </si>
  <si>
    <t xml:space="preserve">Sumar el 100% de los impuestos diferidos es generoso (en una venta parte se paga). EPRA NTA solo suma los diferidos de propiedades; Bloomberg no los separa por origen: ver Nota 13 de los EEFF para el detalle.</t>
  </si>
  <si>
    <t xml:space="preserve">Fuente: Bloomberg BDP con override FUND_PER=Q (balance al 30-jun-26), extraído 19-oct-26; capitalización: modelo v4.</t>
  </si>
  <si>
    <t xml:space="preserve">Catalizadores 12 meses</t>
  </si>
  <si>
    <t xml:space="preserve">Evento</t>
  </si>
  <si>
    <t xml:space="preserve">Qué mirar</t>
  </si>
  <si>
    <t xml:space="preserve">Efecto en la tesis SELL</t>
  </si>
  <si>
    <t xml:space="preserve">26–27 oct 2026</t>
  </si>
  <si>
    <t xml:space="preserve">Reunión de Política Monetaria (BCCh)</t>
  </si>
  <si>
    <t xml:space="preserve">Tasa de política (4,5%) y señal sobre tasas largas</t>
  </si>
  <si>
    <t xml:space="preserve">Neutral / ↑ si no hay recortes</t>
  </si>
  <si>
    <t xml:space="preserve">BCCh, Calendario de Política Monetaria y Financiera</t>
  </si>
  <si>
    <t xml:space="preserve">~10 nov 2026 (estimado)</t>
  </si>
  <si>
    <t xml:space="preserve">Resultados 3T26 Mallplaza</t>
  </si>
  <si>
    <t xml:space="preserve">SSR Chile, ventas reales de locatarios, margen EBITDA; primer trimestre con Gran Plaza tras el cierre</t>
  </si>
  <si>
    <t xml:space="preserve">↑ si el crecimiento real sigue ~3%</t>
  </si>
  <si>
    <t xml:space="preserve">En 2025 los resultados 3T se publicaron el 10-nov (La República)</t>
  </si>
  <si>
    <t xml:space="preserve">11 nov 2026 (vigente 1 dic)</t>
  </si>
  <si>
    <t xml:space="preserve">Revisión de índices MSCI de noviembre</t>
  </si>
  <si>
    <t xml:space="preserve">Cambios de ponderación en MSCI EM Mid Cap; flujos pasivos</t>
  </si>
  <si>
    <t xml:space="preserve">↑ si no hay compras forzadas</t>
  </si>
  <si>
    <t xml:space="preserve">MSCI, Index Review dates</t>
  </si>
  <si>
    <t xml:space="preserve">17 nov 2026</t>
  </si>
  <si>
    <t xml:space="preserve">Informe de Estabilidad Financiera (BCCh)</t>
  </si>
  <si>
    <t xml:space="preserve">Riesgo inmobiliario comercial y tasas largas</t>
  </si>
  <si>
    <t xml:space="preserve">Neutral</t>
  </si>
  <si>
    <t xml:space="preserve">BCCh</t>
  </si>
  <si>
    <t xml:space="preserve">15–16 dic 2026</t>
  </si>
  <si>
    <t xml:space="preserve">RPM e IPoM de diciembre</t>
  </si>
  <si>
    <t xml:space="preserve">Proyección de consumo privado 2027 y trayectoria de tasas</t>
  </si>
  <si>
    <t xml:space="preserve">↑ si el consumo se revisa a la baja</t>
  </si>
  <si>
    <t xml:space="preserve">feb–mar 2027</t>
  </si>
  <si>
    <t xml:space="preserve">EEFF 2026 y tasación (Nota 11)</t>
  </si>
  <si>
    <t xml:space="preserve">Tasa de descuento real de los tasadores (hoy 5,55%) frente a tasas de mercado al alza</t>
  </si>
  <si>
    <t xml:space="preserve">↑↑ catalizador principal</t>
  </si>
  <si>
    <t xml:space="preserve">Plazo CMF para EEFF anuales (fecha exacta por confirmar en el calendario de Mallplaza)</t>
  </si>
  <si>
    <t xml:space="preserve">Año comercial 2027</t>
  </si>
  <si>
    <t xml:space="preserve">Rebaja del impuesto corporativo (Ley de Reconstrucción, promulgada 9-oct-26)</t>
  </si>
  <si>
    <t xml:space="preserve">27% → 25,5% (2027) → 24% (2028) → 23% (2029)</t>
  </si>
  <si>
    <t xml:space="preserve">↓ en contra (+5,2% al precio objetivo)</t>
  </si>
  <si>
    <t xml:space="preserve">Buk / Emol, 9-oct-26</t>
  </si>
  <si>
    <t xml:space="preserve">Ya ocurrido: 1 oct 2026</t>
  </si>
  <si>
    <t xml:space="preserve">Cierre de la compra de Gran Plaza (8 malls, Colombia)</t>
  </si>
  <si>
    <t xml:space="preserve">COP 1,18 billones; cap rate 9,4%; ~180.000 m²; aprobación SIC</t>
  </si>
  <si>
    <t xml:space="preserve">Neutral (−CLP 11/acción en el modelo)</t>
  </si>
  <si>
    <t xml:space="preserve">Emol, 1-oct-26</t>
  </si>
  <si>
    <t xml:space="preserve">Fuentes</t>
  </si>
  <si>
    <t xml:space="preserve">Bloomberg Terminal (Excel add-in), extraído 19-oct-26</t>
  </si>
  <si>
    <t xml:space="preserve">BDH PX_LAST semanal; CUR_MKT_CAP, NET_DEBT, MINORITY_NONCONTROLLING_INTEREST, IS_COMPARABLE_EBITDA trimestrales; BDP de mercado y balance (FUND_PER=Q)</t>
  </si>
  <si>
    <t xml:space="preserve">Banco Central de Chile, Tasas BCU y BCP 10 años</t>
  </si>
  <si>
    <t xml:space="preserve">https://si3.bcentral.cl/Siete/ES/Siete/Cuadro/CAP_BDP/MN_EST_MACRO_IV/PEM_TPMyTASAS/PEM_TPMyTASAS</t>
  </si>
  <si>
    <t xml:space="preserve">https://www.bcentral.cl/web/banco-central/noticias-y-publicaciones/prensa/calendario-de-politica-monetaria-y-financiera</t>
  </si>
  <si>
    <t xml:space="preserve">https://www.msci.com/eqb/pressreleases/archive/ir_dates.pdf</t>
  </si>
  <si>
    <t xml:space="preserve">Emol, Mallplaza concreta compra de malls en Colombia (1-oct-26)</t>
  </si>
  <si>
    <t xml:space="preserve">https://www.emol.com/noticias/Economia/2026/10/01/1212988/mallplaza-compra-malls-colombia.html</t>
  </si>
  <si>
    <t xml:space="preserve">Buk, Ley de Reconstrucción: calendario de medidas</t>
  </si>
  <si>
    <t xml:space="preserve">https://www.buk.cl/novedades/finanzas/ley-de-reconstruccion-calendario-medidas-finanzas</t>
  </si>
  <si>
    <t xml:space="preserve">La República, resultados 3T25 Mallplaza (10-nov-25)</t>
  </si>
  <si>
    <t xml:space="preserve">https://www.larepublica.co/empresas/mallplaza-tuvo-ingresos-record-de-us-170-7-millones-entre-julio-y-septiembre-4266938</t>
  </si>
  <si>
    <t xml:space="preserve">Modelo Mallplaza_Valoracion_Consolidada_v4.xlsx</t>
  </si>
  <si>
    <t xml:space="preserve">Capitalización de pares al 30-sep-26; deuda neta y minoritarios jun-26; EBITDA Perú (Anexo 11B del informe)</t>
  </si>
</sst>
</file>

<file path=xl/styles.xml><?xml version="1.0" encoding="utf-8"?>
<styleSheet xmlns="http://schemas.openxmlformats.org/spreadsheetml/2006/main">
  <numFmts count="13">
    <numFmt numFmtId="164" formatCode="General"/>
    <numFmt numFmtId="165" formatCode="dd\-mm\-yyyy"/>
    <numFmt numFmtId="166" formatCode="#,##0"/>
    <numFmt numFmtId="167" formatCode="0.00%"/>
    <numFmt numFmtId="168" formatCode="0"/>
    <numFmt numFmtId="169" formatCode="0%"/>
    <numFmt numFmtId="170" formatCode="#,##0.0"/>
    <numFmt numFmtId="171" formatCode="0.0"/>
    <numFmt numFmtId="172" formatCode="#,##0.00"/>
    <numFmt numFmtId="173" formatCode="0.0%"/>
    <numFmt numFmtId="174" formatCode="0.00"/>
    <numFmt numFmtId="175" formatCode="@"/>
    <numFmt numFmtId="176" formatCode="0.00\x"/>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1"/>
      <color theme="1"/>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color rgb="FF000000"/>
      <name val="Arial"/>
      <family val="0"/>
      <charset val="1"/>
    </font>
    <font>
      <sz val="10"/>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864"/>
        <bgColor rgb="FF333333"/>
      </patternFill>
    </fill>
    <fill>
      <patternFill patternType="solid">
        <fgColor rgb="FFD9E1F2"/>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5" fontId="10" fillId="0" borderId="0" xfId="0" applyFont="true" applyBorder="fals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4F81BD"/>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Cap rate pro forma vs BCU 10 años</a:t>
            </a:r>
          </a:p>
        </c:rich>
      </c:tx>
      <c:overlay val="0"/>
      <c:spPr>
        <a:noFill/>
        <a:ln w="0">
          <a:noFill/>
        </a:ln>
      </c:spPr>
    </c:title>
    <c:autoTitleDeleted val="0"/>
    <c:plotArea>
      <c:lineChart>
        <c:grouping val="standard"/>
        <c:varyColors val="0"/>
        <c:ser>
          <c:idx val="0"/>
          <c:order val="0"/>
          <c:tx>
            <c:strRef>
              <c:f>Fig_CapRate!I3</c:f>
              <c:strCache>
                <c:ptCount val="1"/>
                <c:pt idx="0">
                  <c:v>Cap rate pro forma</c:v>
                </c:pt>
              </c:strCache>
            </c:strRef>
          </c:tx>
          <c:spPr>
            <a:solidFill>
              <a:srgbClr val="1f3864"/>
            </a:solidFill>
            <a:ln w="2844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Fig_CapRate!$A$4:$A$18</c:f>
              <c:strCache>
                <c:ptCount val="15"/>
                <c:pt idx="0">
                  <c:v>4T22</c:v>
                </c:pt>
                <c:pt idx="1">
                  <c:v>2T23</c:v>
                </c:pt>
                <c:pt idx="2">
                  <c:v>3T23</c:v>
                </c:pt>
                <c:pt idx="3">
                  <c:v>4T23</c:v>
                </c:pt>
                <c:pt idx="4">
                  <c:v>1T24</c:v>
                </c:pt>
                <c:pt idx="5">
                  <c:v>2T24</c:v>
                </c:pt>
                <c:pt idx="6">
                  <c:v>3T24</c:v>
                </c:pt>
                <c:pt idx="7">
                  <c:v>4T24</c:v>
                </c:pt>
                <c:pt idx="8">
                  <c:v>1T25</c:v>
                </c:pt>
                <c:pt idx="9">
                  <c:v>2T25</c:v>
                </c:pt>
                <c:pt idx="10">
                  <c:v>3T25</c:v>
                </c:pt>
                <c:pt idx="11">
                  <c:v>4T25</c:v>
                </c:pt>
                <c:pt idx="12">
                  <c:v>1T26</c:v>
                </c:pt>
                <c:pt idx="13">
                  <c:v>2T26</c:v>
                </c:pt>
                <c:pt idx="14">
                  <c:v>30-sep-26</c:v>
                </c:pt>
              </c:strCache>
            </c:strRef>
          </c:cat>
          <c:val>
            <c:numRef>
              <c:f>Fig_CapRate!$I$4:$I$18</c:f>
              <c:numCache>
                <c:formatCode>0.00%</c:formatCode>
                <c:ptCount val="15"/>
                <c:pt idx="0">
                  <c:v>0.0868861449288061</c:v>
                </c:pt>
                <c:pt idx="1">
                  <c:v>0.0805798699018474</c:v>
                </c:pt>
                <c:pt idx="2">
                  <c:v>0.0885059860666724</c:v>
                </c:pt>
                <c:pt idx="3">
                  <c:v>0.0906971259038595</c:v>
                </c:pt>
                <c:pt idx="4">
                  <c:v>0.0893787836784433</c:v>
                </c:pt>
                <c:pt idx="5">
                  <c:v>0.0832776236211457</c:v>
                </c:pt>
                <c:pt idx="6">
                  <c:v>0.08512839306996</c:v>
                </c:pt>
                <c:pt idx="7">
                  <c:v>0.0944975963509696</c:v>
                </c:pt>
                <c:pt idx="8">
                  <c:v>0.0856340889823316</c:v>
                </c:pt>
                <c:pt idx="9">
                  <c:v>0.0835534123510307</c:v>
                </c:pt>
                <c:pt idx="10">
                  <c:v>0.071595457885602</c:v>
                </c:pt>
                <c:pt idx="11">
                  <c:v>0.0630488353503654</c:v>
                </c:pt>
                <c:pt idx="12">
                  <c:v>0.0537525569270111</c:v>
                </c:pt>
                <c:pt idx="13">
                  <c:v>0.0562693030125501</c:v>
                </c:pt>
                <c:pt idx="14">
                  <c:v>0.0595696699374472</c:v>
                </c:pt>
              </c:numCache>
            </c:numRef>
          </c:val>
          <c:smooth val="1"/>
        </c:ser>
        <c:ser>
          <c:idx val="1"/>
          <c:order val="1"/>
          <c:tx>
            <c:strRef>
              <c:f>Fig_CapRate!J3</c:f>
              <c:strCache>
                <c:ptCount val="1"/>
                <c:pt idx="0">
                  <c:v>BCU 10 años (%)</c:v>
                </c:pt>
              </c:strCache>
            </c:strRef>
          </c:tx>
          <c:spPr>
            <a:solidFill>
              <a:srgbClr val="5b9bd5"/>
            </a:solidFill>
            <a:ln w="28440">
              <a:solidFill>
                <a:srgbClr val="5b9bd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Fig_CapRate!$A$4:$A$18</c:f>
              <c:strCache>
                <c:ptCount val="15"/>
                <c:pt idx="0">
                  <c:v>4T22</c:v>
                </c:pt>
                <c:pt idx="1">
                  <c:v>2T23</c:v>
                </c:pt>
                <c:pt idx="2">
                  <c:v>3T23</c:v>
                </c:pt>
                <c:pt idx="3">
                  <c:v>4T23</c:v>
                </c:pt>
                <c:pt idx="4">
                  <c:v>1T24</c:v>
                </c:pt>
                <c:pt idx="5">
                  <c:v>2T24</c:v>
                </c:pt>
                <c:pt idx="6">
                  <c:v>3T24</c:v>
                </c:pt>
                <c:pt idx="7">
                  <c:v>4T24</c:v>
                </c:pt>
                <c:pt idx="8">
                  <c:v>1T25</c:v>
                </c:pt>
                <c:pt idx="9">
                  <c:v>2T25</c:v>
                </c:pt>
                <c:pt idx="10">
                  <c:v>3T25</c:v>
                </c:pt>
                <c:pt idx="11">
                  <c:v>4T25</c:v>
                </c:pt>
                <c:pt idx="12">
                  <c:v>1T26</c:v>
                </c:pt>
                <c:pt idx="13">
                  <c:v>2T26</c:v>
                </c:pt>
                <c:pt idx="14">
                  <c:v>30-sep-26</c:v>
                </c:pt>
              </c:strCache>
            </c:strRef>
          </c:cat>
          <c:val>
            <c:numRef>
              <c:f>Fig_CapRate!$J$4:$J$18</c:f>
              <c:numCache>
                <c:formatCode>0.00%</c:formatCode>
                <c:ptCount val="15"/>
                <c:pt idx="0">
                  <c:v>0.0165</c:v>
                </c:pt>
                <c:pt idx="1">
                  <c:v>0.0212</c:v>
                </c:pt>
                <c:pt idx="2">
                  <c:v>0.0262</c:v>
                </c:pt>
                <c:pt idx="3">
                  <c:v>0.0244</c:v>
                </c:pt>
                <c:pt idx="4">
                  <c:v>0.0246</c:v>
                </c:pt>
                <c:pt idx="5">
                  <c:v>0.0292</c:v>
                </c:pt>
                <c:pt idx="6">
                  <c:v>0.021</c:v>
                </c:pt>
                <c:pt idx="7">
                  <c:v>0.0242</c:v>
                </c:pt>
                <c:pt idx="8">
                  <c:v>0.0258</c:v>
                </c:pt>
                <c:pt idx="9">
                  <c:v>0.0261</c:v>
                </c:pt>
                <c:pt idx="10">
                  <c:v>0.0241</c:v>
                </c:pt>
                <c:pt idx="11">
                  <c:v>0.0233</c:v>
                </c:pt>
                <c:pt idx="12">
                  <c:v>0.0218</c:v>
                </c:pt>
                <c:pt idx="13">
                  <c:v>0.0247</c:v>
                </c:pt>
                <c:pt idx="14">
                  <c:v>0.0261</c:v>
                </c:pt>
              </c:numCache>
            </c:numRef>
          </c:val>
          <c:smooth val="1"/>
        </c:ser>
        <c:hiLowLines>
          <c:spPr>
            <a:ln w="0">
              <a:noFill/>
            </a:ln>
          </c:spPr>
        </c:hiLowLines>
        <c:marker val="0"/>
        <c:axId val="17006743"/>
        <c:axId val="31348432"/>
      </c:lineChart>
      <c:barChart>
        <c:barDir val="col"/>
        <c:grouping val="clustered"/>
        <c:varyColors val="0"/>
        <c:ser>
          <c:idx val="2"/>
          <c:order val="2"/>
          <c:tx>
            <c:strRef>
              <c:f>Fig_CapRate!K3</c:f>
              <c:strCache>
                <c:ptCount val="1"/>
                <c:pt idx="0">
                  <c:v>Spread (pb)</c:v>
                </c:pt>
              </c:strCache>
            </c:strRef>
          </c:tx>
          <c:spPr>
            <a:solidFill>
              <a:srgbClr val="d9d9d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Fig_CapRate!$A$4:$A$18</c:f>
              <c:strCache>
                <c:ptCount val="15"/>
                <c:pt idx="0">
                  <c:v>4T22</c:v>
                </c:pt>
                <c:pt idx="1">
                  <c:v>2T23</c:v>
                </c:pt>
                <c:pt idx="2">
                  <c:v>3T23</c:v>
                </c:pt>
                <c:pt idx="3">
                  <c:v>4T23</c:v>
                </c:pt>
                <c:pt idx="4">
                  <c:v>1T24</c:v>
                </c:pt>
                <c:pt idx="5">
                  <c:v>2T24</c:v>
                </c:pt>
                <c:pt idx="6">
                  <c:v>3T24</c:v>
                </c:pt>
                <c:pt idx="7">
                  <c:v>4T24</c:v>
                </c:pt>
                <c:pt idx="8">
                  <c:v>1T25</c:v>
                </c:pt>
                <c:pt idx="9">
                  <c:v>2T25</c:v>
                </c:pt>
                <c:pt idx="10">
                  <c:v>3T25</c:v>
                </c:pt>
                <c:pt idx="11">
                  <c:v>4T25</c:v>
                </c:pt>
                <c:pt idx="12">
                  <c:v>1T26</c:v>
                </c:pt>
                <c:pt idx="13">
                  <c:v>2T26</c:v>
                </c:pt>
                <c:pt idx="14">
                  <c:v>30-sep-26</c:v>
                </c:pt>
              </c:strCache>
            </c:strRef>
          </c:cat>
          <c:val>
            <c:numRef>
              <c:f>Fig_CapRate!$K$4:$K$18</c:f>
              <c:numCache>
                <c:formatCode>0</c:formatCode>
                <c:ptCount val="15"/>
                <c:pt idx="0">
                  <c:v>703.861449288061</c:v>
                </c:pt>
                <c:pt idx="1">
                  <c:v>593.798699018475</c:v>
                </c:pt>
                <c:pt idx="2">
                  <c:v>623.059860666724</c:v>
                </c:pt>
                <c:pt idx="3">
                  <c:v>662.971259038595</c:v>
                </c:pt>
                <c:pt idx="4">
                  <c:v>647.787836784433</c:v>
                </c:pt>
                <c:pt idx="5">
                  <c:v>540.776236211457</c:v>
                </c:pt>
                <c:pt idx="6">
                  <c:v>641.283930699599</c:v>
                </c:pt>
                <c:pt idx="7">
                  <c:v>702.975963509696</c:v>
                </c:pt>
                <c:pt idx="8">
                  <c:v>598.340889823316</c:v>
                </c:pt>
                <c:pt idx="9">
                  <c:v>574.534123510307</c:v>
                </c:pt>
                <c:pt idx="10">
                  <c:v>474.95457885602</c:v>
                </c:pt>
                <c:pt idx="11">
                  <c:v>397.488353503654</c:v>
                </c:pt>
                <c:pt idx="12">
                  <c:v>319.525569270111</c:v>
                </c:pt>
                <c:pt idx="13">
                  <c:v>315.693030125501</c:v>
                </c:pt>
                <c:pt idx="14">
                  <c:v>334.696699374472</c:v>
                </c:pt>
              </c:numCache>
            </c:numRef>
          </c:val>
        </c:ser>
        <c:gapWidth val="150"/>
        <c:overlap val="0"/>
        <c:axId val="27687265"/>
        <c:axId val="69561132"/>
      </c:barChart>
      <c:catAx>
        <c:axId val="170067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348432"/>
        <c:crosses val="autoZero"/>
        <c:auto val="1"/>
        <c:lblAlgn val="ctr"/>
        <c:lblOffset val="100"/>
        <c:noMultiLvlLbl val="0"/>
      </c:catAx>
      <c:valAx>
        <c:axId val="313484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006743"/>
        <c:crosses val="autoZero"/>
        <c:crossBetween val="between"/>
      </c:valAx>
      <c:catAx>
        <c:axId val="27687265"/>
        <c:scaling>
          <c:orientation val="minMax"/>
        </c:scaling>
        <c:delete val="0"/>
        <c:axPos val="t"/>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561132"/>
        <c:crosses val="autoZero"/>
        <c:auto val="1"/>
        <c:lblAlgn val="ctr"/>
        <c:lblOffset val="100"/>
        <c:noMultiLvlLbl val="0"/>
      </c:catAx>
      <c:valAx>
        <c:axId val="69561132"/>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pb</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687265"/>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Base 100 = 1-oct-21</a:t>
            </a:r>
          </a:p>
        </c:rich>
      </c:tx>
      <c:overlay val="0"/>
      <c:spPr>
        <a:noFill/>
        <a:ln w="0">
          <a:noFill/>
        </a:ln>
      </c:spPr>
    </c:title>
    <c:autoTitleDeleted val="0"/>
    <c:plotArea>
      <c:lineChart>
        <c:grouping val="standard"/>
        <c:varyColors val="0"/>
        <c:ser>
          <c:idx val="0"/>
          <c:order val="0"/>
          <c:tx>
            <c:strRef>
              <c:f>Fig_Precio!G3</c:f>
              <c:strCache>
                <c:ptCount val="1"/>
                <c:pt idx="0">
                  <c:v>Mallplaza (base 100)</c:v>
                </c:pt>
              </c:strCache>
            </c:strRef>
          </c:tx>
          <c:spPr>
            <a:solidFill>
              <a:srgbClr val="1f3864"/>
            </a:solidFill>
            <a:ln w="2844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Fig_Precio!$A$4:$A$265</c:f>
              <c:strCache>
                <c:ptCount val="262"/>
                <c:pt idx="0">
                  <c:v>01-10-2021</c:v>
                </c:pt>
                <c:pt idx="1">
                  <c:v>08-10-2021</c:v>
                </c:pt>
                <c:pt idx="2">
                  <c:v>15-10-2021</c:v>
                </c:pt>
                <c:pt idx="3">
                  <c:v>22-10-2021</c:v>
                </c:pt>
                <c:pt idx="4">
                  <c:v>29-10-2021</c:v>
                </c:pt>
                <c:pt idx="5">
                  <c:v>05-11-2021</c:v>
                </c:pt>
                <c:pt idx="6">
                  <c:v>12-11-2021</c:v>
                </c:pt>
                <c:pt idx="7">
                  <c:v>19-11-2021</c:v>
                </c:pt>
                <c:pt idx="8">
                  <c:v>26-11-2021</c:v>
                </c:pt>
                <c:pt idx="9">
                  <c:v>03-12-2021</c:v>
                </c:pt>
                <c:pt idx="10">
                  <c:v>10-12-2021</c:v>
                </c:pt>
                <c:pt idx="11">
                  <c:v>17-12-2021</c:v>
                </c:pt>
                <c:pt idx="12">
                  <c:v>24-12-2021</c:v>
                </c:pt>
                <c:pt idx="13">
                  <c:v>31-12-2021</c:v>
                </c:pt>
                <c:pt idx="14">
                  <c:v>07-01-2022</c:v>
                </c:pt>
                <c:pt idx="15">
                  <c:v>14-01-2022</c:v>
                </c:pt>
                <c:pt idx="16">
                  <c:v>21-01-2022</c:v>
                </c:pt>
                <c:pt idx="17">
                  <c:v>28-01-2022</c:v>
                </c:pt>
                <c:pt idx="18">
                  <c:v>04-02-2022</c:v>
                </c:pt>
                <c:pt idx="19">
                  <c:v>11-02-2022</c:v>
                </c:pt>
                <c:pt idx="20">
                  <c:v>18-02-2022</c:v>
                </c:pt>
                <c:pt idx="21">
                  <c:v>25-02-2022</c:v>
                </c:pt>
                <c:pt idx="22">
                  <c:v>04-03-2022</c:v>
                </c:pt>
                <c:pt idx="23">
                  <c:v>11-03-2022</c:v>
                </c:pt>
                <c:pt idx="24">
                  <c:v>18-03-2022</c:v>
                </c:pt>
                <c:pt idx="25">
                  <c:v>25-03-2022</c:v>
                </c:pt>
                <c:pt idx="26">
                  <c:v>01-04-2022</c:v>
                </c:pt>
                <c:pt idx="27">
                  <c:v>08-04-2022</c:v>
                </c:pt>
                <c:pt idx="28">
                  <c:v>15-04-2022</c:v>
                </c:pt>
                <c:pt idx="29">
                  <c:v>22-04-2022</c:v>
                </c:pt>
                <c:pt idx="30">
                  <c:v>29-04-2022</c:v>
                </c:pt>
                <c:pt idx="31">
                  <c:v>06-05-2022</c:v>
                </c:pt>
                <c:pt idx="32">
                  <c:v>13-05-2022</c:v>
                </c:pt>
                <c:pt idx="33">
                  <c:v>20-05-2022</c:v>
                </c:pt>
                <c:pt idx="34">
                  <c:v>27-05-2022</c:v>
                </c:pt>
                <c:pt idx="35">
                  <c:v>03-06-2022</c:v>
                </c:pt>
                <c:pt idx="36">
                  <c:v>10-06-2022</c:v>
                </c:pt>
                <c:pt idx="37">
                  <c:v>17-06-2022</c:v>
                </c:pt>
                <c:pt idx="38">
                  <c:v>24-06-2022</c:v>
                </c:pt>
                <c:pt idx="39">
                  <c:v>01-07-2022</c:v>
                </c:pt>
                <c:pt idx="40">
                  <c:v>08-07-2022</c:v>
                </c:pt>
                <c:pt idx="41">
                  <c:v>15-07-2022</c:v>
                </c:pt>
                <c:pt idx="42">
                  <c:v>22-07-2022</c:v>
                </c:pt>
                <c:pt idx="43">
                  <c:v>29-07-2022</c:v>
                </c:pt>
                <c:pt idx="44">
                  <c:v>05-08-2022</c:v>
                </c:pt>
                <c:pt idx="45">
                  <c:v>12-08-2022</c:v>
                </c:pt>
                <c:pt idx="46">
                  <c:v>19-08-2022</c:v>
                </c:pt>
                <c:pt idx="47">
                  <c:v>26-08-2022</c:v>
                </c:pt>
                <c:pt idx="48">
                  <c:v>02-09-2022</c:v>
                </c:pt>
                <c:pt idx="49">
                  <c:v>09-09-2022</c:v>
                </c:pt>
                <c:pt idx="50">
                  <c:v>16-09-2022</c:v>
                </c:pt>
                <c:pt idx="51">
                  <c:v>23-09-2022</c:v>
                </c:pt>
                <c:pt idx="52">
                  <c:v>30-09-2022</c:v>
                </c:pt>
                <c:pt idx="53">
                  <c:v>07-10-2022</c:v>
                </c:pt>
                <c:pt idx="54">
                  <c:v>14-10-2022</c:v>
                </c:pt>
                <c:pt idx="55">
                  <c:v>21-10-2022</c:v>
                </c:pt>
                <c:pt idx="56">
                  <c:v>28-10-2022</c:v>
                </c:pt>
                <c:pt idx="57">
                  <c:v>04-11-2022</c:v>
                </c:pt>
                <c:pt idx="58">
                  <c:v>11-11-2022</c:v>
                </c:pt>
                <c:pt idx="59">
                  <c:v>18-11-2022</c:v>
                </c:pt>
                <c:pt idx="60">
                  <c:v>25-11-2022</c:v>
                </c:pt>
                <c:pt idx="61">
                  <c:v>02-12-2022</c:v>
                </c:pt>
                <c:pt idx="62">
                  <c:v>09-12-2022</c:v>
                </c:pt>
                <c:pt idx="63">
                  <c:v>16-12-2022</c:v>
                </c:pt>
                <c:pt idx="64">
                  <c:v>23-12-2022</c:v>
                </c:pt>
                <c:pt idx="65">
                  <c:v>30-12-2022</c:v>
                </c:pt>
                <c:pt idx="66">
                  <c:v>06-01-2023</c:v>
                </c:pt>
                <c:pt idx="67">
                  <c:v>13-01-2023</c:v>
                </c:pt>
                <c:pt idx="68">
                  <c:v>20-01-2023</c:v>
                </c:pt>
                <c:pt idx="69">
                  <c:v>27-01-2023</c:v>
                </c:pt>
                <c:pt idx="70">
                  <c:v>03-02-2023</c:v>
                </c:pt>
                <c:pt idx="71">
                  <c:v>10-02-2023</c:v>
                </c:pt>
                <c:pt idx="72">
                  <c:v>17-02-2023</c:v>
                </c:pt>
                <c:pt idx="73">
                  <c:v>24-02-2023</c:v>
                </c:pt>
                <c:pt idx="74">
                  <c:v>03-03-2023</c:v>
                </c:pt>
                <c:pt idx="75">
                  <c:v>10-03-2023</c:v>
                </c:pt>
                <c:pt idx="76">
                  <c:v>17-03-2023</c:v>
                </c:pt>
                <c:pt idx="77">
                  <c:v>24-03-2023</c:v>
                </c:pt>
                <c:pt idx="78">
                  <c:v>31-03-2023</c:v>
                </c:pt>
                <c:pt idx="79">
                  <c:v>07-04-2023</c:v>
                </c:pt>
                <c:pt idx="80">
                  <c:v>14-04-2023</c:v>
                </c:pt>
                <c:pt idx="81">
                  <c:v>21-04-2023</c:v>
                </c:pt>
                <c:pt idx="82">
                  <c:v>28-04-2023</c:v>
                </c:pt>
                <c:pt idx="83">
                  <c:v>05-05-2023</c:v>
                </c:pt>
                <c:pt idx="84">
                  <c:v>12-05-2023</c:v>
                </c:pt>
                <c:pt idx="85">
                  <c:v>19-05-2023</c:v>
                </c:pt>
                <c:pt idx="86">
                  <c:v>26-05-2023</c:v>
                </c:pt>
                <c:pt idx="87">
                  <c:v>02-06-2023</c:v>
                </c:pt>
                <c:pt idx="88">
                  <c:v>09-06-2023</c:v>
                </c:pt>
                <c:pt idx="89">
                  <c:v>16-06-2023</c:v>
                </c:pt>
                <c:pt idx="90">
                  <c:v>23-06-2023</c:v>
                </c:pt>
                <c:pt idx="91">
                  <c:v>30-06-2023</c:v>
                </c:pt>
                <c:pt idx="92">
                  <c:v>07-07-2023</c:v>
                </c:pt>
                <c:pt idx="93">
                  <c:v>14-07-2023</c:v>
                </c:pt>
                <c:pt idx="94">
                  <c:v>21-07-2023</c:v>
                </c:pt>
                <c:pt idx="95">
                  <c:v>28-07-2023</c:v>
                </c:pt>
                <c:pt idx="96">
                  <c:v>04-08-2023</c:v>
                </c:pt>
                <c:pt idx="97">
                  <c:v>11-08-2023</c:v>
                </c:pt>
                <c:pt idx="98">
                  <c:v>18-08-2023</c:v>
                </c:pt>
                <c:pt idx="99">
                  <c:v>25-08-2023</c:v>
                </c:pt>
                <c:pt idx="100">
                  <c:v>01-09-2023</c:v>
                </c:pt>
                <c:pt idx="101">
                  <c:v>08-09-2023</c:v>
                </c:pt>
                <c:pt idx="102">
                  <c:v>15-09-2023</c:v>
                </c:pt>
                <c:pt idx="103">
                  <c:v>22-09-2023</c:v>
                </c:pt>
                <c:pt idx="104">
                  <c:v>29-09-2023</c:v>
                </c:pt>
                <c:pt idx="105">
                  <c:v>06-10-2023</c:v>
                </c:pt>
                <c:pt idx="106">
                  <c:v>13-10-2023</c:v>
                </c:pt>
                <c:pt idx="107">
                  <c:v>20-10-2023</c:v>
                </c:pt>
                <c:pt idx="108">
                  <c:v>27-10-2023</c:v>
                </c:pt>
                <c:pt idx="109">
                  <c:v>03-11-2023</c:v>
                </c:pt>
                <c:pt idx="110">
                  <c:v>10-11-2023</c:v>
                </c:pt>
                <c:pt idx="111">
                  <c:v>17-11-2023</c:v>
                </c:pt>
                <c:pt idx="112">
                  <c:v>24-11-2023</c:v>
                </c:pt>
                <c:pt idx="113">
                  <c:v>01-12-2023</c:v>
                </c:pt>
                <c:pt idx="114">
                  <c:v>08-12-2023</c:v>
                </c:pt>
                <c:pt idx="115">
                  <c:v>15-12-2023</c:v>
                </c:pt>
                <c:pt idx="116">
                  <c:v>22-12-2023</c:v>
                </c:pt>
                <c:pt idx="117">
                  <c:v>29-12-2023</c:v>
                </c:pt>
                <c:pt idx="118">
                  <c:v>05-01-2024</c:v>
                </c:pt>
                <c:pt idx="119">
                  <c:v>12-01-2024</c:v>
                </c:pt>
                <c:pt idx="120">
                  <c:v>19-01-2024</c:v>
                </c:pt>
                <c:pt idx="121">
                  <c:v>26-01-2024</c:v>
                </c:pt>
                <c:pt idx="122">
                  <c:v>02-02-2024</c:v>
                </c:pt>
                <c:pt idx="123">
                  <c:v>09-02-2024</c:v>
                </c:pt>
                <c:pt idx="124">
                  <c:v>16-02-2024</c:v>
                </c:pt>
                <c:pt idx="125">
                  <c:v>23-02-2024</c:v>
                </c:pt>
                <c:pt idx="126">
                  <c:v>01-03-2024</c:v>
                </c:pt>
                <c:pt idx="127">
                  <c:v>08-03-2024</c:v>
                </c:pt>
                <c:pt idx="128">
                  <c:v>15-03-2024</c:v>
                </c:pt>
                <c:pt idx="129">
                  <c:v>22-03-2024</c:v>
                </c:pt>
                <c:pt idx="130">
                  <c:v>29-03-2024</c:v>
                </c:pt>
                <c:pt idx="131">
                  <c:v>05-04-2024</c:v>
                </c:pt>
                <c:pt idx="132">
                  <c:v>12-04-2024</c:v>
                </c:pt>
                <c:pt idx="133">
                  <c:v>19-04-2024</c:v>
                </c:pt>
                <c:pt idx="134">
                  <c:v>26-04-2024</c:v>
                </c:pt>
                <c:pt idx="135">
                  <c:v>03-05-2024</c:v>
                </c:pt>
                <c:pt idx="136">
                  <c:v>10-05-2024</c:v>
                </c:pt>
                <c:pt idx="137">
                  <c:v>17-05-2024</c:v>
                </c:pt>
                <c:pt idx="138">
                  <c:v>24-05-2024</c:v>
                </c:pt>
                <c:pt idx="139">
                  <c:v>31-05-2024</c:v>
                </c:pt>
                <c:pt idx="140">
                  <c:v>07-06-2024</c:v>
                </c:pt>
                <c:pt idx="141">
                  <c:v>14-06-2024</c:v>
                </c:pt>
                <c:pt idx="142">
                  <c:v>21-06-2024</c:v>
                </c:pt>
                <c:pt idx="143">
                  <c:v>28-06-2024</c:v>
                </c:pt>
                <c:pt idx="144">
                  <c:v>05-07-2024</c:v>
                </c:pt>
                <c:pt idx="145">
                  <c:v>12-07-2024</c:v>
                </c:pt>
                <c:pt idx="146">
                  <c:v>19-07-2024</c:v>
                </c:pt>
                <c:pt idx="147">
                  <c:v>26-07-2024</c:v>
                </c:pt>
                <c:pt idx="148">
                  <c:v>02-08-2024</c:v>
                </c:pt>
                <c:pt idx="149">
                  <c:v>09-08-2024</c:v>
                </c:pt>
                <c:pt idx="150">
                  <c:v>16-08-2024</c:v>
                </c:pt>
                <c:pt idx="151">
                  <c:v>23-08-2024</c:v>
                </c:pt>
                <c:pt idx="152">
                  <c:v>30-08-2024</c:v>
                </c:pt>
                <c:pt idx="153">
                  <c:v>06-09-2024</c:v>
                </c:pt>
                <c:pt idx="154">
                  <c:v>13-09-2024</c:v>
                </c:pt>
                <c:pt idx="155">
                  <c:v>20-09-2024</c:v>
                </c:pt>
                <c:pt idx="156">
                  <c:v>27-09-2024</c:v>
                </c:pt>
                <c:pt idx="157">
                  <c:v>04-10-2024</c:v>
                </c:pt>
                <c:pt idx="158">
                  <c:v>11-10-2024</c:v>
                </c:pt>
                <c:pt idx="159">
                  <c:v>18-10-2024</c:v>
                </c:pt>
                <c:pt idx="160">
                  <c:v>25-10-2024</c:v>
                </c:pt>
                <c:pt idx="161">
                  <c:v>01-11-2024</c:v>
                </c:pt>
                <c:pt idx="162">
                  <c:v>08-11-2024</c:v>
                </c:pt>
                <c:pt idx="163">
                  <c:v>15-11-2024</c:v>
                </c:pt>
                <c:pt idx="164">
                  <c:v>22-11-2024</c:v>
                </c:pt>
                <c:pt idx="165">
                  <c:v>29-11-2024</c:v>
                </c:pt>
                <c:pt idx="166">
                  <c:v>06-12-2024</c:v>
                </c:pt>
                <c:pt idx="167">
                  <c:v>13-12-2024</c:v>
                </c:pt>
                <c:pt idx="168">
                  <c:v>20-12-2024</c:v>
                </c:pt>
                <c:pt idx="169">
                  <c:v>27-12-2024</c:v>
                </c:pt>
                <c:pt idx="170">
                  <c:v>03-01-2025</c:v>
                </c:pt>
                <c:pt idx="171">
                  <c:v>10-01-2025</c:v>
                </c:pt>
                <c:pt idx="172">
                  <c:v>17-01-2025</c:v>
                </c:pt>
                <c:pt idx="173">
                  <c:v>24-01-2025</c:v>
                </c:pt>
                <c:pt idx="174">
                  <c:v>31-01-2025</c:v>
                </c:pt>
                <c:pt idx="175">
                  <c:v>07-02-2025</c:v>
                </c:pt>
                <c:pt idx="176">
                  <c:v>14-02-2025</c:v>
                </c:pt>
                <c:pt idx="177">
                  <c:v>21-02-2025</c:v>
                </c:pt>
                <c:pt idx="178">
                  <c:v>28-02-2025</c:v>
                </c:pt>
                <c:pt idx="179">
                  <c:v>07-03-2025</c:v>
                </c:pt>
                <c:pt idx="180">
                  <c:v>14-03-2025</c:v>
                </c:pt>
                <c:pt idx="181">
                  <c:v>21-03-2025</c:v>
                </c:pt>
                <c:pt idx="182">
                  <c:v>28-03-2025</c:v>
                </c:pt>
                <c:pt idx="183">
                  <c:v>04-04-2025</c:v>
                </c:pt>
                <c:pt idx="184">
                  <c:v>11-04-2025</c:v>
                </c:pt>
                <c:pt idx="185">
                  <c:v>18-04-2025</c:v>
                </c:pt>
                <c:pt idx="186">
                  <c:v>25-04-2025</c:v>
                </c:pt>
                <c:pt idx="187">
                  <c:v>02-05-2025</c:v>
                </c:pt>
                <c:pt idx="188">
                  <c:v>09-05-2025</c:v>
                </c:pt>
                <c:pt idx="189">
                  <c:v>16-05-2025</c:v>
                </c:pt>
                <c:pt idx="190">
                  <c:v>23-05-2025</c:v>
                </c:pt>
                <c:pt idx="191">
                  <c:v>30-05-2025</c:v>
                </c:pt>
                <c:pt idx="192">
                  <c:v>06-06-2025</c:v>
                </c:pt>
                <c:pt idx="193">
                  <c:v>13-06-2025</c:v>
                </c:pt>
                <c:pt idx="194">
                  <c:v>20-06-2025</c:v>
                </c:pt>
                <c:pt idx="195">
                  <c:v>27-06-2025</c:v>
                </c:pt>
                <c:pt idx="196">
                  <c:v>04-07-2025</c:v>
                </c:pt>
                <c:pt idx="197">
                  <c:v>11-07-2025</c:v>
                </c:pt>
                <c:pt idx="198">
                  <c:v>18-07-2025</c:v>
                </c:pt>
                <c:pt idx="199">
                  <c:v>25-07-2025</c:v>
                </c:pt>
                <c:pt idx="200">
                  <c:v>01-08-2025</c:v>
                </c:pt>
                <c:pt idx="201">
                  <c:v>08-08-2025</c:v>
                </c:pt>
                <c:pt idx="202">
                  <c:v>15-08-2025</c:v>
                </c:pt>
                <c:pt idx="203">
                  <c:v>22-08-2025</c:v>
                </c:pt>
                <c:pt idx="204">
                  <c:v>29-08-2025</c:v>
                </c:pt>
                <c:pt idx="205">
                  <c:v>05-09-2025</c:v>
                </c:pt>
                <c:pt idx="206">
                  <c:v>12-09-2025</c:v>
                </c:pt>
                <c:pt idx="207">
                  <c:v>19-09-2025</c:v>
                </c:pt>
                <c:pt idx="208">
                  <c:v>26-09-2025</c:v>
                </c:pt>
                <c:pt idx="209">
                  <c:v>03-10-2025</c:v>
                </c:pt>
                <c:pt idx="210">
                  <c:v>10-10-2025</c:v>
                </c:pt>
                <c:pt idx="211">
                  <c:v>17-10-2025</c:v>
                </c:pt>
                <c:pt idx="212">
                  <c:v>24-10-2025</c:v>
                </c:pt>
                <c:pt idx="213">
                  <c:v>31-10-2025</c:v>
                </c:pt>
                <c:pt idx="214">
                  <c:v>07-11-2025</c:v>
                </c:pt>
                <c:pt idx="215">
                  <c:v>14-11-2025</c:v>
                </c:pt>
                <c:pt idx="216">
                  <c:v>21-11-2025</c:v>
                </c:pt>
                <c:pt idx="217">
                  <c:v>28-11-2025</c:v>
                </c:pt>
                <c:pt idx="218">
                  <c:v>05-12-2025</c:v>
                </c:pt>
                <c:pt idx="219">
                  <c:v>12-12-2025</c:v>
                </c:pt>
                <c:pt idx="220">
                  <c:v>19-12-2025</c:v>
                </c:pt>
                <c:pt idx="221">
                  <c:v>26-12-2025</c:v>
                </c:pt>
                <c:pt idx="222">
                  <c:v>02-01-2026</c:v>
                </c:pt>
                <c:pt idx="223">
                  <c:v>09-01-2026</c:v>
                </c:pt>
                <c:pt idx="224">
                  <c:v>16-01-2026</c:v>
                </c:pt>
                <c:pt idx="225">
                  <c:v>23-01-2026</c:v>
                </c:pt>
                <c:pt idx="226">
                  <c:v>30-01-2026</c:v>
                </c:pt>
                <c:pt idx="227">
                  <c:v>06-02-2026</c:v>
                </c:pt>
                <c:pt idx="228">
                  <c:v>13-02-2026</c:v>
                </c:pt>
                <c:pt idx="229">
                  <c:v>20-02-2026</c:v>
                </c:pt>
                <c:pt idx="230">
                  <c:v>27-02-2026</c:v>
                </c:pt>
                <c:pt idx="231">
                  <c:v>06-03-2026</c:v>
                </c:pt>
                <c:pt idx="232">
                  <c:v>13-03-2026</c:v>
                </c:pt>
                <c:pt idx="233">
                  <c:v>20-03-2026</c:v>
                </c:pt>
                <c:pt idx="234">
                  <c:v>27-03-2026</c:v>
                </c:pt>
                <c:pt idx="235">
                  <c:v>03-04-2026</c:v>
                </c:pt>
                <c:pt idx="236">
                  <c:v>10-04-2026</c:v>
                </c:pt>
                <c:pt idx="237">
                  <c:v>17-04-2026</c:v>
                </c:pt>
                <c:pt idx="238">
                  <c:v>24-04-2026</c:v>
                </c:pt>
                <c:pt idx="239">
                  <c:v>01-05-2026</c:v>
                </c:pt>
                <c:pt idx="240">
                  <c:v>08-05-2026</c:v>
                </c:pt>
                <c:pt idx="241">
                  <c:v>15-05-2026</c:v>
                </c:pt>
                <c:pt idx="242">
                  <c:v>22-05-2026</c:v>
                </c:pt>
                <c:pt idx="243">
                  <c:v>29-05-2026</c:v>
                </c:pt>
                <c:pt idx="244">
                  <c:v>05-06-2026</c:v>
                </c:pt>
                <c:pt idx="245">
                  <c:v>12-06-2026</c:v>
                </c:pt>
                <c:pt idx="246">
                  <c:v>19-06-2026</c:v>
                </c:pt>
                <c:pt idx="247">
                  <c:v>26-06-2026</c:v>
                </c:pt>
                <c:pt idx="248">
                  <c:v>03-07-2026</c:v>
                </c:pt>
                <c:pt idx="249">
                  <c:v>10-07-2026</c:v>
                </c:pt>
                <c:pt idx="250">
                  <c:v>17-07-2026</c:v>
                </c:pt>
                <c:pt idx="251">
                  <c:v>24-07-2026</c:v>
                </c:pt>
                <c:pt idx="252">
                  <c:v>31-07-2026</c:v>
                </c:pt>
                <c:pt idx="253">
                  <c:v>07-08-2026</c:v>
                </c:pt>
                <c:pt idx="254">
                  <c:v>14-08-2026</c:v>
                </c:pt>
                <c:pt idx="255">
                  <c:v>21-08-2026</c:v>
                </c:pt>
                <c:pt idx="256">
                  <c:v>28-08-2026</c:v>
                </c:pt>
                <c:pt idx="257">
                  <c:v>04-09-2026</c:v>
                </c:pt>
                <c:pt idx="258">
                  <c:v>11-09-2026</c:v>
                </c:pt>
                <c:pt idx="259">
                  <c:v>18-09-2026</c:v>
                </c:pt>
                <c:pt idx="260">
                  <c:v>25-09-2026</c:v>
                </c:pt>
                <c:pt idx="261">
                  <c:v>30-09-2026</c:v>
                </c:pt>
              </c:strCache>
            </c:strRef>
          </c:cat>
          <c:val>
            <c:numRef>
              <c:f>Fig_Precio!$G$4:$G$265</c:f>
              <c:numCache>
                <c:formatCode>0.0</c:formatCode>
                <c:ptCount val="262"/>
                <c:pt idx="0">
                  <c:v>100</c:v>
                </c:pt>
                <c:pt idx="1">
                  <c:v>85.887207348257</c:v>
                </c:pt>
                <c:pt idx="2">
                  <c:v>81.4625965935325</c:v>
                </c:pt>
                <c:pt idx="3">
                  <c:v>89.0269512655306</c:v>
                </c:pt>
                <c:pt idx="4">
                  <c:v>94.4791976730832</c:v>
                </c:pt>
                <c:pt idx="5">
                  <c:v>104.155777799132</c:v>
                </c:pt>
                <c:pt idx="6">
                  <c:v>109.314698623491</c:v>
                </c:pt>
                <c:pt idx="7">
                  <c:v>104.139488443933</c:v>
                </c:pt>
                <c:pt idx="8">
                  <c:v>111.72013247113</c:v>
                </c:pt>
                <c:pt idx="9">
                  <c:v>95.3193299567102</c:v>
                </c:pt>
                <c:pt idx="10">
                  <c:v>101.330102025271</c:v>
                </c:pt>
                <c:pt idx="11">
                  <c:v>93.2164796711191</c:v>
                </c:pt>
                <c:pt idx="12">
                  <c:v>102.991967824422</c:v>
                </c:pt>
                <c:pt idx="13">
                  <c:v>109.277432328862</c:v>
                </c:pt>
                <c:pt idx="14">
                  <c:v>96.3528250898258</c:v>
                </c:pt>
                <c:pt idx="15">
                  <c:v>101.479167203786</c:v>
                </c:pt>
                <c:pt idx="16">
                  <c:v>105.319470584237</c:v>
                </c:pt>
                <c:pt idx="17">
                  <c:v>107.680723950509</c:v>
                </c:pt>
                <c:pt idx="18">
                  <c:v>104.161520089814</c:v>
                </c:pt>
                <c:pt idx="19">
                  <c:v>102.756885475286</c:v>
                </c:pt>
                <c:pt idx="20">
                  <c:v>100.431726507586</c:v>
                </c:pt>
                <c:pt idx="21">
                  <c:v>98.9189258869495</c:v>
                </c:pt>
                <c:pt idx="22">
                  <c:v>101.129942178649</c:v>
                </c:pt>
                <c:pt idx="23">
                  <c:v>98.1042237477705</c:v>
                </c:pt>
                <c:pt idx="24">
                  <c:v>96.0094595449762</c:v>
                </c:pt>
                <c:pt idx="25">
                  <c:v>94.4640802139413</c:v>
                </c:pt>
                <c:pt idx="26">
                  <c:v>97.7551159122391</c:v>
                </c:pt>
                <c:pt idx="27">
                  <c:v>96.5914231271343</c:v>
                </c:pt>
                <c:pt idx="28">
                  <c:v>97.1615505591116</c:v>
                </c:pt>
                <c:pt idx="29">
                  <c:v>93.681956785161</c:v>
                </c:pt>
                <c:pt idx="30">
                  <c:v>92.1004830555549</c:v>
                </c:pt>
                <c:pt idx="31">
                  <c:v>93.1001103926086</c:v>
                </c:pt>
                <c:pt idx="32">
                  <c:v>88.7918689163946</c:v>
                </c:pt>
                <c:pt idx="33">
                  <c:v>84.6035124068636</c:v>
                </c:pt>
                <c:pt idx="34">
                  <c:v>91.9433317942432</c:v>
                </c:pt>
                <c:pt idx="35">
                  <c:v>92.4123245964576</c:v>
                </c:pt>
                <c:pt idx="36">
                  <c:v>94.2639203673191</c:v>
                </c:pt>
                <c:pt idx="37">
                  <c:v>88.7127659325129</c:v>
                </c:pt>
                <c:pt idx="38">
                  <c:v>84.7188269789223</c:v>
                </c:pt>
                <c:pt idx="39">
                  <c:v>81.2565772666228</c:v>
                </c:pt>
                <c:pt idx="40">
                  <c:v>81.4625965935325</c:v>
                </c:pt>
                <c:pt idx="41">
                  <c:v>79.6470952212423</c:v>
                </c:pt>
                <c:pt idx="42">
                  <c:v>82.0165518599162</c:v>
                </c:pt>
                <c:pt idx="43">
                  <c:v>89.4936002756299</c:v>
                </c:pt>
                <c:pt idx="44">
                  <c:v>86.4667099486944</c:v>
                </c:pt>
                <c:pt idx="45">
                  <c:v>93.9821965550944</c:v>
                </c:pt>
                <c:pt idx="46">
                  <c:v>97.8551958355502</c:v>
                </c:pt>
                <c:pt idx="47">
                  <c:v>105.878113434851</c:v>
                </c:pt>
                <c:pt idx="48">
                  <c:v>117.422461497355</c:v>
                </c:pt>
                <c:pt idx="49">
                  <c:v>100.984509877912</c:v>
                </c:pt>
                <c:pt idx="50">
                  <c:v>101.115996615564</c:v>
                </c:pt>
                <c:pt idx="51">
                  <c:v>93.681956785161</c:v>
                </c:pt>
                <c:pt idx="52">
                  <c:v>90.8889769113039</c:v>
                </c:pt>
                <c:pt idx="53">
                  <c:v>93.2758948012347</c:v>
                </c:pt>
                <c:pt idx="54">
                  <c:v>90.6597540424555</c:v>
                </c:pt>
                <c:pt idx="55">
                  <c:v>91.5871925823667</c:v>
                </c:pt>
                <c:pt idx="56">
                  <c:v>94.083448374463</c:v>
                </c:pt>
                <c:pt idx="57">
                  <c:v>96.6554086518742</c:v>
                </c:pt>
                <c:pt idx="58">
                  <c:v>104.986652103905</c:v>
                </c:pt>
                <c:pt idx="59">
                  <c:v>113.911460909063</c:v>
                </c:pt>
                <c:pt idx="60">
                  <c:v>111.283718379315</c:v>
                </c:pt>
                <c:pt idx="61">
                  <c:v>116.25876871225</c:v>
                </c:pt>
                <c:pt idx="62">
                  <c:v>111.47579214314</c:v>
                </c:pt>
                <c:pt idx="63">
                  <c:v>108.810783318763</c:v>
                </c:pt>
                <c:pt idx="64">
                  <c:v>114.629481623498</c:v>
                </c:pt>
                <c:pt idx="65">
                  <c:v>123.124907713185</c:v>
                </c:pt>
                <c:pt idx="66">
                  <c:v>114.544519159329</c:v>
                </c:pt>
                <c:pt idx="67">
                  <c:v>126.266995422574</c:v>
                </c:pt>
                <c:pt idx="68">
                  <c:v>127.756592501272</c:v>
                </c:pt>
                <c:pt idx="69">
                  <c:v>128.001050018868</c:v>
                </c:pt>
                <c:pt idx="70">
                  <c:v>129.188063535517</c:v>
                </c:pt>
                <c:pt idx="71">
                  <c:v>126.139024373094</c:v>
                </c:pt>
                <c:pt idx="72">
                  <c:v>129.641938878589</c:v>
                </c:pt>
                <c:pt idx="73">
                  <c:v>119.075069317652</c:v>
                </c:pt>
                <c:pt idx="74">
                  <c:v>117.073353661824</c:v>
                </c:pt>
                <c:pt idx="75">
                  <c:v>123.474015548717</c:v>
                </c:pt>
                <c:pt idx="76">
                  <c:v>123.357646270206</c:v>
                </c:pt>
                <c:pt idx="77">
                  <c:v>125.475731204545</c:v>
                </c:pt>
                <c:pt idx="78">
                  <c:v>121.507339585008</c:v>
                </c:pt>
                <c:pt idx="79">
                  <c:v>120.343529610298</c:v>
                </c:pt>
                <c:pt idx="80">
                  <c:v>118.73756325309</c:v>
                </c:pt>
                <c:pt idx="81">
                  <c:v>118.702640750576</c:v>
                </c:pt>
                <c:pt idx="82">
                  <c:v>120.843929226853</c:v>
                </c:pt>
                <c:pt idx="83">
                  <c:v>121.274483838381</c:v>
                </c:pt>
                <c:pt idx="84">
                  <c:v>119.866450725286</c:v>
                </c:pt>
                <c:pt idx="85">
                  <c:v>124.404969776801</c:v>
                </c:pt>
                <c:pt idx="86">
                  <c:v>118.98190358108</c:v>
                </c:pt>
                <c:pt idx="87">
                  <c:v>123.858045886762</c:v>
                </c:pt>
                <c:pt idx="88">
                  <c:v>135.437433641386</c:v>
                </c:pt>
                <c:pt idx="89">
                  <c:v>132.097412687884</c:v>
                </c:pt>
                <c:pt idx="90">
                  <c:v>140.313458757462</c:v>
                </c:pt>
                <c:pt idx="91">
                  <c:v>144.130558595975</c:v>
                </c:pt>
                <c:pt idx="92">
                  <c:v>146.702518873386</c:v>
                </c:pt>
                <c:pt idx="93">
                  <c:v>150.880328318399</c:v>
                </c:pt>
                <c:pt idx="94">
                  <c:v>159.329230134604</c:v>
                </c:pt>
                <c:pt idx="95">
                  <c:v>155.954286678589</c:v>
                </c:pt>
                <c:pt idx="96">
                  <c:v>149.588547294209</c:v>
                </c:pt>
                <c:pt idx="97">
                  <c:v>159.887755795612</c:v>
                </c:pt>
                <c:pt idx="98">
                  <c:v>158.852034059987</c:v>
                </c:pt>
                <c:pt idx="99">
                  <c:v>161.307625058888</c:v>
                </c:pt>
                <c:pt idx="100">
                  <c:v>153.603580376835</c:v>
                </c:pt>
                <c:pt idx="101">
                  <c:v>147.610269559531</c:v>
                </c:pt>
                <c:pt idx="102">
                  <c:v>142.094037627239</c:v>
                </c:pt>
                <c:pt idx="103">
                  <c:v>144.747444680647</c:v>
                </c:pt>
                <c:pt idx="104">
                  <c:v>142.070716895694</c:v>
                </c:pt>
                <c:pt idx="105">
                  <c:v>133.191377657567</c:v>
                </c:pt>
                <c:pt idx="106">
                  <c:v>125.685149030022</c:v>
                </c:pt>
                <c:pt idx="107">
                  <c:v>139.638563817944</c:v>
                </c:pt>
                <c:pt idx="108">
                  <c:v>130.689262385183</c:v>
                </c:pt>
                <c:pt idx="109">
                  <c:v>129.36255885848</c:v>
                </c:pt>
                <c:pt idx="110">
                  <c:v>132.027567682857</c:v>
                </c:pt>
                <c:pt idx="111">
                  <c:v>142.792253298301</c:v>
                </c:pt>
                <c:pt idx="112">
                  <c:v>139.487272036919</c:v>
                </c:pt>
                <c:pt idx="113">
                  <c:v>140.790654832079</c:v>
                </c:pt>
                <c:pt idx="114">
                  <c:v>147.37753100251</c:v>
                </c:pt>
                <c:pt idx="115">
                  <c:v>144.421540387054</c:v>
                </c:pt>
                <c:pt idx="116">
                  <c:v>146.015904973293</c:v>
                </c:pt>
                <c:pt idx="117">
                  <c:v>144.852094998582</c:v>
                </c:pt>
                <c:pt idx="118">
                  <c:v>143.74652825793</c:v>
                </c:pt>
                <c:pt idx="119">
                  <c:v>147.121471713945</c:v>
                </c:pt>
                <c:pt idx="120">
                  <c:v>145.050028242695</c:v>
                </c:pt>
                <c:pt idx="121">
                  <c:v>150.019219095343</c:v>
                </c:pt>
                <c:pt idx="122">
                  <c:v>150.857124776461</c:v>
                </c:pt>
                <c:pt idx="123">
                  <c:v>152.835519700745</c:v>
                </c:pt>
                <c:pt idx="124">
                  <c:v>157.537049493858</c:v>
                </c:pt>
                <c:pt idx="125">
                  <c:v>159.329230134604</c:v>
                </c:pt>
                <c:pt idx="126">
                  <c:v>165.811338797494</c:v>
                </c:pt>
                <c:pt idx="127">
                  <c:v>165.26429771785</c:v>
                </c:pt>
                <c:pt idx="128">
                  <c:v>167.580198706696</c:v>
                </c:pt>
                <c:pt idx="129">
                  <c:v>156.629298807713</c:v>
                </c:pt>
                <c:pt idx="130">
                  <c:v>156.594376305199</c:v>
                </c:pt>
                <c:pt idx="131">
                  <c:v>158.293508398979</c:v>
                </c:pt>
                <c:pt idx="132">
                  <c:v>160.59769042725</c:v>
                </c:pt>
                <c:pt idx="133">
                  <c:v>159.864552253673</c:v>
                </c:pt>
                <c:pt idx="134">
                  <c:v>162.517842117476</c:v>
                </c:pt>
                <c:pt idx="135">
                  <c:v>162.238579286972</c:v>
                </c:pt>
                <c:pt idx="136">
                  <c:v>169.453826123438</c:v>
                </c:pt>
                <c:pt idx="137">
                  <c:v>173.049789175899</c:v>
                </c:pt>
                <c:pt idx="138">
                  <c:v>176.866889014412</c:v>
                </c:pt>
                <c:pt idx="139">
                  <c:v>176.773840467446</c:v>
                </c:pt>
                <c:pt idx="140">
                  <c:v>176.110547298897</c:v>
                </c:pt>
                <c:pt idx="141">
                  <c:v>167.498751930699</c:v>
                </c:pt>
                <c:pt idx="142">
                  <c:v>166.998352314143</c:v>
                </c:pt>
                <c:pt idx="143">
                  <c:v>160.538040917923</c:v>
                </c:pt>
                <c:pt idx="144">
                  <c:v>164.06544805102</c:v>
                </c:pt>
                <c:pt idx="145">
                  <c:v>161.838845541756</c:v>
                </c:pt>
                <c:pt idx="146">
                  <c:v>168.753032281049</c:v>
                </c:pt>
                <c:pt idx="147">
                  <c:v>171.096824396063</c:v>
                </c:pt>
                <c:pt idx="148">
                  <c:v>169.034287334851</c:v>
                </c:pt>
                <c:pt idx="149">
                  <c:v>173.440616511078</c:v>
                </c:pt>
                <c:pt idx="150">
                  <c:v>179.569632891841</c:v>
                </c:pt>
                <c:pt idx="151">
                  <c:v>180.471992856122</c:v>
                </c:pt>
                <c:pt idx="152">
                  <c:v>176.968023644175</c:v>
                </c:pt>
                <c:pt idx="153">
                  <c:v>178.878214217912</c:v>
                </c:pt>
                <c:pt idx="154">
                  <c:v>178.479769558359</c:v>
                </c:pt>
                <c:pt idx="155">
                  <c:v>183.870491422893</c:v>
                </c:pt>
                <c:pt idx="156">
                  <c:v>187.702591530942</c:v>
                </c:pt>
                <c:pt idx="157">
                  <c:v>182.815784971136</c:v>
                </c:pt>
                <c:pt idx="158">
                  <c:v>186.800231566661</c:v>
                </c:pt>
                <c:pt idx="159">
                  <c:v>186.331473143658</c:v>
                </c:pt>
                <c:pt idx="160">
                  <c:v>187.503369201165</c:v>
                </c:pt>
                <c:pt idx="161">
                  <c:v>183.987681028644</c:v>
                </c:pt>
                <c:pt idx="162">
                  <c:v>180.120424038869</c:v>
                </c:pt>
                <c:pt idx="163">
                  <c:v>181.257163214652</c:v>
                </c:pt>
                <c:pt idx="164">
                  <c:v>183.870491422893</c:v>
                </c:pt>
                <c:pt idx="165">
                  <c:v>192.776901459948</c:v>
                </c:pt>
                <c:pt idx="166">
                  <c:v>195.472262392215</c:v>
                </c:pt>
                <c:pt idx="167">
                  <c:v>196.409779238221</c:v>
                </c:pt>
                <c:pt idx="168">
                  <c:v>193.362849488702</c:v>
                </c:pt>
                <c:pt idx="169">
                  <c:v>191.030776334262</c:v>
                </c:pt>
                <c:pt idx="170">
                  <c:v>188.675265258673</c:v>
                </c:pt>
                <c:pt idx="171">
                  <c:v>189.84716131618</c:v>
                </c:pt>
                <c:pt idx="172">
                  <c:v>187.620558806916</c:v>
                </c:pt>
                <c:pt idx="173">
                  <c:v>197.441047768827</c:v>
                </c:pt>
                <c:pt idx="174">
                  <c:v>206.241987160707</c:v>
                </c:pt>
                <c:pt idx="175">
                  <c:v>210.941290351311</c:v>
                </c:pt>
                <c:pt idx="176">
                  <c:v>214.433540602683</c:v>
                </c:pt>
                <c:pt idx="177">
                  <c:v>217.972666696355</c:v>
                </c:pt>
                <c:pt idx="178">
                  <c:v>222.660250926384</c:v>
                </c:pt>
                <c:pt idx="179">
                  <c:v>226.175939098906</c:v>
                </c:pt>
                <c:pt idx="180">
                  <c:v>227.347835156413</c:v>
                </c:pt>
                <c:pt idx="181">
                  <c:v>223.832146983891</c:v>
                </c:pt>
                <c:pt idx="182">
                  <c:v>230.863523328935</c:v>
                </c:pt>
                <c:pt idx="183">
                  <c:v>234.379211501457</c:v>
                </c:pt>
                <c:pt idx="184">
                  <c:v>240.226972828418</c:v>
                </c:pt>
                <c:pt idx="185">
                  <c:v>255.461621576013</c:v>
                </c:pt>
                <c:pt idx="186">
                  <c:v>257.817132651602</c:v>
                </c:pt>
                <c:pt idx="187">
                  <c:v>264.145371362142</c:v>
                </c:pt>
                <c:pt idx="188">
                  <c:v>261.332820824124</c:v>
                </c:pt>
                <c:pt idx="189">
                  <c:v>255.121771719336</c:v>
                </c:pt>
                <c:pt idx="190">
                  <c:v>261.918768852878</c:v>
                </c:pt>
                <c:pt idx="191">
                  <c:v>241.4105878465</c:v>
                </c:pt>
                <c:pt idx="192">
                  <c:v>241.047300068673</c:v>
                </c:pt>
                <c:pt idx="193">
                  <c:v>243.754379961515</c:v>
                </c:pt>
                <c:pt idx="194">
                  <c:v>245.512224047776</c:v>
                </c:pt>
                <c:pt idx="195">
                  <c:v>240.250410749568</c:v>
                </c:pt>
                <c:pt idx="196">
                  <c:v>243.754379961515</c:v>
                </c:pt>
                <c:pt idx="197">
                  <c:v>256.645236594095</c:v>
                </c:pt>
                <c:pt idx="198">
                  <c:v>241.996535875254</c:v>
                </c:pt>
                <c:pt idx="199">
                  <c:v>241.996535875254</c:v>
                </c:pt>
                <c:pt idx="200">
                  <c:v>248.910722614547</c:v>
                </c:pt>
                <c:pt idx="201">
                  <c:v>253.703777489752</c:v>
                </c:pt>
                <c:pt idx="202">
                  <c:v>264.250842007317</c:v>
                </c:pt>
                <c:pt idx="203">
                  <c:v>262.762534014283</c:v>
                </c:pt>
                <c:pt idx="204">
                  <c:v>266.032124014728</c:v>
                </c:pt>
                <c:pt idx="205">
                  <c:v>290.970072118483</c:v>
                </c:pt>
                <c:pt idx="206">
                  <c:v>294.731858463082</c:v>
                </c:pt>
                <c:pt idx="207">
                  <c:v>301.763234808126</c:v>
                </c:pt>
                <c:pt idx="208">
                  <c:v>301.060097173621</c:v>
                </c:pt>
                <c:pt idx="209">
                  <c:v>302.349182836879</c:v>
                </c:pt>
                <c:pt idx="210">
                  <c:v>297.310029789598</c:v>
                </c:pt>
                <c:pt idx="211">
                  <c:v>315.228320508884</c:v>
                </c:pt>
                <c:pt idx="212">
                  <c:v>319.927623699488</c:v>
                </c:pt>
                <c:pt idx="213">
                  <c:v>311.138403268184</c:v>
                </c:pt>
                <c:pt idx="214">
                  <c:v>346.295284993402</c:v>
                </c:pt>
                <c:pt idx="215">
                  <c:v>348.873456319918</c:v>
                </c:pt>
                <c:pt idx="216">
                  <c:v>362.924490049431</c:v>
                </c:pt>
                <c:pt idx="217">
                  <c:v>375.006738402331</c:v>
                </c:pt>
                <c:pt idx="218">
                  <c:v>380.045891449612</c:v>
                </c:pt>
                <c:pt idx="219">
                  <c:v>383.795958833635</c:v>
                </c:pt>
                <c:pt idx="220">
                  <c:v>367.975362057287</c:v>
                </c:pt>
                <c:pt idx="221">
                  <c:v>366.217517971026</c:v>
                </c:pt>
                <c:pt idx="222">
                  <c:v>374.995019441756</c:v>
                </c:pt>
                <c:pt idx="223">
                  <c:v>397.858711523723</c:v>
                </c:pt>
                <c:pt idx="224">
                  <c:v>427.742060990158</c:v>
                </c:pt>
                <c:pt idx="225">
                  <c:v>445.320501852768</c:v>
                </c:pt>
                <c:pt idx="226">
                  <c:v>445.320501852768</c:v>
                </c:pt>
                <c:pt idx="227">
                  <c:v>435.828143786959</c:v>
                </c:pt>
                <c:pt idx="228">
                  <c:v>445.074403680691</c:v>
                </c:pt>
                <c:pt idx="229">
                  <c:v>457.625410456594</c:v>
                </c:pt>
                <c:pt idx="230">
                  <c:v>478.133591462972</c:v>
                </c:pt>
                <c:pt idx="231">
                  <c:v>462.898942715377</c:v>
                </c:pt>
                <c:pt idx="232">
                  <c:v>448.238523035961</c:v>
                </c:pt>
                <c:pt idx="233">
                  <c:v>457.039462427841</c:v>
                </c:pt>
                <c:pt idx="234">
                  <c:v>451.179982140304</c:v>
                </c:pt>
                <c:pt idx="235">
                  <c:v>468.758423002913</c:v>
                </c:pt>
                <c:pt idx="236">
                  <c:v>486.336863865523</c:v>
                </c:pt>
                <c:pt idx="237">
                  <c:v>537.31434236709</c:v>
                </c:pt>
                <c:pt idx="238">
                  <c:v>527.353225878278</c:v>
                </c:pt>
                <c:pt idx="239">
                  <c:v>523.825818745181</c:v>
                </c:pt>
                <c:pt idx="240">
                  <c:v>469.81312945467</c:v>
                </c:pt>
                <c:pt idx="241">
                  <c:v>421.882580702622</c:v>
                </c:pt>
                <c:pt idx="242">
                  <c:v>451.168263179729</c:v>
                </c:pt>
                <c:pt idx="243">
                  <c:v>454.695670312826</c:v>
                </c:pt>
                <c:pt idx="244">
                  <c:v>424.238091778212</c:v>
                </c:pt>
                <c:pt idx="245">
                  <c:v>435.007816546704</c:v>
                </c:pt>
                <c:pt idx="246">
                  <c:v>447.664293967782</c:v>
                </c:pt>
                <c:pt idx="247">
                  <c:v>441.218865651492</c:v>
                </c:pt>
                <c:pt idx="248">
                  <c:v>459.34809766113</c:v>
                </c:pt>
                <c:pt idx="249">
                  <c:v>457.156652033591</c:v>
                </c:pt>
                <c:pt idx="250">
                  <c:v>462.898942715377</c:v>
                </c:pt>
                <c:pt idx="251">
                  <c:v>436.531281421463</c:v>
                </c:pt>
                <c:pt idx="252">
                  <c:v>441.793094719671</c:v>
                </c:pt>
                <c:pt idx="253">
                  <c:v>477.278107340991</c:v>
                </c:pt>
                <c:pt idx="254">
                  <c:v>465.242734830392</c:v>
                </c:pt>
                <c:pt idx="255">
                  <c:v>468.758423002913</c:v>
                </c:pt>
                <c:pt idx="256">
                  <c:v>478.719539491725</c:v>
                </c:pt>
                <c:pt idx="257">
                  <c:v>475.203851319203</c:v>
                </c:pt>
                <c:pt idx="258">
                  <c:v>451.179982140304</c:v>
                </c:pt>
                <c:pt idx="259">
                  <c:v>457.039462427841</c:v>
                </c:pt>
                <c:pt idx="260">
                  <c:v>426.804544144153</c:v>
                </c:pt>
                <c:pt idx="261">
                  <c:v>416.609048443839</c:v>
                </c:pt>
              </c:numCache>
            </c:numRef>
          </c:val>
          <c:smooth val="0"/>
        </c:ser>
        <c:ser>
          <c:idx val="1"/>
          <c:order val="1"/>
          <c:tx>
            <c:strRef>
              <c:f>Fig_Precio!H3</c:f>
              <c:strCache>
                <c:ptCount val="1"/>
                <c:pt idx="0">
                  <c:v>IPSA (base 100)</c:v>
                </c:pt>
              </c:strCache>
            </c:strRef>
          </c:tx>
          <c:spPr>
            <a:solidFill>
              <a:srgbClr val="808080"/>
            </a:solidFill>
            <a:ln w="28440">
              <a:solidFill>
                <a:srgbClr val="80808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Fig_Precio!$A$4:$A$265</c:f>
              <c:strCache>
                <c:ptCount val="262"/>
                <c:pt idx="0">
                  <c:v>01-10-2021</c:v>
                </c:pt>
                <c:pt idx="1">
                  <c:v>08-10-2021</c:v>
                </c:pt>
                <c:pt idx="2">
                  <c:v>15-10-2021</c:v>
                </c:pt>
                <c:pt idx="3">
                  <c:v>22-10-2021</c:v>
                </c:pt>
                <c:pt idx="4">
                  <c:v>29-10-2021</c:v>
                </c:pt>
                <c:pt idx="5">
                  <c:v>05-11-2021</c:v>
                </c:pt>
                <c:pt idx="6">
                  <c:v>12-11-2021</c:v>
                </c:pt>
                <c:pt idx="7">
                  <c:v>19-11-2021</c:v>
                </c:pt>
                <c:pt idx="8">
                  <c:v>26-11-2021</c:v>
                </c:pt>
                <c:pt idx="9">
                  <c:v>03-12-2021</c:v>
                </c:pt>
                <c:pt idx="10">
                  <c:v>10-12-2021</c:v>
                </c:pt>
                <c:pt idx="11">
                  <c:v>17-12-2021</c:v>
                </c:pt>
                <c:pt idx="12">
                  <c:v>24-12-2021</c:v>
                </c:pt>
                <c:pt idx="13">
                  <c:v>31-12-2021</c:v>
                </c:pt>
                <c:pt idx="14">
                  <c:v>07-01-2022</c:v>
                </c:pt>
                <c:pt idx="15">
                  <c:v>14-01-2022</c:v>
                </c:pt>
                <c:pt idx="16">
                  <c:v>21-01-2022</c:v>
                </c:pt>
                <c:pt idx="17">
                  <c:v>28-01-2022</c:v>
                </c:pt>
                <c:pt idx="18">
                  <c:v>04-02-2022</c:v>
                </c:pt>
                <c:pt idx="19">
                  <c:v>11-02-2022</c:v>
                </c:pt>
                <c:pt idx="20">
                  <c:v>18-02-2022</c:v>
                </c:pt>
                <c:pt idx="21">
                  <c:v>25-02-2022</c:v>
                </c:pt>
                <c:pt idx="22">
                  <c:v>04-03-2022</c:v>
                </c:pt>
                <c:pt idx="23">
                  <c:v>11-03-2022</c:v>
                </c:pt>
                <c:pt idx="24">
                  <c:v>18-03-2022</c:v>
                </c:pt>
                <c:pt idx="25">
                  <c:v>25-03-2022</c:v>
                </c:pt>
                <c:pt idx="26">
                  <c:v>01-04-2022</c:v>
                </c:pt>
                <c:pt idx="27">
                  <c:v>08-04-2022</c:v>
                </c:pt>
                <c:pt idx="28">
                  <c:v>15-04-2022</c:v>
                </c:pt>
                <c:pt idx="29">
                  <c:v>22-04-2022</c:v>
                </c:pt>
                <c:pt idx="30">
                  <c:v>29-04-2022</c:v>
                </c:pt>
                <c:pt idx="31">
                  <c:v>06-05-2022</c:v>
                </c:pt>
                <c:pt idx="32">
                  <c:v>13-05-2022</c:v>
                </c:pt>
                <c:pt idx="33">
                  <c:v>20-05-2022</c:v>
                </c:pt>
                <c:pt idx="34">
                  <c:v>27-05-2022</c:v>
                </c:pt>
                <c:pt idx="35">
                  <c:v>03-06-2022</c:v>
                </c:pt>
                <c:pt idx="36">
                  <c:v>10-06-2022</c:v>
                </c:pt>
                <c:pt idx="37">
                  <c:v>17-06-2022</c:v>
                </c:pt>
                <c:pt idx="38">
                  <c:v>24-06-2022</c:v>
                </c:pt>
                <c:pt idx="39">
                  <c:v>01-07-2022</c:v>
                </c:pt>
                <c:pt idx="40">
                  <c:v>08-07-2022</c:v>
                </c:pt>
                <c:pt idx="41">
                  <c:v>15-07-2022</c:v>
                </c:pt>
                <c:pt idx="42">
                  <c:v>22-07-2022</c:v>
                </c:pt>
                <c:pt idx="43">
                  <c:v>29-07-2022</c:v>
                </c:pt>
                <c:pt idx="44">
                  <c:v>05-08-2022</c:v>
                </c:pt>
                <c:pt idx="45">
                  <c:v>12-08-2022</c:v>
                </c:pt>
                <c:pt idx="46">
                  <c:v>19-08-2022</c:v>
                </c:pt>
                <c:pt idx="47">
                  <c:v>26-08-2022</c:v>
                </c:pt>
                <c:pt idx="48">
                  <c:v>02-09-2022</c:v>
                </c:pt>
                <c:pt idx="49">
                  <c:v>09-09-2022</c:v>
                </c:pt>
                <c:pt idx="50">
                  <c:v>16-09-2022</c:v>
                </c:pt>
                <c:pt idx="51">
                  <c:v>23-09-2022</c:v>
                </c:pt>
                <c:pt idx="52">
                  <c:v>30-09-2022</c:v>
                </c:pt>
                <c:pt idx="53">
                  <c:v>07-10-2022</c:v>
                </c:pt>
                <c:pt idx="54">
                  <c:v>14-10-2022</c:v>
                </c:pt>
                <c:pt idx="55">
                  <c:v>21-10-2022</c:v>
                </c:pt>
                <c:pt idx="56">
                  <c:v>28-10-2022</c:v>
                </c:pt>
                <c:pt idx="57">
                  <c:v>04-11-2022</c:v>
                </c:pt>
                <c:pt idx="58">
                  <c:v>11-11-2022</c:v>
                </c:pt>
                <c:pt idx="59">
                  <c:v>18-11-2022</c:v>
                </c:pt>
                <c:pt idx="60">
                  <c:v>25-11-2022</c:v>
                </c:pt>
                <c:pt idx="61">
                  <c:v>02-12-2022</c:v>
                </c:pt>
                <c:pt idx="62">
                  <c:v>09-12-2022</c:v>
                </c:pt>
                <c:pt idx="63">
                  <c:v>16-12-2022</c:v>
                </c:pt>
                <c:pt idx="64">
                  <c:v>23-12-2022</c:v>
                </c:pt>
                <c:pt idx="65">
                  <c:v>30-12-2022</c:v>
                </c:pt>
                <c:pt idx="66">
                  <c:v>06-01-2023</c:v>
                </c:pt>
                <c:pt idx="67">
                  <c:v>13-01-2023</c:v>
                </c:pt>
                <c:pt idx="68">
                  <c:v>20-01-2023</c:v>
                </c:pt>
                <c:pt idx="69">
                  <c:v>27-01-2023</c:v>
                </c:pt>
                <c:pt idx="70">
                  <c:v>03-02-2023</c:v>
                </c:pt>
                <c:pt idx="71">
                  <c:v>10-02-2023</c:v>
                </c:pt>
                <c:pt idx="72">
                  <c:v>17-02-2023</c:v>
                </c:pt>
                <c:pt idx="73">
                  <c:v>24-02-2023</c:v>
                </c:pt>
                <c:pt idx="74">
                  <c:v>03-03-2023</c:v>
                </c:pt>
                <c:pt idx="75">
                  <c:v>10-03-2023</c:v>
                </c:pt>
                <c:pt idx="76">
                  <c:v>17-03-2023</c:v>
                </c:pt>
                <c:pt idx="77">
                  <c:v>24-03-2023</c:v>
                </c:pt>
                <c:pt idx="78">
                  <c:v>31-03-2023</c:v>
                </c:pt>
                <c:pt idx="79">
                  <c:v>07-04-2023</c:v>
                </c:pt>
                <c:pt idx="80">
                  <c:v>14-04-2023</c:v>
                </c:pt>
                <c:pt idx="81">
                  <c:v>21-04-2023</c:v>
                </c:pt>
                <c:pt idx="82">
                  <c:v>28-04-2023</c:v>
                </c:pt>
                <c:pt idx="83">
                  <c:v>05-05-2023</c:v>
                </c:pt>
                <c:pt idx="84">
                  <c:v>12-05-2023</c:v>
                </c:pt>
                <c:pt idx="85">
                  <c:v>19-05-2023</c:v>
                </c:pt>
                <c:pt idx="86">
                  <c:v>26-05-2023</c:v>
                </c:pt>
                <c:pt idx="87">
                  <c:v>02-06-2023</c:v>
                </c:pt>
                <c:pt idx="88">
                  <c:v>09-06-2023</c:v>
                </c:pt>
                <c:pt idx="89">
                  <c:v>16-06-2023</c:v>
                </c:pt>
                <c:pt idx="90">
                  <c:v>23-06-2023</c:v>
                </c:pt>
                <c:pt idx="91">
                  <c:v>30-06-2023</c:v>
                </c:pt>
                <c:pt idx="92">
                  <c:v>07-07-2023</c:v>
                </c:pt>
                <c:pt idx="93">
                  <c:v>14-07-2023</c:v>
                </c:pt>
                <c:pt idx="94">
                  <c:v>21-07-2023</c:v>
                </c:pt>
                <c:pt idx="95">
                  <c:v>28-07-2023</c:v>
                </c:pt>
                <c:pt idx="96">
                  <c:v>04-08-2023</c:v>
                </c:pt>
                <c:pt idx="97">
                  <c:v>11-08-2023</c:v>
                </c:pt>
                <c:pt idx="98">
                  <c:v>18-08-2023</c:v>
                </c:pt>
                <c:pt idx="99">
                  <c:v>25-08-2023</c:v>
                </c:pt>
                <c:pt idx="100">
                  <c:v>01-09-2023</c:v>
                </c:pt>
                <c:pt idx="101">
                  <c:v>08-09-2023</c:v>
                </c:pt>
                <c:pt idx="102">
                  <c:v>15-09-2023</c:v>
                </c:pt>
                <c:pt idx="103">
                  <c:v>22-09-2023</c:v>
                </c:pt>
                <c:pt idx="104">
                  <c:v>29-09-2023</c:v>
                </c:pt>
                <c:pt idx="105">
                  <c:v>06-10-2023</c:v>
                </c:pt>
                <c:pt idx="106">
                  <c:v>13-10-2023</c:v>
                </c:pt>
                <c:pt idx="107">
                  <c:v>20-10-2023</c:v>
                </c:pt>
                <c:pt idx="108">
                  <c:v>27-10-2023</c:v>
                </c:pt>
                <c:pt idx="109">
                  <c:v>03-11-2023</c:v>
                </c:pt>
                <c:pt idx="110">
                  <c:v>10-11-2023</c:v>
                </c:pt>
                <c:pt idx="111">
                  <c:v>17-11-2023</c:v>
                </c:pt>
                <c:pt idx="112">
                  <c:v>24-11-2023</c:v>
                </c:pt>
                <c:pt idx="113">
                  <c:v>01-12-2023</c:v>
                </c:pt>
                <c:pt idx="114">
                  <c:v>08-12-2023</c:v>
                </c:pt>
                <c:pt idx="115">
                  <c:v>15-12-2023</c:v>
                </c:pt>
                <c:pt idx="116">
                  <c:v>22-12-2023</c:v>
                </c:pt>
                <c:pt idx="117">
                  <c:v>29-12-2023</c:v>
                </c:pt>
                <c:pt idx="118">
                  <c:v>05-01-2024</c:v>
                </c:pt>
                <c:pt idx="119">
                  <c:v>12-01-2024</c:v>
                </c:pt>
                <c:pt idx="120">
                  <c:v>19-01-2024</c:v>
                </c:pt>
                <c:pt idx="121">
                  <c:v>26-01-2024</c:v>
                </c:pt>
                <c:pt idx="122">
                  <c:v>02-02-2024</c:v>
                </c:pt>
                <c:pt idx="123">
                  <c:v>09-02-2024</c:v>
                </c:pt>
                <c:pt idx="124">
                  <c:v>16-02-2024</c:v>
                </c:pt>
                <c:pt idx="125">
                  <c:v>23-02-2024</c:v>
                </c:pt>
                <c:pt idx="126">
                  <c:v>01-03-2024</c:v>
                </c:pt>
                <c:pt idx="127">
                  <c:v>08-03-2024</c:v>
                </c:pt>
                <c:pt idx="128">
                  <c:v>15-03-2024</c:v>
                </c:pt>
                <c:pt idx="129">
                  <c:v>22-03-2024</c:v>
                </c:pt>
                <c:pt idx="130">
                  <c:v>29-03-2024</c:v>
                </c:pt>
                <c:pt idx="131">
                  <c:v>05-04-2024</c:v>
                </c:pt>
                <c:pt idx="132">
                  <c:v>12-04-2024</c:v>
                </c:pt>
                <c:pt idx="133">
                  <c:v>19-04-2024</c:v>
                </c:pt>
                <c:pt idx="134">
                  <c:v>26-04-2024</c:v>
                </c:pt>
                <c:pt idx="135">
                  <c:v>03-05-2024</c:v>
                </c:pt>
                <c:pt idx="136">
                  <c:v>10-05-2024</c:v>
                </c:pt>
                <c:pt idx="137">
                  <c:v>17-05-2024</c:v>
                </c:pt>
                <c:pt idx="138">
                  <c:v>24-05-2024</c:v>
                </c:pt>
                <c:pt idx="139">
                  <c:v>31-05-2024</c:v>
                </c:pt>
                <c:pt idx="140">
                  <c:v>07-06-2024</c:v>
                </c:pt>
                <c:pt idx="141">
                  <c:v>14-06-2024</c:v>
                </c:pt>
                <c:pt idx="142">
                  <c:v>21-06-2024</c:v>
                </c:pt>
                <c:pt idx="143">
                  <c:v>28-06-2024</c:v>
                </c:pt>
                <c:pt idx="144">
                  <c:v>05-07-2024</c:v>
                </c:pt>
                <c:pt idx="145">
                  <c:v>12-07-2024</c:v>
                </c:pt>
                <c:pt idx="146">
                  <c:v>19-07-2024</c:v>
                </c:pt>
                <c:pt idx="147">
                  <c:v>26-07-2024</c:v>
                </c:pt>
                <c:pt idx="148">
                  <c:v>02-08-2024</c:v>
                </c:pt>
                <c:pt idx="149">
                  <c:v>09-08-2024</c:v>
                </c:pt>
                <c:pt idx="150">
                  <c:v>16-08-2024</c:v>
                </c:pt>
                <c:pt idx="151">
                  <c:v>23-08-2024</c:v>
                </c:pt>
                <c:pt idx="152">
                  <c:v>30-08-2024</c:v>
                </c:pt>
                <c:pt idx="153">
                  <c:v>06-09-2024</c:v>
                </c:pt>
                <c:pt idx="154">
                  <c:v>13-09-2024</c:v>
                </c:pt>
                <c:pt idx="155">
                  <c:v>20-09-2024</c:v>
                </c:pt>
                <c:pt idx="156">
                  <c:v>27-09-2024</c:v>
                </c:pt>
                <c:pt idx="157">
                  <c:v>04-10-2024</c:v>
                </c:pt>
                <c:pt idx="158">
                  <c:v>11-10-2024</c:v>
                </c:pt>
                <c:pt idx="159">
                  <c:v>18-10-2024</c:v>
                </c:pt>
                <c:pt idx="160">
                  <c:v>25-10-2024</c:v>
                </c:pt>
                <c:pt idx="161">
                  <c:v>01-11-2024</c:v>
                </c:pt>
                <c:pt idx="162">
                  <c:v>08-11-2024</c:v>
                </c:pt>
                <c:pt idx="163">
                  <c:v>15-11-2024</c:v>
                </c:pt>
                <c:pt idx="164">
                  <c:v>22-11-2024</c:v>
                </c:pt>
                <c:pt idx="165">
                  <c:v>29-11-2024</c:v>
                </c:pt>
                <c:pt idx="166">
                  <c:v>06-12-2024</c:v>
                </c:pt>
                <c:pt idx="167">
                  <c:v>13-12-2024</c:v>
                </c:pt>
                <c:pt idx="168">
                  <c:v>20-12-2024</c:v>
                </c:pt>
                <c:pt idx="169">
                  <c:v>27-12-2024</c:v>
                </c:pt>
                <c:pt idx="170">
                  <c:v>03-01-2025</c:v>
                </c:pt>
                <c:pt idx="171">
                  <c:v>10-01-2025</c:v>
                </c:pt>
                <c:pt idx="172">
                  <c:v>17-01-2025</c:v>
                </c:pt>
                <c:pt idx="173">
                  <c:v>24-01-2025</c:v>
                </c:pt>
                <c:pt idx="174">
                  <c:v>31-01-2025</c:v>
                </c:pt>
                <c:pt idx="175">
                  <c:v>07-02-2025</c:v>
                </c:pt>
                <c:pt idx="176">
                  <c:v>14-02-2025</c:v>
                </c:pt>
                <c:pt idx="177">
                  <c:v>21-02-2025</c:v>
                </c:pt>
                <c:pt idx="178">
                  <c:v>28-02-2025</c:v>
                </c:pt>
                <c:pt idx="179">
                  <c:v>07-03-2025</c:v>
                </c:pt>
                <c:pt idx="180">
                  <c:v>14-03-2025</c:v>
                </c:pt>
                <c:pt idx="181">
                  <c:v>21-03-2025</c:v>
                </c:pt>
                <c:pt idx="182">
                  <c:v>28-03-2025</c:v>
                </c:pt>
                <c:pt idx="183">
                  <c:v>04-04-2025</c:v>
                </c:pt>
                <c:pt idx="184">
                  <c:v>11-04-2025</c:v>
                </c:pt>
                <c:pt idx="185">
                  <c:v>18-04-2025</c:v>
                </c:pt>
                <c:pt idx="186">
                  <c:v>25-04-2025</c:v>
                </c:pt>
                <c:pt idx="187">
                  <c:v>02-05-2025</c:v>
                </c:pt>
                <c:pt idx="188">
                  <c:v>09-05-2025</c:v>
                </c:pt>
                <c:pt idx="189">
                  <c:v>16-05-2025</c:v>
                </c:pt>
                <c:pt idx="190">
                  <c:v>23-05-2025</c:v>
                </c:pt>
                <c:pt idx="191">
                  <c:v>30-05-2025</c:v>
                </c:pt>
                <c:pt idx="192">
                  <c:v>06-06-2025</c:v>
                </c:pt>
                <c:pt idx="193">
                  <c:v>13-06-2025</c:v>
                </c:pt>
                <c:pt idx="194">
                  <c:v>20-06-2025</c:v>
                </c:pt>
                <c:pt idx="195">
                  <c:v>27-06-2025</c:v>
                </c:pt>
                <c:pt idx="196">
                  <c:v>04-07-2025</c:v>
                </c:pt>
                <c:pt idx="197">
                  <c:v>11-07-2025</c:v>
                </c:pt>
                <c:pt idx="198">
                  <c:v>18-07-2025</c:v>
                </c:pt>
                <c:pt idx="199">
                  <c:v>25-07-2025</c:v>
                </c:pt>
                <c:pt idx="200">
                  <c:v>01-08-2025</c:v>
                </c:pt>
                <c:pt idx="201">
                  <c:v>08-08-2025</c:v>
                </c:pt>
                <c:pt idx="202">
                  <c:v>15-08-2025</c:v>
                </c:pt>
                <c:pt idx="203">
                  <c:v>22-08-2025</c:v>
                </c:pt>
                <c:pt idx="204">
                  <c:v>29-08-2025</c:v>
                </c:pt>
                <c:pt idx="205">
                  <c:v>05-09-2025</c:v>
                </c:pt>
                <c:pt idx="206">
                  <c:v>12-09-2025</c:v>
                </c:pt>
                <c:pt idx="207">
                  <c:v>19-09-2025</c:v>
                </c:pt>
                <c:pt idx="208">
                  <c:v>26-09-2025</c:v>
                </c:pt>
                <c:pt idx="209">
                  <c:v>03-10-2025</c:v>
                </c:pt>
                <c:pt idx="210">
                  <c:v>10-10-2025</c:v>
                </c:pt>
                <c:pt idx="211">
                  <c:v>17-10-2025</c:v>
                </c:pt>
                <c:pt idx="212">
                  <c:v>24-10-2025</c:v>
                </c:pt>
                <c:pt idx="213">
                  <c:v>31-10-2025</c:v>
                </c:pt>
                <c:pt idx="214">
                  <c:v>07-11-2025</c:v>
                </c:pt>
                <c:pt idx="215">
                  <c:v>14-11-2025</c:v>
                </c:pt>
                <c:pt idx="216">
                  <c:v>21-11-2025</c:v>
                </c:pt>
                <c:pt idx="217">
                  <c:v>28-11-2025</c:v>
                </c:pt>
                <c:pt idx="218">
                  <c:v>05-12-2025</c:v>
                </c:pt>
                <c:pt idx="219">
                  <c:v>12-12-2025</c:v>
                </c:pt>
                <c:pt idx="220">
                  <c:v>19-12-2025</c:v>
                </c:pt>
                <c:pt idx="221">
                  <c:v>26-12-2025</c:v>
                </c:pt>
                <c:pt idx="222">
                  <c:v>02-01-2026</c:v>
                </c:pt>
                <c:pt idx="223">
                  <c:v>09-01-2026</c:v>
                </c:pt>
                <c:pt idx="224">
                  <c:v>16-01-2026</c:v>
                </c:pt>
                <c:pt idx="225">
                  <c:v>23-01-2026</c:v>
                </c:pt>
                <c:pt idx="226">
                  <c:v>30-01-2026</c:v>
                </c:pt>
                <c:pt idx="227">
                  <c:v>06-02-2026</c:v>
                </c:pt>
                <c:pt idx="228">
                  <c:v>13-02-2026</c:v>
                </c:pt>
                <c:pt idx="229">
                  <c:v>20-02-2026</c:v>
                </c:pt>
                <c:pt idx="230">
                  <c:v>27-02-2026</c:v>
                </c:pt>
                <c:pt idx="231">
                  <c:v>06-03-2026</c:v>
                </c:pt>
                <c:pt idx="232">
                  <c:v>13-03-2026</c:v>
                </c:pt>
                <c:pt idx="233">
                  <c:v>20-03-2026</c:v>
                </c:pt>
                <c:pt idx="234">
                  <c:v>27-03-2026</c:v>
                </c:pt>
                <c:pt idx="235">
                  <c:v>03-04-2026</c:v>
                </c:pt>
                <c:pt idx="236">
                  <c:v>10-04-2026</c:v>
                </c:pt>
                <c:pt idx="237">
                  <c:v>17-04-2026</c:v>
                </c:pt>
                <c:pt idx="238">
                  <c:v>24-04-2026</c:v>
                </c:pt>
                <c:pt idx="239">
                  <c:v>01-05-2026</c:v>
                </c:pt>
                <c:pt idx="240">
                  <c:v>08-05-2026</c:v>
                </c:pt>
                <c:pt idx="241">
                  <c:v>15-05-2026</c:v>
                </c:pt>
                <c:pt idx="242">
                  <c:v>22-05-2026</c:v>
                </c:pt>
                <c:pt idx="243">
                  <c:v>29-05-2026</c:v>
                </c:pt>
                <c:pt idx="244">
                  <c:v>05-06-2026</c:v>
                </c:pt>
                <c:pt idx="245">
                  <c:v>12-06-2026</c:v>
                </c:pt>
                <c:pt idx="246">
                  <c:v>19-06-2026</c:v>
                </c:pt>
                <c:pt idx="247">
                  <c:v>26-06-2026</c:v>
                </c:pt>
                <c:pt idx="248">
                  <c:v>03-07-2026</c:v>
                </c:pt>
                <c:pt idx="249">
                  <c:v>10-07-2026</c:v>
                </c:pt>
                <c:pt idx="250">
                  <c:v>17-07-2026</c:v>
                </c:pt>
                <c:pt idx="251">
                  <c:v>24-07-2026</c:v>
                </c:pt>
                <c:pt idx="252">
                  <c:v>31-07-2026</c:v>
                </c:pt>
                <c:pt idx="253">
                  <c:v>07-08-2026</c:v>
                </c:pt>
                <c:pt idx="254">
                  <c:v>14-08-2026</c:v>
                </c:pt>
                <c:pt idx="255">
                  <c:v>21-08-2026</c:v>
                </c:pt>
                <c:pt idx="256">
                  <c:v>28-08-2026</c:v>
                </c:pt>
                <c:pt idx="257">
                  <c:v>04-09-2026</c:v>
                </c:pt>
                <c:pt idx="258">
                  <c:v>11-09-2026</c:v>
                </c:pt>
                <c:pt idx="259">
                  <c:v>18-09-2026</c:v>
                </c:pt>
                <c:pt idx="260">
                  <c:v>25-09-2026</c:v>
                </c:pt>
                <c:pt idx="261">
                  <c:v>30-09-2026</c:v>
                </c:pt>
              </c:strCache>
            </c:strRef>
          </c:cat>
          <c:val>
            <c:numRef>
              <c:f>Fig_Precio!$H$4:$H$265</c:f>
              <c:numCache>
                <c:formatCode>0.0</c:formatCode>
                <c:ptCount val="262"/>
                <c:pt idx="0">
                  <c:v>100</c:v>
                </c:pt>
                <c:pt idx="1">
                  <c:v>95.8143813327417</c:v>
                </c:pt>
                <c:pt idx="2">
                  <c:v>92.0369240440796</c:v>
                </c:pt>
                <c:pt idx="3">
                  <c:v>94.3982970934103</c:v>
                </c:pt>
                <c:pt idx="4">
                  <c:v>94.5797278307817</c:v>
                </c:pt>
                <c:pt idx="5">
                  <c:v>101.4207066785</c:v>
                </c:pt>
                <c:pt idx="6">
                  <c:v>103.680617188078</c:v>
                </c:pt>
                <c:pt idx="7">
                  <c:v>100.73404333999</c:v>
                </c:pt>
                <c:pt idx="8">
                  <c:v>105.837678426152</c:v>
                </c:pt>
                <c:pt idx="9">
                  <c:v>100.986428518601</c:v>
                </c:pt>
                <c:pt idx="10">
                  <c:v>101.825863471637</c:v>
                </c:pt>
                <c:pt idx="11">
                  <c:v>100.717864802899</c:v>
                </c:pt>
                <c:pt idx="12">
                  <c:v>99.361410028844</c:v>
                </c:pt>
                <c:pt idx="13">
                  <c:v>99.5761223282302</c:v>
                </c:pt>
                <c:pt idx="14">
                  <c:v>99.2980826122328</c:v>
                </c:pt>
                <c:pt idx="15">
                  <c:v>103.694484505584</c:v>
                </c:pt>
                <c:pt idx="16">
                  <c:v>107.352913985652</c:v>
                </c:pt>
                <c:pt idx="17">
                  <c:v>104.995470009615</c:v>
                </c:pt>
                <c:pt idx="18">
                  <c:v>102.283484949338</c:v>
                </c:pt>
                <c:pt idx="19">
                  <c:v>107.522788625102</c:v>
                </c:pt>
                <c:pt idx="20">
                  <c:v>105.138996745803</c:v>
                </c:pt>
                <c:pt idx="21">
                  <c:v>103.20774166112</c:v>
                </c:pt>
                <c:pt idx="22">
                  <c:v>107.274101397826</c:v>
                </c:pt>
                <c:pt idx="23">
                  <c:v>107.086892611493</c:v>
                </c:pt>
                <c:pt idx="24">
                  <c:v>112.196767990533</c:v>
                </c:pt>
                <c:pt idx="25">
                  <c:v>114.754594704534</c:v>
                </c:pt>
                <c:pt idx="26">
                  <c:v>115.06383588492</c:v>
                </c:pt>
                <c:pt idx="27">
                  <c:v>114.850279195326</c:v>
                </c:pt>
                <c:pt idx="28">
                  <c:v>113.649600621256</c:v>
                </c:pt>
                <c:pt idx="29">
                  <c:v>112.50739590267</c:v>
                </c:pt>
                <c:pt idx="30">
                  <c:v>110.440009984469</c:v>
                </c:pt>
                <c:pt idx="31">
                  <c:v>111.829284076622</c:v>
                </c:pt>
                <c:pt idx="32">
                  <c:v>112.104319207159</c:v>
                </c:pt>
                <c:pt idx="33">
                  <c:v>115.166916278382</c:v>
                </c:pt>
                <c:pt idx="34">
                  <c:v>124.5067857407</c:v>
                </c:pt>
                <c:pt idx="35">
                  <c:v>123.706641520598</c:v>
                </c:pt>
                <c:pt idx="36">
                  <c:v>121.058214998891</c:v>
                </c:pt>
                <c:pt idx="37">
                  <c:v>117.110883070779</c:v>
                </c:pt>
                <c:pt idx="38">
                  <c:v>115.183325937431</c:v>
                </c:pt>
                <c:pt idx="39">
                  <c:v>115.407745359071</c:v>
                </c:pt>
                <c:pt idx="40">
                  <c:v>118.167572664744</c:v>
                </c:pt>
                <c:pt idx="41">
                  <c:v>117.681060942238</c:v>
                </c:pt>
                <c:pt idx="42">
                  <c:v>120.653289327712</c:v>
                </c:pt>
                <c:pt idx="43">
                  <c:v>121.548193550773</c:v>
                </c:pt>
                <c:pt idx="44">
                  <c:v>120.470009614673</c:v>
                </c:pt>
                <c:pt idx="45">
                  <c:v>124.688216478071</c:v>
                </c:pt>
                <c:pt idx="46">
                  <c:v>122.329154648325</c:v>
                </c:pt>
                <c:pt idx="47">
                  <c:v>126.234191258043</c:v>
                </c:pt>
                <c:pt idx="48">
                  <c:v>130.657865542489</c:v>
                </c:pt>
                <c:pt idx="49">
                  <c:v>129.707260927446</c:v>
                </c:pt>
                <c:pt idx="50">
                  <c:v>127.646808667998</c:v>
                </c:pt>
                <c:pt idx="51">
                  <c:v>120.350288440204</c:v>
                </c:pt>
                <c:pt idx="52">
                  <c:v>118.200160860883</c:v>
                </c:pt>
                <c:pt idx="53">
                  <c:v>117.402558982324</c:v>
                </c:pt>
                <c:pt idx="54">
                  <c:v>114.922851490274</c:v>
                </c:pt>
                <c:pt idx="55">
                  <c:v>118.96702351897</c:v>
                </c:pt>
                <c:pt idx="56">
                  <c:v>120.040353893943</c:v>
                </c:pt>
                <c:pt idx="57">
                  <c:v>120.646586790918</c:v>
                </c:pt>
                <c:pt idx="58">
                  <c:v>123.668506397456</c:v>
                </c:pt>
                <c:pt idx="59">
                  <c:v>120.112232823016</c:v>
                </c:pt>
                <c:pt idx="60">
                  <c:v>121.329089934176</c:v>
                </c:pt>
                <c:pt idx="61">
                  <c:v>122.28108128097</c:v>
                </c:pt>
                <c:pt idx="62">
                  <c:v>120.01423711264</c:v>
                </c:pt>
                <c:pt idx="63">
                  <c:v>119.288051919237</c:v>
                </c:pt>
                <c:pt idx="64">
                  <c:v>121.498733451668</c:v>
                </c:pt>
                <c:pt idx="65">
                  <c:v>121.614294430885</c:v>
                </c:pt>
                <c:pt idx="66">
                  <c:v>118.720185267362</c:v>
                </c:pt>
                <c:pt idx="67">
                  <c:v>119.181504696398</c:v>
                </c:pt>
                <c:pt idx="68">
                  <c:v>121.014764070705</c:v>
                </c:pt>
                <c:pt idx="69">
                  <c:v>123.68121810517</c:v>
                </c:pt>
                <c:pt idx="70">
                  <c:v>122.824911249168</c:v>
                </c:pt>
                <c:pt idx="71">
                  <c:v>124.631360476296</c:v>
                </c:pt>
                <c:pt idx="72">
                  <c:v>123.163967162192</c:v>
                </c:pt>
                <c:pt idx="73">
                  <c:v>123.224289993344</c:v>
                </c:pt>
                <c:pt idx="74">
                  <c:v>125.717864802899</c:v>
                </c:pt>
                <c:pt idx="75">
                  <c:v>124.660712965017</c:v>
                </c:pt>
                <c:pt idx="76">
                  <c:v>118.150238517861</c:v>
                </c:pt>
                <c:pt idx="77">
                  <c:v>121.312680275128</c:v>
                </c:pt>
                <c:pt idx="78">
                  <c:v>123.063660232231</c:v>
                </c:pt>
                <c:pt idx="79">
                  <c:v>121.898343317802</c:v>
                </c:pt>
                <c:pt idx="80">
                  <c:v>125.202925079506</c:v>
                </c:pt>
                <c:pt idx="81">
                  <c:v>120.80582982028</c:v>
                </c:pt>
                <c:pt idx="82">
                  <c:v>125.177732786037</c:v>
                </c:pt>
                <c:pt idx="83">
                  <c:v>126.664540344649</c:v>
                </c:pt>
                <c:pt idx="84">
                  <c:v>129.347172916204</c:v>
                </c:pt>
                <c:pt idx="85">
                  <c:v>130.667110420827</c:v>
                </c:pt>
                <c:pt idx="86">
                  <c:v>129.646706974336</c:v>
                </c:pt>
                <c:pt idx="87">
                  <c:v>130.671963981954</c:v>
                </c:pt>
                <c:pt idx="88">
                  <c:v>131.530119813623</c:v>
                </c:pt>
                <c:pt idx="89">
                  <c:v>132.661692922121</c:v>
                </c:pt>
                <c:pt idx="90">
                  <c:v>131.267103024924</c:v>
                </c:pt>
                <c:pt idx="91">
                  <c:v>133.745654907181</c:v>
                </c:pt>
                <c:pt idx="92">
                  <c:v>137.337290141262</c:v>
                </c:pt>
                <c:pt idx="93">
                  <c:v>141.693476813845</c:v>
                </c:pt>
                <c:pt idx="94">
                  <c:v>145.628097034243</c:v>
                </c:pt>
                <c:pt idx="95">
                  <c:v>146.509133939797</c:v>
                </c:pt>
                <c:pt idx="96">
                  <c:v>145.436728052659</c:v>
                </c:pt>
                <c:pt idx="97">
                  <c:v>144.623178758968</c:v>
                </c:pt>
                <c:pt idx="98">
                  <c:v>141.75333740108</c:v>
                </c:pt>
                <c:pt idx="99">
                  <c:v>139.75066563124</c:v>
                </c:pt>
                <c:pt idx="100">
                  <c:v>138.589046668146</c:v>
                </c:pt>
                <c:pt idx="101">
                  <c:v>135.642010576141</c:v>
                </c:pt>
                <c:pt idx="102">
                  <c:v>138.734884623918</c:v>
                </c:pt>
                <c:pt idx="103">
                  <c:v>134.789170549516</c:v>
                </c:pt>
                <c:pt idx="104">
                  <c:v>134.821758745655</c:v>
                </c:pt>
                <c:pt idx="105">
                  <c:v>130.798618815176</c:v>
                </c:pt>
                <c:pt idx="106">
                  <c:v>133.536489534798</c:v>
                </c:pt>
                <c:pt idx="107">
                  <c:v>130.152401819392</c:v>
                </c:pt>
                <c:pt idx="108">
                  <c:v>128.696795725168</c:v>
                </c:pt>
                <c:pt idx="109">
                  <c:v>129.903714592116</c:v>
                </c:pt>
                <c:pt idx="110">
                  <c:v>129.860032541972</c:v>
                </c:pt>
                <c:pt idx="111">
                  <c:v>133.382793432438</c:v>
                </c:pt>
                <c:pt idx="112">
                  <c:v>133.513377338954</c:v>
                </c:pt>
                <c:pt idx="113">
                  <c:v>136.054794393906</c:v>
                </c:pt>
                <c:pt idx="114">
                  <c:v>137.998530064344</c:v>
                </c:pt>
                <c:pt idx="115">
                  <c:v>141.864969307004</c:v>
                </c:pt>
                <c:pt idx="116">
                  <c:v>142.224595074329</c:v>
                </c:pt>
                <c:pt idx="117">
                  <c:v>143.244074032986</c:v>
                </c:pt>
                <c:pt idx="118">
                  <c:v>139.774240071001</c:v>
                </c:pt>
                <c:pt idx="119">
                  <c:v>137.947683233489</c:v>
                </c:pt>
                <c:pt idx="120">
                  <c:v>135.080615339102</c:v>
                </c:pt>
                <c:pt idx="121">
                  <c:v>140.027087493529</c:v>
                </c:pt>
                <c:pt idx="122">
                  <c:v>138.548369203461</c:v>
                </c:pt>
                <c:pt idx="123">
                  <c:v>139.426863767473</c:v>
                </c:pt>
                <c:pt idx="124">
                  <c:v>146.457593743066</c:v>
                </c:pt>
                <c:pt idx="125">
                  <c:v>143.054322905111</c:v>
                </c:pt>
                <c:pt idx="126">
                  <c:v>149.795919310702</c:v>
                </c:pt>
                <c:pt idx="127">
                  <c:v>146.476083499741</c:v>
                </c:pt>
                <c:pt idx="128">
                  <c:v>149.391687005399</c:v>
                </c:pt>
                <c:pt idx="129">
                  <c:v>150.607619628726</c:v>
                </c:pt>
                <c:pt idx="130">
                  <c:v>153.55188225723</c:v>
                </c:pt>
                <c:pt idx="131">
                  <c:v>150.514939723393</c:v>
                </c:pt>
                <c:pt idx="132">
                  <c:v>151.710764736336</c:v>
                </c:pt>
                <c:pt idx="133">
                  <c:v>147.111206641521</c:v>
                </c:pt>
                <c:pt idx="134">
                  <c:v>147.759734856889</c:v>
                </c:pt>
                <c:pt idx="135">
                  <c:v>151.594048147326</c:v>
                </c:pt>
                <c:pt idx="136">
                  <c:v>153.472607425486</c:v>
                </c:pt>
                <c:pt idx="137">
                  <c:v>153.903649877968</c:v>
                </c:pt>
                <c:pt idx="138">
                  <c:v>156.605465572073</c:v>
                </c:pt>
                <c:pt idx="139">
                  <c:v>153.298572590785</c:v>
                </c:pt>
                <c:pt idx="140">
                  <c:v>153.410897862584</c:v>
                </c:pt>
                <c:pt idx="141">
                  <c:v>150.647834849493</c:v>
                </c:pt>
                <c:pt idx="142">
                  <c:v>149.969260779528</c:v>
                </c:pt>
                <c:pt idx="143">
                  <c:v>148.238850676725</c:v>
                </c:pt>
                <c:pt idx="144">
                  <c:v>149.851850824643</c:v>
                </c:pt>
                <c:pt idx="145">
                  <c:v>151.38534501886</c:v>
                </c:pt>
                <c:pt idx="146">
                  <c:v>151.585496634864</c:v>
                </c:pt>
                <c:pt idx="147">
                  <c:v>148.661341616744</c:v>
                </c:pt>
                <c:pt idx="148">
                  <c:v>145.964148361808</c:v>
                </c:pt>
                <c:pt idx="149">
                  <c:v>146.091265438947</c:v>
                </c:pt>
                <c:pt idx="150">
                  <c:v>149.25278270838</c:v>
                </c:pt>
                <c:pt idx="151">
                  <c:v>149.37966866356</c:v>
                </c:pt>
                <c:pt idx="152">
                  <c:v>149.303860661194</c:v>
                </c:pt>
                <c:pt idx="153">
                  <c:v>144.345370164929</c:v>
                </c:pt>
                <c:pt idx="154">
                  <c:v>146.792720582797</c:v>
                </c:pt>
                <c:pt idx="155">
                  <c:v>146.373234228238</c:v>
                </c:pt>
                <c:pt idx="156">
                  <c:v>150.939510761038</c:v>
                </c:pt>
                <c:pt idx="157">
                  <c:v>149.788523408032</c:v>
                </c:pt>
                <c:pt idx="158">
                  <c:v>151.915307669551</c:v>
                </c:pt>
                <c:pt idx="159">
                  <c:v>153.546335330227</c:v>
                </c:pt>
                <c:pt idx="160">
                  <c:v>156.115718142149</c:v>
                </c:pt>
                <c:pt idx="161">
                  <c:v>151.392278677613</c:v>
                </c:pt>
                <c:pt idx="162">
                  <c:v>150.685045484801</c:v>
                </c:pt>
                <c:pt idx="163">
                  <c:v>150.853764514459</c:v>
                </c:pt>
                <c:pt idx="164">
                  <c:v>151.712151468087</c:v>
                </c:pt>
                <c:pt idx="165">
                  <c:v>151.99966718438</c:v>
                </c:pt>
                <c:pt idx="166">
                  <c:v>153.664900894904</c:v>
                </c:pt>
                <c:pt idx="167">
                  <c:v>156.406007321944</c:v>
                </c:pt>
                <c:pt idx="168">
                  <c:v>154.87066415206</c:v>
                </c:pt>
                <c:pt idx="169">
                  <c:v>154.927289031876</c:v>
                </c:pt>
                <c:pt idx="170">
                  <c:v>154.874362103395</c:v>
                </c:pt>
                <c:pt idx="171">
                  <c:v>157.489275941129</c:v>
                </c:pt>
                <c:pt idx="172">
                  <c:v>160.832917313808</c:v>
                </c:pt>
                <c:pt idx="173">
                  <c:v>163.372485393092</c:v>
                </c:pt>
                <c:pt idx="174">
                  <c:v>166.398334072924</c:v>
                </c:pt>
                <c:pt idx="175">
                  <c:v>168.375120183418</c:v>
                </c:pt>
                <c:pt idx="176">
                  <c:v>170.103681310554</c:v>
                </c:pt>
                <c:pt idx="177">
                  <c:v>168.990597958731</c:v>
                </c:pt>
                <c:pt idx="178">
                  <c:v>169.461393388063</c:v>
                </c:pt>
                <c:pt idx="179">
                  <c:v>170.500748835145</c:v>
                </c:pt>
                <c:pt idx="180">
                  <c:v>173.549478588862</c:v>
                </c:pt>
                <c:pt idx="181">
                  <c:v>175.324726351601</c:v>
                </c:pt>
                <c:pt idx="182">
                  <c:v>177.836559795873</c:v>
                </c:pt>
                <c:pt idx="183">
                  <c:v>173.438771170771</c:v>
                </c:pt>
                <c:pt idx="184">
                  <c:v>171.739562532357</c:v>
                </c:pt>
                <c:pt idx="185">
                  <c:v>180.627588565934</c:v>
                </c:pt>
                <c:pt idx="186">
                  <c:v>184.703886546853</c:v>
                </c:pt>
                <c:pt idx="187">
                  <c:v>185.804258190962</c:v>
                </c:pt>
                <c:pt idx="188">
                  <c:v>190.285712965017</c:v>
                </c:pt>
                <c:pt idx="189">
                  <c:v>193.822572294949</c:v>
                </c:pt>
                <c:pt idx="190">
                  <c:v>194.132969085127</c:v>
                </c:pt>
                <c:pt idx="191">
                  <c:v>185.995627172546</c:v>
                </c:pt>
                <c:pt idx="192">
                  <c:v>188.827564529251</c:v>
                </c:pt>
                <c:pt idx="193">
                  <c:v>189.74927889949</c:v>
                </c:pt>
                <c:pt idx="194">
                  <c:v>186.688299681976</c:v>
                </c:pt>
                <c:pt idx="195">
                  <c:v>189.822313438355</c:v>
                </c:pt>
                <c:pt idx="196">
                  <c:v>191.491245100214</c:v>
                </c:pt>
                <c:pt idx="197">
                  <c:v>190.257747208047</c:v>
                </c:pt>
                <c:pt idx="198">
                  <c:v>189.161766881148</c:v>
                </c:pt>
                <c:pt idx="199">
                  <c:v>190.026163005695</c:v>
                </c:pt>
                <c:pt idx="200">
                  <c:v>188.626257303454</c:v>
                </c:pt>
                <c:pt idx="201">
                  <c:v>196.92815805044</c:v>
                </c:pt>
                <c:pt idx="202">
                  <c:v>201.987186598624</c:v>
                </c:pt>
                <c:pt idx="203">
                  <c:v>204.641391169292</c:v>
                </c:pt>
                <c:pt idx="204">
                  <c:v>205.696462909548</c:v>
                </c:pt>
                <c:pt idx="205">
                  <c:v>212.879040011833</c:v>
                </c:pt>
                <c:pt idx="206">
                  <c:v>207.772862584128</c:v>
                </c:pt>
                <c:pt idx="207">
                  <c:v>208.174783669847</c:v>
                </c:pt>
                <c:pt idx="208">
                  <c:v>208.542498705717</c:v>
                </c:pt>
                <c:pt idx="209">
                  <c:v>205.474123585534</c:v>
                </c:pt>
                <c:pt idx="210">
                  <c:v>200.516788699061</c:v>
                </c:pt>
                <c:pt idx="211">
                  <c:v>211.013885807263</c:v>
                </c:pt>
                <c:pt idx="212">
                  <c:v>212.271882627025</c:v>
                </c:pt>
                <c:pt idx="213">
                  <c:v>217.922352266844</c:v>
                </c:pt>
                <c:pt idx="214">
                  <c:v>221.994027808594</c:v>
                </c:pt>
                <c:pt idx="215">
                  <c:v>221.946878929073</c:v>
                </c:pt>
                <c:pt idx="216">
                  <c:v>227.113841431847</c:v>
                </c:pt>
                <c:pt idx="217">
                  <c:v>234.093724576585</c:v>
                </c:pt>
                <c:pt idx="218">
                  <c:v>236.266964351749</c:v>
                </c:pt>
                <c:pt idx="219">
                  <c:v>240.367067894387</c:v>
                </c:pt>
                <c:pt idx="220">
                  <c:v>238.154075142371</c:v>
                </c:pt>
                <c:pt idx="221">
                  <c:v>242.288615856815</c:v>
                </c:pt>
                <c:pt idx="222">
                  <c:v>241.028538939428</c:v>
                </c:pt>
                <c:pt idx="223">
                  <c:v>252.596655203018</c:v>
                </c:pt>
                <c:pt idx="224">
                  <c:v>257.856528733082</c:v>
                </c:pt>
                <c:pt idx="225">
                  <c:v>265.792563419865</c:v>
                </c:pt>
                <c:pt idx="226">
                  <c:v>263.94289438651</c:v>
                </c:pt>
                <c:pt idx="227">
                  <c:v>259.105742918423</c:v>
                </c:pt>
                <c:pt idx="228">
                  <c:v>251.870701131573</c:v>
                </c:pt>
                <c:pt idx="229">
                  <c:v>250.884734856889</c:v>
                </c:pt>
                <c:pt idx="230">
                  <c:v>251.408457214703</c:v>
                </c:pt>
                <c:pt idx="231">
                  <c:v>238.379881295762</c:v>
                </c:pt>
                <c:pt idx="232">
                  <c:v>241.904260039938</c:v>
                </c:pt>
                <c:pt idx="233">
                  <c:v>237.535823903557</c:v>
                </c:pt>
                <c:pt idx="234">
                  <c:v>240.764135418978</c:v>
                </c:pt>
                <c:pt idx="235">
                  <c:v>248.205337992752</c:v>
                </c:pt>
                <c:pt idx="236">
                  <c:v>256.005704089934</c:v>
                </c:pt>
                <c:pt idx="237">
                  <c:v>264.153677612603</c:v>
                </c:pt>
                <c:pt idx="238">
                  <c:v>258.244351379336</c:v>
                </c:pt>
                <c:pt idx="239">
                  <c:v>252.11476591968</c:v>
                </c:pt>
                <c:pt idx="240">
                  <c:v>248.661803860661</c:v>
                </c:pt>
                <c:pt idx="241">
                  <c:v>240.860282153687</c:v>
                </c:pt>
                <c:pt idx="242">
                  <c:v>244.154463427261</c:v>
                </c:pt>
                <c:pt idx="243">
                  <c:v>249.338760076917</c:v>
                </c:pt>
                <c:pt idx="244">
                  <c:v>237.433667997929</c:v>
                </c:pt>
                <c:pt idx="245">
                  <c:v>252.454052954663</c:v>
                </c:pt>
                <c:pt idx="246">
                  <c:v>251.65552658827</c:v>
                </c:pt>
                <c:pt idx="247">
                  <c:v>248.756101619703</c:v>
                </c:pt>
                <c:pt idx="248">
                  <c:v>250.100306929961</c:v>
                </c:pt>
                <c:pt idx="249">
                  <c:v>255.54854485615</c:v>
                </c:pt>
                <c:pt idx="250">
                  <c:v>251.639116929221</c:v>
                </c:pt>
                <c:pt idx="251">
                  <c:v>253.095647511279</c:v>
                </c:pt>
                <c:pt idx="252">
                  <c:v>254.623594778493</c:v>
                </c:pt>
                <c:pt idx="253">
                  <c:v>260.157347829303</c:v>
                </c:pt>
                <c:pt idx="254">
                  <c:v>255.169735966275</c:v>
                </c:pt>
                <c:pt idx="255">
                  <c:v>262.042609644257</c:v>
                </c:pt>
                <c:pt idx="256">
                  <c:v>264.532024258561</c:v>
                </c:pt>
                <c:pt idx="257">
                  <c:v>261.520505140152</c:v>
                </c:pt>
              </c:numCache>
            </c:numRef>
          </c:val>
          <c:smooth val="0"/>
        </c:ser>
        <c:ser>
          <c:idx val="2"/>
          <c:order val="2"/>
          <c:tx>
            <c:strRef>
              <c:f>Fig_Precio!I3</c:f>
              <c:strCache>
                <c:ptCount val="1"/>
                <c:pt idx="0">
                  <c:v>Parque Arauco (base 100)</c:v>
                </c:pt>
              </c:strCache>
            </c:strRef>
          </c:tx>
          <c:spPr>
            <a:solidFill>
              <a:srgbClr val="5b9bd5"/>
            </a:solidFill>
            <a:ln w="28440">
              <a:solidFill>
                <a:srgbClr val="5b9bd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Fig_Precio!$A$4:$A$265</c:f>
              <c:strCache>
                <c:ptCount val="262"/>
                <c:pt idx="0">
                  <c:v>01-10-2021</c:v>
                </c:pt>
                <c:pt idx="1">
                  <c:v>08-10-2021</c:v>
                </c:pt>
                <c:pt idx="2">
                  <c:v>15-10-2021</c:v>
                </c:pt>
                <c:pt idx="3">
                  <c:v>22-10-2021</c:v>
                </c:pt>
                <c:pt idx="4">
                  <c:v>29-10-2021</c:v>
                </c:pt>
                <c:pt idx="5">
                  <c:v>05-11-2021</c:v>
                </c:pt>
                <c:pt idx="6">
                  <c:v>12-11-2021</c:v>
                </c:pt>
                <c:pt idx="7">
                  <c:v>19-11-2021</c:v>
                </c:pt>
                <c:pt idx="8">
                  <c:v>26-11-2021</c:v>
                </c:pt>
                <c:pt idx="9">
                  <c:v>03-12-2021</c:v>
                </c:pt>
                <c:pt idx="10">
                  <c:v>10-12-2021</c:v>
                </c:pt>
                <c:pt idx="11">
                  <c:v>17-12-2021</c:v>
                </c:pt>
                <c:pt idx="12">
                  <c:v>24-12-2021</c:v>
                </c:pt>
                <c:pt idx="13">
                  <c:v>31-12-2021</c:v>
                </c:pt>
                <c:pt idx="14">
                  <c:v>07-01-2022</c:v>
                </c:pt>
                <c:pt idx="15">
                  <c:v>14-01-2022</c:v>
                </c:pt>
                <c:pt idx="16">
                  <c:v>21-01-2022</c:v>
                </c:pt>
                <c:pt idx="17">
                  <c:v>28-01-2022</c:v>
                </c:pt>
                <c:pt idx="18">
                  <c:v>04-02-2022</c:v>
                </c:pt>
                <c:pt idx="19">
                  <c:v>11-02-2022</c:v>
                </c:pt>
                <c:pt idx="20">
                  <c:v>18-02-2022</c:v>
                </c:pt>
                <c:pt idx="21">
                  <c:v>25-02-2022</c:v>
                </c:pt>
                <c:pt idx="22">
                  <c:v>04-03-2022</c:v>
                </c:pt>
                <c:pt idx="23">
                  <c:v>11-03-2022</c:v>
                </c:pt>
                <c:pt idx="24">
                  <c:v>18-03-2022</c:v>
                </c:pt>
                <c:pt idx="25">
                  <c:v>25-03-2022</c:v>
                </c:pt>
                <c:pt idx="26">
                  <c:v>01-04-2022</c:v>
                </c:pt>
                <c:pt idx="27">
                  <c:v>08-04-2022</c:v>
                </c:pt>
                <c:pt idx="28">
                  <c:v>15-04-2022</c:v>
                </c:pt>
                <c:pt idx="29">
                  <c:v>22-04-2022</c:v>
                </c:pt>
                <c:pt idx="30">
                  <c:v>29-04-2022</c:v>
                </c:pt>
                <c:pt idx="31">
                  <c:v>06-05-2022</c:v>
                </c:pt>
                <c:pt idx="32">
                  <c:v>13-05-2022</c:v>
                </c:pt>
                <c:pt idx="33">
                  <c:v>20-05-2022</c:v>
                </c:pt>
                <c:pt idx="34">
                  <c:v>27-05-2022</c:v>
                </c:pt>
                <c:pt idx="35">
                  <c:v>03-06-2022</c:v>
                </c:pt>
                <c:pt idx="36">
                  <c:v>10-06-2022</c:v>
                </c:pt>
                <c:pt idx="37">
                  <c:v>17-06-2022</c:v>
                </c:pt>
                <c:pt idx="38">
                  <c:v>24-06-2022</c:v>
                </c:pt>
                <c:pt idx="39">
                  <c:v>01-07-2022</c:v>
                </c:pt>
                <c:pt idx="40">
                  <c:v>08-07-2022</c:v>
                </c:pt>
                <c:pt idx="41">
                  <c:v>15-07-2022</c:v>
                </c:pt>
                <c:pt idx="42">
                  <c:v>22-07-2022</c:v>
                </c:pt>
                <c:pt idx="43">
                  <c:v>29-07-2022</c:v>
                </c:pt>
                <c:pt idx="44">
                  <c:v>05-08-2022</c:v>
                </c:pt>
                <c:pt idx="45">
                  <c:v>12-08-2022</c:v>
                </c:pt>
                <c:pt idx="46">
                  <c:v>19-08-2022</c:v>
                </c:pt>
                <c:pt idx="47">
                  <c:v>26-08-2022</c:v>
                </c:pt>
                <c:pt idx="48">
                  <c:v>02-09-2022</c:v>
                </c:pt>
                <c:pt idx="49">
                  <c:v>09-09-2022</c:v>
                </c:pt>
                <c:pt idx="50">
                  <c:v>16-09-2022</c:v>
                </c:pt>
                <c:pt idx="51">
                  <c:v>23-09-2022</c:v>
                </c:pt>
                <c:pt idx="52">
                  <c:v>30-09-2022</c:v>
                </c:pt>
                <c:pt idx="53">
                  <c:v>07-10-2022</c:v>
                </c:pt>
                <c:pt idx="54">
                  <c:v>14-10-2022</c:v>
                </c:pt>
                <c:pt idx="55">
                  <c:v>21-10-2022</c:v>
                </c:pt>
                <c:pt idx="56">
                  <c:v>28-10-2022</c:v>
                </c:pt>
                <c:pt idx="57">
                  <c:v>04-11-2022</c:v>
                </c:pt>
                <c:pt idx="58">
                  <c:v>11-11-2022</c:v>
                </c:pt>
                <c:pt idx="59">
                  <c:v>18-11-2022</c:v>
                </c:pt>
                <c:pt idx="60">
                  <c:v>25-11-2022</c:v>
                </c:pt>
                <c:pt idx="61">
                  <c:v>02-12-2022</c:v>
                </c:pt>
                <c:pt idx="62">
                  <c:v>09-12-2022</c:v>
                </c:pt>
                <c:pt idx="63">
                  <c:v>16-12-2022</c:v>
                </c:pt>
                <c:pt idx="64">
                  <c:v>23-12-2022</c:v>
                </c:pt>
                <c:pt idx="65">
                  <c:v>30-12-2022</c:v>
                </c:pt>
                <c:pt idx="66">
                  <c:v>06-01-2023</c:v>
                </c:pt>
                <c:pt idx="67">
                  <c:v>13-01-2023</c:v>
                </c:pt>
                <c:pt idx="68">
                  <c:v>20-01-2023</c:v>
                </c:pt>
                <c:pt idx="69">
                  <c:v>27-01-2023</c:v>
                </c:pt>
                <c:pt idx="70">
                  <c:v>03-02-2023</c:v>
                </c:pt>
                <c:pt idx="71">
                  <c:v>10-02-2023</c:v>
                </c:pt>
                <c:pt idx="72">
                  <c:v>17-02-2023</c:v>
                </c:pt>
                <c:pt idx="73">
                  <c:v>24-02-2023</c:v>
                </c:pt>
                <c:pt idx="74">
                  <c:v>03-03-2023</c:v>
                </c:pt>
                <c:pt idx="75">
                  <c:v>10-03-2023</c:v>
                </c:pt>
                <c:pt idx="76">
                  <c:v>17-03-2023</c:v>
                </c:pt>
                <c:pt idx="77">
                  <c:v>24-03-2023</c:v>
                </c:pt>
                <c:pt idx="78">
                  <c:v>31-03-2023</c:v>
                </c:pt>
                <c:pt idx="79">
                  <c:v>07-04-2023</c:v>
                </c:pt>
                <c:pt idx="80">
                  <c:v>14-04-2023</c:v>
                </c:pt>
                <c:pt idx="81">
                  <c:v>21-04-2023</c:v>
                </c:pt>
                <c:pt idx="82">
                  <c:v>28-04-2023</c:v>
                </c:pt>
                <c:pt idx="83">
                  <c:v>05-05-2023</c:v>
                </c:pt>
                <c:pt idx="84">
                  <c:v>12-05-2023</c:v>
                </c:pt>
                <c:pt idx="85">
                  <c:v>19-05-2023</c:v>
                </c:pt>
                <c:pt idx="86">
                  <c:v>26-05-2023</c:v>
                </c:pt>
                <c:pt idx="87">
                  <c:v>02-06-2023</c:v>
                </c:pt>
                <c:pt idx="88">
                  <c:v>09-06-2023</c:v>
                </c:pt>
                <c:pt idx="89">
                  <c:v>16-06-2023</c:v>
                </c:pt>
                <c:pt idx="90">
                  <c:v>23-06-2023</c:v>
                </c:pt>
                <c:pt idx="91">
                  <c:v>30-06-2023</c:v>
                </c:pt>
                <c:pt idx="92">
                  <c:v>07-07-2023</c:v>
                </c:pt>
                <c:pt idx="93">
                  <c:v>14-07-2023</c:v>
                </c:pt>
                <c:pt idx="94">
                  <c:v>21-07-2023</c:v>
                </c:pt>
                <c:pt idx="95">
                  <c:v>28-07-2023</c:v>
                </c:pt>
                <c:pt idx="96">
                  <c:v>04-08-2023</c:v>
                </c:pt>
                <c:pt idx="97">
                  <c:v>11-08-2023</c:v>
                </c:pt>
                <c:pt idx="98">
                  <c:v>18-08-2023</c:v>
                </c:pt>
                <c:pt idx="99">
                  <c:v>25-08-2023</c:v>
                </c:pt>
                <c:pt idx="100">
                  <c:v>01-09-2023</c:v>
                </c:pt>
                <c:pt idx="101">
                  <c:v>08-09-2023</c:v>
                </c:pt>
                <c:pt idx="102">
                  <c:v>15-09-2023</c:v>
                </c:pt>
                <c:pt idx="103">
                  <c:v>22-09-2023</c:v>
                </c:pt>
                <c:pt idx="104">
                  <c:v>29-09-2023</c:v>
                </c:pt>
                <c:pt idx="105">
                  <c:v>06-10-2023</c:v>
                </c:pt>
                <c:pt idx="106">
                  <c:v>13-10-2023</c:v>
                </c:pt>
                <c:pt idx="107">
                  <c:v>20-10-2023</c:v>
                </c:pt>
                <c:pt idx="108">
                  <c:v>27-10-2023</c:v>
                </c:pt>
                <c:pt idx="109">
                  <c:v>03-11-2023</c:v>
                </c:pt>
                <c:pt idx="110">
                  <c:v>10-11-2023</c:v>
                </c:pt>
                <c:pt idx="111">
                  <c:v>17-11-2023</c:v>
                </c:pt>
                <c:pt idx="112">
                  <c:v>24-11-2023</c:v>
                </c:pt>
                <c:pt idx="113">
                  <c:v>01-12-2023</c:v>
                </c:pt>
                <c:pt idx="114">
                  <c:v>08-12-2023</c:v>
                </c:pt>
                <c:pt idx="115">
                  <c:v>15-12-2023</c:v>
                </c:pt>
                <c:pt idx="116">
                  <c:v>22-12-2023</c:v>
                </c:pt>
                <c:pt idx="117">
                  <c:v>29-12-2023</c:v>
                </c:pt>
                <c:pt idx="118">
                  <c:v>05-01-2024</c:v>
                </c:pt>
                <c:pt idx="119">
                  <c:v>12-01-2024</c:v>
                </c:pt>
                <c:pt idx="120">
                  <c:v>19-01-2024</c:v>
                </c:pt>
                <c:pt idx="121">
                  <c:v>26-01-2024</c:v>
                </c:pt>
                <c:pt idx="122">
                  <c:v>02-02-2024</c:v>
                </c:pt>
                <c:pt idx="123">
                  <c:v>09-02-2024</c:v>
                </c:pt>
                <c:pt idx="124">
                  <c:v>16-02-2024</c:v>
                </c:pt>
                <c:pt idx="125">
                  <c:v>23-02-2024</c:v>
                </c:pt>
                <c:pt idx="126">
                  <c:v>01-03-2024</c:v>
                </c:pt>
                <c:pt idx="127">
                  <c:v>08-03-2024</c:v>
                </c:pt>
                <c:pt idx="128">
                  <c:v>15-03-2024</c:v>
                </c:pt>
                <c:pt idx="129">
                  <c:v>22-03-2024</c:v>
                </c:pt>
                <c:pt idx="130">
                  <c:v>29-03-2024</c:v>
                </c:pt>
                <c:pt idx="131">
                  <c:v>05-04-2024</c:v>
                </c:pt>
                <c:pt idx="132">
                  <c:v>12-04-2024</c:v>
                </c:pt>
                <c:pt idx="133">
                  <c:v>19-04-2024</c:v>
                </c:pt>
                <c:pt idx="134">
                  <c:v>26-04-2024</c:v>
                </c:pt>
                <c:pt idx="135">
                  <c:v>03-05-2024</c:v>
                </c:pt>
                <c:pt idx="136">
                  <c:v>10-05-2024</c:v>
                </c:pt>
                <c:pt idx="137">
                  <c:v>17-05-2024</c:v>
                </c:pt>
                <c:pt idx="138">
                  <c:v>24-05-2024</c:v>
                </c:pt>
                <c:pt idx="139">
                  <c:v>31-05-2024</c:v>
                </c:pt>
                <c:pt idx="140">
                  <c:v>07-06-2024</c:v>
                </c:pt>
                <c:pt idx="141">
                  <c:v>14-06-2024</c:v>
                </c:pt>
                <c:pt idx="142">
                  <c:v>21-06-2024</c:v>
                </c:pt>
                <c:pt idx="143">
                  <c:v>28-06-2024</c:v>
                </c:pt>
                <c:pt idx="144">
                  <c:v>05-07-2024</c:v>
                </c:pt>
                <c:pt idx="145">
                  <c:v>12-07-2024</c:v>
                </c:pt>
                <c:pt idx="146">
                  <c:v>19-07-2024</c:v>
                </c:pt>
                <c:pt idx="147">
                  <c:v>26-07-2024</c:v>
                </c:pt>
                <c:pt idx="148">
                  <c:v>02-08-2024</c:v>
                </c:pt>
                <c:pt idx="149">
                  <c:v>09-08-2024</c:v>
                </c:pt>
                <c:pt idx="150">
                  <c:v>16-08-2024</c:v>
                </c:pt>
                <c:pt idx="151">
                  <c:v>23-08-2024</c:v>
                </c:pt>
                <c:pt idx="152">
                  <c:v>30-08-2024</c:v>
                </c:pt>
                <c:pt idx="153">
                  <c:v>06-09-2024</c:v>
                </c:pt>
                <c:pt idx="154">
                  <c:v>13-09-2024</c:v>
                </c:pt>
                <c:pt idx="155">
                  <c:v>20-09-2024</c:v>
                </c:pt>
                <c:pt idx="156">
                  <c:v>27-09-2024</c:v>
                </c:pt>
                <c:pt idx="157">
                  <c:v>04-10-2024</c:v>
                </c:pt>
                <c:pt idx="158">
                  <c:v>11-10-2024</c:v>
                </c:pt>
                <c:pt idx="159">
                  <c:v>18-10-2024</c:v>
                </c:pt>
                <c:pt idx="160">
                  <c:v>25-10-2024</c:v>
                </c:pt>
                <c:pt idx="161">
                  <c:v>01-11-2024</c:v>
                </c:pt>
                <c:pt idx="162">
                  <c:v>08-11-2024</c:v>
                </c:pt>
                <c:pt idx="163">
                  <c:v>15-11-2024</c:v>
                </c:pt>
                <c:pt idx="164">
                  <c:v>22-11-2024</c:v>
                </c:pt>
                <c:pt idx="165">
                  <c:v>29-11-2024</c:v>
                </c:pt>
                <c:pt idx="166">
                  <c:v>06-12-2024</c:v>
                </c:pt>
                <c:pt idx="167">
                  <c:v>13-12-2024</c:v>
                </c:pt>
                <c:pt idx="168">
                  <c:v>20-12-2024</c:v>
                </c:pt>
                <c:pt idx="169">
                  <c:v>27-12-2024</c:v>
                </c:pt>
                <c:pt idx="170">
                  <c:v>03-01-2025</c:v>
                </c:pt>
                <c:pt idx="171">
                  <c:v>10-01-2025</c:v>
                </c:pt>
                <c:pt idx="172">
                  <c:v>17-01-2025</c:v>
                </c:pt>
                <c:pt idx="173">
                  <c:v>24-01-2025</c:v>
                </c:pt>
                <c:pt idx="174">
                  <c:v>31-01-2025</c:v>
                </c:pt>
                <c:pt idx="175">
                  <c:v>07-02-2025</c:v>
                </c:pt>
                <c:pt idx="176">
                  <c:v>14-02-2025</c:v>
                </c:pt>
                <c:pt idx="177">
                  <c:v>21-02-2025</c:v>
                </c:pt>
                <c:pt idx="178">
                  <c:v>28-02-2025</c:v>
                </c:pt>
                <c:pt idx="179">
                  <c:v>07-03-2025</c:v>
                </c:pt>
                <c:pt idx="180">
                  <c:v>14-03-2025</c:v>
                </c:pt>
                <c:pt idx="181">
                  <c:v>21-03-2025</c:v>
                </c:pt>
                <c:pt idx="182">
                  <c:v>28-03-2025</c:v>
                </c:pt>
                <c:pt idx="183">
                  <c:v>04-04-2025</c:v>
                </c:pt>
                <c:pt idx="184">
                  <c:v>11-04-2025</c:v>
                </c:pt>
                <c:pt idx="185">
                  <c:v>18-04-2025</c:v>
                </c:pt>
                <c:pt idx="186">
                  <c:v>25-04-2025</c:v>
                </c:pt>
                <c:pt idx="187">
                  <c:v>02-05-2025</c:v>
                </c:pt>
                <c:pt idx="188">
                  <c:v>09-05-2025</c:v>
                </c:pt>
                <c:pt idx="189">
                  <c:v>16-05-2025</c:v>
                </c:pt>
                <c:pt idx="190">
                  <c:v>23-05-2025</c:v>
                </c:pt>
                <c:pt idx="191">
                  <c:v>30-05-2025</c:v>
                </c:pt>
                <c:pt idx="192">
                  <c:v>06-06-2025</c:v>
                </c:pt>
                <c:pt idx="193">
                  <c:v>13-06-2025</c:v>
                </c:pt>
                <c:pt idx="194">
                  <c:v>20-06-2025</c:v>
                </c:pt>
                <c:pt idx="195">
                  <c:v>27-06-2025</c:v>
                </c:pt>
                <c:pt idx="196">
                  <c:v>04-07-2025</c:v>
                </c:pt>
                <c:pt idx="197">
                  <c:v>11-07-2025</c:v>
                </c:pt>
                <c:pt idx="198">
                  <c:v>18-07-2025</c:v>
                </c:pt>
                <c:pt idx="199">
                  <c:v>25-07-2025</c:v>
                </c:pt>
                <c:pt idx="200">
                  <c:v>01-08-2025</c:v>
                </c:pt>
                <c:pt idx="201">
                  <c:v>08-08-2025</c:v>
                </c:pt>
                <c:pt idx="202">
                  <c:v>15-08-2025</c:v>
                </c:pt>
                <c:pt idx="203">
                  <c:v>22-08-2025</c:v>
                </c:pt>
                <c:pt idx="204">
                  <c:v>29-08-2025</c:v>
                </c:pt>
                <c:pt idx="205">
                  <c:v>05-09-2025</c:v>
                </c:pt>
                <c:pt idx="206">
                  <c:v>12-09-2025</c:v>
                </c:pt>
                <c:pt idx="207">
                  <c:v>19-09-2025</c:v>
                </c:pt>
                <c:pt idx="208">
                  <c:v>26-09-2025</c:v>
                </c:pt>
                <c:pt idx="209">
                  <c:v>03-10-2025</c:v>
                </c:pt>
                <c:pt idx="210">
                  <c:v>10-10-2025</c:v>
                </c:pt>
                <c:pt idx="211">
                  <c:v>17-10-2025</c:v>
                </c:pt>
                <c:pt idx="212">
                  <c:v>24-10-2025</c:v>
                </c:pt>
                <c:pt idx="213">
                  <c:v>31-10-2025</c:v>
                </c:pt>
                <c:pt idx="214">
                  <c:v>07-11-2025</c:v>
                </c:pt>
                <c:pt idx="215">
                  <c:v>14-11-2025</c:v>
                </c:pt>
                <c:pt idx="216">
                  <c:v>21-11-2025</c:v>
                </c:pt>
                <c:pt idx="217">
                  <c:v>28-11-2025</c:v>
                </c:pt>
                <c:pt idx="218">
                  <c:v>05-12-2025</c:v>
                </c:pt>
                <c:pt idx="219">
                  <c:v>12-12-2025</c:v>
                </c:pt>
                <c:pt idx="220">
                  <c:v>19-12-2025</c:v>
                </c:pt>
                <c:pt idx="221">
                  <c:v>26-12-2025</c:v>
                </c:pt>
                <c:pt idx="222">
                  <c:v>02-01-2026</c:v>
                </c:pt>
                <c:pt idx="223">
                  <c:v>09-01-2026</c:v>
                </c:pt>
                <c:pt idx="224">
                  <c:v>16-01-2026</c:v>
                </c:pt>
                <c:pt idx="225">
                  <c:v>23-01-2026</c:v>
                </c:pt>
                <c:pt idx="226">
                  <c:v>30-01-2026</c:v>
                </c:pt>
                <c:pt idx="227">
                  <c:v>06-02-2026</c:v>
                </c:pt>
                <c:pt idx="228">
                  <c:v>13-02-2026</c:v>
                </c:pt>
                <c:pt idx="229">
                  <c:v>20-02-2026</c:v>
                </c:pt>
                <c:pt idx="230">
                  <c:v>27-02-2026</c:v>
                </c:pt>
                <c:pt idx="231">
                  <c:v>06-03-2026</c:v>
                </c:pt>
                <c:pt idx="232">
                  <c:v>13-03-2026</c:v>
                </c:pt>
                <c:pt idx="233">
                  <c:v>20-03-2026</c:v>
                </c:pt>
                <c:pt idx="234">
                  <c:v>27-03-2026</c:v>
                </c:pt>
                <c:pt idx="235">
                  <c:v>03-04-2026</c:v>
                </c:pt>
                <c:pt idx="236">
                  <c:v>10-04-2026</c:v>
                </c:pt>
                <c:pt idx="237">
                  <c:v>17-04-2026</c:v>
                </c:pt>
                <c:pt idx="238">
                  <c:v>24-04-2026</c:v>
                </c:pt>
                <c:pt idx="239">
                  <c:v>01-05-2026</c:v>
                </c:pt>
                <c:pt idx="240">
                  <c:v>08-05-2026</c:v>
                </c:pt>
                <c:pt idx="241">
                  <c:v>15-05-2026</c:v>
                </c:pt>
                <c:pt idx="242">
                  <c:v>22-05-2026</c:v>
                </c:pt>
                <c:pt idx="243">
                  <c:v>29-05-2026</c:v>
                </c:pt>
                <c:pt idx="244">
                  <c:v>05-06-2026</c:v>
                </c:pt>
                <c:pt idx="245">
                  <c:v>12-06-2026</c:v>
                </c:pt>
                <c:pt idx="246">
                  <c:v>19-06-2026</c:v>
                </c:pt>
                <c:pt idx="247">
                  <c:v>26-06-2026</c:v>
                </c:pt>
                <c:pt idx="248">
                  <c:v>03-07-2026</c:v>
                </c:pt>
                <c:pt idx="249">
                  <c:v>10-07-2026</c:v>
                </c:pt>
                <c:pt idx="250">
                  <c:v>17-07-2026</c:v>
                </c:pt>
                <c:pt idx="251">
                  <c:v>24-07-2026</c:v>
                </c:pt>
                <c:pt idx="252">
                  <c:v>31-07-2026</c:v>
                </c:pt>
                <c:pt idx="253">
                  <c:v>07-08-2026</c:v>
                </c:pt>
                <c:pt idx="254">
                  <c:v>14-08-2026</c:v>
                </c:pt>
                <c:pt idx="255">
                  <c:v>21-08-2026</c:v>
                </c:pt>
                <c:pt idx="256">
                  <c:v>28-08-2026</c:v>
                </c:pt>
                <c:pt idx="257">
                  <c:v>04-09-2026</c:v>
                </c:pt>
                <c:pt idx="258">
                  <c:v>11-09-2026</c:v>
                </c:pt>
                <c:pt idx="259">
                  <c:v>18-09-2026</c:v>
                </c:pt>
                <c:pt idx="260">
                  <c:v>25-09-2026</c:v>
                </c:pt>
                <c:pt idx="261">
                  <c:v>30-09-2026</c:v>
                </c:pt>
              </c:strCache>
            </c:strRef>
          </c:cat>
          <c:val>
            <c:numRef>
              <c:f>Fig_Precio!$I$4:$I$265</c:f>
              <c:numCache>
                <c:formatCode>0.0</c:formatCode>
                <c:ptCount val="262"/>
                <c:pt idx="0">
                  <c:v>100</c:v>
                </c:pt>
                <c:pt idx="1">
                  <c:v>86.6403550803218</c:v>
                </c:pt>
                <c:pt idx="2">
                  <c:v>80.5954152270951</c:v>
                </c:pt>
                <c:pt idx="3">
                  <c:v>86.5646987617583</c:v>
                </c:pt>
                <c:pt idx="4">
                  <c:v>99.8739061357274</c:v>
                </c:pt>
                <c:pt idx="5">
                  <c:v>106.839331198144</c:v>
                </c:pt>
                <c:pt idx="6">
                  <c:v>109.184677073614</c:v>
                </c:pt>
                <c:pt idx="7">
                  <c:v>101.988500239578</c:v>
                </c:pt>
                <c:pt idx="8">
                  <c:v>108.829092376365</c:v>
                </c:pt>
                <c:pt idx="9">
                  <c:v>96.8892643683958</c:v>
                </c:pt>
                <c:pt idx="10">
                  <c:v>99.8739061357274</c:v>
                </c:pt>
                <c:pt idx="11">
                  <c:v>95.7695508536555</c:v>
                </c:pt>
                <c:pt idx="12">
                  <c:v>108.455854538118</c:v>
                </c:pt>
                <c:pt idx="13">
                  <c:v>116.901621567095</c:v>
                </c:pt>
                <c:pt idx="14">
                  <c:v>102.859808841702</c:v>
                </c:pt>
                <c:pt idx="15">
                  <c:v>105.240460999168</c:v>
                </c:pt>
                <c:pt idx="16">
                  <c:v>116.914230953522</c:v>
                </c:pt>
                <c:pt idx="17">
                  <c:v>117.535873704386</c:v>
                </c:pt>
                <c:pt idx="18">
                  <c:v>106.215166569995</c:v>
                </c:pt>
                <c:pt idx="19">
                  <c:v>103.231785741306</c:v>
                </c:pt>
                <c:pt idx="20">
                  <c:v>104.84830908128</c:v>
                </c:pt>
                <c:pt idx="21">
                  <c:v>99.5006682974807</c:v>
                </c:pt>
                <c:pt idx="22">
                  <c:v>97.0330113736666</c:v>
                </c:pt>
                <c:pt idx="23">
                  <c:v>97.8349683504401</c:v>
                </c:pt>
                <c:pt idx="24">
                  <c:v>98.382215721383</c:v>
                </c:pt>
                <c:pt idx="25">
                  <c:v>97.0140972940257</c:v>
                </c:pt>
                <c:pt idx="26">
                  <c:v>104.351499256046</c:v>
                </c:pt>
                <c:pt idx="27">
                  <c:v>100.586336468867</c:v>
                </c:pt>
                <c:pt idx="28">
                  <c:v>95.5186240637531</c:v>
                </c:pt>
                <c:pt idx="29">
                  <c:v>92.9210904597382</c:v>
                </c:pt>
                <c:pt idx="30">
                  <c:v>89.075227599425</c:v>
                </c:pt>
                <c:pt idx="31">
                  <c:v>87.5608402895115</c:v>
                </c:pt>
                <c:pt idx="32">
                  <c:v>89.3286762666129</c:v>
                </c:pt>
                <c:pt idx="33">
                  <c:v>90.5265679772022</c:v>
                </c:pt>
                <c:pt idx="34">
                  <c:v>97.0140972940257</c:v>
                </c:pt>
                <c:pt idx="35">
                  <c:v>100.123571986987</c:v>
                </c:pt>
                <c:pt idx="36">
                  <c:v>98.1073310972688</c:v>
                </c:pt>
                <c:pt idx="37">
                  <c:v>95.3963130154087</c:v>
                </c:pt>
                <c:pt idx="38">
                  <c:v>89.5506014677326</c:v>
                </c:pt>
                <c:pt idx="39">
                  <c:v>87.8949890298338</c:v>
                </c:pt>
                <c:pt idx="40">
                  <c:v>88.5204145966257</c:v>
                </c:pt>
                <c:pt idx="41">
                  <c:v>85.0389630040602</c:v>
                </c:pt>
                <c:pt idx="42">
                  <c:v>87.3124353768946</c:v>
                </c:pt>
                <c:pt idx="43">
                  <c:v>94.6498373389151</c:v>
                </c:pt>
                <c:pt idx="44">
                  <c:v>90.8241494968855</c:v>
                </c:pt>
                <c:pt idx="45">
                  <c:v>100.653166216932</c:v>
                </c:pt>
                <c:pt idx="46">
                  <c:v>108.692911002951</c:v>
                </c:pt>
                <c:pt idx="47">
                  <c:v>116.540993115275</c:v>
                </c:pt>
                <c:pt idx="48">
                  <c:v>124.251632915542</c:v>
                </c:pt>
                <c:pt idx="49">
                  <c:v>116.286283509444</c:v>
                </c:pt>
                <c:pt idx="50">
                  <c:v>113.165460368698</c:v>
                </c:pt>
                <c:pt idx="51">
                  <c:v>106.140771190074</c:v>
                </c:pt>
                <c:pt idx="52">
                  <c:v>104.476332181676</c:v>
                </c:pt>
                <c:pt idx="53">
                  <c:v>96.1869215443977</c:v>
                </c:pt>
                <c:pt idx="54">
                  <c:v>97.0140972940257</c:v>
                </c:pt>
                <c:pt idx="55">
                  <c:v>95.7695508536555</c:v>
                </c:pt>
                <c:pt idx="56">
                  <c:v>99.4237510402744</c:v>
                </c:pt>
                <c:pt idx="57">
                  <c:v>103.565934481628</c:v>
                </c:pt>
                <c:pt idx="58">
                  <c:v>115.109827755781</c:v>
                </c:pt>
                <c:pt idx="59">
                  <c:v>121.637707109172</c:v>
                </c:pt>
                <c:pt idx="60">
                  <c:v>119.400801956977</c:v>
                </c:pt>
                <c:pt idx="61">
                  <c:v>123.133180339445</c:v>
                </c:pt>
                <c:pt idx="62">
                  <c:v>118.157516455249</c:v>
                </c:pt>
                <c:pt idx="63">
                  <c:v>122.883514488185</c:v>
                </c:pt>
                <c:pt idx="64">
                  <c:v>126.73946485764</c:v>
                </c:pt>
                <c:pt idx="65">
                  <c:v>134.56232819711</c:v>
                </c:pt>
                <c:pt idx="66">
                  <c:v>125.010717978463</c:v>
                </c:pt>
                <c:pt idx="67">
                  <c:v>130.271353995915</c:v>
                </c:pt>
                <c:pt idx="68">
                  <c:v>133.070637782766</c:v>
                </c:pt>
                <c:pt idx="69">
                  <c:v>132.460343479686</c:v>
                </c:pt>
                <c:pt idx="70">
                  <c:v>128.680049428795</c:v>
                </c:pt>
                <c:pt idx="71">
                  <c:v>131.826091342395</c:v>
                </c:pt>
                <c:pt idx="72">
                  <c:v>129.613144024412</c:v>
                </c:pt>
                <c:pt idx="73">
                  <c:v>121.266991148211</c:v>
                </c:pt>
                <c:pt idx="74">
                  <c:v>130.347010314478</c:v>
                </c:pt>
                <c:pt idx="75">
                  <c:v>146.764431442766</c:v>
                </c:pt>
                <c:pt idx="76">
                  <c:v>131.963533654452</c:v>
                </c:pt>
                <c:pt idx="77">
                  <c:v>141.018334047865</c:v>
                </c:pt>
                <c:pt idx="78">
                  <c:v>140.545482056843</c:v>
                </c:pt>
                <c:pt idx="79">
                  <c:v>138.729730411318</c:v>
                </c:pt>
                <c:pt idx="80">
                  <c:v>141.291957733337</c:v>
                </c:pt>
                <c:pt idx="81">
                  <c:v>139.300935616473</c:v>
                </c:pt>
                <c:pt idx="82">
                  <c:v>142.286838322447</c:v>
                </c:pt>
                <c:pt idx="83">
                  <c:v>141.167124807707</c:v>
                </c:pt>
                <c:pt idx="84">
                  <c:v>143.778528736792</c:v>
                </c:pt>
                <c:pt idx="85">
                  <c:v>145.606889768744</c:v>
                </c:pt>
                <c:pt idx="86">
                  <c:v>144.028194588051</c:v>
                </c:pt>
                <c:pt idx="87">
                  <c:v>142.174614783245</c:v>
                </c:pt>
                <c:pt idx="88">
                  <c:v>157.584545935995</c:v>
                </c:pt>
                <c:pt idx="89">
                  <c:v>153.106952815676</c:v>
                </c:pt>
                <c:pt idx="90">
                  <c:v>155.719617683404</c:v>
                </c:pt>
                <c:pt idx="91">
                  <c:v>160.320782790709</c:v>
                </c:pt>
                <c:pt idx="92">
                  <c:v>166.800746475676</c:v>
                </c:pt>
                <c:pt idx="93">
                  <c:v>170.395682546087</c:v>
                </c:pt>
                <c:pt idx="94">
                  <c:v>171.763800973445</c:v>
                </c:pt>
                <c:pt idx="95">
                  <c:v>168.032683529619</c:v>
                </c:pt>
                <c:pt idx="96">
                  <c:v>162.946057044864</c:v>
                </c:pt>
                <c:pt idx="97">
                  <c:v>166.651955715835</c:v>
                </c:pt>
                <c:pt idx="98">
                  <c:v>161.552719844652</c:v>
                </c:pt>
                <c:pt idx="99">
                  <c:v>159.202330214612</c:v>
                </c:pt>
                <c:pt idx="100">
                  <c:v>152.610142990442</c:v>
                </c:pt>
                <c:pt idx="101">
                  <c:v>150.78178195849</c:v>
                </c:pt>
                <c:pt idx="102">
                  <c:v>154.226666330416</c:v>
                </c:pt>
                <c:pt idx="103">
                  <c:v>152.124681612993</c:v>
                </c:pt>
                <c:pt idx="104">
                  <c:v>158.916097142713</c:v>
                </c:pt>
                <c:pt idx="105">
                  <c:v>148.754192620987</c:v>
                </c:pt>
                <c:pt idx="106">
                  <c:v>150.495548886591</c:v>
                </c:pt>
                <c:pt idx="107">
                  <c:v>154.214056943989</c:v>
                </c:pt>
                <c:pt idx="108">
                  <c:v>149.251002446221</c:v>
                </c:pt>
                <c:pt idx="109">
                  <c:v>149.649459057322</c:v>
                </c:pt>
                <c:pt idx="110">
                  <c:v>148.007716944494</c:v>
                </c:pt>
                <c:pt idx="111">
                  <c:v>162.79600534638</c:v>
                </c:pt>
                <c:pt idx="112">
                  <c:v>156.714498272514</c:v>
                </c:pt>
                <c:pt idx="113">
                  <c:v>163.294076110256</c:v>
                </c:pt>
                <c:pt idx="114">
                  <c:v>172.633848636925</c:v>
                </c:pt>
                <c:pt idx="115">
                  <c:v>174.126799989913</c:v>
                </c:pt>
                <c:pt idx="116">
                  <c:v>175.992989181146</c:v>
                </c:pt>
                <c:pt idx="117">
                  <c:v>176.61463193201</c:v>
                </c:pt>
                <c:pt idx="118">
                  <c:v>173.629990164679</c:v>
                </c:pt>
                <c:pt idx="119">
                  <c:v>173.878395077296</c:v>
                </c:pt>
                <c:pt idx="120">
                  <c:v>179.102463874108</c:v>
                </c:pt>
                <c:pt idx="121">
                  <c:v>185.943056010895</c:v>
                </c:pt>
                <c:pt idx="122">
                  <c:v>184.325271732278</c:v>
                </c:pt>
                <c:pt idx="123">
                  <c:v>178.468211736817</c:v>
                </c:pt>
                <c:pt idx="124">
                  <c:v>190.917458956447</c:v>
                </c:pt>
                <c:pt idx="125">
                  <c:v>188.181222101733</c:v>
                </c:pt>
                <c:pt idx="126">
                  <c:v>191.216301414773</c:v>
                </c:pt>
                <c:pt idx="127">
                  <c:v>184.611504804176</c:v>
                </c:pt>
                <c:pt idx="128">
                  <c:v>185.320152321388</c:v>
                </c:pt>
                <c:pt idx="129">
                  <c:v>174.251632915542</c:v>
                </c:pt>
                <c:pt idx="130">
                  <c:v>179.760673845611</c:v>
                </c:pt>
                <c:pt idx="131">
                  <c:v>177.857917433738</c:v>
                </c:pt>
                <c:pt idx="132">
                  <c:v>180.283963382342</c:v>
                </c:pt>
                <c:pt idx="133">
                  <c:v>174.114190603485</c:v>
                </c:pt>
                <c:pt idx="134">
                  <c:v>174.748442740776</c:v>
                </c:pt>
                <c:pt idx="135">
                  <c:v>177.385065442716</c:v>
                </c:pt>
                <c:pt idx="136">
                  <c:v>180.967392126699</c:v>
                </c:pt>
                <c:pt idx="137">
                  <c:v>180.967392126699</c:v>
                </c:pt>
                <c:pt idx="138">
                  <c:v>188.429627014349</c:v>
                </c:pt>
                <c:pt idx="139">
                  <c:v>185.743827705344</c:v>
                </c:pt>
                <c:pt idx="140">
                  <c:v>187.347741658891</c:v>
                </c:pt>
                <c:pt idx="141">
                  <c:v>179.102463874108</c:v>
                </c:pt>
                <c:pt idx="142">
                  <c:v>174.748442740776</c:v>
                </c:pt>
                <c:pt idx="143">
                  <c:v>176.738203918997</c:v>
                </c:pt>
                <c:pt idx="144">
                  <c:v>170.357854386806</c:v>
                </c:pt>
                <c:pt idx="145">
                  <c:v>178.604393110231</c:v>
                </c:pt>
                <c:pt idx="146">
                  <c:v>190.295816205583</c:v>
                </c:pt>
                <c:pt idx="147">
                  <c:v>187.795374877059</c:v>
                </c:pt>
                <c:pt idx="148">
                  <c:v>188.181222101733</c:v>
                </c:pt>
                <c:pt idx="149">
                  <c:v>184.089476206088</c:v>
                </c:pt>
                <c:pt idx="150">
                  <c:v>184.076866819661</c:v>
                </c:pt>
                <c:pt idx="151">
                  <c:v>192.907220134668</c:v>
                </c:pt>
                <c:pt idx="152">
                  <c:v>187.3981792046</c:v>
                </c:pt>
                <c:pt idx="153">
                  <c:v>186.564698761758</c:v>
                </c:pt>
                <c:pt idx="154">
                  <c:v>192.783648147681</c:v>
                </c:pt>
                <c:pt idx="155">
                  <c:v>195.271480089779</c:v>
                </c:pt>
                <c:pt idx="156">
                  <c:v>198.591531536075</c:v>
                </c:pt>
                <c:pt idx="157">
                  <c:v>189.052530703856</c:v>
                </c:pt>
                <c:pt idx="158">
                  <c:v>192.783648147681</c:v>
                </c:pt>
                <c:pt idx="159">
                  <c:v>192.858043527602</c:v>
                </c:pt>
                <c:pt idx="160">
                  <c:v>198.865155221547</c:v>
                </c:pt>
                <c:pt idx="161">
                  <c:v>196.377323279449</c:v>
                </c:pt>
                <c:pt idx="162">
                  <c:v>185.582427559075</c:v>
                </c:pt>
                <c:pt idx="163">
                  <c:v>181.713867803193</c:v>
                </c:pt>
                <c:pt idx="164">
                  <c:v>190.170983279954</c:v>
                </c:pt>
                <c:pt idx="165">
                  <c:v>195.519885002396</c:v>
                </c:pt>
                <c:pt idx="166">
                  <c:v>191.054901268504</c:v>
                </c:pt>
                <c:pt idx="167">
                  <c:v>196.502156205079</c:v>
                </c:pt>
                <c:pt idx="168">
                  <c:v>192.348624315941</c:v>
                </c:pt>
                <c:pt idx="169">
                  <c:v>193.591909817668</c:v>
                </c:pt>
                <c:pt idx="170">
                  <c:v>194.026933649409</c:v>
                </c:pt>
                <c:pt idx="171">
                  <c:v>190.420649131213</c:v>
                </c:pt>
                <c:pt idx="172">
                  <c:v>192.410410309434</c:v>
                </c:pt>
                <c:pt idx="173">
                  <c:v>195.893122840643</c:v>
                </c:pt>
                <c:pt idx="174">
                  <c:v>209.549088341361</c:v>
                </c:pt>
                <c:pt idx="175">
                  <c:v>218.9027311931</c:v>
                </c:pt>
                <c:pt idx="176">
                  <c:v>217.65818475273</c:v>
                </c:pt>
                <c:pt idx="177">
                  <c:v>218.65306534184</c:v>
                </c:pt>
                <c:pt idx="178">
                  <c:v>215.195571583487</c:v>
                </c:pt>
                <c:pt idx="179">
                  <c:v>223.877134138653</c:v>
                </c:pt>
                <c:pt idx="180">
                  <c:v>220.146016694828</c:v>
                </c:pt>
                <c:pt idx="181">
                  <c:v>226.364966080751</c:v>
                </c:pt>
                <c:pt idx="182">
                  <c:v>235.693390159635</c:v>
                </c:pt>
                <c:pt idx="183">
                  <c:v>241.290696794694</c:v>
                </c:pt>
                <c:pt idx="184">
                  <c:v>233.827200968401</c:v>
                </c:pt>
                <c:pt idx="185">
                  <c:v>258.702998512092</c:v>
                </c:pt>
                <c:pt idx="186">
                  <c:v>266.165233399743</c:v>
                </c:pt>
                <c:pt idx="187">
                  <c:v>261.19083045419</c:v>
                </c:pt>
                <c:pt idx="188">
                  <c:v>257.956522835599</c:v>
                </c:pt>
                <c:pt idx="189">
                  <c:v>258.578165586463</c:v>
                </c:pt>
                <c:pt idx="190">
                  <c:v>262.434115955918</c:v>
                </c:pt>
                <c:pt idx="191">
                  <c:v>243.777267798149</c:v>
                </c:pt>
                <c:pt idx="192">
                  <c:v>247.520994628401</c:v>
                </c:pt>
                <c:pt idx="193">
                  <c:v>250.655688094217</c:v>
                </c:pt>
                <c:pt idx="194">
                  <c:v>245.021814238519</c:v>
                </c:pt>
                <c:pt idx="195">
                  <c:v>244.884371926462</c:v>
                </c:pt>
                <c:pt idx="196">
                  <c:v>242.546591682849</c:v>
                </c:pt>
                <c:pt idx="197">
                  <c:v>253.105691877033</c:v>
                </c:pt>
                <c:pt idx="198">
                  <c:v>245.021814238519</c:v>
                </c:pt>
                <c:pt idx="199">
                  <c:v>247.346985095705</c:v>
                </c:pt>
                <c:pt idx="200">
                  <c:v>251.240763624442</c:v>
                </c:pt>
                <c:pt idx="201">
                  <c:v>257.458452071722</c:v>
                </c:pt>
                <c:pt idx="202">
                  <c:v>270.36920283459</c:v>
                </c:pt>
                <c:pt idx="203">
                  <c:v>265.543590648879</c:v>
                </c:pt>
                <c:pt idx="204">
                  <c:v>277.359846669861</c:v>
                </c:pt>
                <c:pt idx="205">
                  <c:v>301.00370715961</c:v>
                </c:pt>
                <c:pt idx="206">
                  <c:v>310.94116460293</c:v>
                </c:pt>
                <c:pt idx="207">
                  <c:v>316.28880538673</c:v>
                </c:pt>
                <c:pt idx="208">
                  <c:v>307.831689909969</c:v>
                </c:pt>
                <c:pt idx="209">
                  <c:v>298.876503669331</c:v>
                </c:pt>
                <c:pt idx="210">
                  <c:v>290.046150354324</c:v>
                </c:pt>
                <c:pt idx="211">
                  <c:v>310.069856000807</c:v>
                </c:pt>
                <c:pt idx="212">
                  <c:v>333.079464353265</c:v>
                </c:pt>
                <c:pt idx="213">
                  <c:v>327.110180818601</c:v>
                </c:pt>
                <c:pt idx="214">
                  <c:v>337.06024764835</c:v>
                </c:pt>
                <c:pt idx="215">
                  <c:v>335.815701207979</c:v>
                </c:pt>
                <c:pt idx="216">
                  <c:v>343.402769021259</c:v>
                </c:pt>
                <c:pt idx="217">
                  <c:v>373.129397523517</c:v>
                </c:pt>
                <c:pt idx="218">
                  <c:v>390.541699240915</c:v>
                </c:pt>
                <c:pt idx="219">
                  <c:v>370.641565581419</c:v>
                </c:pt>
                <c:pt idx="220">
                  <c:v>373.129397523517</c:v>
                </c:pt>
                <c:pt idx="221">
                  <c:v>361.934784253398</c:v>
                </c:pt>
                <c:pt idx="222">
                  <c:v>362.556427004262</c:v>
                </c:pt>
                <c:pt idx="223">
                  <c:v>390.541699240915</c:v>
                </c:pt>
                <c:pt idx="224">
                  <c:v>428.825057372708</c:v>
                </c:pt>
                <c:pt idx="225">
                  <c:v>466.411116435074</c:v>
                </c:pt>
                <c:pt idx="226">
                  <c:v>462.058356240385</c:v>
                </c:pt>
                <c:pt idx="227">
                  <c:v>457.692986659269</c:v>
                </c:pt>
                <c:pt idx="228">
                  <c:v>438.427105137064</c:v>
                </c:pt>
                <c:pt idx="229">
                  <c:v>481.958489899882</c:v>
                </c:pt>
                <c:pt idx="230">
                  <c:v>515.539807832951</c:v>
                </c:pt>
                <c:pt idx="231">
                  <c:v>455.279550097092</c:v>
                </c:pt>
                <c:pt idx="232">
                  <c:v>477.593120318765</c:v>
                </c:pt>
                <c:pt idx="233">
                  <c:v>467.655662875445</c:v>
                </c:pt>
                <c:pt idx="234">
                  <c:v>447.505863364689</c:v>
                </c:pt>
                <c:pt idx="235">
                  <c:v>476.859254028699</c:v>
                </c:pt>
                <c:pt idx="236">
                  <c:v>518.649282525912</c:v>
                </c:pt>
                <c:pt idx="237">
                  <c:v>559.694096285275</c:v>
                </c:pt>
                <c:pt idx="238">
                  <c:v>544.768365571331</c:v>
                </c:pt>
                <c:pt idx="239">
                  <c:v>506.897334375709</c:v>
                </c:pt>
                <c:pt idx="240">
                  <c:v>466.559907194916</c:v>
                </c:pt>
                <c:pt idx="241">
                  <c:v>461.755730966131</c:v>
                </c:pt>
                <c:pt idx="242">
                  <c:v>482.309030842559</c:v>
                </c:pt>
                <c:pt idx="243">
                  <c:v>491.766070663002</c:v>
                </c:pt>
                <c:pt idx="244">
                  <c:v>466.534688422061</c:v>
                </c:pt>
                <c:pt idx="245">
                  <c:v>476.029556401786</c:v>
                </c:pt>
                <c:pt idx="246">
                  <c:v>491.766070663002</c:v>
                </c:pt>
                <c:pt idx="247">
                  <c:v>482.561218571104</c:v>
                </c:pt>
                <c:pt idx="248">
                  <c:v>489.874662698913</c:v>
                </c:pt>
                <c:pt idx="249">
                  <c:v>501.601392076262</c:v>
                </c:pt>
                <c:pt idx="250">
                  <c:v>509.406602274733</c:v>
                </c:pt>
                <c:pt idx="251">
                  <c:v>496.809825233904</c:v>
                </c:pt>
                <c:pt idx="252">
                  <c:v>497.188106826722</c:v>
                </c:pt>
                <c:pt idx="253">
                  <c:v>510.680150303886</c:v>
                </c:pt>
                <c:pt idx="254">
                  <c:v>499.962171840718</c:v>
                </c:pt>
                <c:pt idx="255">
                  <c:v>506.859506216427</c:v>
                </c:pt>
                <c:pt idx="256">
                  <c:v>508.423070133407</c:v>
                </c:pt>
                <c:pt idx="257">
                  <c:v>495.561495977606</c:v>
                </c:pt>
                <c:pt idx="258">
                  <c:v>474.415554939097</c:v>
                </c:pt>
                <c:pt idx="259">
                  <c:v>491.766070663002</c:v>
                </c:pt>
                <c:pt idx="260">
                  <c:v>474.239023529115</c:v>
                </c:pt>
                <c:pt idx="261">
                  <c:v>441.958994275339</c:v>
                </c:pt>
              </c:numCache>
            </c:numRef>
          </c:val>
          <c:smooth val="0"/>
        </c:ser>
        <c:ser>
          <c:idx val="3"/>
          <c:order val="3"/>
          <c:tx>
            <c:strRef>
              <c:f>Fig_Precio!J3</c:f>
              <c:strCache>
                <c:ptCount val="1"/>
                <c:pt idx="0">
                  <c:v>Cenco Malls (base 100)</c:v>
                </c:pt>
              </c:strCache>
            </c:strRef>
          </c:tx>
          <c:spPr>
            <a:solidFill>
              <a:srgbClr val="bdd7ee"/>
            </a:solidFill>
            <a:ln w="28440">
              <a:solidFill>
                <a:srgbClr val="bdd7e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Fig_Precio!$A$4:$A$265</c:f>
              <c:strCache>
                <c:ptCount val="262"/>
                <c:pt idx="0">
                  <c:v>01-10-2021</c:v>
                </c:pt>
                <c:pt idx="1">
                  <c:v>08-10-2021</c:v>
                </c:pt>
                <c:pt idx="2">
                  <c:v>15-10-2021</c:v>
                </c:pt>
                <c:pt idx="3">
                  <c:v>22-10-2021</c:v>
                </c:pt>
                <c:pt idx="4">
                  <c:v>29-10-2021</c:v>
                </c:pt>
                <c:pt idx="5">
                  <c:v>05-11-2021</c:v>
                </c:pt>
                <c:pt idx="6">
                  <c:v>12-11-2021</c:v>
                </c:pt>
                <c:pt idx="7">
                  <c:v>19-11-2021</c:v>
                </c:pt>
                <c:pt idx="8">
                  <c:v>26-11-2021</c:v>
                </c:pt>
                <c:pt idx="9">
                  <c:v>03-12-2021</c:v>
                </c:pt>
                <c:pt idx="10">
                  <c:v>10-12-2021</c:v>
                </c:pt>
                <c:pt idx="11">
                  <c:v>17-12-2021</c:v>
                </c:pt>
                <c:pt idx="12">
                  <c:v>24-12-2021</c:v>
                </c:pt>
                <c:pt idx="13">
                  <c:v>31-12-2021</c:v>
                </c:pt>
                <c:pt idx="14">
                  <c:v>07-01-2022</c:v>
                </c:pt>
                <c:pt idx="15">
                  <c:v>14-01-2022</c:v>
                </c:pt>
                <c:pt idx="16">
                  <c:v>21-01-2022</c:v>
                </c:pt>
                <c:pt idx="17">
                  <c:v>28-01-2022</c:v>
                </c:pt>
                <c:pt idx="18">
                  <c:v>04-02-2022</c:v>
                </c:pt>
                <c:pt idx="19">
                  <c:v>11-02-2022</c:v>
                </c:pt>
                <c:pt idx="20">
                  <c:v>18-02-2022</c:v>
                </c:pt>
                <c:pt idx="21">
                  <c:v>25-02-2022</c:v>
                </c:pt>
                <c:pt idx="22">
                  <c:v>04-03-2022</c:v>
                </c:pt>
                <c:pt idx="23">
                  <c:v>11-03-2022</c:v>
                </c:pt>
                <c:pt idx="24">
                  <c:v>18-03-2022</c:v>
                </c:pt>
                <c:pt idx="25">
                  <c:v>25-03-2022</c:v>
                </c:pt>
                <c:pt idx="26">
                  <c:v>01-04-2022</c:v>
                </c:pt>
                <c:pt idx="27">
                  <c:v>08-04-2022</c:v>
                </c:pt>
                <c:pt idx="28">
                  <c:v>15-04-2022</c:v>
                </c:pt>
                <c:pt idx="29">
                  <c:v>22-04-2022</c:v>
                </c:pt>
                <c:pt idx="30">
                  <c:v>29-04-2022</c:v>
                </c:pt>
                <c:pt idx="31">
                  <c:v>06-05-2022</c:v>
                </c:pt>
                <c:pt idx="32">
                  <c:v>13-05-2022</c:v>
                </c:pt>
                <c:pt idx="33">
                  <c:v>20-05-2022</c:v>
                </c:pt>
                <c:pt idx="34">
                  <c:v>27-05-2022</c:v>
                </c:pt>
                <c:pt idx="35">
                  <c:v>03-06-2022</c:v>
                </c:pt>
                <c:pt idx="36">
                  <c:v>10-06-2022</c:v>
                </c:pt>
                <c:pt idx="37">
                  <c:v>17-06-2022</c:v>
                </c:pt>
                <c:pt idx="38">
                  <c:v>24-06-2022</c:v>
                </c:pt>
                <c:pt idx="39">
                  <c:v>01-07-2022</c:v>
                </c:pt>
                <c:pt idx="40">
                  <c:v>08-07-2022</c:v>
                </c:pt>
                <c:pt idx="41">
                  <c:v>15-07-2022</c:v>
                </c:pt>
                <c:pt idx="42">
                  <c:v>22-07-2022</c:v>
                </c:pt>
                <c:pt idx="43">
                  <c:v>29-07-2022</c:v>
                </c:pt>
                <c:pt idx="44">
                  <c:v>05-08-2022</c:v>
                </c:pt>
                <c:pt idx="45">
                  <c:v>12-08-2022</c:v>
                </c:pt>
                <c:pt idx="46">
                  <c:v>19-08-2022</c:v>
                </c:pt>
                <c:pt idx="47">
                  <c:v>26-08-2022</c:v>
                </c:pt>
                <c:pt idx="48">
                  <c:v>02-09-2022</c:v>
                </c:pt>
                <c:pt idx="49">
                  <c:v>09-09-2022</c:v>
                </c:pt>
                <c:pt idx="50">
                  <c:v>16-09-2022</c:v>
                </c:pt>
                <c:pt idx="51">
                  <c:v>23-09-2022</c:v>
                </c:pt>
                <c:pt idx="52">
                  <c:v>30-09-2022</c:v>
                </c:pt>
                <c:pt idx="53">
                  <c:v>07-10-2022</c:v>
                </c:pt>
                <c:pt idx="54">
                  <c:v>14-10-2022</c:v>
                </c:pt>
                <c:pt idx="55">
                  <c:v>21-10-2022</c:v>
                </c:pt>
                <c:pt idx="56">
                  <c:v>28-10-2022</c:v>
                </c:pt>
                <c:pt idx="57">
                  <c:v>04-11-2022</c:v>
                </c:pt>
                <c:pt idx="58">
                  <c:v>11-11-2022</c:v>
                </c:pt>
                <c:pt idx="59">
                  <c:v>18-11-2022</c:v>
                </c:pt>
                <c:pt idx="60">
                  <c:v>25-11-2022</c:v>
                </c:pt>
                <c:pt idx="61">
                  <c:v>02-12-2022</c:v>
                </c:pt>
                <c:pt idx="62">
                  <c:v>09-12-2022</c:v>
                </c:pt>
                <c:pt idx="63">
                  <c:v>16-12-2022</c:v>
                </c:pt>
                <c:pt idx="64">
                  <c:v>23-12-2022</c:v>
                </c:pt>
                <c:pt idx="65">
                  <c:v>30-12-2022</c:v>
                </c:pt>
                <c:pt idx="66">
                  <c:v>06-01-2023</c:v>
                </c:pt>
                <c:pt idx="67">
                  <c:v>13-01-2023</c:v>
                </c:pt>
                <c:pt idx="68">
                  <c:v>20-01-2023</c:v>
                </c:pt>
                <c:pt idx="69">
                  <c:v>27-01-2023</c:v>
                </c:pt>
                <c:pt idx="70">
                  <c:v>03-02-2023</c:v>
                </c:pt>
                <c:pt idx="71">
                  <c:v>10-02-2023</c:v>
                </c:pt>
                <c:pt idx="72">
                  <c:v>17-02-2023</c:v>
                </c:pt>
                <c:pt idx="73">
                  <c:v>24-02-2023</c:v>
                </c:pt>
                <c:pt idx="74">
                  <c:v>03-03-2023</c:v>
                </c:pt>
                <c:pt idx="75">
                  <c:v>10-03-2023</c:v>
                </c:pt>
                <c:pt idx="76">
                  <c:v>17-03-2023</c:v>
                </c:pt>
                <c:pt idx="77">
                  <c:v>24-03-2023</c:v>
                </c:pt>
                <c:pt idx="78">
                  <c:v>31-03-2023</c:v>
                </c:pt>
                <c:pt idx="79">
                  <c:v>07-04-2023</c:v>
                </c:pt>
                <c:pt idx="80">
                  <c:v>14-04-2023</c:v>
                </c:pt>
                <c:pt idx="81">
                  <c:v>21-04-2023</c:v>
                </c:pt>
                <c:pt idx="82">
                  <c:v>28-04-2023</c:v>
                </c:pt>
                <c:pt idx="83">
                  <c:v>05-05-2023</c:v>
                </c:pt>
                <c:pt idx="84">
                  <c:v>12-05-2023</c:v>
                </c:pt>
                <c:pt idx="85">
                  <c:v>19-05-2023</c:v>
                </c:pt>
                <c:pt idx="86">
                  <c:v>26-05-2023</c:v>
                </c:pt>
                <c:pt idx="87">
                  <c:v>02-06-2023</c:v>
                </c:pt>
                <c:pt idx="88">
                  <c:v>09-06-2023</c:v>
                </c:pt>
                <c:pt idx="89">
                  <c:v>16-06-2023</c:v>
                </c:pt>
                <c:pt idx="90">
                  <c:v>23-06-2023</c:v>
                </c:pt>
                <c:pt idx="91">
                  <c:v>30-06-2023</c:v>
                </c:pt>
                <c:pt idx="92">
                  <c:v>07-07-2023</c:v>
                </c:pt>
                <c:pt idx="93">
                  <c:v>14-07-2023</c:v>
                </c:pt>
                <c:pt idx="94">
                  <c:v>21-07-2023</c:v>
                </c:pt>
                <c:pt idx="95">
                  <c:v>28-07-2023</c:v>
                </c:pt>
                <c:pt idx="96">
                  <c:v>04-08-2023</c:v>
                </c:pt>
                <c:pt idx="97">
                  <c:v>11-08-2023</c:v>
                </c:pt>
                <c:pt idx="98">
                  <c:v>18-08-2023</c:v>
                </c:pt>
                <c:pt idx="99">
                  <c:v>25-08-2023</c:v>
                </c:pt>
                <c:pt idx="100">
                  <c:v>01-09-2023</c:v>
                </c:pt>
                <c:pt idx="101">
                  <c:v>08-09-2023</c:v>
                </c:pt>
                <c:pt idx="102">
                  <c:v>15-09-2023</c:v>
                </c:pt>
                <c:pt idx="103">
                  <c:v>22-09-2023</c:v>
                </c:pt>
                <c:pt idx="104">
                  <c:v>29-09-2023</c:v>
                </c:pt>
                <c:pt idx="105">
                  <c:v>06-10-2023</c:v>
                </c:pt>
                <c:pt idx="106">
                  <c:v>13-10-2023</c:v>
                </c:pt>
                <c:pt idx="107">
                  <c:v>20-10-2023</c:v>
                </c:pt>
                <c:pt idx="108">
                  <c:v>27-10-2023</c:v>
                </c:pt>
                <c:pt idx="109">
                  <c:v>03-11-2023</c:v>
                </c:pt>
                <c:pt idx="110">
                  <c:v>10-11-2023</c:v>
                </c:pt>
                <c:pt idx="111">
                  <c:v>17-11-2023</c:v>
                </c:pt>
                <c:pt idx="112">
                  <c:v>24-11-2023</c:v>
                </c:pt>
                <c:pt idx="113">
                  <c:v>01-12-2023</c:v>
                </c:pt>
                <c:pt idx="114">
                  <c:v>08-12-2023</c:v>
                </c:pt>
                <c:pt idx="115">
                  <c:v>15-12-2023</c:v>
                </c:pt>
                <c:pt idx="116">
                  <c:v>22-12-2023</c:v>
                </c:pt>
                <c:pt idx="117">
                  <c:v>29-12-2023</c:v>
                </c:pt>
                <c:pt idx="118">
                  <c:v>05-01-2024</c:v>
                </c:pt>
                <c:pt idx="119">
                  <c:v>12-01-2024</c:v>
                </c:pt>
                <c:pt idx="120">
                  <c:v>19-01-2024</c:v>
                </c:pt>
                <c:pt idx="121">
                  <c:v>26-01-2024</c:v>
                </c:pt>
                <c:pt idx="122">
                  <c:v>02-02-2024</c:v>
                </c:pt>
                <c:pt idx="123">
                  <c:v>09-02-2024</c:v>
                </c:pt>
                <c:pt idx="124">
                  <c:v>16-02-2024</c:v>
                </c:pt>
                <c:pt idx="125">
                  <c:v>23-02-2024</c:v>
                </c:pt>
                <c:pt idx="126">
                  <c:v>01-03-2024</c:v>
                </c:pt>
                <c:pt idx="127">
                  <c:v>08-03-2024</c:v>
                </c:pt>
                <c:pt idx="128">
                  <c:v>15-03-2024</c:v>
                </c:pt>
                <c:pt idx="129">
                  <c:v>22-03-2024</c:v>
                </c:pt>
                <c:pt idx="130">
                  <c:v>29-03-2024</c:v>
                </c:pt>
                <c:pt idx="131">
                  <c:v>05-04-2024</c:v>
                </c:pt>
                <c:pt idx="132">
                  <c:v>12-04-2024</c:v>
                </c:pt>
                <c:pt idx="133">
                  <c:v>19-04-2024</c:v>
                </c:pt>
                <c:pt idx="134">
                  <c:v>26-04-2024</c:v>
                </c:pt>
                <c:pt idx="135">
                  <c:v>03-05-2024</c:v>
                </c:pt>
                <c:pt idx="136">
                  <c:v>10-05-2024</c:v>
                </c:pt>
                <c:pt idx="137">
                  <c:v>17-05-2024</c:v>
                </c:pt>
                <c:pt idx="138">
                  <c:v>24-05-2024</c:v>
                </c:pt>
                <c:pt idx="139">
                  <c:v>31-05-2024</c:v>
                </c:pt>
                <c:pt idx="140">
                  <c:v>07-06-2024</c:v>
                </c:pt>
                <c:pt idx="141">
                  <c:v>14-06-2024</c:v>
                </c:pt>
                <c:pt idx="142">
                  <c:v>21-06-2024</c:v>
                </c:pt>
                <c:pt idx="143">
                  <c:v>28-06-2024</c:v>
                </c:pt>
                <c:pt idx="144">
                  <c:v>05-07-2024</c:v>
                </c:pt>
                <c:pt idx="145">
                  <c:v>12-07-2024</c:v>
                </c:pt>
                <c:pt idx="146">
                  <c:v>19-07-2024</c:v>
                </c:pt>
                <c:pt idx="147">
                  <c:v>26-07-2024</c:v>
                </c:pt>
                <c:pt idx="148">
                  <c:v>02-08-2024</c:v>
                </c:pt>
                <c:pt idx="149">
                  <c:v>09-08-2024</c:v>
                </c:pt>
                <c:pt idx="150">
                  <c:v>16-08-2024</c:v>
                </c:pt>
                <c:pt idx="151">
                  <c:v>23-08-2024</c:v>
                </c:pt>
                <c:pt idx="152">
                  <c:v>30-08-2024</c:v>
                </c:pt>
                <c:pt idx="153">
                  <c:v>06-09-2024</c:v>
                </c:pt>
                <c:pt idx="154">
                  <c:v>13-09-2024</c:v>
                </c:pt>
                <c:pt idx="155">
                  <c:v>20-09-2024</c:v>
                </c:pt>
                <c:pt idx="156">
                  <c:v>27-09-2024</c:v>
                </c:pt>
                <c:pt idx="157">
                  <c:v>04-10-2024</c:v>
                </c:pt>
                <c:pt idx="158">
                  <c:v>11-10-2024</c:v>
                </c:pt>
                <c:pt idx="159">
                  <c:v>18-10-2024</c:v>
                </c:pt>
                <c:pt idx="160">
                  <c:v>25-10-2024</c:v>
                </c:pt>
                <c:pt idx="161">
                  <c:v>01-11-2024</c:v>
                </c:pt>
                <c:pt idx="162">
                  <c:v>08-11-2024</c:v>
                </c:pt>
                <c:pt idx="163">
                  <c:v>15-11-2024</c:v>
                </c:pt>
                <c:pt idx="164">
                  <c:v>22-11-2024</c:v>
                </c:pt>
                <c:pt idx="165">
                  <c:v>29-11-2024</c:v>
                </c:pt>
                <c:pt idx="166">
                  <c:v>06-12-2024</c:v>
                </c:pt>
                <c:pt idx="167">
                  <c:v>13-12-2024</c:v>
                </c:pt>
                <c:pt idx="168">
                  <c:v>20-12-2024</c:v>
                </c:pt>
                <c:pt idx="169">
                  <c:v>27-12-2024</c:v>
                </c:pt>
                <c:pt idx="170">
                  <c:v>03-01-2025</c:v>
                </c:pt>
                <c:pt idx="171">
                  <c:v>10-01-2025</c:v>
                </c:pt>
                <c:pt idx="172">
                  <c:v>17-01-2025</c:v>
                </c:pt>
                <c:pt idx="173">
                  <c:v>24-01-2025</c:v>
                </c:pt>
                <c:pt idx="174">
                  <c:v>31-01-2025</c:v>
                </c:pt>
                <c:pt idx="175">
                  <c:v>07-02-2025</c:v>
                </c:pt>
                <c:pt idx="176">
                  <c:v>14-02-2025</c:v>
                </c:pt>
                <c:pt idx="177">
                  <c:v>21-02-2025</c:v>
                </c:pt>
                <c:pt idx="178">
                  <c:v>28-02-2025</c:v>
                </c:pt>
                <c:pt idx="179">
                  <c:v>07-03-2025</c:v>
                </c:pt>
                <c:pt idx="180">
                  <c:v>14-03-2025</c:v>
                </c:pt>
                <c:pt idx="181">
                  <c:v>21-03-2025</c:v>
                </c:pt>
                <c:pt idx="182">
                  <c:v>28-03-2025</c:v>
                </c:pt>
                <c:pt idx="183">
                  <c:v>04-04-2025</c:v>
                </c:pt>
                <c:pt idx="184">
                  <c:v>11-04-2025</c:v>
                </c:pt>
                <c:pt idx="185">
                  <c:v>18-04-2025</c:v>
                </c:pt>
                <c:pt idx="186">
                  <c:v>25-04-2025</c:v>
                </c:pt>
                <c:pt idx="187">
                  <c:v>02-05-2025</c:v>
                </c:pt>
                <c:pt idx="188">
                  <c:v>09-05-2025</c:v>
                </c:pt>
                <c:pt idx="189">
                  <c:v>16-05-2025</c:v>
                </c:pt>
                <c:pt idx="190">
                  <c:v>23-05-2025</c:v>
                </c:pt>
                <c:pt idx="191">
                  <c:v>30-05-2025</c:v>
                </c:pt>
                <c:pt idx="192">
                  <c:v>06-06-2025</c:v>
                </c:pt>
                <c:pt idx="193">
                  <c:v>13-06-2025</c:v>
                </c:pt>
                <c:pt idx="194">
                  <c:v>20-06-2025</c:v>
                </c:pt>
                <c:pt idx="195">
                  <c:v>27-06-2025</c:v>
                </c:pt>
                <c:pt idx="196">
                  <c:v>04-07-2025</c:v>
                </c:pt>
                <c:pt idx="197">
                  <c:v>11-07-2025</c:v>
                </c:pt>
                <c:pt idx="198">
                  <c:v>18-07-2025</c:v>
                </c:pt>
                <c:pt idx="199">
                  <c:v>25-07-2025</c:v>
                </c:pt>
                <c:pt idx="200">
                  <c:v>01-08-2025</c:v>
                </c:pt>
                <c:pt idx="201">
                  <c:v>08-08-2025</c:v>
                </c:pt>
                <c:pt idx="202">
                  <c:v>15-08-2025</c:v>
                </c:pt>
                <c:pt idx="203">
                  <c:v>22-08-2025</c:v>
                </c:pt>
                <c:pt idx="204">
                  <c:v>29-08-2025</c:v>
                </c:pt>
                <c:pt idx="205">
                  <c:v>05-09-2025</c:v>
                </c:pt>
                <c:pt idx="206">
                  <c:v>12-09-2025</c:v>
                </c:pt>
                <c:pt idx="207">
                  <c:v>19-09-2025</c:v>
                </c:pt>
                <c:pt idx="208">
                  <c:v>26-09-2025</c:v>
                </c:pt>
                <c:pt idx="209">
                  <c:v>03-10-2025</c:v>
                </c:pt>
                <c:pt idx="210">
                  <c:v>10-10-2025</c:v>
                </c:pt>
                <c:pt idx="211">
                  <c:v>17-10-2025</c:v>
                </c:pt>
                <c:pt idx="212">
                  <c:v>24-10-2025</c:v>
                </c:pt>
                <c:pt idx="213">
                  <c:v>31-10-2025</c:v>
                </c:pt>
                <c:pt idx="214">
                  <c:v>07-11-2025</c:v>
                </c:pt>
                <c:pt idx="215">
                  <c:v>14-11-2025</c:v>
                </c:pt>
                <c:pt idx="216">
                  <c:v>21-11-2025</c:v>
                </c:pt>
                <c:pt idx="217">
                  <c:v>28-11-2025</c:v>
                </c:pt>
                <c:pt idx="218">
                  <c:v>05-12-2025</c:v>
                </c:pt>
                <c:pt idx="219">
                  <c:v>12-12-2025</c:v>
                </c:pt>
                <c:pt idx="220">
                  <c:v>19-12-2025</c:v>
                </c:pt>
                <c:pt idx="221">
                  <c:v>26-12-2025</c:v>
                </c:pt>
                <c:pt idx="222">
                  <c:v>02-01-2026</c:v>
                </c:pt>
                <c:pt idx="223">
                  <c:v>09-01-2026</c:v>
                </c:pt>
                <c:pt idx="224">
                  <c:v>16-01-2026</c:v>
                </c:pt>
                <c:pt idx="225">
                  <c:v>23-01-2026</c:v>
                </c:pt>
                <c:pt idx="226">
                  <c:v>30-01-2026</c:v>
                </c:pt>
                <c:pt idx="227">
                  <c:v>06-02-2026</c:v>
                </c:pt>
                <c:pt idx="228">
                  <c:v>13-02-2026</c:v>
                </c:pt>
                <c:pt idx="229">
                  <c:v>20-02-2026</c:v>
                </c:pt>
                <c:pt idx="230">
                  <c:v>27-02-2026</c:v>
                </c:pt>
                <c:pt idx="231">
                  <c:v>06-03-2026</c:v>
                </c:pt>
                <c:pt idx="232">
                  <c:v>13-03-2026</c:v>
                </c:pt>
                <c:pt idx="233">
                  <c:v>20-03-2026</c:v>
                </c:pt>
                <c:pt idx="234">
                  <c:v>27-03-2026</c:v>
                </c:pt>
                <c:pt idx="235">
                  <c:v>03-04-2026</c:v>
                </c:pt>
                <c:pt idx="236">
                  <c:v>10-04-2026</c:v>
                </c:pt>
                <c:pt idx="237">
                  <c:v>17-04-2026</c:v>
                </c:pt>
                <c:pt idx="238">
                  <c:v>24-04-2026</c:v>
                </c:pt>
                <c:pt idx="239">
                  <c:v>01-05-2026</c:v>
                </c:pt>
                <c:pt idx="240">
                  <c:v>08-05-2026</c:v>
                </c:pt>
                <c:pt idx="241">
                  <c:v>15-05-2026</c:v>
                </c:pt>
                <c:pt idx="242">
                  <c:v>22-05-2026</c:v>
                </c:pt>
                <c:pt idx="243">
                  <c:v>29-05-2026</c:v>
                </c:pt>
                <c:pt idx="244">
                  <c:v>05-06-2026</c:v>
                </c:pt>
                <c:pt idx="245">
                  <c:v>12-06-2026</c:v>
                </c:pt>
                <c:pt idx="246">
                  <c:v>19-06-2026</c:v>
                </c:pt>
                <c:pt idx="247">
                  <c:v>26-06-2026</c:v>
                </c:pt>
                <c:pt idx="248">
                  <c:v>03-07-2026</c:v>
                </c:pt>
                <c:pt idx="249">
                  <c:v>10-07-2026</c:v>
                </c:pt>
                <c:pt idx="250">
                  <c:v>17-07-2026</c:v>
                </c:pt>
                <c:pt idx="251">
                  <c:v>24-07-2026</c:v>
                </c:pt>
                <c:pt idx="252">
                  <c:v>31-07-2026</c:v>
                </c:pt>
                <c:pt idx="253">
                  <c:v>07-08-2026</c:v>
                </c:pt>
                <c:pt idx="254">
                  <c:v>14-08-2026</c:v>
                </c:pt>
                <c:pt idx="255">
                  <c:v>21-08-2026</c:v>
                </c:pt>
                <c:pt idx="256">
                  <c:v>28-08-2026</c:v>
                </c:pt>
                <c:pt idx="257">
                  <c:v>04-09-2026</c:v>
                </c:pt>
                <c:pt idx="258">
                  <c:v>11-09-2026</c:v>
                </c:pt>
                <c:pt idx="259">
                  <c:v>18-09-2026</c:v>
                </c:pt>
                <c:pt idx="260">
                  <c:v>25-09-2026</c:v>
                </c:pt>
                <c:pt idx="261">
                  <c:v>30-09-2026</c:v>
                </c:pt>
              </c:strCache>
            </c:strRef>
          </c:cat>
          <c:val>
            <c:numRef>
              <c:f>Fig_Precio!$J$4:$J$265</c:f>
              <c:numCache>
                <c:formatCode>0.0</c:formatCode>
                <c:ptCount val="262"/>
                <c:pt idx="0">
                  <c:v>100</c:v>
                </c:pt>
                <c:pt idx="1">
                  <c:v>94.6236559139785</c:v>
                </c:pt>
                <c:pt idx="2">
                  <c:v>89.0322580645161</c:v>
                </c:pt>
                <c:pt idx="3">
                  <c:v>83.010752688172</c:v>
                </c:pt>
                <c:pt idx="4">
                  <c:v>84.6591397849462</c:v>
                </c:pt>
                <c:pt idx="5">
                  <c:v>90.1075268817204</c:v>
                </c:pt>
                <c:pt idx="6">
                  <c:v>90.8602150537634</c:v>
                </c:pt>
                <c:pt idx="7">
                  <c:v>89.7849462365591</c:v>
                </c:pt>
                <c:pt idx="8">
                  <c:v>95.8064516129032</c:v>
                </c:pt>
                <c:pt idx="9">
                  <c:v>89.7849462365591</c:v>
                </c:pt>
                <c:pt idx="10">
                  <c:v>96.2365591397849</c:v>
                </c:pt>
                <c:pt idx="11">
                  <c:v>96.7741935483871</c:v>
                </c:pt>
                <c:pt idx="12">
                  <c:v>105.638709677419</c:v>
                </c:pt>
                <c:pt idx="13">
                  <c:v>108.709677419355</c:v>
                </c:pt>
                <c:pt idx="14">
                  <c:v>98.9247311827957</c:v>
                </c:pt>
                <c:pt idx="15">
                  <c:v>98.8</c:v>
                </c:pt>
                <c:pt idx="16">
                  <c:v>102.750537634409</c:v>
                </c:pt>
                <c:pt idx="17">
                  <c:v>105.376344086022</c:v>
                </c:pt>
                <c:pt idx="18">
                  <c:v>96.5924731182796</c:v>
                </c:pt>
                <c:pt idx="19">
                  <c:v>92.4731182795699</c:v>
                </c:pt>
                <c:pt idx="20">
                  <c:v>92.2182795698925</c:v>
                </c:pt>
                <c:pt idx="21">
                  <c:v>88.3870967741936</c:v>
                </c:pt>
                <c:pt idx="22">
                  <c:v>90.7849462365591</c:v>
                </c:pt>
                <c:pt idx="23">
                  <c:v>93.9516129032258</c:v>
                </c:pt>
                <c:pt idx="24">
                  <c:v>101.612903225806</c:v>
                </c:pt>
                <c:pt idx="25">
                  <c:v>101.505376344086</c:v>
                </c:pt>
                <c:pt idx="26">
                  <c:v>101.767741935484</c:v>
                </c:pt>
                <c:pt idx="27">
                  <c:v>101.612903225806</c:v>
                </c:pt>
                <c:pt idx="28">
                  <c:v>96.6182795698925</c:v>
                </c:pt>
                <c:pt idx="29">
                  <c:v>96.7451612903226</c:v>
                </c:pt>
                <c:pt idx="30">
                  <c:v>93.5408602150538</c:v>
                </c:pt>
                <c:pt idx="31">
                  <c:v>89.7849462365591</c:v>
                </c:pt>
                <c:pt idx="32">
                  <c:v>86.2225806451613</c:v>
                </c:pt>
                <c:pt idx="33">
                  <c:v>86.1290322580645</c:v>
                </c:pt>
                <c:pt idx="34">
                  <c:v>94.4451612903226</c:v>
                </c:pt>
                <c:pt idx="35">
                  <c:v>97.8494623655914</c:v>
                </c:pt>
                <c:pt idx="36">
                  <c:v>95.6989247311828</c:v>
                </c:pt>
                <c:pt idx="37">
                  <c:v>96.2365591397849</c:v>
                </c:pt>
                <c:pt idx="38">
                  <c:v>94.9462365591398</c:v>
                </c:pt>
                <c:pt idx="39">
                  <c:v>90.6129032258065</c:v>
                </c:pt>
                <c:pt idx="40">
                  <c:v>90.3225806451613</c:v>
                </c:pt>
                <c:pt idx="41">
                  <c:v>91.7806451612903</c:v>
                </c:pt>
                <c:pt idx="42">
                  <c:v>96.3709677419355</c:v>
                </c:pt>
                <c:pt idx="43">
                  <c:v>104.530107526882</c:v>
                </c:pt>
                <c:pt idx="44">
                  <c:v>104.838709677419</c:v>
                </c:pt>
                <c:pt idx="45">
                  <c:v>109.139784946237</c:v>
                </c:pt>
                <c:pt idx="46">
                  <c:v>117.634408602151</c:v>
                </c:pt>
                <c:pt idx="47">
                  <c:v>123.655913978495</c:v>
                </c:pt>
                <c:pt idx="48">
                  <c:v>134.408602150538</c:v>
                </c:pt>
                <c:pt idx="49">
                  <c:v>122.182795698925</c:v>
                </c:pt>
                <c:pt idx="50">
                  <c:v>116.129032258065</c:v>
                </c:pt>
                <c:pt idx="51">
                  <c:v>113.344086021505</c:v>
                </c:pt>
                <c:pt idx="52">
                  <c:v>108.602150537634</c:v>
                </c:pt>
                <c:pt idx="53">
                  <c:v>108.913978494624</c:v>
                </c:pt>
                <c:pt idx="54">
                  <c:v>104.821505376344</c:v>
                </c:pt>
                <c:pt idx="55">
                  <c:v>107.313978494624</c:v>
                </c:pt>
                <c:pt idx="56">
                  <c:v>110.94623655914</c:v>
                </c:pt>
                <c:pt idx="57">
                  <c:v>108.05376344086</c:v>
                </c:pt>
                <c:pt idx="58">
                  <c:v>122.451612903226</c:v>
                </c:pt>
                <c:pt idx="59">
                  <c:v>125.279569892473</c:v>
                </c:pt>
                <c:pt idx="60">
                  <c:v>128.924731182796</c:v>
                </c:pt>
                <c:pt idx="61">
                  <c:v>128.924731182796</c:v>
                </c:pt>
                <c:pt idx="62">
                  <c:v>125.806451612903</c:v>
                </c:pt>
                <c:pt idx="63">
                  <c:v>128.924731182796</c:v>
                </c:pt>
                <c:pt idx="64">
                  <c:v>139.462365591398</c:v>
                </c:pt>
                <c:pt idx="65">
                  <c:v>143.956989247312</c:v>
                </c:pt>
                <c:pt idx="66">
                  <c:v>135.774193548387</c:v>
                </c:pt>
                <c:pt idx="67">
                  <c:v>134.94623655914</c:v>
                </c:pt>
                <c:pt idx="68">
                  <c:v>137.559139784946</c:v>
                </c:pt>
                <c:pt idx="69">
                  <c:v>134.301075268817</c:v>
                </c:pt>
                <c:pt idx="70">
                  <c:v>132.817204301075</c:v>
                </c:pt>
                <c:pt idx="71">
                  <c:v>137.096774193548</c:v>
                </c:pt>
                <c:pt idx="72">
                  <c:v>131.978494623656</c:v>
                </c:pt>
                <c:pt idx="73">
                  <c:v>126.881720430108</c:v>
                </c:pt>
                <c:pt idx="74">
                  <c:v>129.032258064516</c:v>
                </c:pt>
                <c:pt idx="75">
                  <c:v>143.010752688172</c:v>
                </c:pt>
                <c:pt idx="76">
                  <c:v>131.827956989247</c:v>
                </c:pt>
                <c:pt idx="77">
                  <c:v>139.247311827957</c:v>
                </c:pt>
                <c:pt idx="78">
                  <c:v>137.634408602151</c:v>
                </c:pt>
                <c:pt idx="79">
                  <c:v>134.483870967742</c:v>
                </c:pt>
                <c:pt idx="80">
                  <c:v>136.870967741936</c:v>
                </c:pt>
                <c:pt idx="81">
                  <c:v>132.688172043011</c:v>
                </c:pt>
                <c:pt idx="82">
                  <c:v>138.236559139785</c:v>
                </c:pt>
                <c:pt idx="83">
                  <c:v>141.032258064516</c:v>
                </c:pt>
                <c:pt idx="84">
                  <c:v>136.290322580645</c:v>
                </c:pt>
                <c:pt idx="85">
                  <c:v>136.677419354839</c:v>
                </c:pt>
                <c:pt idx="86">
                  <c:v>136.032258064516</c:v>
                </c:pt>
                <c:pt idx="87">
                  <c:v>142.354838709677</c:v>
                </c:pt>
                <c:pt idx="88">
                  <c:v>149.967741935484</c:v>
                </c:pt>
                <c:pt idx="89">
                  <c:v>147.311827956989</c:v>
                </c:pt>
                <c:pt idx="90">
                  <c:v>149.462365591398</c:v>
                </c:pt>
                <c:pt idx="91">
                  <c:v>155.268817204301</c:v>
                </c:pt>
                <c:pt idx="92">
                  <c:v>159.720430107527</c:v>
                </c:pt>
                <c:pt idx="93">
                  <c:v>160.215053763441</c:v>
                </c:pt>
                <c:pt idx="94">
                  <c:v>160.752688172043</c:v>
                </c:pt>
                <c:pt idx="95">
                  <c:v>161.225806451613</c:v>
                </c:pt>
                <c:pt idx="96">
                  <c:v>158.924731182796</c:v>
                </c:pt>
                <c:pt idx="97">
                  <c:v>159.569892473118</c:v>
                </c:pt>
                <c:pt idx="98">
                  <c:v>158.935483870968</c:v>
                </c:pt>
                <c:pt idx="99">
                  <c:v>158.763440860215</c:v>
                </c:pt>
                <c:pt idx="100">
                  <c:v>153.344086021505</c:v>
                </c:pt>
                <c:pt idx="101">
                  <c:v>155.591397849462</c:v>
                </c:pt>
                <c:pt idx="102">
                  <c:v>150.537634408602</c:v>
                </c:pt>
                <c:pt idx="103">
                  <c:v>150.290322580645</c:v>
                </c:pt>
                <c:pt idx="104">
                  <c:v>145.161290322581</c:v>
                </c:pt>
                <c:pt idx="105">
                  <c:v>144.290322580645</c:v>
                </c:pt>
                <c:pt idx="106">
                  <c:v>148.279569892473</c:v>
                </c:pt>
                <c:pt idx="107">
                  <c:v>141.720430107527</c:v>
                </c:pt>
                <c:pt idx="108">
                  <c:v>137.849462365591</c:v>
                </c:pt>
                <c:pt idx="109">
                  <c:v>141.397849462366</c:v>
                </c:pt>
                <c:pt idx="110">
                  <c:v>145.193548387097</c:v>
                </c:pt>
                <c:pt idx="111">
                  <c:v>151.075268817204</c:v>
                </c:pt>
                <c:pt idx="112">
                  <c:v>152.602150537634</c:v>
                </c:pt>
                <c:pt idx="113">
                  <c:v>152.89247311828</c:v>
                </c:pt>
                <c:pt idx="114">
                  <c:v>155.05376344086</c:v>
                </c:pt>
                <c:pt idx="115">
                  <c:v>161.720430107527</c:v>
                </c:pt>
                <c:pt idx="116">
                  <c:v>158.258064516129</c:v>
                </c:pt>
                <c:pt idx="117">
                  <c:v>151.612903225806</c:v>
                </c:pt>
                <c:pt idx="118">
                  <c:v>150.430107526882</c:v>
                </c:pt>
                <c:pt idx="119">
                  <c:v>151.602150537634</c:v>
                </c:pt>
                <c:pt idx="120">
                  <c:v>153.763440860215</c:v>
                </c:pt>
                <c:pt idx="121">
                  <c:v>165.075268817204</c:v>
                </c:pt>
                <c:pt idx="122">
                  <c:v>164.516129032258</c:v>
                </c:pt>
                <c:pt idx="123">
                  <c:v>165.268817204301</c:v>
                </c:pt>
                <c:pt idx="124">
                  <c:v>174.010752688172</c:v>
                </c:pt>
                <c:pt idx="125">
                  <c:v>167.741935483871</c:v>
                </c:pt>
                <c:pt idx="126">
                  <c:v>167.52688172043</c:v>
                </c:pt>
                <c:pt idx="127">
                  <c:v>165.881720430108</c:v>
                </c:pt>
                <c:pt idx="128">
                  <c:v>166.129032258065</c:v>
                </c:pt>
                <c:pt idx="129">
                  <c:v>161.827956989247</c:v>
                </c:pt>
                <c:pt idx="130">
                  <c:v>161.290322580645</c:v>
                </c:pt>
                <c:pt idx="131">
                  <c:v>162.376344086021</c:v>
                </c:pt>
                <c:pt idx="132">
                  <c:v>166.161290322581</c:v>
                </c:pt>
                <c:pt idx="133">
                  <c:v>154.483870967742</c:v>
                </c:pt>
                <c:pt idx="134">
                  <c:v>155.935483870968</c:v>
                </c:pt>
                <c:pt idx="135">
                  <c:v>159.043010752688</c:v>
                </c:pt>
                <c:pt idx="136">
                  <c:v>159.602150537634</c:v>
                </c:pt>
                <c:pt idx="137">
                  <c:v>161.279569892473</c:v>
                </c:pt>
                <c:pt idx="138">
                  <c:v>162.365591397849</c:v>
                </c:pt>
                <c:pt idx="139">
                  <c:v>161.247311827957</c:v>
                </c:pt>
                <c:pt idx="140">
                  <c:v>160.215053763441</c:v>
                </c:pt>
                <c:pt idx="141">
                  <c:v>155.913978494624</c:v>
                </c:pt>
                <c:pt idx="142">
                  <c:v>148.387096774194</c:v>
                </c:pt>
                <c:pt idx="143">
                  <c:v>153.225806451613</c:v>
                </c:pt>
                <c:pt idx="144">
                  <c:v>149.204301075269</c:v>
                </c:pt>
                <c:pt idx="145">
                  <c:v>153.215053763441</c:v>
                </c:pt>
                <c:pt idx="146">
                  <c:v>157.645161290323</c:v>
                </c:pt>
                <c:pt idx="147">
                  <c:v>158.569892473118</c:v>
                </c:pt>
                <c:pt idx="148">
                  <c:v>159.645161290323</c:v>
                </c:pt>
                <c:pt idx="149">
                  <c:v>161.827956989247</c:v>
                </c:pt>
                <c:pt idx="150">
                  <c:v>165.634408602151</c:v>
                </c:pt>
                <c:pt idx="151">
                  <c:v>167.204301075269</c:v>
                </c:pt>
                <c:pt idx="152">
                  <c:v>166.505376344086</c:v>
                </c:pt>
                <c:pt idx="153">
                  <c:v>165.483870967742</c:v>
                </c:pt>
                <c:pt idx="154">
                  <c:v>165.193548387097</c:v>
                </c:pt>
                <c:pt idx="155">
                  <c:v>165</c:v>
                </c:pt>
                <c:pt idx="156">
                  <c:v>166.677419354839</c:v>
                </c:pt>
                <c:pt idx="157">
                  <c:v>163.47311827957</c:v>
                </c:pt>
                <c:pt idx="158">
                  <c:v>170.860215053763</c:v>
                </c:pt>
                <c:pt idx="159">
                  <c:v>169.89247311828</c:v>
                </c:pt>
                <c:pt idx="160">
                  <c:v>166.989247311828</c:v>
                </c:pt>
                <c:pt idx="161">
                  <c:v>170.645161290323</c:v>
                </c:pt>
                <c:pt idx="162">
                  <c:v>169.89247311828</c:v>
                </c:pt>
                <c:pt idx="163">
                  <c:v>160</c:v>
                </c:pt>
                <c:pt idx="164">
                  <c:v>161.935483870968</c:v>
                </c:pt>
                <c:pt idx="165">
                  <c:v>166.118279569892</c:v>
                </c:pt>
                <c:pt idx="166">
                  <c:v>170</c:v>
                </c:pt>
                <c:pt idx="167">
                  <c:v>169.247311827957</c:v>
                </c:pt>
                <c:pt idx="168">
                  <c:v>168.817204301075</c:v>
                </c:pt>
                <c:pt idx="169">
                  <c:v>167.311827956989</c:v>
                </c:pt>
                <c:pt idx="170">
                  <c:v>170.94623655914</c:v>
                </c:pt>
                <c:pt idx="171">
                  <c:v>174.193548387097</c:v>
                </c:pt>
                <c:pt idx="172">
                  <c:v>171.709677419355</c:v>
                </c:pt>
                <c:pt idx="173">
                  <c:v>169.591397849462</c:v>
                </c:pt>
                <c:pt idx="174">
                  <c:v>176.344086021505</c:v>
                </c:pt>
                <c:pt idx="175">
                  <c:v>183.741935483871</c:v>
                </c:pt>
                <c:pt idx="176">
                  <c:v>182.795698924731</c:v>
                </c:pt>
                <c:pt idx="177">
                  <c:v>187.096774193548</c:v>
                </c:pt>
                <c:pt idx="178">
                  <c:v>191.935483870968</c:v>
                </c:pt>
                <c:pt idx="179">
                  <c:v>194.612903225806</c:v>
                </c:pt>
                <c:pt idx="180">
                  <c:v>195.05376344086</c:v>
                </c:pt>
                <c:pt idx="181">
                  <c:v>202.989247311828</c:v>
                </c:pt>
                <c:pt idx="182">
                  <c:v>204.301075268817</c:v>
                </c:pt>
                <c:pt idx="183">
                  <c:v>202.634408602151</c:v>
                </c:pt>
                <c:pt idx="184">
                  <c:v>197.849462365591</c:v>
                </c:pt>
                <c:pt idx="185">
                  <c:v>216.903225806452</c:v>
                </c:pt>
                <c:pt idx="186">
                  <c:v>220.537634408602</c:v>
                </c:pt>
                <c:pt idx="187">
                  <c:v>212.376344086021</c:v>
                </c:pt>
                <c:pt idx="188">
                  <c:v>218.838709677419</c:v>
                </c:pt>
                <c:pt idx="189">
                  <c:v>222.043010752688</c:v>
                </c:pt>
                <c:pt idx="190">
                  <c:v>218.279569892473</c:v>
                </c:pt>
                <c:pt idx="191">
                  <c:v>208.064516129032</c:v>
                </c:pt>
                <c:pt idx="192">
                  <c:v>212.505376344086</c:v>
                </c:pt>
                <c:pt idx="193">
                  <c:v>215.05376344086</c:v>
                </c:pt>
                <c:pt idx="194">
                  <c:v>211.817204301075</c:v>
                </c:pt>
                <c:pt idx="195">
                  <c:v>206.451612903226</c:v>
                </c:pt>
                <c:pt idx="196">
                  <c:v>208.301075268817</c:v>
                </c:pt>
                <c:pt idx="197">
                  <c:v>212.903225806452</c:v>
                </c:pt>
                <c:pt idx="198">
                  <c:v>205.376344086022</c:v>
                </c:pt>
                <c:pt idx="199">
                  <c:v>200.860215053763</c:v>
                </c:pt>
                <c:pt idx="200">
                  <c:v>207.516129032258</c:v>
                </c:pt>
                <c:pt idx="201">
                  <c:v>209.548387096774</c:v>
                </c:pt>
                <c:pt idx="202">
                  <c:v>212.688172043011</c:v>
                </c:pt>
                <c:pt idx="203">
                  <c:v>209.58064516129</c:v>
                </c:pt>
                <c:pt idx="204">
                  <c:v>210.741935483871</c:v>
                </c:pt>
                <c:pt idx="205">
                  <c:v>230.967741935484</c:v>
                </c:pt>
                <c:pt idx="206">
                  <c:v>228.817204301075</c:v>
                </c:pt>
                <c:pt idx="207">
                  <c:v>223.118279569892</c:v>
                </c:pt>
                <c:pt idx="208">
                  <c:v>231.182795698925</c:v>
                </c:pt>
                <c:pt idx="209">
                  <c:v>227.516129032258</c:v>
                </c:pt>
                <c:pt idx="210">
                  <c:v>213.440860215054</c:v>
                </c:pt>
                <c:pt idx="211">
                  <c:v>223.118279569892</c:v>
                </c:pt>
                <c:pt idx="212">
                  <c:v>233.763440860215</c:v>
                </c:pt>
                <c:pt idx="213">
                  <c:v>240.322580645161</c:v>
                </c:pt>
                <c:pt idx="214">
                  <c:v>249.569892473118</c:v>
                </c:pt>
                <c:pt idx="215">
                  <c:v>248.387096774194</c:v>
                </c:pt>
                <c:pt idx="216">
                  <c:v>255.913978494624</c:v>
                </c:pt>
                <c:pt idx="217">
                  <c:v>259.139784946237</c:v>
                </c:pt>
                <c:pt idx="218">
                  <c:v>263.322580645161</c:v>
                </c:pt>
                <c:pt idx="219">
                  <c:v>263.440860215054</c:v>
                </c:pt>
                <c:pt idx="220">
                  <c:v>263.333333333333</c:v>
                </c:pt>
                <c:pt idx="221">
                  <c:v>262.365591397849</c:v>
                </c:pt>
                <c:pt idx="222">
                  <c:v>255.591397849462</c:v>
                </c:pt>
                <c:pt idx="223">
                  <c:v>268.279569892473</c:v>
                </c:pt>
                <c:pt idx="224">
                  <c:v>279.569892473118</c:v>
                </c:pt>
                <c:pt idx="225">
                  <c:v>295.698924731183</c:v>
                </c:pt>
                <c:pt idx="226">
                  <c:v>301.064516129032</c:v>
                </c:pt>
                <c:pt idx="227">
                  <c:v>274.204301075269</c:v>
                </c:pt>
                <c:pt idx="228">
                  <c:v>271.52688172043</c:v>
                </c:pt>
                <c:pt idx="229">
                  <c:v>271.505376344086</c:v>
                </c:pt>
                <c:pt idx="230">
                  <c:v>272.05376344086</c:v>
                </c:pt>
                <c:pt idx="231">
                  <c:v>259.139784946237</c:v>
                </c:pt>
                <c:pt idx="232">
                  <c:v>254.838709677419</c:v>
                </c:pt>
                <c:pt idx="233">
                  <c:v>246.784946236559</c:v>
                </c:pt>
                <c:pt idx="234">
                  <c:v>234.94623655914</c:v>
                </c:pt>
                <c:pt idx="235">
                  <c:v>263.430107526882</c:v>
                </c:pt>
                <c:pt idx="236">
                  <c:v>281.064516129032</c:v>
                </c:pt>
                <c:pt idx="237">
                  <c:v>295.806451612903</c:v>
                </c:pt>
                <c:pt idx="238">
                  <c:v>300.290322580645</c:v>
                </c:pt>
                <c:pt idx="239">
                  <c:v>293.333333333333</c:v>
                </c:pt>
                <c:pt idx="240">
                  <c:v>277.967741935484</c:v>
                </c:pt>
                <c:pt idx="241">
                  <c:v>248.354838709677</c:v>
                </c:pt>
                <c:pt idx="242">
                  <c:v>263.440860215054</c:v>
                </c:pt>
                <c:pt idx="243">
                  <c:v>261.075268817204</c:v>
                </c:pt>
                <c:pt idx="244">
                  <c:v>252.688172043011</c:v>
                </c:pt>
                <c:pt idx="245">
                  <c:v>264.978494623656</c:v>
                </c:pt>
                <c:pt idx="246">
                  <c:v>262.354838709677</c:v>
                </c:pt>
                <c:pt idx="247">
                  <c:v>251.075268817204</c:v>
                </c:pt>
                <c:pt idx="248">
                  <c:v>247.311827956989</c:v>
                </c:pt>
                <c:pt idx="249">
                  <c:v>242.688172043011</c:v>
                </c:pt>
                <c:pt idx="250">
                  <c:v>237.634408602151</c:v>
                </c:pt>
                <c:pt idx="251">
                  <c:v>249.881720430108</c:v>
                </c:pt>
                <c:pt idx="252">
                  <c:v>251.075268817204</c:v>
                </c:pt>
                <c:pt idx="253">
                  <c:v>264.47311827957</c:v>
                </c:pt>
                <c:pt idx="254">
                  <c:v>261.290322580645</c:v>
                </c:pt>
                <c:pt idx="255">
                  <c:v>261.064516129032</c:v>
                </c:pt>
                <c:pt idx="256">
                  <c:v>268.279569892473</c:v>
                </c:pt>
                <c:pt idx="257">
                  <c:v>268.172043010753</c:v>
                </c:pt>
                <c:pt idx="258">
                  <c:v>257.516129032258</c:v>
                </c:pt>
                <c:pt idx="259">
                  <c:v>240.860215053763</c:v>
                </c:pt>
                <c:pt idx="260">
                  <c:v>245.698924731183</c:v>
                </c:pt>
                <c:pt idx="261">
                  <c:v>233.870967741936</c:v>
                </c:pt>
              </c:numCache>
            </c:numRef>
          </c:val>
          <c:smooth val="0"/>
        </c:ser>
        <c:hiLowLines>
          <c:spPr>
            <a:ln w="0">
              <a:noFill/>
            </a:ln>
          </c:spPr>
        </c:hiLowLines>
        <c:marker val="0"/>
        <c:axId val="71001739"/>
        <c:axId val="34793430"/>
      </c:lineChart>
      <c:catAx>
        <c:axId val="71001739"/>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793430"/>
        <c:crosses val="autoZero"/>
        <c:auto val="1"/>
        <c:lblAlgn val="ctr"/>
        <c:lblOffset val="100"/>
        <c:noMultiLvlLbl val="0"/>
      </c:catAx>
      <c:valAx>
        <c:axId val="34793430"/>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0017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P/NAV ajustado (x)</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NAV!$B$3:$D$3</c:f>
              <c:strCache>
                <c:ptCount val="3"/>
                <c:pt idx="0">
                  <c:v>Mallplaza</c:v>
                </c:pt>
                <c:pt idx="1">
                  <c:v>Parque Arauco</c:v>
                </c:pt>
                <c:pt idx="2">
                  <c:v>Cenco Malls</c:v>
                </c:pt>
              </c:strCache>
            </c:strRef>
          </c:cat>
          <c:val>
            <c:numRef>
              <c:f>NAV!$B$15:$D$15</c:f>
              <c:numCache>
                <c:formatCode>0.00\x</c:formatCode>
                <c:ptCount val="3"/>
                <c:pt idx="0">
                  <c:v>1.27518045198888</c:v>
                </c:pt>
                <c:pt idx="1">
                  <c:v>1.48053550216662</c:v>
                </c:pt>
                <c:pt idx="2">
                  <c:v>0.993916016287224</c:v>
                </c:pt>
              </c:numCache>
            </c:numRef>
          </c:val>
        </c:ser>
        <c:gapWidth val="150"/>
        <c:overlap val="0"/>
        <c:axId val="18179529"/>
        <c:axId val="11677235"/>
      </c:barChart>
      <c:catAx>
        <c:axId val="181795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677235"/>
        <c:crosses val="autoZero"/>
        <c:auto val="1"/>
        <c:lblAlgn val="ctr"/>
        <c:lblOffset val="100"/>
        <c:noMultiLvlLbl val="0"/>
      </c:catAx>
      <c:valAx>
        <c:axId val="11677235"/>
        <c:scaling>
          <c:orientation val="minMax"/>
        </c:scaling>
        <c:delete val="0"/>
        <c:axPos val="l"/>
        <c:majorGridlines>
          <c:spPr>
            <a:ln w="9360">
              <a:solidFill>
                <a:srgbClr val="878787"/>
              </a:solidFill>
              <a:round/>
            </a:ln>
          </c:spPr>
        </c:majorGridlines>
        <c:numFmt formatCode="0.00\x"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17952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160560</xdr:rowOff>
    </xdr:from>
    <xdr:to>
      <xdr:col>6</xdr:col>
      <xdr:colOff>840960</xdr:colOff>
      <xdr:row>48</xdr:row>
      <xdr:rowOff>182880</xdr:rowOff>
    </xdr:to>
    <xdr:graphicFrame>
      <xdr:nvGraphicFramePr>
        <xdr:cNvPr id="0" name="Chart 1"/>
        <xdr:cNvGraphicFramePr/>
      </xdr:nvGraphicFramePr>
      <xdr:xfrm>
        <a:off x="0" y="681984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351360</xdr:rowOff>
    </xdr:from>
    <xdr:to>
      <xdr:col>22</xdr:col>
      <xdr:colOff>473040</xdr:colOff>
      <xdr:row>17</xdr:row>
      <xdr:rowOff>182880</xdr:rowOff>
    </xdr:to>
    <xdr:graphicFrame>
      <xdr:nvGraphicFramePr>
        <xdr:cNvPr id="1" name="Chart 1"/>
        <xdr:cNvGraphicFramePr/>
      </xdr:nvGraphicFramePr>
      <xdr:xfrm>
        <a:off x="9069840" y="76212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160920</xdr:rowOff>
    </xdr:from>
    <xdr:to>
      <xdr:col>13</xdr:col>
      <xdr:colOff>39240</xdr:colOff>
      <xdr:row>14</xdr:row>
      <xdr:rowOff>34560</xdr:rowOff>
    </xdr:to>
    <xdr:graphicFrame>
      <xdr:nvGraphicFramePr>
        <xdr:cNvPr id="2" name="Chart 1"/>
        <xdr:cNvGraphicFramePr/>
      </xdr:nvGraphicFramePr>
      <xdr:xfrm>
        <a:off x="11325240" y="571680"/>
        <a:ext cx="431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c r="B1" s="2"/>
    </row>
    <row r="2" customFormat="false" ht="30" hidden="false" customHeight="true" outlineLevel="0" collapsed="false">
      <c r="A2" s="3" t="s">
        <v>1</v>
      </c>
      <c r="B2" s="3"/>
    </row>
    <row r="3" customFormat="false" ht="15" hidden="false" customHeight="false" outlineLevel="0" collapsed="false">
      <c r="A3" s="2"/>
      <c r="B3" s="2"/>
    </row>
    <row r="4" customFormat="false" ht="15" hidden="false" customHeight="false" outlineLevel="0" collapsed="false">
      <c r="A4" s="4" t="s">
        <v>2</v>
      </c>
      <c r="B4" s="5"/>
    </row>
    <row r="5" customFormat="false" ht="15" hidden="false" customHeight="true" outlineLevel="0" collapsed="false">
      <c r="A5" s="6" t="s">
        <v>3</v>
      </c>
      <c r="B5" s="7" t="s">
        <v>4</v>
      </c>
    </row>
    <row r="6" customFormat="false" ht="30" hidden="false" customHeight="true" outlineLevel="0" collapsed="false">
      <c r="A6" s="6" t="s">
        <v>5</v>
      </c>
      <c r="B6" s="7" t="s">
        <v>6</v>
      </c>
    </row>
    <row r="7" customFormat="false" ht="30" hidden="false" customHeight="true" outlineLevel="0" collapsed="false">
      <c r="A7" s="6" t="s">
        <v>7</v>
      </c>
      <c r="B7" s="7" t="s">
        <v>8</v>
      </c>
    </row>
    <row r="8" customFormat="false" ht="45" hidden="false" customHeight="true" outlineLevel="0" collapsed="false">
      <c r="A8" s="6" t="s">
        <v>9</v>
      </c>
      <c r="B8" s="7" t="s">
        <v>10</v>
      </c>
    </row>
    <row r="9" customFormat="false" ht="15" hidden="false" customHeight="true" outlineLevel="0" collapsed="false">
      <c r="A9" s="6" t="s">
        <v>11</v>
      </c>
      <c r="B9" s="7" t="s">
        <v>12</v>
      </c>
    </row>
    <row r="10" customFormat="false" ht="15" hidden="false" customHeight="true" outlineLevel="0" collapsed="false">
      <c r="A10" s="6" t="s">
        <v>13</v>
      </c>
      <c r="B10" s="7" t="s">
        <v>14</v>
      </c>
    </row>
    <row r="11" customFormat="false" ht="45" hidden="false" customHeight="true" outlineLevel="0" collapsed="false">
      <c r="A11" s="6" t="s">
        <v>15</v>
      </c>
      <c r="B11" s="7" t="s">
        <v>16</v>
      </c>
    </row>
    <row r="12" customFormat="false" ht="90" hidden="false" customHeight="true" outlineLevel="0" collapsed="false">
      <c r="A12" s="6" t="s">
        <v>17</v>
      </c>
      <c r="B12" s="7" t="s">
        <v>18</v>
      </c>
    </row>
    <row r="13" customFormat="false" ht="75" hidden="false" customHeight="true" outlineLevel="0" collapsed="false">
      <c r="A13" s="6" t="s">
        <v>19</v>
      </c>
      <c r="B13" s="7" t="s">
        <v>20</v>
      </c>
    </row>
    <row r="14" customFormat="false" ht="45" hidden="false" customHeight="true" outlineLevel="0" collapsed="false">
      <c r="A14" s="6" t="s">
        <v>21</v>
      </c>
      <c r="B14" s="7" t="s">
        <v>22</v>
      </c>
    </row>
    <row r="15" customFormat="false" ht="15" hidden="false" customHeight="false" outlineLevel="0" collapsed="false">
      <c r="A15" s="2"/>
      <c r="B15" s="2"/>
    </row>
    <row r="16" customFormat="false" ht="15" hidden="false" customHeight="false" outlineLevel="0" collapsed="false">
      <c r="A16" s="4" t="s">
        <v>23</v>
      </c>
      <c r="B16" s="5"/>
    </row>
    <row r="17" customFormat="false" ht="15" hidden="false" customHeight="true" outlineLevel="0" collapsed="false">
      <c r="A17" s="6" t="s">
        <v>3</v>
      </c>
      <c r="B17" s="7" t="s">
        <v>24</v>
      </c>
    </row>
    <row r="18" customFormat="false" ht="30" hidden="false" customHeight="true" outlineLevel="0" collapsed="false">
      <c r="A18" s="6" t="s">
        <v>5</v>
      </c>
      <c r="B18" s="7" t="s">
        <v>25</v>
      </c>
    </row>
    <row r="19" customFormat="false" ht="15" hidden="false" customHeight="true" outlineLevel="0" collapsed="false">
      <c r="A19" s="6" t="s">
        <v>7</v>
      </c>
      <c r="B19" s="7" t="s">
        <v>26</v>
      </c>
    </row>
    <row r="20" customFormat="false" ht="45" hidden="false" customHeight="true" outlineLevel="0" collapsed="false">
      <c r="A20" s="6" t="s">
        <v>9</v>
      </c>
      <c r="B20" s="7" t="s">
        <v>27</v>
      </c>
    </row>
    <row r="21" customFormat="false" ht="15" hidden="false" customHeight="true" outlineLevel="0" collapsed="false">
      <c r="A21" s="6" t="s">
        <v>11</v>
      </c>
      <c r="B21" s="7" t="s">
        <v>28</v>
      </c>
    </row>
    <row r="22" customFormat="false" ht="15" hidden="false" customHeight="true" outlineLevel="0" collapsed="false">
      <c r="A22" s="6" t="s">
        <v>13</v>
      </c>
      <c r="B22" s="7" t="s">
        <v>29</v>
      </c>
    </row>
    <row r="23" customFormat="false" ht="30" hidden="false" customHeight="true" outlineLevel="0" collapsed="false">
      <c r="A23" s="6" t="s">
        <v>15</v>
      </c>
      <c r="B23" s="7" t="s">
        <v>30</v>
      </c>
    </row>
    <row r="24" customFormat="false" ht="75" hidden="false" customHeight="true" outlineLevel="0" collapsed="false">
      <c r="A24" s="6" t="s">
        <v>17</v>
      </c>
      <c r="B24" s="7" t="s">
        <v>31</v>
      </c>
    </row>
    <row r="25" customFormat="false" ht="75" hidden="false" customHeight="true" outlineLevel="0" collapsed="false">
      <c r="A25" s="6" t="s">
        <v>19</v>
      </c>
      <c r="B25" s="7" t="s">
        <v>32</v>
      </c>
    </row>
    <row r="26" customFormat="false" ht="30" hidden="false" customHeight="true" outlineLevel="0" collapsed="false">
      <c r="A26" s="6" t="s">
        <v>21</v>
      </c>
      <c r="B26" s="7" t="s">
        <v>33</v>
      </c>
    </row>
    <row r="27" customFormat="false" ht="15" hidden="false" customHeight="false" outlineLevel="0" collapsed="false">
      <c r="A27" s="2"/>
      <c r="B27" s="2"/>
    </row>
    <row r="28" customFormat="false" ht="15" hidden="false" customHeight="false" outlineLevel="0" collapsed="false">
      <c r="A28" s="4" t="s">
        <v>34</v>
      </c>
      <c r="B28" s="5"/>
    </row>
    <row r="29" customFormat="false" ht="15" hidden="false" customHeight="true" outlineLevel="0" collapsed="false">
      <c r="A29" s="6" t="s">
        <v>3</v>
      </c>
      <c r="B29" s="7" t="s">
        <v>35</v>
      </c>
    </row>
    <row r="30" customFormat="false" ht="30" hidden="false" customHeight="true" outlineLevel="0" collapsed="false">
      <c r="A30" s="6" t="s">
        <v>5</v>
      </c>
      <c r="B30" s="7" t="s">
        <v>36</v>
      </c>
    </row>
    <row r="31" customFormat="false" ht="30" hidden="false" customHeight="true" outlineLevel="0" collapsed="false">
      <c r="A31" s="6" t="s">
        <v>37</v>
      </c>
      <c r="B31" s="7" t="s">
        <v>38</v>
      </c>
    </row>
    <row r="32" customFormat="false" ht="30" hidden="false" customHeight="true" outlineLevel="0" collapsed="false">
      <c r="A32" s="6" t="s">
        <v>21</v>
      </c>
      <c r="B32" s="7" t="s">
        <v>39</v>
      </c>
    </row>
    <row r="33" customFormat="false" ht="15" hidden="false" customHeight="false" outlineLevel="0" collapsed="false">
      <c r="A33" s="2"/>
      <c r="B33" s="2"/>
    </row>
    <row r="34" customFormat="false" ht="15" hidden="false" customHeight="false" outlineLevel="0" collapsed="false">
      <c r="A34" s="4" t="s">
        <v>40</v>
      </c>
      <c r="B34" s="5"/>
    </row>
    <row r="35" customFormat="false" ht="15" hidden="false" customHeight="true" outlineLevel="0" collapsed="false">
      <c r="A35" s="6" t="s">
        <v>3</v>
      </c>
      <c r="B35" s="7" t="s">
        <v>41</v>
      </c>
    </row>
    <row r="36" customFormat="false" ht="30" hidden="false" customHeight="true" outlineLevel="0" collapsed="false">
      <c r="A36" s="6" t="s">
        <v>5</v>
      </c>
      <c r="B36" s="7" t="s">
        <v>42</v>
      </c>
    </row>
    <row r="37" customFormat="false" ht="30" hidden="false" customHeight="true" outlineLevel="0" collapsed="false">
      <c r="A37" s="6" t="s">
        <v>7</v>
      </c>
      <c r="B37" s="7" t="s">
        <v>43</v>
      </c>
    </row>
    <row r="38" customFormat="false" ht="15" hidden="false" customHeight="true" outlineLevel="0" collapsed="false">
      <c r="A38" s="6" t="s">
        <v>11</v>
      </c>
      <c r="B38" s="7" t="s">
        <v>44</v>
      </c>
    </row>
    <row r="39" customFormat="false" ht="15" hidden="false" customHeight="true" outlineLevel="0" collapsed="false">
      <c r="A39" s="6" t="s">
        <v>13</v>
      </c>
      <c r="B39" s="7" t="s">
        <v>45</v>
      </c>
    </row>
    <row r="40" customFormat="false" ht="45" hidden="false" customHeight="true" outlineLevel="0" collapsed="false">
      <c r="A40" s="6" t="s">
        <v>15</v>
      </c>
      <c r="B40" s="7" t="s">
        <v>46</v>
      </c>
    </row>
    <row r="41" customFormat="false" ht="75" hidden="false" customHeight="true" outlineLevel="0" collapsed="false">
      <c r="A41" s="6" t="s">
        <v>17</v>
      </c>
      <c r="B41" s="7" t="s">
        <v>47</v>
      </c>
    </row>
    <row r="42" customFormat="false" ht="75" hidden="false" customHeight="true" outlineLevel="0" collapsed="false">
      <c r="A42" s="6" t="s">
        <v>19</v>
      </c>
      <c r="B42" s="7" t="s">
        <v>48</v>
      </c>
    </row>
    <row r="43" customFormat="false" ht="45" hidden="false" customHeight="true" outlineLevel="0" collapsed="false">
      <c r="A43" s="6" t="s">
        <v>21</v>
      </c>
      <c r="B43" s="7" t="s">
        <v>49</v>
      </c>
    </row>
    <row r="44" customFormat="false" ht="15" hidden="false" customHeight="false" outlineLevel="0" collapsed="false">
      <c r="A44" s="2"/>
      <c r="B44" s="2"/>
    </row>
    <row r="45" customFormat="false" ht="15" hidden="false" customHeight="false" outlineLevel="0" collapsed="false">
      <c r="A45" s="4" t="s">
        <v>50</v>
      </c>
      <c r="B45" s="5"/>
    </row>
    <row r="46" customFormat="false" ht="15" hidden="false" customHeight="true" outlineLevel="0" collapsed="false">
      <c r="A46" s="6" t="s">
        <v>3</v>
      </c>
      <c r="B46" s="7" t="s">
        <v>51</v>
      </c>
    </row>
    <row r="47" customFormat="false" ht="30" hidden="false" customHeight="true" outlineLevel="0" collapsed="false">
      <c r="A47" s="6" t="s">
        <v>5</v>
      </c>
      <c r="B47" s="7" t="s">
        <v>52</v>
      </c>
    </row>
    <row r="48" customFormat="false" ht="15" hidden="false" customHeight="true" outlineLevel="0" collapsed="false">
      <c r="A48" s="6" t="s">
        <v>53</v>
      </c>
      <c r="B48" s="7" t="s">
        <v>54</v>
      </c>
    </row>
    <row r="49" customFormat="false" ht="15" hidden="false" customHeight="true" outlineLevel="0" collapsed="false">
      <c r="A49" s="6" t="s">
        <v>11</v>
      </c>
      <c r="B49" s="7" t="s">
        <v>55</v>
      </c>
    </row>
    <row r="50" customFormat="false" ht="60" hidden="false" customHeight="true" outlineLevel="0" collapsed="false">
      <c r="A50" s="6" t="s">
        <v>17</v>
      </c>
      <c r="B50" s="7" t="s">
        <v>56</v>
      </c>
    </row>
    <row r="51" customFormat="false" ht="15" hidden="false" customHeight="false" outlineLevel="0" collapsed="false">
      <c r="A51" s="2"/>
      <c r="B51" s="2"/>
    </row>
    <row r="52" customFormat="false" ht="15" hidden="false" customHeight="false" outlineLevel="0" collapsed="false">
      <c r="A52" s="4" t="s">
        <v>57</v>
      </c>
      <c r="B52" s="5"/>
    </row>
    <row r="53" customFormat="false" ht="30" hidden="false" customHeight="true" outlineLevel="0" collapsed="false">
      <c r="A53" s="6" t="s">
        <v>58</v>
      </c>
      <c r="B53" s="7" t="s">
        <v>59</v>
      </c>
    </row>
    <row r="54" customFormat="false" ht="30" hidden="false" customHeight="true" outlineLevel="0" collapsed="false">
      <c r="A54" s="6" t="s">
        <v>60</v>
      </c>
      <c r="B54" s="7" t="s">
        <v>61</v>
      </c>
    </row>
    <row r="55" customFormat="false" ht="30" hidden="false" customHeight="true" outlineLevel="0" collapsed="false">
      <c r="A55" s="6" t="s">
        <v>60</v>
      </c>
      <c r="B55" s="7" t="s">
        <v>62</v>
      </c>
    </row>
    <row r="56" customFormat="false" ht="30" hidden="false" customHeight="true" outlineLevel="0" collapsed="false">
      <c r="A56" s="6" t="s">
        <v>63</v>
      </c>
      <c r="B56" s="7" t="s">
        <v>64</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5"/>
    <col collapsed="false" customWidth="true" hidden="false" outlineLevel="0" max="4" min="4" style="0" width="14"/>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14"/>
    <col collapsed="false" customWidth="true" hidden="false" outlineLevel="0" max="10" min="9" style="0" width="12"/>
    <col collapsed="false" customWidth="true" hidden="false" outlineLevel="0" max="11" min="11" style="0" width="11"/>
    <col collapsed="false" customWidth="true" hidden="false" outlineLevel="0" max="12" min="12" style="0" width="14"/>
    <col collapsed="false" customWidth="true" hidden="false" outlineLevel="0" max="13" min="13" style="0" width="12"/>
    <col collapsed="false" customWidth="true" hidden="false" outlineLevel="0" max="16" min="16" style="0" width="11"/>
    <col collapsed="false" customWidth="true" hidden="false" outlineLevel="0" max="17" min="17" style="0" width="16"/>
  </cols>
  <sheetData>
    <row r="1" customFormat="false" ht="17.35" hidden="false" customHeight="false" outlineLevel="0" collapsed="false">
      <c r="A1" s="1" t="s">
        <v>65</v>
      </c>
      <c r="B1" s="2"/>
      <c r="C1" s="2"/>
      <c r="D1" s="2"/>
      <c r="E1" s="2"/>
      <c r="F1" s="2"/>
      <c r="G1" s="2"/>
      <c r="H1" s="2"/>
      <c r="I1" s="2"/>
      <c r="J1" s="2"/>
      <c r="K1" s="2"/>
      <c r="L1" s="2"/>
      <c r="M1" s="2"/>
      <c r="N1" s="2"/>
      <c r="O1" s="2"/>
      <c r="P1" s="2"/>
      <c r="Q1" s="2"/>
    </row>
    <row r="2" customFormat="false" ht="15" hidden="false" customHeight="false" outlineLevel="0" collapsed="false">
      <c r="A2" s="2"/>
      <c r="B2" s="2"/>
      <c r="C2" s="2"/>
      <c r="D2" s="2"/>
      <c r="E2" s="2"/>
      <c r="F2" s="2"/>
      <c r="G2" s="2"/>
      <c r="H2" s="2"/>
      <c r="I2" s="2"/>
      <c r="J2" s="2"/>
      <c r="K2" s="2"/>
      <c r="L2" s="2"/>
      <c r="M2" s="2"/>
      <c r="N2" s="2"/>
      <c r="O2" s="2"/>
      <c r="P2" s="2"/>
      <c r="Q2" s="2"/>
    </row>
    <row r="3" customFormat="false" ht="42" hidden="false" customHeight="true" outlineLevel="0" collapsed="false">
      <c r="A3" s="8" t="s">
        <v>66</v>
      </c>
      <c r="B3" s="8" t="s">
        <v>67</v>
      </c>
      <c r="C3" s="8" t="s">
        <v>68</v>
      </c>
      <c r="D3" s="8" t="s">
        <v>69</v>
      </c>
      <c r="E3" s="8" t="s">
        <v>70</v>
      </c>
      <c r="F3" s="8" t="s">
        <v>71</v>
      </c>
      <c r="G3" s="8" t="s">
        <v>72</v>
      </c>
      <c r="H3" s="8" t="s">
        <v>73</v>
      </c>
      <c r="I3" s="8" t="s">
        <v>74</v>
      </c>
      <c r="J3" s="8" t="s">
        <v>75</v>
      </c>
      <c r="K3" s="8" t="s">
        <v>76</v>
      </c>
      <c r="L3" s="8" t="s">
        <v>77</v>
      </c>
      <c r="M3" s="8" t="s">
        <v>78</v>
      </c>
      <c r="N3" s="2"/>
      <c r="O3" s="2"/>
      <c r="P3" s="9" t="s">
        <v>66</v>
      </c>
      <c r="Q3" s="9" t="s">
        <v>79</v>
      </c>
    </row>
    <row r="4" customFormat="false" ht="15" hidden="false" customHeight="false" outlineLevel="0" collapsed="false">
      <c r="A4" s="10" t="s">
        <v>80</v>
      </c>
      <c r="B4" s="11" t="n">
        <v>44925</v>
      </c>
      <c r="C4" s="12" t="n">
        <v>2073680</v>
      </c>
      <c r="D4" s="12" t="n">
        <v>1011613.326</v>
      </c>
      <c r="E4" s="12" t="n">
        <v>168378.479</v>
      </c>
      <c r="F4" s="13" t="n">
        <f aca="false">C4+D4+E4</f>
        <v>3253671.805</v>
      </c>
      <c r="G4" s="12" t="n">
        <v>282699</v>
      </c>
      <c r="H4" s="13" t="n">
        <v>0</v>
      </c>
      <c r="I4" s="14" t="n">
        <f aca="false">(G4+H4)/F4</f>
        <v>0.0868861449288061</v>
      </c>
      <c r="J4" s="15" t="n">
        <v>0.0165</v>
      </c>
      <c r="K4" s="16" t="n">
        <f aca="false">(I4-J4)*10000</f>
        <v>703.861449288061</v>
      </c>
      <c r="L4" s="16" t="n">
        <f aca="false">AVERAGE($K$4:$K$14)</f>
        <v>614.940438855153</v>
      </c>
      <c r="M4" s="14" t="n">
        <f aca="false">G4/F4</f>
        <v>0.0868861449288061</v>
      </c>
      <c r="N4" s="2"/>
      <c r="O4" s="2"/>
      <c r="P4" s="10" t="s">
        <v>81</v>
      </c>
      <c r="Q4" s="12" t="n">
        <v>62217.675</v>
      </c>
    </row>
    <row r="5" customFormat="false" ht="15" hidden="false" customHeight="false" outlineLevel="0" collapsed="false">
      <c r="A5" s="10" t="s">
        <v>82</v>
      </c>
      <c r="B5" s="11" t="n">
        <v>45107</v>
      </c>
      <c r="C5" s="12" t="n">
        <v>2427460</v>
      </c>
      <c r="D5" s="12" t="n">
        <v>1102214.578</v>
      </c>
      <c r="E5" s="12" t="n">
        <v>22871.18</v>
      </c>
      <c r="F5" s="13" t="n">
        <f aca="false">C5+D5+E5</f>
        <v>3552545.758</v>
      </c>
      <c r="G5" s="13" t="n">
        <f aca="false">SUM(Q4:Q7)</f>
        <v>286263.675</v>
      </c>
      <c r="H5" s="13" t="n">
        <v>0</v>
      </c>
      <c r="I5" s="14" t="n">
        <f aca="false">(G5+H5)/F5</f>
        <v>0.0805798699018474</v>
      </c>
      <c r="J5" s="15" t="n">
        <v>0.0212</v>
      </c>
      <c r="K5" s="16" t="n">
        <f aca="false">(I5-J5)*10000</f>
        <v>593.798699018475</v>
      </c>
      <c r="L5" s="16" t="n">
        <f aca="false">AVERAGE($K$4:$K$14)</f>
        <v>614.940438855153</v>
      </c>
      <c r="M5" s="14" t="n">
        <f aca="false">G5/F5</f>
        <v>0.0805798699018474</v>
      </c>
      <c r="N5" s="2"/>
      <c r="O5" s="2"/>
      <c r="P5" s="10" t="s">
        <v>80</v>
      </c>
      <c r="Q5" s="12" t="n">
        <v>70271</v>
      </c>
    </row>
    <row r="6" customFormat="false" ht="15" hidden="false" customHeight="false" outlineLevel="0" collapsed="false">
      <c r="A6" s="10" t="s">
        <v>83</v>
      </c>
      <c r="B6" s="11" t="n">
        <v>45198</v>
      </c>
      <c r="C6" s="12" t="n">
        <v>2392768</v>
      </c>
      <c r="D6" s="12" t="n">
        <v>1102875.453</v>
      </c>
      <c r="E6" s="12" t="n">
        <v>26253.922</v>
      </c>
      <c r="F6" s="13" t="n">
        <f aca="false">C6+D6+E6</f>
        <v>3521897.375</v>
      </c>
      <c r="G6" s="13" t="n">
        <f aca="false">SUM(Q5:Q8)</f>
        <v>311709</v>
      </c>
      <c r="H6" s="13" t="n">
        <v>0</v>
      </c>
      <c r="I6" s="14" t="n">
        <f aca="false">(G6+H6)/F6</f>
        <v>0.0885059860666724</v>
      </c>
      <c r="J6" s="15" t="n">
        <v>0.0262</v>
      </c>
      <c r="K6" s="16" t="n">
        <f aca="false">(I6-J6)*10000</f>
        <v>623.059860666724</v>
      </c>
      <c r="L6" s="16" t="n">
        <f aca="false">AVERAGE($K$4:$K$14)</f>
        <v>614.940438855153</v>
      </c>
      <c r="M6" s="14" t="n">
        <f aca="false">G6/F6</f>
        <v>0.0885059860666724</v>
      </c>
      <c r="N6" s="2"/>
      <c r="O6" s="2"/>
      <c r="P6" s="10" t="s">
        <v>84</v>
      </c>
      <c r="Q6" s="12" t="n">
        <v>74969</v>
      </c>
    </row>
    <row r="7" customFormat="false" ht="15" hidden="false" customHeight="false" outlineLevel="0" collapsed="false">
      <c r="A7" s="10" t="s">
        <v>85</v>
      </c>
      <c r="B7" s="11" t="n">
        <v>45289</v>
      </c>
      <c r="C7" s="12" t="n">
        <v>2439612</v>
      </c>
      <c r="D7" s="12" t="n">
        <v>1081082.31</v>
      </c>
      <c r="E7" s="12" t="n">
        <v>31634.353</v>
      </c>
      <c r="F7" s="13" t="n">
        <f aca="false">C7+D7+E7</f>
        <v>3552328.663</v>
      </c>
      <c r="G7" s="13" t="n">
        <f aca="false">SUM(Q6:Q9)</f>
        <v>322186</v>
      </c>
      <c r="H7" s="13" t="n">
        <v>0</v>
      </c>
      <c r="I7" s="14" t="n">
        <f aca="false">(G7+H7)/F7</f>
        <v>0.0906971259038595</v>
      </c>
      <c r="J7" s="15" t="n">
        <v>0.0244</v>
      </c>
      <c r="K7" s="16" t="n">
        <f aca="false">(I7-J7)*10000</f>
        <v>662.971259038595</v>
      </c>
      <c r="L7" s="16" t="n">
        <f aca="false">AVERAGE($K$4:$K$14)</f>
        <v>614.940438855153</v>
      </c>
      <c r="M7" s="14" t="n">
        <f aca="false">G7/F7</f>
        <v>0.0906971259038595</v>
      </c>
      <c r="N7" s="2"/>
      <c r="O7" s="2"/>
      <c r="P7" s="10" t="s">
        <v>82</v>
      </c>
      <c r="Q7" s="12" t="n">
        <v>78806</v>
      </c>
    </row>
    <row r="8" customFormat="false" ht="15" hidden="false" customHeight="false" outlineLevel="0" collapsed="false">
      <c r="A8" s="10" t="s">
        <v>86</v>
      </c>
      <c r="B8" s="11" t="n">
        <v>45379</v>
      </c>
      <c r="C8" s="12" t="n">
        <v>2637376</v>
      </c>
      <c r="D8" s="12" t="n">
        <v>1065832.892</v>
      </c>
      <c r="E8" s="12" t="n">
        <v>34467.839</v>
      </c>
      <c r="F8" s="13" t="n">
        <f aca="false">C8+D8+E8</f>
        <v>3737676.731</v>
      </c>
      <c r="G8" s="13" t="n">
        <f aca="false">SUM(Q7:Q10)</f>
        <v>334069</v>
      </c>
      <c r="H8" s="13" t="n">
        <v>0</v>
      </c>
      <c r="I8" s="14" t="n">
        <f aca="false">(G8+H8)/F8</f>
        <v>0.0893787836784433</v>
      </c>
      <c r="J8" s="15" t="n">
        <v>0.0246</v>
      </c>
      <c r="K8" s="16" t="n">
        <f aca="false">(I8-J8)*10000</f>
        <v>647.787836784433</v>
      </c>
      <c r="L8" s="16" t="n">
        <f aca="false">AVERAGE($K$4:$K$14)</f>
        <v>614.940438855153</v>
      </c>
      <c r="M8" s="14" t="n">
        <f aca="false">G8/F8</f>
        <v>0.0893787836784433</v>
      </c>
      <c r="N8" s="2"/>
      <c r="O8" s="2"/>
      <c r="P8" s="10" t="s">
        <v>83</v>
      </c>
      <c r="Q8" s="12" t="n">
        <v>87663</v>
      </c>
    </row>
    <row r="9" customFormat="false" ht="15" hidden="false" customHeight="false" outlineLevel="0" collapsed="false">
      <c r="A9" s="10" t="s">
        <v>87</v>
      </c>
      <c r="B9" s="11" t="n">
        <v>45471</v>
      </c>
      <c r="C9" s="12" t="n">
        <v>3000081</v>
      </c>
      <c r="D9" s="12" t="n">
        <v>1134483.809</v>
      </c>
      <c r="E9" s="12" t="n">
        <v>31308.146</v>
      </c>
      <c r="F9" s="13" t="n">
        <f aca="false">C9+D9+E9</f>
        <v>4165872.955</v>
      </c>
      <c r="G9" s="13" t="n">
        <f aca="false">SUM(Q8:Q11)</f>
        <v>346924</v>
      </c>
      <c r="H9" s="13" t="n">
        <v>0</v>
      </c>
      <c r="I9" s="14" t="n">
        <f aca="false">(G9+H9)/F9</f>
        <v>0.0832776236211457</v>
      </c>
      <c r="J9" s="15" t="n">
        <v>0.0292</v>
      </c>
      <c r="K9" s="16" t="n">
        <f aca="false">(I9-J9)*10000</f>
        <v>540.776236211457</v>
      </c>
      <c r="L9" s="16" t="n">
        <f aca="false">AVERAGE($K$4:$K$14)</f>
        <v>614.940438855153</v>
      </c>
      <c r="M9" s="14" t="n">
        <f aca="false">G9/F9</f>
        <v>0.0832776236211457</v>
      </c>
      <c r="N9" s="2"/>
      <c r="O9" s="2"/>
      <c r="P9" s="10" t="s">
        <v>85</v>
      </c>
      <c r="Q9" s="12" t="n">
        <v>80748</v>
      </c>
    </row>
    <row r="10" customFormat="false" ht="15" hidden="false" customHeight="false" outlineLevel="0" collapsed="false">
      <c r="A10" s="10" t="s">
        <v>88</v>
      </c>
      <c r="B10" s="11" t="n">
        <v>45565</v>
      </c>
      <c r="C10" s="12" t="n">
        <v>3376980</v>
      </c>
      <c r="D10" s="12" t="n">
        <v>775561.417</v>
      </c>
      <c r="E10" s="12" t="n">
        <v>28824.954</v>
      </c>
      <c r="F10" s="13" t="n">
        <f aca="false">C10+D10+E10</f>
        <v>4181366.371</v>
      </c>
      <c r="G10" s="13" t="n">
        <f aca="false">SUM(Q9:Q12)</f>
        <v>355953</v>
      </c>
      <c r="H10" s="13" t="n">
        <v>0</v>
      </c>
      <c r="I10" s="14" t="n">
        <f aca="false">(G10+H10)/F10</f>
        <v>0.08512839306996</v>
      </c>
      <c r="J10" s="15" t="n">
        <v>0.021</v>
      </c>
      <c r="K10" s="16" t="n">
        <f aca="false">(I10-J10)*10000</f>
        <v>641.283930699599</v>
      </c>
      <c r="L10" s="16" t="n">
        <f aca="false">AVERAGE($K$4:$K$14)</f>
        <v>614.940438855153</v>
      </c>
      <c r="M10" s="14" t="n">
        <f aca="false">G10/F10</f>
        <v>0.08512839306996</v>
      </c>
      <c r="N10" s="2"/>
      <c r="O10" s="2"/>
      <c r="P10" s="10" t="s">
        <v>86</v>
      </c>
      <c r="Q10" s="12" t="n">
        <v>86852</v>
      </c>
    </row>
    <row r="11" customFormat="false" ht="15" hidden="false" customHeight="false" outlineLevel="0" collapsed="false">
      <c r="A11" s="10" t="s">
        <v>89</v>
      </c>
      <c r="B11" s="11" t="n">
        <v>45656</v>
      </c>
      <c r="C11" s="12" t="n">
        <v>3569919</v>
      </c>
      <c r="D11" s="12" t="n">
        <v>1458589.137</v>
      </c>
      <c r="E11" s="12" t="n">
        <v>33186.747</v>
      </c>
      <c r="F11" s="13" t="n">
        <f aca="false">C11+D11+E11</f>
        <v>5061694.884</v>
      </c>
      <c r="G11" s="13" t="n">
        <f aca="false">SUM(Q10:Q13)</f>
        <v>383518</v>
      </c>
      <c r="H11" s="12" t="n">
        <f aca="false">104300-9500</f>
        <v>94800</v>
      </c>
      <c r="I11" s="14" t="n">
        <f aca="false">(G11+H11)/F11</f>
        <v>0.0944975963509696</v>
      </c>
      <c r="J11" s="15" t="n">
        <v>0.0242</v>
      </c>
      <c r="K11" s="16" t="n">
        <f aca="false">(I11-J11)*10000</f>
        <v>702.975963509696</v>
      </c>
      <c r="L11" s="16" t="n">
        <f aca="false">AVERAGE($K$4:$K$14)</f>
        <v>614.940438855153</v>
      </c>
      <c r="M11" s="14" t="n">
        <f aca="false">G11/F11</f>
        <v>0.0757686918688637</v>
      </c>
      <c r="N11" s="2"/>
      <c r="O11" s="2"/>
      <c r="P11" s="10" t="s">
        <v>87</v>
      </c>
      <c r="Q11" s="12" t="n">
        <v>91661</v>
      </c>
    </row>
    <row r="12" customFormat="false" ht="15" hidden="false" customHeight="false" outlineLevel="0" collapsed="false">
      <c r="A12" s="10" t="s">
        <v>90</v>
      </c>
      <c r="B12" s="11" t="n">
        <v>45747</v>
      </c>
      <c r="C12" s="12" t="n">
        <v>4303131</v>
      </c>
      <c r="D12" s="12" t="n">
        <v>1385719.127</v>
      </c>
      <c r="E12" s="12" t="n">
        <v>33711.287</v>
      </c>
      <c r="F12" s="13" t="n">
        <f aca="false">C12+D12+E12</f>
        <v>5722561.414</v>
      </c>
      <c r="G12" s="13" t="n">
        <f aca="false">SUM(Q11:Q14)</f>
        <v>420513</v>
      </c>
      <c r="H12" s="12" t="n">
        <f aca="false">104300*8/12</f>
        <v>69533.3333333333</v>
      </c>
      <c r="I12" s="14" t="n">
        <f aca="false">(G12+H12)/F12</f>
        <v>0.0856340889823316</v>
      </c>
      <c r="J12" s="15" t="n">
        <v>0.0258</v>
      </c>
      <c r="K12" s="16" t="n">
        <f aca="false">(I12-J12)*10000</f>
        <v>598.340889823316</v>
      </c>
      <c r="L12" s="16" t="n">
        <f aca="false">AVERAGE($K$4:$K$14)</f>
        <v>614.940438855153</v>
      </c>
      <c r="M12" s="14" t="n">
        <f aca="false">G12/F12</f>
        <v>0.073483352921514</v>
      </c>
      <c r="N12" s="2"/>
      <c r="O12" s="2"/>
      <c r="P12" s="10" t="s">
        <v>88</v>
      </c>
      <c r="Q12" s="12" t="n">
        <v>96692</v>
      </c>
    </row>
    <row r="13" customFormat="false" ht="15" hidden="false" customHeight="false" outlineLevel="0" collapsed="false">
      <c r="A13" s="10" t="s">
        <v>91</v>
      </c>
      <c r="B13" s="11" t="n">
        <v>45838</v>
      </c>
      <c r="C13" s="12" t="n">
        <v>4552572</v>
      </c>
      <c r="D13" s="12" t="n">
        <v>1401455.982</v>
      </c>
      <c r="E13" s="12" t="n">
        <v>34121.625</v>
      </c>
      <c r="F13" s="13" t="n">
        <f aca="false">C13+D13+E13</f>
        <v>5988149.607</v>
      </c>
      <c r="G13" s="13" t="n">
        <f aca="false">SUM(Q12:Q15)</f>
        <v>456872</v>
      </c>
      <c r="H13" s="12" t="n">
        <f aca="false">104300*5/12</f>
        <v>43458.3333333333</v>
      </c>
      <c r="I13" s="14" t="n">
        <f aca="false">(G13+H13)/F13</f>
        <v>0.0835534123510307</v>
      </c>
      <c r="J13" s="15" t="n">
        <v>0.0261</v>
      </c>
      <c r="K13" s="16" t="n">
        <f aca="false">(I13-J13)*10000</f>
        <v>574.534123510307</v>
      </c>
      <c r="L13" s="16" t="n">
        <f aca="false">AVERAGE($K$4:$K$14)</f>
        <v>614.940438855153</v>
      </c>
      <c r="M13" s="14" t="n">
        <f aca="false">G13/F13</f>
        <v>0.0762960229761006</v>
      </c>
      <c r="N13" s="2"/>
      <c r="O13" s="2"/>
      <c r="P13" s="10" t="s">
        <v>89</v>
      </c>
      <c r="Q13" s="12" t="n">
        <v>108313</v>
      </c>
    </row>
    <row r="14" customFormat="false" ht="15" hidden="false" customHeight="false" outlineLevel="0" collapsed="false">
      <c r="A14" s="10" t="s">
        <v>92</v>
      </c>
      <c r="B14" s="11" t="n">
        <v>45930</v>
      </c>
      <c r="C14" s="12" t="n">
        <v>5694000</v>
      </c>
      <c r="D14" s="12" t="n">
        <v>1405278.597</v>
      </c>
      <c r="E14" s="12" t="n">
        <v>37016.755</v>
      </c>
      <c r="F14" s="13" t="n">
        <f aca="false">C14+D14+E14</f>
        <v>7136295.352</v>
      </c>
      <c r="G14" s="13" t="n">
        <f aca="false">SUM(Q13:Q16)</f>
        <v>493543</v>
      </c>
      <c r="H14" s="12" t="n">
        <f aca="false">104300*2/12</f>
        <v>17383.3333333333</v>
      </c>
      <c r="I14" s="14" t="n">
        <f aca="false">(G14+H14)/F14</f>
        <v>0.071595457885602</v>
      </c>
      <c r="J14" s="15" t="n">
        <v>0.0241</v>
      </c>
      <c r="K14" s="16" t="n">
        <f aca="false">(I14-J14)*10000</f>
        <v>474.95457885602</v>
      </c>
      <c r="L14" s="16" t="n">
        <f aca="false">AVERAGE($K$4:$K$14)</f>
        <v>614.940438855153</v>
      </c>
      <c r="M14" s="14" t="n">
        <f aca="false">G14/F14</f>
        <v>0.0691595534735934</v>
      </c>
      <c r="N14" s="2"/>
      <c r="O14" s="2"/>
      <c r="P14" s="10" t="s">
        <v>90</v>
      </c>
      <c r="Q14" s="12" t="n">
        <v>123847</v>
      </c>
    </row>
    <row r="15" customFormat="false" ht="15" hidden="false" customHeight="false" outlineLevel="0" collapsed="false">
      <c r="A15" s="10" t="s">
        <v>93</v>
      </c>
      <c r="B15" s="11" t="n">
        <v>46021</v>
      </c>
      <c r="C15" s="12" t="n">
        <v>6977559</v>
      </c>
      <c r="D15" s="12" t="n">
        <v>1327147.413</v>
      </c>
      <c r="E15" s="12" t="n">
        <v>41649.187</v>
      </c>
      <c r="F15" s="13" t="n">
        <f aca="false">C15+D15+E15</f>
        <v>8346355.6</v>
      </c>
      <c r="G15" s="13" t="n">
        <f aca="false">SUM(Q14:Q17)</f>
        <v>526228</v>
      </c>
      <c r="H15" s="13" t="n">
        <v>0</v>
      </c>
      <c r="I15" s="14" t="n">
        <f aca="false">(G15+H15)/F15</f>
        <v>0.0630488353503654</v>
      </c>
      <c r="J15" s="15" t="n">
        <v>0.0233</v>
      </c>
      <c r="K15" s="16" t="n">
        <f aca="false">(I15-J15)*10000</f>
        <v>397.488353503654</v>
      </c>
      <c r="L15" s="16" t="n">
        <f aca="false">AVERAGE($K$4:$K$14)</f>
        <v>614.940438855153</v>
      </c>
      <c r="M15" s="14" t="n">
        <f aca="false">G15/F15</f>
        <v>0.0630488353503654</v>
      </c>
      <c r="N15" s="2"/>
      <c r="O15" s="2"/>
      <c r="P15" s="10" t="s">
        <v>91</v>
      </c>
      <c r="Q15" s="12" t="n">
        <v>128020</v>
      </c>
    </row>
    <row r="16" customFormat="false" ht="15" hidden="false" customHeight="false" outlineLevel="0" collapsed="false">
      <c r="A16" s="10" t="s">
        <v>94</v>
      </c>
      <c r="B16" s="11" t="n">
        <v>46112</v>
      </c>
      <c r="C16" s="12" t="n">
        <v>8632980</v>
      </c>
      <c r="D16" s="12" t="n">
        <v>1232495.598</v>
      </c>
      <c r="E16" s="12" t="n">
        <v>43690.225</v>
      </c>
      <c r="F16" s="13" t="n">
        <f aca="false">C16+D16+E16</f>
        <v>9909165.823</v>
      </c>
      <c r="G16" s="13" t="n">
        <f aca="false">SUM(Q15:Q18)</f>
        <v>532643</v>
      </c>
      <c r="H16" s="13" t="n">
        <v>0</v>
      </c>
      <c r="I16" s="14" t="n">
        <f aca="false">(G16+H16)/F16</f>
        <v>0.0537525569270111</v>
      </c>
      <c r="J16" s="15" t="n">
        <v>0.0218</v>
      </c>
      <c r="K16" s="16" t="n">
        <f aca="false">(I16-J16)*10000</f>
        <v>319.525569270111</v>
      </c>
      <c r="L16" s="16" t="n">
        <f aca="false">AVERAGE($K$4:$K$14)</f>
        <v>614.940438855153</v>
      </c>
      <c r="M16" s="14" t="n">
        <f aca="false">G16/F16</f>
        <v>0.0537525569270111</v>
      </c>
      <c r="N16" s="2"/>
      <c r="O16" s="2"/>
      <c r="P16" s="10" t="s">
        <v>92</v>
      </c>
      <c r="Q16" s="12" t="n">
        <v>133363</v>
      </c>
    </row>
    <row r="17" customFormat="false" ht="15" hidden="false" customHeight="false" outlineLevel="0" collapsed="false">
      <c r="A17" s="10" t="s">
        <v>95</v>
      </c>
      <c r="B17" s="11" t="n">
        <v>46203</v>
      </c>
      <c r="C17" s="12" t="n">
        <v>8322000</v>
      </c>
      <c r="D17" s="12" t="n">
        <v>1311568.558</v>
      </c>
      <c r="E17" s="12" t="n">
        <v>50841.428</v>
      </c>
      <c r="F17" s="13" t="n">
        <f aca="false">C17+D17+E17</f>
        <v>9684409.986</v>
      </c>
      <c r="G17" s="13" t="n">
        <f aca="false">SUM(Q16:Q19)</f>
        <v>544935</v>
      </c>
      <c r="H17" s="13" t="n">
        <v>0</v>
      </c>
      <c r="I17" s="14" t="n">
        <f aca="false">(G17+H17)/F17</f>
        <v>0.0562693030125501</v>
      </c>
      <c r="J17" s="15" t="n">
        <v>0.0247</v>
      </c>
      <c r="K17" s="16" t="n">
        <f aca="false">(I17-J17)*10000</f>
        <v>315.693030125501</v>
      </c>
      <c r="L17" s="16" t="n">
        <f aca="false">AVERAGE($K$4:$K$14)</f>
        <v>614.940438855153</v>
      </c>
      <c r="M17" s="14" t="n">
        <f aca="false">G17/F17</f>
        <v>0.0562693030125501</v>
      </c>
      <c r="N17" s="2"/>
      <c r="O17" s="2"/>
      <c r="P17" s="10" t="s">
        <v>93</v>
      </c>
      <c r="Q17" s="12" t="n">
        <v>140998</v>
      </c>
    </row>
    <row r="18" customFormat="false" ht="15" hidden="false" customHeight="false" outlineLevel="0" collapsed="false">
      <c r="A18" s="10" t="s">
        <v>96</v>
      </c>
      <c r="B18" s="11" t="n">
        <v>46295</v>
      </c>
      <c r="C18" s="12" t="n">
        <v>7785450</v>
      </c>
      <c r="D18" s="12" t="n">
        <v>1311568.558</v>
      </c>
      <c r="E18" s="12" t="n">
        <v>50841.428</v>
      </c>
      <c r="F18" s="13" t="n">
        <f aca="false">C18+D18+E18</f>
        <v>9147859.986</v>
      </c>
      <c r="G18" s="13" t="n">
        <f aca="false">SUM(Q16:Q19)</f>
        <v>544935</v>
      </c>
      <c r="H18" s="13" t="n">
        <v>0</v>
      </c>
      <c r="I18" s="14" t="n">
        <f aca="false">(G18+H18)/F18</f>
        <v>0.0595696699374472</v>
      </c>
      <c r="J18" s="15" t="n">
        <v>0.0261</v>
      </c>
      <c r="K18" s="16" t="n">
        <f aca="false">(I18-J18)*10000</f>
        <v>334.696699374472</v>
      </c>
      <c r="L18" s="16" t="n">
        <f aca="false">AVERAGE($K$4:$K$14)</f>
        <v>614.940438855153</v>
      </c>
      <c r="M18" s="14" t="n">
        <f aca="false">G18/F18</f>
        <v>0.0595696699374472</v>
      </c>
      <c r="N18" s="2"/>
      <c r="O18" s="2"/>
      <c r="P18" s="10" t="s">
        <v>94</v>
      </c>
      <c r="Q18" s="12" t="n">
        <v>130262</v>
      </c>
    </row>
    <row r="19" customFormat="false" ht="15" hidden="false" customHeight="false" outlineLevel="0" collapsed="false">
      <c r="A19" s="2"/>
      <c r="B19" s="2"/>
      <c r="C19" s="2"/>
      <c r="D19" s="2"/>
      <c r="E19" s="2"/>
      <c r="F19" s="2"/>
      <c r="G19" s="2"/>
      <c r="H19" s="2"/>
      <c r="I19" s="2"/>
      <c r="J19" s="2"/>
      <c r="K19" s="2"/>
      <c r="L19" s="2"/>
      <c r="M19" s="2"/>
      <c r="N19" s="2"/>
      <c r="O19" s="2"/>
      <c r="P19" s="10" t="s">
        <v>95</v>
      </c>
      <c r="Q19" s="12" t="n">
        <v>140312</v>
      </c>
    </row>
    <row r="20" customFormat="false" ht="15" hidden="false" customHeight="false" outlineLevel="0" collapsed="false">
      <c r="A20" s="17" t="s">
        <v>97</v>
      </c>
      <c r="B20" s="2"/>
      <c r="C20" s="2"/>
      <c r="D20" s="2"/>
      <c r="E20" s="2"/>
      <c r="F20" s="2"/>
      <c r="G20" s="2"/>
      <c r="H20" s="2"/>
      <c r="I20" s="2"/>
      <c r="J20" s="2"/>
      <c r="K20" s="2"/>
      <c r="L20" s="2"/>
      <c r="M20" s="2"/>
      <c r="N20" s="2"/>
      <c r="O20" s="2"/>
      <c r="P20" s="2"/>
      <c r="Q20" s="2"/>
    </row>
    <row r="21" customFormat="false" ht="15" hidden="false" customHeight="false" outlineLevel="0" collapsed="false">
      <c r="A21" s="10" t="s">
        <v>98</v>
      </c>
      <c r="B21" s="2"/>
      <c r="C21" s="18" t="n">
        <f aca="false">J18</f>
        <v>0.0261</v>
      </c>
      <c r="D21" s="2"/>
      <c r="E21" s="2"/>
      <c r="F21" s="2"/>
      <c r="G21" s="2"/>
      <c r="H21" s="2"/>
      <c r="I21" s="2"/>
      <c r="J21" s="2"/>
      <c r="K21" s="2"/>
      <c r="L21" s="2"/>
      <c r="M21" s="2"/>
      <c r="N21" s="2"/>
      <c r="O21" s="2"/>
      <c r="P21" s="2"/>
      <c r="Q21" s="2"/>
    </row>
    <row r="22" customFormat="false" ht="15" hidden="false" customHeight="false" outlineLevel="0" collapsed="false">
      <c r="A22" s="10" t="s">
        <v>99</v>
      </c>
      <c r="B22" s="2"/>
      <c r="C22" s="19" t="n">
        <f aca="false">L18</f>
        <v>614.940438855153</v>
      </c>
      <c r="D22" s="2"/>
      <c r="E22" s="2"/>
      <c r="F22" s="2"/>
      <c r="G22" s="2"/>
      <c r="H22" s="2"/>
      <c r="I22" s="2"/>
      <c r="J22" s="2"/>
      <c r="K22" s="2"/>
      <c r="L22" s="2"/>
      <c r="M22" s="2"/>
      <c r="N22" s="2"/>
      <c r="O22" s="2"/>
      <c r="P22" s="2"/>
      <c r="Q22" s="2"/>
    </row>
    <row r="23" customFormat="false" ht="15" hidden="false" customHeight="false" outlineLevel="0" collapsed="false">
      <c r="A23" s="10" t="s">
        <v>100</v>
      </c>
      <c r="B23" s="2"/>
      <c r="C23" s="18" t="n">
        <f aca="false">J18+L18/10000</f>
        <v>0.0875940438855153</v>
      </c>
      <c r="D23" s="2"/>
      <c r="E23" s="2"/>
      <c r="F23" s="2"/>
      <c r="G23" s="2"/>
      <c r="H23" s="2"/>
      <c r="I23" s="2"/>
      <c r="J23" s="2"/>
      <c r="K23" s="2"/>
      <c r="L23" s="2"/>
      <c r="M23" s="2"/>
      <c r="N23" s="2"/>
      <c r="O23" s="2"/>
      <c r="P23" s="2"/>
      <c r="Q23" s="2"/>
    </row>
    <row r="24" customFormat="false" ht="15" hidden="false" customHeight="false" outlineLevel="0" collapsed="false">
      <c r="A24" s="10" t="s">
        <v>101</v>
      </c>
      <c r="B24" s="2"/>
      <c r="C24" s="13" t="n">
        <f aca="false">G18/C23</f>
        <v>6221142.1670659</v>
      </c>
      <c r="D24" s="2"/>
      <c r="E24" s="2"/>
      <c r="F24" s="2"/>
      <c r="G24" s="2"/>
      <c r="H24" s="2"/>
      <c r="I24" s="2"/>
      <c r="J24" s="2"/>
      <c r="K24" s="2"/>
      <c r="L24" s="2"/>
      <c r="M24" s="2"/>
      <c r="N24" s="2"/>
      <c r="O24" s="2"/>
      <c r="P24" s="2"/>
      <c r="Q24" s="2"/>
    </row>
    <row r="25" customFormat="false" ht="15" hidden="false" customHeight="false" outlineLevel="0" collapsed="false">
      <c r="A25" s="10" t="s">
        <v>102</v>
      </c>
      <c r="B25" s="2"/>
      <c r="C25" s="13" t="n">
        <f aca="false">-(D18+E18)</f>
        <v>-1362409.986</v>
      </c>
      <c r="D25" s="2"/>
      <c r="E25" s="2"/>
      <c r="F25" s="2"/>
      <c r="G25" s="2"/>
      <c r="H25" s="2"/>
      <c r="I25" s="2"/>
      <c r="J25" s="2"/>
      <c r="K25" s="2"/>
      <c r="L25" s="2"/>
      <c r="M25" s="2"/>
      <c r="N25" s="2"/>
      <c r="O25" s="2"/>
      <c r="P25" s="2"/>
      <c r="Q25" s="2"/>
    </row>
    <row r="26" customFormat="false" ht="15" hidden="false" customHeight="false" outlineLevel="0" collapsed="false">
      <c r="A26" s="10" t="s">
        <v>103</v>
      </c>
      <c r="B26" s="2"/>
      <c r="C26" s="13" t="n">
        <f aca="false">C24+C25</f>
        <v>4858732.1810659</v>
      </c>
      <c r="D26" s="2"/>
      <c r="E26" s="2"/>
      <c r="F26" s="2"/>
      <c r="G26" s="2"/>
      <c r="H26" s="2"/>
      <c r="I26" s="2"/>
      <c r="J26" s="2"/>
      <c r="K26" s="2"/>
      <c r="L26" s="2"/>
      <c r="M26" s="2"/>
      <c r="N26" s="2"/>
      <c r="O26" s="2"/>
      <c r="P26" s="2"/>
      <c r="Q26" s="2"/>
    </row>
    <row r="27" customFormat="false" ht="15" hidden="false" customHeight="false" outlineLevel="0" collapsed="false">
      <c r="A27" s="10" t="s">
        <v>104</v>
      </c>
      <c r="B27" s="2"/>
      <c r="C27" s="12" t="n">
        <v>2190</v>
      </c>
      <c r="D27" s="2"/>
      <c r="E27" s="2"/>
      <c r="F27" s="2"/>
      <c r="G27" s="2"/>
      <c r="H27" s="2"/>
      <c r="I27" s="2"/>
      <c r="J27" s="2"/>
      <c r="K27" s="2"/>
      <c r="L27" s="2"/>
      <c r="M27" s="2"/>
      <c r="N27" s="2"/>
      <c r="O27" s="2"/>
      <c r="P27" s="2"/>
      <c r="Q27" s="2"/>
    </row>
    <row r="28" customFormat="false" ht="15" hidden="false" customHeight="false" outlineLevel="0" collapsed="false">
      <c r="A28" s="10" t="s">
        <v>105</v>
      </c>
      <c r="B28" s="2"/>
      <c r="C28" s="13" t="n">
        <f aca="false">C26/C27</f>
        <v>2218.59916943648</v>
      </c>
      <c r="D28" s="2"/>
      <c r="E28" s="2"/>
      <c r="F28" s="2"/>
      <c r="G28" s="2"/>
      <c r="H28" s="2"/>
      <c r="I28" s="2"/>
      <c r="J28" s="2"/>
      <c r="K28" s="2"/>
      <c r="L28" s="2"/>
      <c r="M28" s="2"/>
      <c r="N28" s="2"/>
      <c r="O28" s="2"/>
      <c r="P28" s="2"/>
      <c r="Q28" s="2"/>
    </row>
    <row r="29" customFormat="false" ht="15" hidden="false" customHeight="false" outlineLevel="0" collapsed="false">
      <c r="A29" s="2"/>
      <c r="B29" s="2"/>
      <c r="C29" s="2"/>
      <c r="D29" s="2"/>
      <c r="E29" s="2"/>
      <c r="F29" s="2"/>
      <c r="G29" s="2"/>
      <c r="H29" s="2"/>
      <c r="I29" s="2"/>
      <c r="J29" s="2"/>
      <c r="K29" s="2"/>
      <c r="L29" s="2"/>
      <c r="M29" s="2"/>
      <c r="N29" s="2"/>
      <c r="O29" s="2"/>
      <c r="P29" s="2"/>
      <c r="Q29" s="2"/>
    </row>
    <row r="30" customFormat="false" ht="15" hidden="false" customHeight="false" outlineLevel="0" collapsed="false">
      <c r="A30" s="20" t="s">
        <v>106</v>
      </c>
      <c r="B30" s="2"/>
      <c r="C30" s="2"/>
      <c r="D30" s="2"/>
      <c r="E30" s="2"/>
      <c r="F30" s="2"/>
      <c r="G30" s="2"/>
      <c r="H30" s="2"/>
      <c r="I30" s="2"/>
      <c r="J30" s="2"/>
      <c r="K30" s="2"/>
      <c r="L30" s="2"/>
      <c r="M30" s="2"/>
      <c r="N30" s="2"/>
      <c r="O30" s="2"/>
      <c r="P30" s="2"/>
      <c r="Q30" s="2"/>
    </row>
    <row r="31" customFormat="false" ht="15" hidden="false" customHeight="false" outlineLevel="0" collapsed="false">
      <c r="A31" s="20" t="s">
        <v>107</v>
      </c>
      <c r="B31" s="2"/>
      <c r="C31" s="2"/>
      <c r="D31" s="2"/>
      <c r="E31" s="2"/>
      <c r="F31" s="2"/>
      <c r="G31" s="2"/>
      <c r="H31" s="2"/>
      <c r="I31" s="2"/>
      <c r="J31" s="2"/>
      <c r="K31" s="2"/>
      <c r="L31" s="2"/>
      <c r="M31" s="2"/>
      <c r="N31" s="2"/>
      <c r="O31" s="2"/>
      <c r="P31" s="2"/>
      <c r="Q31" s="2"/>
    </row>
    <row r="32" customFormat="false" ht="15" hidden="false" customHeight="false" outlineLevel="0" collapsed="false">
      <c r="A32" s="20" t="s">
        <v>108</v>
      </c>
      <c r="B32" s="2"/>
      <c r="C32" s="2"/>
      <c r="D32" s="2"/>
      <c r="E32" s="2"/>
      <c r="F32" s="2"/>
      <c r="G32" s="2"/>
      <c r="H32" s="2"/>
      <c r="I32" s="2"/>
      <c r="J32" s="2"/>
      <c r="K32" s="2"/>
      <c r="L32" s="2"/>
      <c r="M32" s="2"/>
      <c r="N32" s="2"/>
      <c r="O32" s="2"/>
      <c r="P32" s="2"/>
      <c r="Q32" s="2"/>
    </row>
    <row r="33" customFormat="false" ht="15" hidden="false" customHeight="false" outlineLevel="0" collapsed="false">
      <c r="A33" s="20" t="s">
        <v>109</v>
      </c>
      <c r="B33" s="2"/>
      <c r="C33" s="2"/>
      <c r="D33" s="2"/>
      <c r="E33" s="2"/>
      <c r="F33" s="2"/>
      <c r="G33" s="2"/>
      <c r="H33" s="2"/>
      <c r="I33" s="2"/>
      <c r="J33" s="2"/>
      <c r="K33" s="2"/>
      <c r="L33" s="2"/>
      <c r="M33" s="2"/>
      <c r="N33" s="2"/>
      <c r="O33" s="2"/>
      <c r="P33" s="2"/>
      <c r="Q3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1"/>
    <col collapsed="false" customWidth="true" hidden="false" outlineLevel="0" max="5" min="4" style="0" width="14"/>
    <col collapsed="false" customWidth="true" hidden="false" outlineLevel="0" max="6" min="6" style="0" width="3"/>
    <col collapsed="false" customWidth="true" hidden="false" outlineLevel="0" max="7" min="7" style="0" width="13"/>
    <col collapsed="false" customWidth="true" hidden="false" outlineLevel="0" max="8" min="8" style="0" width="12"/>
    <col collapsed="false" customWidth="true" hidden="false" outlineLevel="0" max="10" min="9" style="0" width="14"/>
  </cols>
  <sheetData>
    <row r="1" customFormat="false" ht="17.35" hidden="false" customHeight="false" outlineLevel="0" collapsed="false">
      <c r="A1" s="1" t="s">
        <v>110</v>
      </c>
      <c r="B1" s="2"/>
      <c r="C1" s="2"/>
      <c r="D1" s="2"/>
      <c r="E1" s="2"/>
      <c r="F1" s="2"/>
      <c r="G1" s="2"/>
      <c r="H1" s="2"/>
      <c r="I1" s="2"/>
      <c r="J1" s="2"/>
    </row>
    <row r="2" customFormat="false" ht="15" hidden="false" customHeight="false" outlineLevel="0" collapsed="false">
      <c r="A2" s="2"/>
      <c r="B2" s="2"/>
      <c r="C2" s="2"/>
      <c r="D2" s="2"/>
      <c r="E2" s="2"/>
      <c r="F2" s="2"/>
      <c r="G2" s="2"/>
      <c r="H2" s="2"/>
      <c r="I2" s="2"/>
      <c r="J2" s="2"/>
    </row>
    <row r="3" customFormat="false" ht="30" hidden="false" customHeight="true" outlineLevel="0" collapsed="false">
      <c r="A3" s="8" t="s">
        <v>111</v>
      </c>
      <c r="B3" s="8" t="s">
        <v>112</v>
      </c>
      <c r="C3" s="8" t="s">
        <v>113</v>
      </c>
      <c r="D3" s="8" t="s">
        <v>114</v>
      </c>
      <c r="E3" s="8" t="s">
        <v>115</v>
      </c>
      <c r="F3" s="8"/>
      <c r="G3" s="8" t="s">
        <v>116</v>
      </c>
      <c r="H3" s="8" t="s">
        <v>117</v>
      </c>
      <c r="I3" s="8" t="s">
        <v>118</v>
      </c>
      <c r="J3" s="8" t="s">
        <v>119</v>
      </c>
    </row>
    <row r="4" customFormat="false" ht="15" hidden="false" customHeight="false" outlineLevel="0" collapsed="false">
      <c r="A4" s="21" t="n">
        <v>44470</v>
      </c>
      <c r="B4" s="22" t="n">
        <v>853.318</v>
      </c>
      <c r="C4" s="22" t="n">
        <v>4326.72</v>
      </c>
      <c r="D4" s="22" t="n">
        <v>793.06</v>
      </c>
      <c r="E4" s="22" t="n">
        <v>930</v>
      </c>
      <c r="F4" s="2"/>
      <c r="G4" s="23" t="n">
        <f aca="false">IF(B4="","",B4/B$4*100)</f>
        <v>100</v>
      </c>
      <c r="H4" s="23" t="n">
        <f aca="false">IF(C4="","",C4/C$4*100)</f>
        <v>100</v>
      </c>
      <c r="I4" s="23" t="n">
        <f aca="false">IF(D4="","",D4/D$4*100)</f>
        <v>100</v>
      </c>
      <c r="J4" s="23" t="n">
        <f aca="false">IF(E4="","",E4/E$4*100)</f>
        <v>100</v>
      </c>
    </row>
    <row r="5" customFormat="false" ht="15" hidden="false" customHeight="false" outlineLevel="0" collapsed="false">
      <c r="A5" s="21" t="n">
        <v>44477</v>
      </c>
      <c r="B5" s="22" t="n">
        <v>732.891</v>
      </c>
      <c r="C5" s="22" t="n">
        <v>4145.62</v>
      </c>
      <c r="D5" s="22" t="n">
        <v>687.11</v>
      </c>
      <c r="E5" s="22" t="n">
        <v>880</v>
      </c>
      <c r="F5" s="2"/>
      <c r="G5" s="23" t="n">
        <f aca="false">IF(B5="","",B5/B$4*100)</f>
        <v>85.887207348257</v>
      </c>
      <c r="H5" s="23" t="n">
        <f aca="false">IF(C5="","",C5/C$4*100)</f>
        <v>95.8143813327417</v>
      </c>
      <c r="I5" s="23" t="n">
        <f aca="false">IF(D5="","",D5/D$4*100)</f>
        <v>86.6403550803218</v>
      </c>
      <c r="J5" s="23" t="n">
        <f aca="false">IF(E5="","",E5/E$4*100)</f>
        <v>94.6236559139785</v>
      </c>
    </row>
    <row r="6" customFormat="false" ht="15" hidden="false" customHeight="false" outlineLevel="0" collapsed="false">
      <c r="A6" s="21" t="n">
        <v>44484</v>
      </c>
      <c r="B6" s="22" t="n">
        <v>695.135</v>
      </c>
      <c r="C6" s="22" t="n">
        <v>3982.18</v>
      </c>
      <c r="D6" s="22" t="n">
        <v>639.17</v>
      </c>
      <c r="E6" s="22" t="n">
        <v>828</v>
      </c>
      <c r="F6" s="2"/>
      <c r="G6" s="23" t="n">
        <f aca="false">IF(B6="","",B6/B$4*100)</f>
        <v>81.4625965935325</v>
      </c>
      <c r="H6" s="23" t="n">
        <f aca="false">IF(C6="","",C6/C$4*100)</f>
        <v>92.0369240440796</v>
      </c>
      <c r="I6" s="23" t="n">
        <f aca="false">IF(D6="","",D6/D$4*100)</f>
        <v>80.5954152270951</v>
      </c>
      <c r="J6" s="23" t="n">
        <f aca="false">IF(E6="","",E6/E$4*100)</f>
        <v>89.0322580645161</v>
      </c>
    </row>
    <row r="7" customFormat="false" ht="15" hidden="false" customHeight="false" outlineLevel="0" collapsed="false">
      <c r="A7" s="21" t="n">
        <v>44491</v>
      </c>
      <c r="B7" s="22" t="n">
        <v>759.683</v>
      </c>
      <c r="C7" s="22" t="n">
        <v>4084.35</v>
      </c>
      <c r="D7" s="22" t="n">
        <v>686.51</v>
      </c>
      <c r="E7" s="22" t="n">
        <v>772</v>
      </c>
      <c r="F7" s="2"/>
      <c r="G7" s="23" t="n">
        <f aca="false">IF(B7="","",B7/B$4*100)</f>
        <v>89.0269512655306</v>
      </c>
      <c r="H7" s="23" t="n">
        <f aca="false">IF(C7="","",C7/C$4*100)</f>
        <v>94.3982970934103</v>
      </c>
      <c r="I7" s="23" t="n">
        <f aca="false">IF(D7="","",D7/D$4*100)</f>
        <v>86.5646987617583</v>
      </c>
      <c r="J7" s="23" t="n">
        <f aca="false">IF(E7="","",E7/E$4*100)</f>
        <v>83.010752688172</v>
      </c>
    </row>
    <row r="8" customFormat="false" ht="15" hidden="false" customHeight="false" outlineLevel="0" collapsed="false">
      <c r="A8" s="21" t="n">
        <v>44498</v>
      </c>
      <c r="B8" s="22" t="n">
        <v>806.208</v>
      </c>
      <c r="C8" s="22" t="n">
        <v>4092.2</v>
      </c>
      <c r="D8" s="22" t="n">
        <v>792.06</v>
      </c>
      <c r="E8" s="22" t="n">
        <v>787.33</v>
      </c>
      <c r="F8" s="2"/>
      <c r="G8" s="23" t="n">
        <f aca="false">IF(B8="","",B8/B$4*100)</f>
        <v>94.4791976730832</v>
      </c>
      <c r="H8" s="23" t="n">
        <f aca="false">IF(C8="","",C8/C$4*100)</f>
        <v>94.5797278307817</v>
      </c>
      <c r="I8" s="23" t="n">
        <f aca="false">IF(D8="","",D8/D$4*100)</f>
        <v>99.8739061357274</v>
      </c>
      <c r="J8" s="23" t="n">
        <f aca="false">IF(E8="","",E8/E$4*100)</f>
        <v>84.6591397849462</v>
      </c>
    </row>
    <row r="9" customFormat="false" ht="15" hidden="false" customHeight="false" outlineLevel="0" collapsed="false">
      <c r="A9" s="21" t="n">
        <v>44505</v>
      </c>
      <c r="B9" s="22" t="n">
        <v>888.78</v>
      </c>
      <c r="C9" s="22" t="n">
        <v>4388.19</v>
      </c>
      <c r="D9" s="22" t="n">
        <v>847.3</v>
      </c>
      <c r="E9" s="22" t="n">
        <v>838</v>
      </c>
      <c r="F9" s="2"/>
      <c r="G9" s="23" t="n">
        <f aca="false">IF(B9="","",B9/B$4*100)</f>
        <v>104.155777799132</v>
      </c>
      <c r="H9" s="23" t="n">
        <f aca="false">IF(C9="","",C9/C$4*100)</f>
        <v>101.4207066785</v>
      </c>
      <c r="I9" s="23" t="n">
        <f aca="false">IF(D9="","",D9/D$4*100)</f>
        <v>106.839331198144</v>
      </c>
      <c r="J9" s="23" t="n">
        <f aca="false">IF(E9="","",E9/E$4*100)</f>
        <v>90.1075268817204</v>
      </c>
    </row>
    <row r="10" customFormat="false" ht="15" hidden="false" customHeight="false" outlineLevel="0" collapsed="false">
      <c r="A10" s="21" t="n">
        <v>44512</v>
      </c>
      <c r="B10" s="22" t="n">
        <v>932.802</v>
      </c>
      <c r="C10" s="22" t="n">
        <v>4485.97</v>
      </c>
      <c r="D10" s="22" t="n">
        <v>865.9</v>
      </c>
      <c r="E10" s="22" t="n">
        <v>845</v>
      </c>
      <c r="F10" s="2"/>
      <c r="G10" s="23" t="n">
        <f aca="false">IF(B10="","",B10/B$4*100)</f>
        <v>109.314698623491</v>
      </c>
      <c r="H10" s="23" t="n">
        <f aca="false">IF(C10="","",C10/C$4*100)</f>
        <v>103.680617188078</v>
      </c>
      <c r="I10" s="23" t="n">
        <f aca="false">IF(D10="","",D10/D$4*100)</f>
        <v>109.184677073614</v>
      </c>
      <c r="J10" s="23" t="n">
        <f aca="false">IF(E10="","",E10/E$4*100)</f>
        <v>90.8602150537634</v>
      </c>
    </row>
    <row r="11" customFormat="false" ht="15" hidden="false" customHeight="false" outlineLevel="0" collapsed="false">
      <c r="A11" s="21" t="n">
        <v>44519</v>
      </c>
      <c r="B11" s="22" t="n">
        <v>888.641</v>
      </c>
      <c r="C11" s="22" t="n">
        <v>4358.48</v>
      </c>
      <c r="D11" s="22" t="n">
        <v>808.83</v>
      </c>
      <c r="E11" s="22" t="n">
        <v>835</v>
      </c>
      <c r="F11" s="2"/>
      <c r="G11" s="23" t="n">
        <f aca="false">IF(B11="","",B11/B$4*100)</f>
        <v>104.139488443933</v>
      </c>
      <c r="H11" s="23" t="n">
        <f aca="false">IF(C11="","",C11/C$4*100)</f>
        <v>100.73404333999</v>
      </c>
      <c r="I11" s="23" t="n">
        <f aca="false">IF(D11="","",D11/D$4*100)</f>
        <v>101.988500239578</v>
      </c>
      <c r="J11" s="23" t="n">
        <f aca="false">IF(E11="","",E11/E$4*100)</f>
        <v>89.7849462365591</v>
      </c>
    </row>
    <row r="12" customFormat="false" ht="15" hidden="false" customHeight="false" outlineLevel="0" collapsed="false">
      <c r="A12" s="21" t="n">
        <v>44526</v>
      </c>
      <c r="B12" s="22" t="n">
        <v>953.328</v>
      </c>
      <c r="C12" s="22" t="n">
        <v>4579.3</v>
      </c>
      <c r="D12" s="22" t="n">
        <v>863.08</v>
      </c>
      <c r="E12" s="22" t="n">
        <v>891</v>
      </c>
      <c r="F12" s="2"/>
      <c r="G12" s="23" t="n">
        <f aca="false">IF(B12="","",B12/B$4*100)</f>
        <v>111.72013247113</v>
      </c>
      <c r="H12" s="23" t="n">
        <f aca="false">IF(C12="","",C12/C$4*100)</f>
        <v>105.837678426152</v>
      </c>
      <c r="I12" s="23" t="n">
        <f aca="false">IF(D12="","",D12/D$4*100)</f>
        <v>108.829092376365</v>
      </c>
      <c r="J12" s="23" t="n">
        <f aca="false">IF(E12="","",E12/E$4*100)</f>
        <v>95.8064516129032</v>
      </c>
    </row>
    <row r="13" customFormat="false" ht="15" hidden="false" customHeight="false" outlineLevel="0" collapsed="false">
      <c r="A13" s="21" t="n">
        <v>44533</v>
      </c>
      <c r="B13" s="22" t="n">
        <v>813.377</v>
      </c>
      <c r="C13" s="22" t="n">
        <v>4369.4</v>
      </c>
      <c r="D13" s="22" t="n">
        <v>768.39</v>
      </c>
      <c r="E13" s="22" t="n">
        <v>835</v>
      </c>
      <c r="F13" s="2"/>
      <c r="G13" s="23" t="n">
        <f aca="false">IF(B13="","",B13/B$4*100)</f>
        <v>95.3193299567102</v>
      </c>
      <c r="H13" s="23" t="n">
        <f aca="false">IF(C13="","",C13/C$4*100)</f>
        <v>100.986428518601</v>
      </c>
      <c r="I13" s="23" t="n">
        <f aca="false">IF(D13="","",D13/D$4*100)</f>
        <v>96.8892643683958</v>
      </c>
      <c r="J13" s="23" t="n">
        <f aca="false">IF(E13="","",E13/E$4*100)</f>
        <v>89.7849462365591</v>
      </c>
    </row>
    <row r="14" customFormat="false" ht="15" hidden="false" customHeight="false" outlineLevel="0" collapsed="false">
      <c r="A14" s="21" t="n">
        <v>44540</v>
      </c>
      <c r="B14" s="22" t="n">
        <v>864.668</v>
      </c>
      <c r="C14" s="22" t="n">
        <v>4405.72</v>
      </c>
      <c r="D14" s="22" t="n">
        <v>792.06</v>
      </c>
      <c r="E14" s="22" t="n">
        <v>895</v>
      </c>
      <c r="F14" s="2"/>
      <c r="G14" s="23" t="n">
        <f aca="false">IF(B14="","",B14/B$4*100)</f>
        <v>101.330102025271</v>
      </c>
      <c r="H14" s="23" t="n">
        <f aca="false">IF(C14="","",C14/C$4*100)</f>
        <v>101.825863471637</v>
      </c>
      <c r="I14" s="23" t="n">
        <f aca="false">IF(D14="","",D14/D$4*100)</f>
        <v>99.8739061357274</v>
      </c>
      <c r="J14" s="23" t="n">
        <f aca="false">IF(E14="","",E14/E$4*100)</f>
        <v>96.2365591397849</v>
      </c>
    </row>
    <row r="15" customFormat="false" ht="15" hidden="false" customHeight="false" outlineLevel="0" collapsed="false">
      <c r="A15" s="21" t="n">
        <v>44547</v>
      </c>
      <c r="B15" s="22" t="n">
        <v>795.433</v>
      </c>
      <c r="C15" s="22" t="n">
        <v>4357.78</v>
      </c>
      <c r="D15" s="22" t="n">
        <v>759.51</v>
      </c>
      <c r="E15" s="22" t="n">
        <v>900</v>
      </c>
      <c r="F15" s="2"/>
      <c r="G15" s="23" t="n">
        <f aca="false">IF(B15="","",B15/B$4*100)</f>
        <v>93.2164796711191</v>
      </c>
      <c r="H15" s="23" t="n">
        <f aca="false">IF(C15="","",C15/C$4*100)</f>
        <v>100.717864802899</v>
      </c>
      <c r="I15" s="23" t="n">
        <f aca="false">IF(D15="","",D15/D$4*100)</f>
        <v>95.7695508536555</v>
      </c>
      <c r="J15" s="23" t="n">
        <f aca="false">IF(E15="","",E15/E$4*100)</f>
        <v>96.7741935483871</v>
      </c>
    </row>
    <row r="16" customFormat="false" ht="15" hidden="false" customHeight="false" outlineLevel="0" collapsed="false">
      <c r="A16" s="21" t="n">
        <v>44554</v>
      </c>
      <c r="B16" s="22" t="n">
        <v>878.849</v>
      </c>
      <c r="C16" s="22" t="n">
        <v>4299.09</v>
      </c>
      <c r="D16" s="22" t="n">
        <v>860.12</v>
      </c>
      <c r="E16" s="22" t="n">
        <v>982.44</v>
      </c>
      <c r="F16" s="2"/>
      <c r="G16" s="23" t="n">
        <f aca="false">IF(B16="","",B16/B$4*100)</f>
        <v>102.991967824422</v>
      </c>
      <c r="H16" s="23" t="n">
        <f aca="false">IF(C16="","",C16/C$4*100)</f>
        <v>99.361410028844</v>
      </c>
      <c r="I16" s="23" t="n">
        <f aca="false">IF(D16="","",D16/D$4*100)</f>
        <v>108.455854538118</v>
      </c>
      <c r="J16" s="23" t="n">
        <f aca="false">IF(E16="","",E16/E$4*100)</f>
        <v>105.638709677419</v>
      </c>
    </row>
    <row r="17" customFormat="false" ht="15" hidden="false" customHeight="false" outlineLevel="0" collapsed="false">
      <c r="A17" s="21" t="n">
        <v>44561</v>
      </c>
      <c r="B17" s="22" t="n">
        <v>932.484</v>
      </c>
      <c r="C17" s="22" t="n">
        <v>4308.38</v>
      </c>
      <c r="D17" s="22" t="n">
        <v>927.1</v>
      </c>
      <c r="E17" s="22" t="n">
        <v>1011</v>
      </c>
      <c r="F17" s="2"/>
      <c r="G17" s="23" t="n">
        <f aca="false">IF(B17="","",B17/B$4*100)</f>
        <v>109.277432328862</v>
      </c>
      <c r="H17" s="23" t="n">
        <f aca="false">IF(C17="","",C17/C$4*100)</f>
        <v>99.5761223282302</v>
      </c>
      <c r="I17" s="23" t="n">
        <f aca="false">IF(D17="","",D17/D$4*100)</f>
        <v>116.901621567095</v>
      </c>
      <c r="J17" s="23" t="n">
        <f aca="false">IF(E17="","",E17/E$4*100)</f>
        <v>108.709677419355</v>
      </c>
    </row>
    <row r="18" customFormat="false" ht="15" hidden="false" customHeight="false" outlineLevel="0" collapsed="false">
      <c r="A18" s="21" t="n">
        <v>44568</v>
      </c>
      <c r="B18" s="22" t="n">
        <v>822.196</v>
      </c>
      <c r="C18" s="22" t="n">
        <v>4296.35</v>
      </c>
      <c r="D18" s="22" t="n">
        <v>815.74</v>
      </c>
      <c r="E18" s="22" t="n">
        <v>920</v>
      </c>
      <c r="F18" s="2"/>
      <c r="G18" s="23" t="n">
        <f aca="false">IF(B18="","",B18/B$4*100)</f>
        <v>96.3528250898258</v>
      </c>
      <c r="H18" s="23" t="n">
        <f aca="false">IF(C18="","",C18/C$4*100)</f>
        <v>99.2980826122328</v>
      </c>
      <c r="I18" s="23" t="n">
        <f aca="false">IF(D18="","",D18/D$4*100)</f>
        <v>102.859808841702</v>
      </c>
      <c r="J18" s="23" t="n">
        <f aca="false">IF(E18="","",E18/E$4*100)</f>
        <v>98.9247311827957</v>
      </c>
    </row>
    <row r="19" customFormat="false" ht="15" hidden="false" customHeight="false" outlineLevel="0" collapsed="false">
      <c r="A19" s="21" t="n">
        <v>44575</v>
      </c>
      <c r="B19" s="22" t="n">
        <v>865.94</v>
      </c>
      <c r="C19" s="22" t="n">
        <v>4486.57</v>
      </c>
      <c r="D19" s="22" t="n">
        <v>834.62</v>
      </c>
      <c r="E19" s="22" t="n">
        <v>918.84</v>
      </c>
      <c r="F19" s="2"/>
      <c r="G19" s="23" t="n">
        <f aca="false">IF(B19="","",B19/B$4*100)</f>
        <v>101.479167203786</v>
      </c>
      <c r="H19" s="23" t="n">
        <f aca="false">IF(C19="","",C19/C$4*100)</f>
        <v>103.694484505584</v>
      </c>
      <c r="I19" s="23" t="n">
        <f aca="false">IF(D19="","",D19/D$4*100)</f>
        <v>105.240460999168</v>
      </c>
      <c r="J19" s="23" t="n">
        <f aca="false">IF(E19="","",E19/E$4*100)</f>
        <v>98.8</v>
      </c>
    </row>
    <row r="20" customFormat="false" ht="15" hidden="false" customHeight="false" outlineLevel="0" collapsed="false">
      <c r="A20" s="21" t="n">
        <v>44582</v>
      </c>
      <c r="B20" s="22" t="n">
        <v>898.71</v>
      </c>
      <c r="C20" s="22" t="n">
        <v>4644.86</v>
      </c>
      <c r="D20" s="22" t="n">
        <v>927.2</v>
      </c>
      <c r="E20" s="22" t="n">
        <v>955.58</v>
      </c>
      <c r="F20" s="2"/>
      <c r="G20" s="23" t="n">
        <f aca="false">IF(B20="","",B20/B$4*100)</f>
        <v>105.319470584237</v>
      </c>
      <c r="H20" s="23" t="n">
        <f aca="false">IF(C20="","",C20/C$4*100)</f>
        <v>107.352913985652</v>
      </c>
      <c r="I20" s="23" t="n">
        <f aca="false">IF(D20="","",D20/D$4*100)</f>
        <v>116.914230953522</v>
      </c>
      <c r="J20" s="23" t="n">
        <f aca="false">IF(E20="","",E20/E$4*100)</f>
        <v>102.750537634409</v>
      </c>
    </row>
    <row r="21" customFormat="false" ht="15" hidden="false" customHeight="false" outlineLevel="0" collapsed="false">
      <c r="A21" s="21" t="n">
        <v>44589</v>
      </c>
      <c r="B21" s="22" t="n">
        <v>918.859</v>
      </c>
      <c r="C21" s="22" t="n">
        <v>4542.86</v>
      </c>
      <c r="D21" s="22" t="n">
        <v>932.13</v>
      </c>
      <c r="E21" s="22" t="n">
        <v>980</v>
      </c>
      <c r="F21" s="2"/>
      <c r="G21" s="23" t="n">
        <f aca="false">IF(B21="","",B21/B$4*100)</f>
        <v>107.680723950509</v>
      </c>
      <c r="H21" s="23" t="n">
        <f aca="false">IF(C21="","",C21/C$4*100)</f>
        <v>104.995470009615</v>
      </c>
      <c r="I21" s="23" t="n">
        <f aca="false">IF(D21="","",D21/D$4*100)</f>
        <v>117.535873704386</v>
      </c>
      <c r="J21" s="23" t="n">
        <f aca="false">IF(E21="","",E21/E$4*100)</f>
        <v>105.376344086022</v>
      </c>
    </row>
    <row r="22" customFormat="false" ht="15" hidden="false" customHeight="false" outlineLevel="0" collapsed="false">
      <c r="A22" s="21" t="n">
        <v>44596</v>
      </c>
      <c r="B22" s="22" t="n">
        <v>888.829</v>
      </c>
      <c r="C22" s="22" t="n">
        <v>4425.52</v>
      </c>
      <c r="D22" s="22" t="n">
        <v>842.35</v>
      </c>
      <c r="E22" s="22" t="n">
        <v>898.31</v>
      </c>
      <c r="F22" s="2"/>
      <c r="G22" s="23" t="n">
        <f aca="false">IF(B22="","",B22/B$4*100)</f>
        <v>104.161520089814</v>
      </c>
      <c r="H22" s="23" t="n">
        <f aca="false">IF(C22="","",C22/C$4*100)</f>
        <v>102.283484949338</v>
      </c>
      <c r="I22" s="23" t="n">
        <f aca="false">IF(D22="","",D22/D$4*100)</f>
        <v>106.215166569995</v>
      </c>
      <c r="J22" s="23" t="n">
        <f aca="false">IF(E22="","",E22/E$4*100)</f>
        <v>96.5924731182796</v>
      </c>
    </row>
    <row r="23" customFormat="false" ht="15" hidden="false" customHeight="false" outlineLevel="0" collapsed="false">
      <c r="A23" s="21" t="n">
        <v>44603</v>
      </c>
      <c r="B23" s="22" t="n">
        <v>876.843</v>
      </c>
      <c r="C23" s="22" t="n">
        <v>4652.21</v>
      </c>
      <c r="D23" s="22" t="n">
        <v>818.69</v>
      </c>
      <c r="E23" s="22" t="n">
        <v>860</v>
      </c>
      <c r="F23" s="2"/>
      <c r="G23" s="23" t="n">
        <f aca="false">IF(B23="","",B23/B$4*100)</f>
        <v>102.756885475286</v>
      </c>
      <c r="H23" s="23" t="n">
        <f aca="false">IF(C23="","",C23/C$4*100)</f>
        <v>107.522788625102</v>
      </c>
      <c r="I23" s="23" t="n">
        <f aca="false">IF(D23="","",D23/D$4*100)</f>
        <v>103.231785741306</v>
      </c>
      <c r="J23" s="23" t="n">
        <f aca="false">IF(E23="","",E23/E$4*100)</f>
        <v>92.4731182795699</v>
      </c>
    </row>
    <row r="24" customFormat="false" ht="15" hidden="false" customHeight="false" outlineLevel="0" collapsed="false">
      <c r="A24" s="21" t="n">
        <v>44610</v>
      </c>
      <c r="B24" s="22" t="n">
        <v>857.002</v>
      </c>
      <c r="C24" s="22" t="n">
        <v>4549.07</v>
      </c>
      <c r="D24" s="22" t="n">
        <v>831.51</v>
      </c>
      <c r="E24" s="22" t="n">
        <v>857.63</v>
      </c>
      <c r="F24" s="2"/>
      <c r="G24" s="23" t="n">
        <f aca="false">IF(B24="","",B24/B$4*100)</f>
        <v>100.431726507586</v>
      </c>
      <c r="H24" s="23" t="n">
        <f aca="false">IF(C24="","",C24/C$4*100)</f>
        <v>105.138996745803</v>
      </c>
      <c r="I24" s="23" t="n">
        <f aca="false">IF(D24="","",D24/D$4*100)</f>
        <v>104.84830908128</v>
      </c>
      <c r="J24" s="23" t="n">
        <f aca="false">IF(E24="","",E24/E$4*100)</f>
        <v>92.2182795698925</v>
      </c>
    </row>
    <row r="25" customFormat="false" ht="15" hidden="false" customHeight="false" outlineLevel="0" collapsed="false">
      <c r="A25" s="21" t="n">
        <v>44617</v>
      </c>
      <c r="B25" s="22" t="n">
        <v>844.093</v>
      </c>
      <c r="C25" s="22" t="n">
        <v>4465.51</v>
      </c>
      <c r="D25" s="22" t="n">
        <v>789.1</v>
      </c>
      <c r="E25" s="22" t="n">
        <v>822</v>
      </c>
      <c r="F25" s="2"/>
      <c r="G25" s="23" t="n">
        <f aca="false">IF(B25="","",B25/B$4*100)</f>
        <v>98.9189258869495</v>
      </c>
      <c r="H25" s="23" t="n">
        <f aca="false">IF(C25="","",C25/C$4*100)</f>
        <v>103.20774166112</v>
      </c>
      <c r="I25" s="23" t="n">
        <f aca="false">IF(D25="","",D25/D$4*100)</f>
        <v>99.5006682974807</v>
      </c>
      <c r="J25" s="23" t="n">
        <f aca="false">IF(E25="","",E25/E$4*100)</f>
        <v>88.3870967741936</v>
      </c>
    </row>
    <row r="26" customFormat="false" ht="15" hidden="false" customHeight="false" outlineLevel="0" collapsed="false">
      <c r="A26" s="21" t="n">
        <v>44624</v>
      </c>
      <c r="B26" s="22" t="n">
        <v>862.96</v>
      </c>
      <c r="C26" s="22" t="n">
        <v>4641.45</v>
      </c>
      <c r="D26" s="22" t="n">
        <v>769.53</v>
      </c>
      <c r="E26" s="22" t="n">
        <v>844.3</v>
      </c>
      <c r="F26" s="2"/>
      <c r="G26" s="23" t="n">
        <f aca="false">IF(B26="","",B26/B$4*100)</f>
        <v>101.129942178649</v>
      </c>
      <c r="H26" s="23" t="n">
        <f aca="false">IF(C26="","",C26/C$4*100)</f>
        <v>107.274101397826</v>
      </c>
      <c r="I26" s="23" t="n">
        <f aca="false">IF(D26="","",D26/D$4*100)</f>
        <v>97.0330113736666</v>
      </c>
      <c r="J26" s="23" t="n">
        <f aca="false">IF(E26="","",E26/E$4*100)</f>
        <v>90.7849462365591</v>
      </c>
    </row>
    <row r="27" customFormat="false" ht="15" hidden="false" customHeight="false" outlineLevel="0" collapsed="false">
      <c r="A27" s="21" t="n">
        <v>44631</v>
      </c>
      <c r="B27" s="22" t="n">
        <v>837.141</v>
      </c>
      <c r="C27" s="22" t="n">
        <v>4633.35</v>
      </c>
      <c r="D27" s="22" t="n">
        <v>775.89</v>
      </c>
      <c r="E27" s="22" t="n">
        <v>873.75</v>
      </c>
      <c r="F27" s="2"/>
      <c r="G27" s="23" t="n">
        <f aca="false">IF(B27="","",B27/B$4*100)</f>
        <v>98.1042237477705</v>
      </c>
      <c r="H27" s="23" t="n">
        <f aca="false">IF(C27="","",C27/C$4*100)</f>
        <v>107.086892611493</v>
      </c>
      <c r="I27" s="23" t="n">
        <f aca="false">IF(D27="","",D27/D$4*100)</f>
        <v>97.8349683504401</v>
      </c>
      <c r="J27" s="23" t="n">
        <f aca="false">IF(E27="","",E27/E$4*100)</f>
        <v>93.9516129032258</v>
      </c>
    </row>
    <row r="28" customFormat="false" ht="15" hidden="false" customHeight="false" outlineLevel="0" collapsed="false">
      <c r="A28" s="21" t="n">
        <v>44638</v>
      </c>
      <c r="B28" s="22" t="n">
        <v>819.266</v>
      </c>
      <c r="C28" s="22" t="n">
        <v>4854.44</v>
      </c>
      <c r="D28" s="22" t="n">
        <v>780.23</v>
      </c>
      <c r="E28" s="22" t="n">
        <v>945</v>
      </c>
      <c r="F28" s="2"/>
      <c r="G28" s="23" t="n">
        <f aca="false">IF(B28="","",B28/B$4*100)</f>
        <v>96.0094595449762</v>
      </c>
      <c r="H28" s="23" t="n">
        <f aca="false">IF(C28="","",C28/C$4*100)</f>
        <v>112.196767990533</v>
      </c>
      <c r="I28" s="23" t="n">
        <f aca="false">IF(D28="","",D28/D$4*100)</f>
        <v>98.382215721383</v>
      </c>
      <c r="J28" s="23" t="n">
        <f aca="false">IF(E28="","",E28/E$4*100)</f>
        <v>101.612903225806</v>
      </c>
    </row>
    <row r="29" customFormat="false" ht="15" hidden="false" customHeight="false" outlineLevel="0" collapsed="false">
      <c r="A29" s="21" t="n">
        <v>44645</v>
      </c>
      <c r="B29" s="22" t="n">
        <v>806.079</v>
      </c>
      <c r="C29" s="22" t="n">
        <v>4965.11</v>
      </c>
      <c r="D29" s="22" t="n">
        <v>769.38</v>
      </c>
      <c r="E29" s="22" t="n">
        <v>944</v>
      </c>
      <c r="F29" s="2"/>
      <c r="G29" s="23" t="n">
        <f aca="false">IF(B29="","",B29/B$4*100)</f>
        <v>94.4640802139413</v>
      </c>
      <c r="H29" s="23" t="n">
        <f aca="false">IF(C29="","",C29/C$4*100)</f>
        <v>114.754594704534</v>
      </c>
      <c r="I29" s="23" t="n">
        <f aca="false">IF(D29="","",D29/D$4*100)</f>
        <v>97.0140972940257</v>
      </c>
      <c r="J29" s="23" t="n">
        <f aca="false">IF(E29="","",E29/E$4*100)</f>
        <v>101.505376344086</v>
      </c>
    </row>
    <row r="30" customFormat="false" ht="15" hidden="false" customHeight="false" outlineLevel="0" collapsed="false">
      <c r="A30" s="21" t="n">
        <v>44652</v>
      </c>
      <c r="B30" s="22" t="n">
        <v>834.162</v>
      </c>
      <c r="C30" s="22" t="n">
        <v>4978.49</v>
      </c>
      <c r="D30" s="22" t="n">
        <v>827.57</v>
      </c>
      <c r="E30" s="22" t="n">
        <v>946.44</v>
      </c>
      <c r="F30" s="2"/>
      <c r="G30" s="23" t="n">
        <f aca="false">IF(B30="","",B30/B$4*100)</f>
        <v>97.7551159122391</v>
      </c>
      <c r="H30" s="23" t="n">
        <f aca="false">IF(C30="","",C30/C$4*100)</f>
        <v>115.06383588492</v>
      </c>
      <c r="I30" s="23" t="n">
        <f aca="false">IF(D30="","",D30/D$4*100)</f>
        <v>104.351499256046</v>
      </c>
      <c r="J30" s="23" t="n">
        <f aca="false">IF(E30="","",E30/E$4*100)</f>
        <v>101.767741935484</v>
      </c>
    </row>
    <row r="31" customFormat="false" ht="15" hidden="false" customHeight="false" outlineLevel="0" collapsed="false">
      <c r="A31" s="21" t="n">
        <v>44659</v>
      </c>
      <c r="B31" s="22" t="n">
        <v>824.232</v>
      </c>
      <c r="C31" s="22" t="n">
        <v>4969.25</v>
      </c>
      <c r="D31" s="22" t="n">
        <v>797.71</v>
      </c>
      <c r="E31" s="22" t="n">
        <v>945</v>
      </c>
      <c r="F31" s="2"/>
      <c r="G31" s="23" t="n">
        <f aca="false">IF(B31="","",B31/B$4*100)</f>
        <v>96.5914231271343</v>
      </c>
      <c r="H31" s="23" t="n">
        <f aca="false">IF(C31="","",C31/C$4*100)</f>
        <v>114.850279195326</v>
      </c>
      <c r="I31" s="23" t="n">
        <f aca="false">IF(D31="","",D31/D$4*100)</f>
        <v>100.586336468867</v>
      </c>
      <c r="J31" s="23" t="n">
        <f aca="false">IF(E31="","",E31/E$4*100)</f>
        <v>101.612903225806</v>
      </c>
    </row>
    <row r="32" customFormat="false" ht="15" hidden="false" customHeight="false" outlineLevel="0" collapsed="false">
      <c r="A32" s="21" t="n">
        <v>44666</v>
      </c>
      <c r="B32" s="22" t="n">
        <v>829.097</v>
      </c>
      <c r="C32" s="22" t="n">
        <v>4917.3</v>
      </c>
      <c r="D32" s="22" t="n">
        <v>757.52</v>
      </c>
      <c r="E32" s="22" t="n">
        <v>898.55</v>
      </c>
      <c r="F32" s="2"/>
      <c r="G32" s="23" t="n">
        <f aca="false">IF(B32="","",B32/B$4*100)</f>
        <v>97.1615505591116</v>
      </c>
      <c r="H32" s="23" t="n">
        <f aca="false">IF(C32="","",C32/C$4*100)</f>
        <v>113.649600621256</v>
      </c>
      <c r="I32" s="23" t="n">
        <f aca="false">IF(D32="","",D32/D$4*100)</f>
        <v>95.5186240637531</v>
      </c>
      <c r="J32" s="23" t="n">
        <f aca="false">IF(E32="","",E32/E$4*100)</f>
        <v>96.6182795698925</v>
      </c>
    </row>
    <row r="33" customFormat="false" ht="15" hidden="false" customHeight="false" outlineLevel="0" collapsed="false">
      <c r="A33" s="21" t="n">
        <v>44673</v>
      </c>
      <c r="B33" s="22" t="n">
        <v>799.405</v>
      </c>
      <c r="C33" s="22" t="n">
        <v>4867.88</v>
      </c>
      <c r="D33" s="22" t="n">
        <v>736.92</v>
      </c>
      <c r="E33" s="22" t="n">
        <v>899.73</v>
      </c>
      <c r="F33" s="2"/>
      <c r="G33" s="23" t="n">
        <f aca="false">IF(B33="","",B33/B$4*100)</f>
        <v>93.681956785161</v>
      </c>
      <c r="H33" s="23" t="n">
        <f aca="false">IF(C33="","",C33/C$4*100)</f>
        <v>112.50739590267</v>
      </c>
      <c r="I33" s="23" t="n">
        <f aca="false">IF(D33="","",D33/D$4*100)</f>
        <v>92.9210904597382</v>
      </c>
      <c r="J33" s="23" t="n">
        <f aca="false">IF(E33="","",E33/E$4*100)</f>
        <v>96.7451612903226</v>
      </c>
    </row>
    <row r="34" customFormat="false" ht="15" hidden="false" customHeight="false" outlineLevel="0" collapsed="false">
      <c r="A34" s="21" t="n">
        <v>44680</v>
      </c>
      <c r="B34" s="22" t="n">
        <v>785.91</v>
      </c>
      <c r="C34" s="22" t="n">
        <v>4778.43</v>
      </c>
      <c r="D34" s="22" t="n">
        <v>706.42</v>
      </c>
      <c r="E34" s="22" t="n">
        <v>869.93</v>
      </c>
      <c r="F34" s="2"/>
      <c r="G34" s="23" t="n">
        <f aca="false">IF(B34="","",B34/B$4*100)</f>
        <v>92.1004830555549</v>
      </c>
      <c r="H34" s="23" t="n">
        <f aca="false">IF(C34="","",C34/C$4*100)</f>
        <v>110.440009984469</v>
      </c>
      <c r="I34" s="23" t="n">
        <f aca="false">IF(D34="","",D34/D$4*100)</f>
        <v>89.075227599425</v>
      </c>
      <c r="J34" s="23" t="n">
        <f aca="false">IF(E34="","",E34/E$4*100)</f>
        <v>93.5408602150538</v>
      </c>
    </row>
    <row r="35" customFormat="false" ht="15" hidden="false" customHeight="false" outlineLevel="0" collapsed="false">
      <c r="A35" s="21" t="n">
        <v>44687</v>
      </c>
      <c r="B35" s="22" t="n">
        <v>794.44</v>
      </c>
      <c r="C35" s="22" t="n">
        <v>4838.54</v>
      </c>
      <c r="D35" s="22" t="n">
        <v>694.41</v>
      </c>
      <c r="E35" s="22" t="n">
        <v>835</v>
      </c>
      <c r="F35" s="2"/>
      <c r="G35" s="23" t="n">
        <f aca="false">IF(B35="","",B35/B$4*100)</f>
        <v>93.1001103926086</v>
      </c>
      <c r="H35" s="23" t="n">
        <f aca="false">IF(C35="","",C35/C$4*100)</f>
        <v>111.829284076622</v>
      </c>
      <c r="I35" s="23" t="n">
        <f aca="false">IF(D35="","",D35/D$4*100)</f>
        <v>87.5608402895115</v>
      </c>
      <c r="J35" s="23" t="n">
        <f aca="false">IF(E35="","",E35/E$4*100)</f>
        <v>89.7849462365591</v>
      </c>
    </row>
    <row r="36" customFormat="false" ht="15" hidden="false" customHeight="false" outlineLevel="0" collapsed="false">
      <c r="A36" s="21" t="n">
        <v>44694</v>
      </c>
      <c r="B36" s="22" t="n">
        <v>757.677</v>
      </c>
      <c r="C36" s="22" t="n">
        <v>4850.44</v>
      </c>
      <c r="D36" s="22" t="n">
        <v>708.43</v>
      </c>
      <c r="E36" s="22" t="n">
        <v>801.87</v>
      </c>
      <c r="F36" s="2"/>
      <c r="G36" s="23" t="n">
        <f aca="false">IF(B36="","",B36/B$4*100)</f>
        <v>88.7918689163946</v>
      </c>
      <c r="H36" s="23" t="n">
        <f aca="false">IF(C36="","",C36/C$4*100)</f>
        <v>112.104319207159</v>
      </c>
      <c r="I36" s="23" t="n">
        <f aca="false">IF(D36="","",D36/D$4*100)</f>
        <v>89.3286762666129</v>
      </c>
      <c r="J36" s="23" t="n">
        <f aca="false">IF(E36="","",E36/E$4*100)</f>
        <v>86.2225806451613</v>
      </c>
    </row>
    <row r="37" customFormat="false" ht="15" hidden="false" customHeight="false" outlineLevel="0" collapsed="false">
      <c r="A37" s="21" t="n">
        <v>44701</v>
      </c>
      <c r="B37" s="22" t="n">
        <v>721.937</v>
      </c>
      <c r="C37" s="22" t="n">
        <v>4982.95</v>
      </c>
      <c r="D37" s="22" t="n">
        <v>717.93</v>
      </c>
      <c r="E37" s="22" t="n">
        <v>801</v>
      </c>
      <c r="F37" s="2"/>
      <c r="G37" s="23" t="n">
        <f aca="false">IF(B37="","",B37/B$4*100)</f>
        <v>84.6035124068636</v>
      </c>
      <c r="H37" s="23" t="n">
        <f aca="false">IF(C37="","",C37/C$4*100)</f>
        <v>115.166916278382</v>
      </c>
      <c r="I37" s="23" t="n">
        <f aca="false">IF(D37="","",D37/D$4*100)</f>
        <v>90.5265679772022</v>
      </c>
      <c r="J37" s="23" t="n">
        <f aca="false">IF(E37="","",E37/E$4*100)</f>
        <v>86.1290322580645</v>
      </c>
    </row>
    <row r="38" customFormat="false" ht="15" hidden="false" customHeight="false" outlineLevel="0" collapsed="false">
      <c r="A38" s="21" t="n">
        <v>44708</v>
      </c>
      <c r="B38" s="22" t="n">
        <v>784.569</v>
      </c>
      <c r="C38" s="22" t="n">
        <v>5387.06</v>
      </c>
      <c r="D38" s="22" t="n">
        <v>769.38</v>
      </c>
      <c r="E38" s="22" t="n">
        <v>878.34</v>
      </c>
      <c r="F38" s="2"/>
      <c r="G38" s="23" t="n">
        <f aca="false">IF(B38="","",B38/B$4*100)</f>
        <v>91.9433317942432</v>
      </c>
      <c r="H38" s="23" t="n">
        <f aca="false">IF(C38="","",C38/C$4*100)</f>
        <v>124.5067857407</v>
      </c>
      <c r="I38" s="23" t="n">
        <f aca="false">IF(D38="","",D38/D$4*100)</f>
        <v>97.0140972940257</v>
      </c>
      <c r="J38" s="23" t="n">
        <f aca="false">IF(E38="","",E38/E$4*100)</f>
        <v>94.4451612903226</v>
      </c>
    </row>
    <row r="39" customFormat="false" ht="15" hidden="false" customHeight="false" outlineLevel="0" collapsed="false">
      <c r="A39" s="21" t="n">
        <v>44715</v>
      </c>
      <c r="B39" s="22" t="n">
        <v>788.571</v>
      </c>
      <c r="C39" s="22" t="n">
        <v>5352.44</v>
      </c>
      <c r="D39" s="22" t="n">
        <v>794.04</v>
      </c>
      <c r="E39" s="22" t="n">
        <v>910</v>
      </c>
      <c r="F39" s="2"/>
      <c r="G39" s="23" t="n">
        <f aca="false">IF(B39="","",B39/B$4*100)</f>
        <v>92.4123245964576</v>
      </c>
      <c r="H39" s="23" t="n">
        <f aca="false">IF(C39="","",C39/C$4*100)</f>
        <v>123.706641520598</v>
      </c>
      <c r="I39" s="23" t="n">
        <f aca="false">IF(D39="","",D39/D$4*100)</f>
        <v>100.123571986987</v>
      </c>
      <c r="J39" s="23" t="n">
        <f aca="false">IF(E39="","",E39/E$4*100)</f>
        <v>97.8494623655914</v>
      </c>
    </row>
    <row r="40" customFormat="false" ht="15" hidden="false" customHeight="false" outlineLevel="0" collapsed="false">
      <c r="A40" s="21" t="n">
        <v>44722</v>
      </c>
      <c r="B40" s="22" t="n">
        <v>804.371</v>
      </c>
      <c r="C40" s="22" t="n">
        <v>5237.85</v>
      </c>
      <c r="D40" s="22" t="n">
        <v>778.05</v>
      </c>
      <c r="E40" s="22" t="n">
        <v>890</v>
      </c>
      <c r="F40" s="2"/>
      <c r="G40" s="23" t="n">
        <f aca="false">IF(B40="","",B40/B$4*100)</f>
        <v>94.2639203673191</v>
      </c>
      <c r="H40" s="23" t="n">
        <f aca="false">IF(C40="","",C40/C$4*100)</f>
        <v>121.058214998891</v>
      </c>
      <c r="I40" s="23" t="n">
        <f aca="false">IF(D40="","",D40/D$4*100)</f>
        <v>98.1073310972688</v>
      </c>
      <c r="J40" s="23" t="n">
        <f aca="false">IF(E40="","",E40/E$4*100)</f>
        <v>95.6989247311828</v>
      </c>
    </row>
    <row r="41" customFormat="false" ht="15" hidden="false" customHeight="false" outlineLevel="0" collapsed="false">
      <c r="A41" s="21" t="n">
        <v>44729</v>
      </c>
      <c r="B41" s="22" t="n">
        <v>757.002</v>
      </c>
      <c r="C41" s="22" t="n">
        <v>5067.06</v>
      </c>
      <c r="D41" s="22" t="n">
        <v>756.55</v>
      </c>
      <c r="E41" s="22" t="n">
        <v>895</v>
      </c>
      <c r="F41" s="2"/>
      <c r="G41" s="23" t="n">
        <f aca="false">IF(B41="","",B41/B$4*100)</f>
        <v>88.7127659325129</v>
      </c>
      <c r="H41" s="23" t="n">
        <f aca="false">IF(C41="","",C41/C$4*100)</f>
        <v>117.110883070779</v>
      </c>
      <c r="I41" s="23" t="n">
        <f aca="false">IF(D41="","",D41/D$4*100)</f>
        <v>95.3963130154087</v>
      </c>
      <c r="J41" s="23" t="n">
        <f aca="false">IF(E41="","",E41/E$4*100)</f>
        <v>96.2365591397849</v>
      </c>
    </row>
    <row r="42" customFormat="false" ht="15" hidden="false" customHeight="false" outlineLevel="0" collapsed="false">
      <c r="A42" s="21" t="n">
        <v>44736</v>
      </c>
      <c r="B42" s="22" t="n">
        <v>722.921</v>
      </c>
      <c r="C42" s="22" t="n">
        <v>4983.66</v>
      </c>
      <c r="D42" s="22" t="n">
        <v>710.19</v>
      </c>
      <c r="E42" s="22" t="n">
        <v>883</v>
      </c>
      <c r="F42" s="2"/>
      <c r="G42" s="23" t="n">
        <f aca="false">IF(B42="","",B42/B$4*100)</f>
        <v>84.7188269789223</v>
      </c>
      <c r="H42" s="23" t="n">
        <f aca="false">IF(C42="","",C42/C$4*100)</f>
        <v>115.183325937431</v>
      </c>
      <c r="I42" s="23" t="n">
        <f aca="false">IF(D42="","",D42/D$4*100)</f>
        <v>89.5506014677326</v>
      </c>
      <c r="J42" s="23" t="n">
        <f aca="false">IF(E42="","",E42/E$4*100)</f>
        <v>94.9462365591398</v>
      </c>
    </row>
    <row r="43" customFormat="false" ht="15" hidden="false" customHeight="false" outlineLevel="0" collapsed="false">
      <c r="A43" s="21" t="n">
        <v>44743</v>
      </c>
      <c r="B43" s="22" t="n">
        <v>693.377</v>
      </c>
      <c r="C43" s="22" t="n">
        <v>4993.37</v>
      </c>
      <c r="D43" s="22" t="n">
        <v>697.06</v>
      </c>
      <c r="E43" s="22" t="n">
        <v>842.7</v>
      </c>
      <c r="F43" s="2"/>
      <c r="G43" s="23" t="n">
        <f aca="false">IF(B43="","",B43/B$4*100)</f>
        <v>81.2565772666228</v>
      </c>
      <c r="H43" s="23" t="n">
        <f aca="false">IF(C43="","",C43/C$4*100)</f>
        <v>115.407745359071</v>
      </c>
      <c r="I43" s="23" t="n">
        <f aca="false">IF(D43="","",D43/D$4*100)</f>
        <v>87.8949890298338</v>
      </c>
      <c r="J43" s="23" t="n">
        <f aca="false">IF(E43="","",E43/E$4*100)</f>
        <v>90.6129032258065</v>
      </c>
    </row>
    <row r="44" customFormat="false" ht="15" hidden="false" customHeight="false" outlineLevel="0" collapsed="false">
      <c r="A44" s="21" t="n">
        <v>44750</v>
      </c>
      <c r="B44" s="22" t="n">
        <v>695.135</v>
      </c>
      <c r="C44" s="22" t="n">
        <v>5112.78</v>
      </c>
      <c r="D44" s="22" t="n">
        <v>702.02</v>
      </c>
      <c r="E44" s="22" t="n">
        <v>840</v>
      </c>
      <c r="F44" s="2"/>
      <c r="G44" s="23" t="n">
        <f aca="false">IF(B44="","",B44/B$4*100)</f>
        <v>81.4625965935325</v>
      </c>
      <c r="H44" s="23" t="n">
        <f aca="false">IF(C44="","",C44/C$4*100)</f>
        <v>118.167572664744</v>
      </c>
      <c r="I44" s="23" t="n">
        <f aca="false">IF(D44="","",D44/D$4*100)</f>
        <v>88.5204145966257</v>
      </c>
      <c r="J44" s="23" t="n">
        <f aca="false">IF(E44="","",E44/E$4*100)</f>
        <v>90.3225806451613</v>
      </c>
    </row>
    <row r="45" customFormat="false" ht="15" hidden="false" customHeight="false" outlineLevel="0" collapsed="false">
      <c r="A45" s="21" t="n">
        <v>44757</v>
      </c>
      <c r="B45" s="22" t="n">
        <v>679.643</v>
      </c>
      <c r="C45" s="22" t="n">
        <v>5091.73</v>
      </c>
      <c r="D45" s="22" t="n">
        <v>674.41</v>
      </c>
      <c r="E45" s="22" t="n">
        <v>853.56</v>
      </c>
      <c r="F45" s="2"/>
      <c r="G45" s="23" t="n">
        <f aca="false">IF(B45="","",B45/B$4*100)</f>
        <v>79.6470952212423</v>
      </c>
      <c r="H45" s="23" t="n">
        <f aca="false">IF(C45="","",C45/C$4*100)</f>
        <v>117.681060942238</v>
      </c>
      <c r="I45" s="23" t="n">
        <f aca="false">IF(D45="","",D45/D$4*100)</f>
        <v>85.0389630040602</v>
      </c>
      <c r="J45" s="23" t="n">
        <f aca="false">IF(E45="","",E45/E$4*100)</f>
        <v>91.7806451612903</v>
      </c>
    </row>
    <row r="46" customFormat="false" ht="15" hidden="false" customHeight="false" outlineLevel="0" collapsed="false">
      <c r="A46" s="21" t="n">
        <v>44764</v>
      </c>
      <c r="B46" s="22" t="n">
        <v>699.862</v>
      </c>
      <c r="C46" s="22" t="n">
        <v>5220.33</v>
      </c>
      <c r="D46" s="22" t="n">
        <v>692.44</v>
      </c>
      <c r="E46" s="22" t="n">
        <v>896.25</v>
      </c>
      <c r="F46" s="2"/>
      <c r="G46" s="23" t="n">
        <f aca="false">IF(B46="","",B46/B$4*100)</f>
        <v>82.0165518599162</v>
      </c>
      <c r="H46" s="23" t="n">
        <f aca="false">IF(C46="","",C46/C$4*100)</f>
        <v>120.653289327712</v>
      </c>
      <c r="I46" s="23" t="n">
        <f aca="false">IF(D46="","",D46/D$4*100)</f>
        <v>87.3124353768946</v>
      </c>
      <c r="J46" s="23" t="n">
        <f aca="false">IF(E46="","",E46/E$4*100)</f>
        <v>96.3709677419355</v>
      </c>
    </row>
    <row r="47" customFormat="false" ht="15" hidden="false" customHeight="false" outlineLevel="0" collapsed="false">
      <c r="A47" s="21" t="n">
        <v>44771</v>
      </c>
      <c r="B47" s="22" t="n">
        <v>763.665</v>
      </c>
      <c r="C47" s="22" t="n">
        <v>5259.05</v>
      </c>
      <c r="D47" s="22" t="n">
        <v>750.63</v>
      </c>
      <c r="E47" s="22" t="n">
        <v>972.13</v>
      </c>
      <c r="F47" s="2"/>
      <c r="G47" s="23" t="n">
        <f aca="false">IF(B47="","",B47/B$4*100)</f>
        <v>89.4936002756299</v>
      </c>
      <c r="H47" s="23" t="n">
        <f aca="false">IF(C47="","",C47/C$4*100)</f>
        <v>121.548193550773</v>
      </c>
      <c r="I47" s="23" t="n">
        <f aca="false">IF(D47="","",D47/D$4*100)</f>
        <v>94.6498373389151</v>
      </c>
      <c r="J47" s="23" t="n">
        <f aca="false">IF(E47="","",E47/E$4*100)</f>
        <v>104.530107526882</v>
      </c>
    </row>
    <row r="48" customFormat="false" ht="15" hidden="false" customHeight="false" outlineLevel="0" collapsed="false">
      <c r="A48" s="21" t="n">
        <v>44778</v>
      </c>
      <c r="B48" s="22" t="n">
        <v>737.836</v>
      </c>
      <c r="C48" s="22" t="n">
        <v>5212.4</v>
      </c>
      <c r="D48" s="22" t="n">
        <v>720.29</v>
      </c>
      <c r="E48" s="22" t="n">
        <v>975</v>
      </c>
      <c r="F48" s="2"/>
      <c r="G48" s="23" t="n">
        <f aca="false">IF(B48="","",B48/B$4*100)</f>
        <v>86.4667099486944</v>
      </c>
      <c r="H48" s="23" t="n">
        <f aca="false">IF(C48="","",C48/C$4*100)</f>
        <v>120.470009614673</v>
      </c>
      <c r="I48" s="23" t="n">
        <f aca="false">IF(D48="","",D48/D$4*100)</f>
        <v>90.8241494968855</v>
      </c>
      <c r="J48" s="23" t="n">
        <f aca="false">IF(E48="","",E48/E$4*100)</f>
        <v>104.838709677419</v>
      </c>
    </row>
    <row r="49" customFormat="false" ht="15" hidden="false" customHeight="false" outlineLevel="0" collapsed="false">
      <c r="A49" s="21" t="n">
        <v>44785</v>
      </c>
      <c r="B49" s="22" t="n">
        <v>801.967</v>
      </c>
      <c r="C49" s="22" t="n">
        <v>5394.91</v>
      </c>
      <c r="D49" s="22" t="n">
        <v>798.24</v>
      </c>
      <c r="E49" s="22" t="n">
        <v>1015</v>
      </c>
      <c r="F49" s="2"/>
      <c r="G49" s="23" t="n">
        <f aca="false">IF(B49="","",B49/B$4*100)</f>
        <v>93.9821965550944</v>
      </c>
      <c r="H49" s="23" t="n">
        <f aca="false">IF(C49="","",C49/C$4*100)</f>
        <v>124.688216478071</v>
      </c>
      <c r="I49" s="23" t="n">
        <f aca="false">IF(D49="","",D49/D$4*100)</f>
        <v>100.653166216932</v>
      </c>
      <c r="J49" s="23" t="n">
        <f aca="false">IF(E49="","",E49/E$4*100)</f>
        <v>109.139784946237</v>
      </c>
    </row>
    <row r="50" customFormat="false" ht="15" hidden="false" customHeight="false" outlineLevel="0" collapsed="false">
      <c r="A50" s="21" t="n">
        <v>44792</v>
      </c>
      <c r="B50" s="22" t="n">
        <v>835.016</v>
      </c>
      <c r="C50" s="22" t="n">
        <v>5292.84</v>
      </c>
      <c r="D50" s="22" t="n">
        <v>862</v>
      </c>
      <c r="E50" s="22" t="n">
        <v>1094</v>
      </c>
      <c r="F50" s="2"/>
      <c r="G50" s="23" t="n">
        <f aca="false">IF(B50="","",B50/B$4*100)</f>
        <v>97.8551958355502</v>
      </c>
      <c r="H50" s="23" t="n">
        <f aca="false">IF(C50="","",C50/C$4*100)</f>
        <v>122.329154648325</v>
      </c>
      <c r="I50" s="23" t="n">
        <f aca="false">IF(D50="","",D50/D$4*100)</f>
        <v>108.692911002951</v>
      </c>
      <c r="J50" s="23" t="n">
        <f aca="false">IF(E50="","",E50/E$4*100)</f>
        <v>117.634408602151</v>
      </c>
    </row>
    <row r="51" customFormat="false" ht="15" hidden="false" customHeight="false" outlineLevel="0" collapsed="false">
      <c r="A51" s="21" t="n">
        <v>44799</v>
      </c>
      <c r="B51" s="22" t="n">
        <v>903.477</v>
      </c>
      <c r="C51" s="22" t="n">
        <v>5461.8</v>
      </c>
      <c r="D51" s="22" t="n">
        <v>924.24</v>
      </c>
      <c r="E51" s="22" t="n">
        <v>1150</v>
      </c>
      <c r="F51" s="2"/>
      <c r="G51" s="23" t="n">
        <f aca="false">IF(B51="","",B51/B$4*100)</f>
        <v>105.878113434851</v>
      </c>
      <c r="H51" s="23" t="n">
        <f aca="false">IF(C51="","",C51/C$4*100)</f>
        <v>126.234191258043</v>
      </c>
      <c r="I51" s="23" t="n">
        <f aca="false">IF(D51="","",D51/D$4*100)</f>
        <v>116.540993115275</v>
      </c>
      <c r="J51" s="23" t="n">
        <f aca="false">IF(E51="","",E51/E$4*100)</f>
        <v>123.655913978495</v>
      </c>
    </row>
    <row r="52" customFormat="false" ht="15" hidden="false" customHeight="false" outlineLevel="0" collapsed="false">
      <c r="A52" s="21" t="n">
        <v>44806</v>
      </c>
      <c r="B52" s="22" t="n">
        <v>1001.987</v>
      </c>
      <c r="C52" s="22" t="n">
        <v>5653.2</v>
      </c>
      <c r="D52" s="22" t="n">
        <v>985.39</v>
      </c>
      <c r="E52" s="22" t="n">
        <v>1250</v>
      </c>
      <c r="F52" s="2"/>
      <c r="G52" s="23" t="n">
        <f aca="false">IF(B52="","",B52/B$4*100)</f>
        <v>117.422461497355</v>
      </c>
      <c r="H52" s="23" t="n">
        <f aca="false">IF(C52="","",C52/C$4*100)</f>
        <v>130.657865542489</v>
      </c>
      <c r="I52" s="23" t="n">
        <f aca="false">IF(D52="","",D52/D$4*100)</f>
        <v>124.251632915542</v>
      </c>
      <c r="J52" s="23" t="n">
        <f aca="false">IF(E52="","",E52/E$4*100)</f>
        <v>134.408602150538</v>
      </c>
    </row>
    <row r="53" customFormat="false" ht="15" hidden="false" customHeight="false" outlineLevel="0" collapsed="false">
      <c r="A53" s="21" t="n">
        <v>44813</v>
      </c>
      <c r="B53" s="22" t="n">
        <v>861.719</v>
      </c>
      <c r="C53" s="22" t="n">
        <v>5612.07</v>
      </c>
      <c r="D53" s="22" t="n">
        <v>922.22</v>
      </c>
      <c r="E53" s="22" t="n">
        <v>1136.3</v>
      </c>
      <c r="F53" s="2"/>
      <c r="G53" s="23" t="n">
        <f aca="false">IF(B53="","",B53/B$4*100)</f>
        <v>100.984509877912</v>
      </c>
      <c r="H53" s="23" t="n">
        <f aca="false">IF(C53="","",C53/C$4*100)</f>
        <v>129.707260927446</v>
      </c>
      <c r="I53" s="23" t="n">
        <f aca="false">IF(D53="","",D53/D$4*100)</f>
        <v>116.286283509444</v>
      </c>
      <c r="J53" s="23" t="n">
        <f aca="false">IF(E53="","",E53/E$4*100)</f>
        <v>122.182795698925</v>
      </c>
    </row>
    <row r="54" customFormat="false" ht="15" hidden="false" customHeight="false" outlineLevel="0" collapsed="false">
      <c r="A54" s="21" t="n">
        <v>44820</v>
      </c>
      <c r="B54" s="22" t="n">
        <v>862.841</v>
      </c>
      <c r="C54" s="22" t="n">
        <v>5522.92</v>
      </c>
      <c r="D54" s="22" t="n">
        <v>897.47</v>
      </c>
      <c r="E54" s="22" t="n">
        <v>1080</v>
      </c>
      <c r="F54" s="2"/>
      <c r="G54" s="23" t="n">
        <f aca="false">IF(B54="","",B54/B$4*100)</f>
        <v>101.115996615564</v>
      </c>
      <c r="H54" s="23" t="n">
        <f aca="false">IF(C54="","",C54/C$4*100)</f>
        <v>127.646808667998</v>
      </c>
      <c r="I54" s="23" t="n">
        <f aca="false">IF(D54="","",D54/D$4*100)</f>
        <v>113.165460368698</v>
      </c>
      <c r="J54" s="23" t="n">
        <f aca="false">IF(E54="","",E54/E$4*100)</f>
        <v>116.129032258065</v>
      </c>
    </row>
    <row r="55" customFormat="false" ht="15" hidden="false" customHeight="false" outlineLevel="0" collapsed="false">
      <c r="A55" s="21" t="n">
        <v>44827</v>
      </c>
      <c r="B55" s="22" t="n">
        <v>799.405</v>
      </c>
      <c r="C55" s="22" t="n">
        <v>5207.22</v>
      </c>
      <c r="D55" s="22" t="n">
        <v>841.76</v>
      </c>
      <c r="E55" s="22" t="n">
        <v>1054.1</v>
      </c>
      <c r="F55" s="2"/>
      <c r="G55" s="23" t="n">
        <f aca="false">IF(B55="","",B55/B$4*100)</f>
        <v>93.681956785161</v>
      </c>
      <c r="H55" s="23" t="n">
        <f aca="false">IF(C55="","",C55/C$4*100)</f>
        <v>120.350288440204</v>
      </c>
      <c r="I55" s="23" t="n">
        <f aca="false">IF(D55="","",D55/D$4*100)</f>
        <v>106.140771190074</v>
      </c>
      <c r="J55" s="23" t="n">
        <f aca="false">IF(E55="","",E55/E$4*100)</f>
        <v>113.344086021505</v>
      </c>
    </row>
    <row r="56" customFormat="false" ht="15" hidden="false" customHeight="false" outlineLevel="0" collapsed="false">
      <c r="A56" s="21" t="n">
        <v>44834</v>
      </c>
      <c r="B56" s="22" t="n">
        <v>775.572</v>
      </c>
      <c r="C56" s="22" t="n">
        <v>5114.19</v>
      </c>
      <c r="D56" s="22" t="n">
        <v>828.56</v>
      </c>
      <c r="E56" s="22" t="n">
        <v>1010</v>
      </c>
      <c r="F56" s="2"/>
      <c r="G56" s="23" t="n">
        <f aca="false">IF(B56="","",B56/B$4*100)</f>
        <v>90.8889769113039</v>
      </c>
      <c r="H56" s="23" t="n">
        <f aca="false">IF(C56="","",C56/C$4*100)</f>
        <v>118.200160860883</v>
      </c>
      <c r="I56" s="23" t="n">
        <f aca="false">IF(D56="","",D56/D$4*100)</f>
        <v>104.476332181676</v>
      </c>
      <c r="J56" s="23" t="n">
        <f aca="false">IF(E56="","",E56/E$4*100)</f>
        <v>108.602150537634</v>
      </c>
    </row>
    <row r="57" customFormat="false" ht="15" hidden="false" customHeight="false" outlineLevel="0" collapsed="false">
      <c r="A57" s="21" t="n">
        <v>44841</v>
      </c>
      <c r="B57" s="22" t="n">
        <v>795.94</v>
      </c>
      <c r="C57" s="22" t="n">
        <v>5079.68</v>
      </c>
      <c r="D57" s="22" t="n">
        <v>762.82</v>
      </c>
      <c r="E57" s="22" t="n">
        <v>1012.9</v>
      </c>
      <c r="F57" s="2"/>
      <c r="G57" s="23" t="n">
        <f aca="false">IF(B57="","",B57/B$4*100)</f>
        <v>93.2758948012347</v>
      </c>
      <c r="H57" s="23" t="n">
        <f aca="false">IF(C57="","",C57/C$4*100)</f>
        <v>117.402558982324</v>
      </c>
      <c r="I57" s="23" t="n">
        <f aca="false">IF(D57="","",D57/D$4*100)</f>
        <v>96.1869215443977</v>
      </c>
      <c r="J57" s="23" t="n">
        <f aca="false">IF(E57="","",E57/E$4*100)</f>
        <v>108.913978494624</v>
      </c>
    </row>
    <row r="58" customFormat="false" ht="15" hidden="false" customHeight="false" outlineLevel="0" collapsed="false">
      <c r="A58" s="21" t="n">
        <v>44848</v>
      </c>
      <c r="B58" s="22" t="n">
        <v>773.616</v>
      </c>
      <c r="C58" s="22" t="n">
        <v>4972.39</v>
      </c>
      <c r="D58" s="22" t="n">
        <v>769.38</v>
      </c>
      <c r="E58" s="22" t="n">
        <v>974.84</v>
      </c>
      <c r="F58" s="2"/>
      <c r="G58" s="23" t="n">
        <f aca="false">IF(B58="","",B58/B$4*100)</f>
        <v>90.6597540424555</v>
      </c>
      <c r="H58" s="23" t="n">
        <f aca="false">IF(C58="","",C58/C$4*100)</f>
        <v>114.922851490274</v>
      </c>
      <c r="I58" s="23" t="n">
        <f aca="false">IF(D58="","",D58/D$4*100)</f>
        <v>97.0140972940257</v>
      </c>
      <c r="J58" s="23" t="n">
        <f aca="false">IF(E58="","",E58/E$4*100)</f>
        <v>104.821505376344</v>
      </c>
    </row>
    <row r="59" customFormat="false" ht="15" hidden="false" customHeight="false" outlineLevel="0" collapsed="false">
      <c r="A59" s="21" t="n">
        <v>44855</v>
      </c>
      <c r="B59" s="22" t="n">
        <v>781.53</v>
      </c>
      <c r="C59" s="22" t="n">
        <v>5147.37</v>
      </c>
      <c r="D59" s="22" t="n">
        <v>759.51</v>
      </c>
      <c r="E59" s="22" t="n">
        <v>998.02</v>
      </c>
      <c r="F59" s="2"/>
      <c r="G59" s="23" t="n">
        <f aca="false">IF(B59="","",B59/B$4*100)</f>
        <v>91.5871925823667</v>
      </c>
      <c r="H59" s="23" t="n">
        <f aca="false">IF(C59="","",C59/C$4*100)</f>
        <v>118.96702351897</v>
      </c>
      <c r="I59" s="23" t="n">
        <f aca="false">IF(D59="","",D59/D$4*100)</f>
        <v>95.7695508536555</v>
      </c>
      <c r="J59" s="23" t="n">
        <f aca="false">IF(E59="","",E59/E$4*100)</f>
        <v>107.313978494624</v>
      </c>
    </row>
    <row r="60" customFormat="false" ht="15" hidden="false" customHeight="false" outlineLevel="0" collapsed="false">
      <c r="A60" s="21" t="n">
        <v>44862</v>
      </c>
      <c r="B60" s="22" t="n">
        <v>802.831</v>
      </c>
      <c r="C60" s="22" t="n">
        <v>5193.81</v>
      </c>
      <c r="D60" s="22" t="n">
        <v>788.49</v>
      </c>
      <c r="E60" s="22" t="n">
        <v>1031.8</v>
      </c>
      <c r="F60" s="2"/>
      <c r="G60" s="23" t="n">
        <f aca="false">IF(B60="","",B60/B$4*100)</f>
        <v>94.083448374463</v>
      </c>
      <c r="H60" s="23" t="n">
        <f aca="false">IF(C60="","",C60/C$4*100)</f>
        <v>120.040353893943</v>
      </c>
      <c r="I60" s="23" t="n">
        <f aca="false">IF(D60="","",D60/D$4*100)</f>
        <v>99.4237510402744</v>
      </c>
      <c r="J60" s="23" t="n">
        <f aca="false">IF(E60="","",E60/E$4*100)</f>
        <v>110.94623655914</v>
      </c>
    </row>
    <row r="61" customFormat="false" ht="15" hidden="false" customHeight="false" outlineLevel="0" collapsed="false">
      <c r="A61" s="21" t="n">
        <v>44869</v>
      </c>
      <c r="B61" s="22" t="n">
        <v>824.778</v>
      </c>
      <c r="C61" s="22" t="n">
        <v>5220.04</v>
      </c>
      <c r="D61" s="22" t="n">
        <v>821.34</v>
      </c>
      <c r="E61" s="22" t="n">
        <v>1004.9</v>
      </c>
      <c r="F61" s="2"/>
      <c r="G61" s="23" t="n">
        <f aca="false">IF(B61="","",B61/B$4*100)</f>
        <v>96.6554086518742</v>
      </c>
      <c r="H61" s="23" t="n">
        <f aca="false">IF(C61="","",C61/C$4*100)</f>
        <v>120.646586790918</v>
      </c>
      <c r="I61" s="23" t="n">
        <f aca="false">IF(D61="","",D61/D$4*100)</f>
        <v>103.565934481628</v>
      </c>
      <c r="J61" s="23" t="n">
        <f aca="false">IF(E61="","",E61/E$4*100)</f>
        <v>108.05376344086</v>
      </c>
    </row>
    <row r="62" customFormat="false" ht="15" hidden="false" customHeight="false" outlineLevel="0" collapsed="false">
      <c r="A62" s="21" t="n">
        <v>44876</v>
      </c>
      <c r="B62" s="22" t="n">
        <v>895.87</v>
      </c>
      <c r="C62" s="22" t="n">
        <v>5350.79</v>
      </c>
      <c r="D62" s="22" t="n">
        <v>912.89</v>
      </c>
      <c r="E62" s="22" t="n">
        <v>1138.8</v>
      </c>
      <c r="F62" s="2"/>
      <c r="G62" s="23" t="n">
        <f aca="false">IF(B62="","",B62/B$4*100)</f>
        <v>104.986652103905</v>
      </c>
      <c r="H62" s="23" t="n">
        <f aca="false">IF(C62="","",C62/C$4*100)</f>
        <v>123.668506397456</v>
      </c>
      <c r="I62" s="23" t="n">
        <f aca="false">IF(D62="","",D62/D$4*100)</f>
        <v>115.109827755781</v>
      </c>
      <c r="J62" s="23" t="n">
        <f aca="false">IF(E62="","",E62/E$4*100)</f>
        <v>122.451612903226</v>
      </c>
    </row>
    <row r="63" customFormat="false" ht="15" hidden="false" customHeight="false" outlineLevel="0" collapsed="false">
      <c r="A63" s="21" t="n">
        <v>44883</v>
      </c>
      <c r="B63" s="22" t="n">
        <v>972.027</v>
      </c>
      <c r="C63" s="22" t="n">
        <v>5196.92</v>
      </c>
      <c r="D63" s="22" t="n">
        <v>964.66</v>
      </c>
      <c r="E63" s="22" t="n">
        <v>1165.1</v>
      </c>
      <c r="F63" s="2"/>
      <c r="G63" s="23" t="n">
        <f aca="false">IF(B63="","",B63/B$4*100)</f>
        <v>113.911460909063</v>
      </c>
      <c r="H63" s="23" t="n">
        <f aca="false">IF(C63="","",C63/C$4*100)</f>
        <v>120.112232823016</v>
      </c>
      <c r="I63" s="23" t="n">
        <f aca="false">IF(D63="","",D63/D$4*100)</f>
        <v>121.637707109172</v>
      </c>
      <c r="J63" s="23" t="n">
        <f aca="false">IF(E63="","",E63/E$4*100)</f>
        <v>125.279569892473</v>
      </c>
    </row>
    <row r="64" customFormat="false" ht="15" hidden="false" customHeight="false" outlineLevel="0" collapsed="false">
      <c r="A64" s="21" t="n">
        <v>44890</v>
      </c>
      <c r="B64" s="22" t="n">
        <v>949.604</v>
      </c>
      <c r="C64" s="22" t="n">
        <v>5249.57</v>
      </c>
      <c r="D64" s="22" t="n">
        <v>946.92</v>
      </c>
      <c r="E64" s="22" t="n">
        <v>1199</v>
      </c>
      <c r="F64" s="2"/>
      <c r="G64" s="23" t="n">
        <f aca="false">IF(B64="","",B64/B$4*100)</f>
        <v>111.283718379315</v>
      </c>
      <c r="H64" s="23" t="n">
        <f aca="false">IF(C64="","",C64/C$4*100)</f>
        <v>121.329089934176</v>
      </c>
      <c r="I64" s="23" t="n">
        <f aca="false">IF(D64="","",D64/D$4*100)</f>
        <v>119.400801956977</v>
      </c>
      <c r="J64" s="23" t="n">
        <f aca="false">IF(E64="","",E64/E$4*100)</f>
        <v>128.924731182796</v>
      </c>
    </row>
    <row r="65" customFormat="false" ht="15" hidden="false" customHeight="false" outlineLevel="0" collapsed="false">
      <c r="A65" s="21" t="n">
        <v>44897</v>
      </c>
      <c r="B65" s="22" t="n">
        <v>992.057</v>
      </c>
      <c r="C65" s="22" t="n">
        <v>5290.76</v>
      </c>
      <c r="D65" s="22" t="n">
        <v>976.52</v>
      </c>
      <c r="E65" s="22" t="n">
        <v>1199</v>
      </c>
      <c r="F65" s="2"/>
      <c r="G65" s="23" t="n">
        <f aca="false">IF(B65="","",B65/B$4*100)</f>
        <v>116.25876871225</v>
      </c>
      <c r="H65" s="23" t="n">
        <f aca="false">IF(C65="","",C65/C$4*100)</f>
        <v>122.28108128097</v>
      </c>
      <c r="I65" s="23" t="n">
        <f aca="false">IF(D65="","",D65/D$4*100)</f>
        <v>123.133180339445</v>
      </c>
      <c r="J65" s="23" t="n">
        <f aca="false">IF(E65="","",E65/E$4*100)</f>
        <v>128.924731182796</v>
      </c>
    </row>
    <row r="66" customFormat="false" ht="15" hidden="false" customHeight="false" outlineLevel="0" collapsed="false">
      <c r="A66" s="21" t="n">
        <v>44904</v>
      </c>
      <c r="B66" s="22" t="n">
        <v>951.243</v>
      </c>
      <c r="C66" s="22" t="n">
        <v>5192.68</v>
      </c>
      <c r="D66" s="22" t="n">
        <v>937.06</v>
      </c>
      <c r="E66" s="22" t="n">
        <v>1170</v>
      </c>
      <c r="F66" s="2"/>
      <c r="G66" s="23" t="n">
        <f aca="false">IF(B66="","",B66/B$4*100)</f>
        <v>111.47579214314</v>
      </c>
      <c r="H66" s="23" t="n">
        <f aca="false">IF(C66="","",C66/C$4*100)</f>
        <v>120.01423711264</v>
      </c>
      <c r="I66" s="23" t="n">
        <f aca="false">IF(D66="","",D66/D$4*100)</f>
        <v>118.157516455249</v>
      </c>
      <c r="J66" s="23" t="n">
        <f aca="false">IF(E66="","",E66/E$4*100)</f>
        <v>125.806451612903</v>
      </c>
    </row>
    <row r="67" customFormat="false" ht="15" hidden="false" customHeight="false" outlineLevel="0" collapsed="false">
      <c r="A67" s="21" t="n">
        <v>44911</v>
      </c>
      <c r="B67" s="22" t="n">
        <v>928.502</v>
      </c>
      <c r="C67" s="22" t="n">
        <v>5161.26</v>
      </c>
      <c r="D67" s="22" t="n">
        <v>974.54</v>
      </c>
      <c r="E67" s="22" t="n">
        <v>1199</v>
      </c>
      <c r="F67" s="2"/>
      <c r="G67" s="23" t="n">
        <f aca="false">IF(B67="","",B67/B$4*100)</f>
        <v>108.810783318763</v>
      </c>
      <c r="H67" s="23" t="n">
        <f aca="false">IF(C67="","",C67/C$4*100)</f>
        <v>119.288051919237</v>
      </c>
      <c r="I67" s="23" t="n">
        <f aca="false">IF(D67="","",D67/D$4*100)</f>
        <v>122.883514488185</v>
      </c>
      <c r="J67" s="23" t="n">
        <f aca="false">IF(E67="","",E67/E$4*100)</f>
        <v>128.924731182796</v>
      </c>
    </row>
    <row r="68" customFormat="false" ht="15" hidden="false" customHeight="false" outlineLevel="0" collapsed="false">
      <c r="A68" s="21" t="n">
        <v>44918</v>
      </c>
      <c r="B68" s="22" t="n">
        <v>978.154</v>
      </c>
      <c r="C68" s="22" t="n">
        <v>5256.91</v>
      </c>
      <c r="D68" s="22" t="n">
        <v>1005.12</v>
      </c>
      <c r="E68" s="22" t="n">
        <v>1297</v>
      </c>
      <c r="F68" s="2"/>
      <c r="G68" s="23" t="n">
        <f aca="false">IF(B68="","",B68/B$4*100)</f>
        <v>114.629481623498</v>
      </c>
      <c r="H68" s="23" t="n">
        <f aca="false">IF(C68="","",C68/C$4*100)</f>
        <v>121.498733451668</v>
      </c>
      <c r="I68" s="23" t="n">
        <f aca="false">IF(D68="","",D68/D$4*100)</f>
        <v>126.73946485764</v>
      </c>
      <c r="J68" s="23" t="n">
        <f aca="false">IF(E68="","",E68/E$4*100)</f>
        <v>139.462365591398</v>
      </c>
    </row>
    <row r="69" customFormat="false" ht="15" hidden="false" customHeight="false" outlineLevel="0" collapsed="false">
      <c r="A69" s="21" t="n">
        <v>44925</v>
      </c>
      <c r="B69" s="22" t="n">
        <v>1050.647</v>
      </c>
      <c r="C69" s="22" t="n">
        <v>5261.91</v>
      </c>
      <c r="D69" s="22" t="n">
        <v>1067.16</v>
      </c>
      <c r="E69" s="22" t="n">
        <v>1338.8</v>
      </c>
      <c r="F69" s="2"/>
      <c r="G69" s="23" t="n">
        <f aca="false">IF(B69="","",B69/B$4*100)</f>
        <v>123.124907713185</v>
      </c>
      <c r="H69" s="23" t="n">
        <f aca="false">IF(C69="","",C69/C$4*100)</f>
        <v>121.614294430885</v>
      </c>
      <c r="I69" s="23" t="n">
        <f aca="false">IF(D69="","",D69/D$4*100)</f>
        <v>134.56232819711</v>
      </c>
      <c r="J69" s="23" t="n">
        <f aca="false">IF(E69="","",E69/E$4*100)</f>
        <v>143.956989247312</v>
      </c>
    </row>
    <row r="70" customFormat="false" ht="15" hidden="false" customHeight="false" outlineLevel="0" collapsed="false">
      <c r="A70" s="21" t="n">
        <v>44932</v>
      </c>
      <c r="B70" s="22" t="n">
        <v>977.429</v>
      </c>
      <c r="C70" s="22" t="n">
        <v>5136.69</v>
      </c>
      <c r="D70" s="22" t="n">
        <v>991.41</v>
      </c>
      <c r="E70" s="22" t="n">
        <v>1262.7</v>
      </c>
      <c r="F70" s="2"/>
      <c r="G70" s="23" t="n">
        <f aca="false">IF(B70="","",B70/B$4*100)</f>
        <v>114.544519159329</v>
      </c>
      <c r="H70" s="23" t="n">
        <f aca="false">IF(C70="","",C70/C$4*100)</f>
        <v>118.720185267362</v>
      </c>
      <c r="I70" s="23" t="n">
        <f aca="false">IF(D70="","",D70/D$4*100)</f>
        <v>125.010717978463</v>
      </c>
      <c r="J70" s="23" t="n">
        <f aca="false">IF(E70="","",E70/E$4*100)</f>
        <v>135.774193548387</v>
      </c>
    </row>
    <row r="71" customFormat="false" ht="15" hidden="false" customHeight="false" outlineLevel="0" collapsed="false">
      <c r="A71" s="21" t="n">
        <v>44939</v>
      </c>
      <c r="B71" s="22" t="n">
        <v>1077.459</v>
      </c>
      <c r="C71" s="22" t="n">
        <v>5156.65</v>
      </c>
      <c r="D71" s="22" t="n">
        <v>1033.13</v>
      </c>
      <c r="E71" s="22" t="n">
        <v>1255</v>
      </c>
      <c r="F71" s="2"/>
      <c r="G71" s="23" t="n">
        <f aca="false">IF(B71="","",B71/B$4*100)</f>
        <v>126.266995422574</v>
      </c>
      <c r="H71" s="23" t="n">
        <f aca="false">IF(C71="","",C71/C$4*100)</f>
        <v>119.181504696398</v>
      </c>
      <c r="I71" s="23" t="n">
        <f aca="false">IF(D71="","",D71/D$4*100)</f>
        <v>130.271353995915</v>
      </c>
      <c r="J71" s="23" t="n">
        <f aca="false">IF(E71="","",E71/E$4*100)</f>
        <v>134.94623655914</v>
      </c>
    </row>
    <row r="72" customFormat="false" ht="15" hidden="false" customHeight="false" outlineLevel="0" collapsed="false">
      <c r="A72" s="21" t="n">
        <v>44946</v>
      </c>
      <c r="B72" s="22" t="n">
        <v>1090.17</v>
      </c>
      <c r="C72" s="22" t="n">
        <v>5235.97</v>
      </c>
      <c r="D72" s="22" t="n">
        <v>1055.33</v>
      </c>
      <c r="E72" s="22" t="n">
        <v>1279.3</v>
      </c>
      <c r="F72" s="2"/>
      <c r="G72" s="23" t="n">
        <f aca="false">IF(B72="","",B72/B$4*100)</f>
        <v>127.756592501272</v>
      </c>
      <c r="H72" s="23" t="n">
        <f aca="false">IF(C72="","",C72/C$4*100)</f>
        <v>121.014764070705</v>
      </c>
      <c r="I72" s="23" t="n">
        <f aca="false">IF(D72="","",D72/D$4*100)</f>
        <v>133.070637782766</v>
      </c>
      <c r="J72" s="23" t="n">
        <f aca="false">IF(E72="","",E72/E$4*100)</f>
        <v>137.559139784946</v>
      </c>
    </row>
    <row r="73" customFormat="false" ht="15" hidden="false" customHeight="false" outlineLevel="0" collapsed="false">
      <c r="A73" s="21" t="n">
        <v>44953</v>
      </c>
      <c r="B73" s="22" t="n">
        <v>1092.256</v>
      </c>
      <c r="C73" s="22" t="n">
        <v>5351.34</v>
      </c>
      <c r="D73" s="22" t="n">
        <v>1050.49</v>
      </c>
      <c r="E73" s="22" t="n">
        <v>1249</v>
      </c>
      <c r="F73" s="2"/>
      <c r="G73" s="23" t="n">
        <f aca="false">IF(B73="","",B73/B$4*100)</f>
        <v>128.001050018868</v>
      </c>
      <c r="H73" s="23" t="n">
        <f aca="false">IF(C73="","",C73/C$4*100)</f>
        <v>123.68121810517</v>
      </c>
      <c r="I73" s="23" t="n">
        <f aca="false">IF(D73="","",D73/D$4*100)</f>
        <v>132.460343479686</v>
      </c>
      <c r="J73" s="23" t="n">
        <f aca="false">IF(E73="","",E73/E$4*100)</f>
        <v>134.301075268817</v>
      </c>
    </row>
    <row r="74" customFormat="false" ht="15" hidden="false" customHeight="false" outlineLevel="0" collapsed="false">
      <c r="A74" s="21" t="n">
        <v>44960</v>
      </c>
      <c r="B74" s="22" t="n">
        <v>1102.385</v>
      </c>
      <c r="C74" s="22" t="n">
        <v>5314.29</v>
      </c>
      <c r="D74" s="22" t="n">
        <v>1020.51</v>
      </c>
      <c r="E74" s="22" t="n">
        <v>1235.2</v>
      </c>
      <c r="F74" s="2"/>
      <c r="G74" s="23" t="n">
        <f aca="false">IF(B74="","",B74/B$4*100)</f>
        <v>129.188063535517</v>
      </c>
      <c r="H74" s="23" t="n">
        <f aca="false">IF(C74="","",C74/C$4*100)</f>
        <v>122.824911249168</v>
      </c>
      <c r="I74" s="23" t="n">
        <f aca="false">IF(D74="","",D74/D$4*100)</f>
        <v>128.680049428795</v>
      </c>
      <c r="J74" s="23" t="n">
        <f aca="false">IF(E74="","",E74/E$4*100)</f>
        <v>132.817204301075</v>
      </c>
    </row>
    <row r="75" customFormat="false" ht="15" hidden="false" customHeight="false" outlineLevel="0" collapsed="false">
      <c r="A75" s="21" t="n">
        <v>44967</v>
      </c>
      <c r="B75" s="22" t="n">
        <v>1076.367</v>
      </c>
      <c r="C75" s="22" t="n">
        <v>5392.45</v>
      </c>
      <c r="D75" s="22" t="n">
        <v>1045.46</v>
      </c>
      <c r="E75" s="22" t="n">
        <v>1275</v>
      </c>
      <c r="F75" s="2"/>
      <c r="G75" s="23" t="n">
        <f aca="false">IF(B75="","",B75/B$4*100)</f>
        <v>126.139024373094</v>
      </c>
      <c r="H75" s="23" t="n">
        <f aca="false">IF(C75="","",C75/C$4*100)</f>
        <v>124.631360476296</v>
      </c>
      <c r="I75" s="23" t="n">
        <f aca="false">IF(D75="","",D75/D$4*100)</f>
        <v>131.826091342395</v>
      </c>
      <c r="J75" s="23" t="n">
        <f aca="false">IF(E75="","",E75/E$4*100)</f>
        <v>137.096774193548</v>
      </c>
    </row>
    <row r="76" customFormat="false" ht="15" hidden="false" customHeight="false" outlineLevel="0" collapsed="false">
      <c r="A76" s="21" t="n">
        <v>44974</v>
      </c>
      <c r="B76" s="22" t="n">
        <v>1106.258</v>
      </c>
      <c r="C76" s="22" t="n">
        <v>5328.96</v>
      </c>
      <c r="D76" s="22" t="n">
        <v>1027.91</v>
      </c>
      <c r="E76" s="22" t="n">
        <v>1227.4</v>
      </c>
      <c r="F76" s="2"/>
      <c r="G76" s="23" t="n">
        <f aca="false">IF(B76="","",B76/B$4*100)</f>
        <v>129.641938878589</v>
      </c>
      <c r="H76" s="23" t="n">
        <f aca="false">IF(C76="","",C76/C$4*100)</f>
        <v>123.163967162192</v>
      </c>
      <c r="I76" s="23" t="n">
        <f aca="false">IF(D76="","",D76/D$4*100)</f>
        <v>129.613144024412</v>
      </c>
      <c r="J76" s="23" t="n">
        <f aca="false">IF(E76="","",E76/E$4*100)</f>
        <v>131.978494623656</v>
      </c>
    </row>
    <row r="77" customFormat="false" ht="15" hidden="false" customHeight="false" outlineLevel="0" collapsed="false">
      <c r="A77" s="21" t="n">
        <v>44981</v>
      </c>
      <c r="B77" s="22" t="n">
        <v>1016.089</v>
      </c>
      <c r="C77" s="22" t="n">
        <v>5331.57</v>
      </c>
      <c r="D77" s="22" t="n">
        <v>961.72</v>
      </c>
      <c r="E77" s="22" t="n">
        <v>1180</v>
      </c>
      <c r="F77" s="2"/>
      <c r="G77" s="23" t="n">
        <f aca="false">IF(B77="","",B77/B$4*100)</f>
        <v>119.075069317652</v>
      </c>
      <c r="H77" s="23" t="n">
        <f aca="false">IF(C77="","",C77/C$4*100)</f>
        <v>123.224289993344</v>
      </c>
      <c r="I77" s="23" t="n">
        <f aca="false">IF(D77="","",D77/D$4*100)</f>
        <v>121.266991148211</v>
      </c>
      <c r="J77" s="23" t="n">
        <f aca="false">IF(E77="","",E77/E$4*100)</f>
        <v>126.881720430108</v>
      </c>
    </row>
    <row r="78" customFormat="false" ht="15" hidden="false" customHeight="false" outlineLevel="0" collapsed="false">
      <c r="A78" s="21" t="n">
        <v>44988</v>
      </c>
      <c r="B78" s="22" t="n">
        <v>999.008</v>
      </c>
      <c r="C78" s="22" t="n">
        <v>5439.46</v>
      </c>
      <c r="D78" s="22" t="n">
        <v>1033.73</v>
      </c>
      <c r="E78" s="22" t="n">
        <v>1200</v>
      </c>
      <c r="F78" s="2"/>
      <c r="G78" s="23" t="n">
        <f aca="false">IF(B78="","",B78/B$4*100)</f>
        <v>117.073353661824</v>
      </c>
      <c r="H78" s="23" t="n">
        <f aca="false">IF(C78="","",C78/C$4*100)</f>
        <v>125.717864802899</v>
      </c>
      <c r="I78" s="23" t="n">
        <f aca="false">IF(D78="","",D78/D$4*100)</f>
        <v>130.347010314478</v>
      </c>
      <c r="J78" s="23" t="n">
        <f aca="false">IF(E78="","",E78/E$4*100)</f>
        <v>129.032258064516</v>
      </c>
    </row>
    <row r="79" customFormat="false" ht="15" hidden="false" customHeight="false" outlineLevel="0" collapsed="false">
      <c r="A79" s="21" t="n">
        <v>44995</v>
      </c>
      <c r="B79" s="22" t="n">
        <v>1053.626</v>
      </c>
      <c r="C79" s="22" t="n">
        <v>5393.72</v>
      </c>
      <c r="D79" s="22" t="n">
        <v>1163.93</v>
      </c>
      <c r="E79" s="22" t="n">
        <v>1330</v>
      </c>
      <c r="F79" s="2"/>
      <c r="G79" s="23" t="n">
        <f aca="false">IF(B79="","",B79/B$4*100)</f>
        <v>123.474015548717</v>
      </c>
      <c r="H79" s="23" t="n">
        <f aca="false">IF(C79="","",C79/C$4*100)</f>
        <v>124.660712965017</v>
      </c>
      <c r="I79" s="23" t="n">
        <f aca="false">IF(D79="","",D79/D$4*100)</f>
        <v>146.764431442766</v>
      </c>
      <c r="J79" s="23" t="n">
        <f aca="false">IF(E79="","",E79/E$4*100)</f>
        <v>143.010752688172</v>
      </c>
    </row>
    <row r="80" customFormat="false" ht="15" hidden="false" customHeight="false" outlineLevel="0" collapsed="false">
      <c r="A80" s="21" t="n">
        <v>45002</v>
      </c>
      <c r="B80" s="22" t="n">
        <v>1052.633</v>
      </c>
      <c r="C80" s="22" t="n">
        <v>5112.03</v>
      </c>
      <c r="D80" s="22" t="n">
        <v>1046.55</v>
      </c>
      <c r="E80" s="22" t="n">
        <v>1226</v>
      </c>
      <c r="F80" s="2"/>
      <c r="G80" s="23" t="n">
        <f aca="false">IF(B80="","",B80/B$4*100)</f>
        <v>123.357646270206</v>
      </c>
      <c r="H80" s="23" t="n">
        <f aca="false">IF(C80="","",C80/C$4*100)</f>
        <v>118.150238517861</v>
      </c>
      <c r="I80" s="23" t="n">
        <f aca="false">IF(D80="","",D80/D$4*100)</f>
        <v>131.963533654452</v>
      </c>
      <c r="J80" s="23" t="n">
        <f aca="false">IF(E80="","",E80/E$4*100)</f>
        <v>131.827956989247</v>
      </c>
    </row>
    <row r="81" customFormat="false" ht="15" hidden="false" customHeight="false" outlineLevel="0" collapsed="false">
      <c r="A81" s="21" t="n">
        <v>45009</v>
      </c>
      <c r="B81" s="22" t="n">
        <v>1070.707</v>
      </c>
      <c r="C81" s="22" t="n">
        <v>5248.86</v>
      </c>
      <c r="D81" s="22" t="n">
        <v>1118.36</v>
      </c>
      <c r="E81" s="22" t="n">
        <v>1295</v>
      </c>
      <c r="F81" s="2"/>
      <c r="G81" s="23" t="n">
        <f aca="false">IF(B81="","",B81/B$4*100)</f>
        <v>125.475731204545</v>
      </c>
      <c r="H81" s="23" t="n">
        <f aca="false">IF(C81="","",C81/C$4*100)</f>
        <v>121.312680275128</v>
      </c>
      <c r="I81" s="23" t="n">
        <f aca="false">IF(D81="","",D81/D$4*100)</f>
        <v>141.018334047865</v>
      </c>
      <c r="J81" s="23" t="n">
        <f aca="false">IF(E81="","",E81/E$4*100)</f>
        <v>139.247311827957</v>
      </c>
    </row>
    <row r="82" customFormat="false" ht="15" hidden="false" customHeight="false" outlineLevel="0" collapsed="false">
      <c r="A82" s="21" t="n">
        <v>45016</v>
      </c>
      <c r="B82" s="22" t="n">
        <v>1036.844</v>
      </c>
      <c r="C82" s="22" t="n">
        <v>5324.62</v>
      </c>
      <c r="D82" s="22" t="n">
        <v>1114.61</v>
      </c>
      <c r="E82" s="22" t="n">
        <v>1280</v>
      </c>
      <c r="F82" s="2"/>
      <c r="G82" s="23" t="n">
        <f aca="false">IF(B82="","",B82/B$4*100)</f>
        <v>121.507339585008</v>
      </c>
      <c r="H82" s="23" t="n">
        <f aca="false">IF(C82="","",C82/C$4*100)</f>
        <v>123.063660232231</v>
      </c>
      <c r="I82" s="23" t="n">
        <f aca="false">IF(D82="","",D82/D$4*100)</f>
        <v>140.545482056843</v>
      </c>
      <c r="J82" s="23" t="n">
        <f aca="false">IF(E82="","",E82/E$4*100)</f>
        <v>137.634408602151</v>
      </c>
    </row>
    <row r="83" customFormat="false" ht="15" hidden="false" customHeight="false" outlineLevel="0" collapsed="false">
      <c r="A83" s="21" t="n">
        <v>45023</v>
      </c>
      <c r="B83" s="22" t="n">
        <v>1026.913</v>
      </c>
      <c r="C83" s="22" t="n">
        <v>5274.2</v>
      </c>
      <c r="D83" s="22" t="n">
        <v>1100.21</v>
      </c>
      <c r="E83" s="22" t="n">
        <v>1250.7</v>
      </c>
      <c r="F83" s="2"/>
      <c r="G83" s="23" t="n">
        <f aca="false">IF(B83="","",B83/B$4*100)</f>
        <v>120.343529610298</v>
      </c>
      <c r="H83" s="23" t="n">
        <f aca="false">IF(C83="","",C83/C$4*100)</f>
        <v>121.898343317802</v>
      </c>
      <c r="I83" s="23" t="n">
        <f aca="false">IF(D83="","",D83/D$4*100)</f>
        <v>138.729730411318</v>
      </c>
      <c r="J83" s="23" t="n">
        <f aca="false">IF(E83="","",E83/E$4*100)</f>
        <v>134.483870967742</v>
      </c>
    </row>
    <row r="84" customFormat="false" ht="15" hidden="false" customHeight="false" outlineLevel="0" collapsed="false">
      <c r="A84" s="21" t="n">
        <v>45030</v>
      </c>
      <c r="B84" s="22" t="n">
        <v>1013.209</v>
      </c>
      <c r="C84" s="22" t="n">
        <v>5417.18</v>
      </c>
      <c r="D84" s="22" t="n">
        <v>1120.53</v>
      </c>
      <c r="E84" s="22" t="n">
        <v>1272.9</v>
      </c>
      <c r="F84" s="2"/>
      <c r="G84" s="23" t="n">
        <f aca="false">IF(B84="","",B84/B$4*100)</f>
        <v>118.73756325309</v>
      </c>
      <c r="H84" s="23" t="n">
        <f aca="false">IF(C84="","",C84/C$4*100)</f>
        <v>125.202925079506</v>
      </c>
      <c r="I84" s="23" t="n">
        <f aca="false">IF(D84="","",D84/D$4*100)</f>
        <v>141.291957733337</v>
      </c>
      <c r="J84" s="23" t="n">
        <f aca="false">IF(E84="","",E84/E$4*100)</f>
        <v>136.870967741936</v>
      </c>
    </row>
    <row r="85" customFormat="false" ht="15" hidden="false" customHeight="false" outlineLevel="0" collapsed="false">
      <c r="A85" s="21" t="n">
        <v>45037</v>
      </c>
      <c r="B85" s="22" t="n">
        <v>1012.911</v>
      </c>
      <c r="C85" s="22" t="n">
        <v>5226.93</v>
      </c>
      <c r="D85" s="22" t="n">
        <v>1104.74</v>
      </c>
      <c r="E85" s="22" t="n">
        <v>1234</v>
      </c>
      <c r="F85" s="2"/>
      <c r="G85" s="23" t="n">
        <f aca="false">IF(B85="","",B85/B$4*100)</f>
        <v>118.702640750576</v>
      </c>
      <c r="H85" s="23" t="n">
        <f aca="false">IF(C85="","",C85/C$4*100)</f>
        <v>120.80582982028</v>
      </c>
      <c r="I85" s="23" t="n">
        <f aca="false">IF(D85="","",D85/D$4*100)</f>
        <v>139.300935616473</v>
      </c>
      <c r="J85" s="23" t="n">
        <f aca="false">IF(E85="","",E85/E$4*100)</f>
        <v>132.688172043011</v>
      </c>
    </row>
    <row r="86" customFormat="false" ht="15" hidden="false" customHeight="false" outlineLevel="0" collapsed="false">
      <c r="A86" s="21" t="n">
        <v>45044</v>
      </c>
      <c r="B86" s="22" t="n">
        <v>1031.183</v>
      </c>
      <c r="C86" s="22" t="n">
        <v>5416.09</v>
      </c>
      <c r="D86" s="22" t="n">
        <v>1128.42</v>
      </c>
      <c r="E86" s="22" t="n">
        <v>1285.6</v>
      </c>
      <c r="F86" s="2"/>
      <c r="G86" s="23" t="n">
        <f aca="false">IF(B86="","",B86/B$4*100)</f>
        <v>120.843929226853</v>
      </c>
      <c r="H86" s="23" t="n">
        <f aca="false">IF(C86="","",C86/C$4*100)</f>
        <v>125.177732786037</v>
      </c>
      <c r="I86" s="23" t="n">
        <f aca="false">IF(D86="","",D86/D$4*100)</f>
        <v>142.286838322447</v>
      </c>
      <c r="J86" s="23" t="n">
        <f aca="false">IF(E86="","",E86/E$4*100)</f>
        <v>138.236559139785</v>
      </c>
    </row>
    <row r="87" customFormat="false" ht="15" hidden="false" customHeight="false" outlineLevel="0" collapsed="false">
      <c r="A87" s="21" t="n">
        <v>45051</v>
      </c>
      <c r="B87" s="22" t="n">
        <v>1034.857</v>
      </c>
      <c r="C87" s="22" t="n">
        <v>5480.42</v>
      </c>
      <c r="D87" s="22" t="n">
        <v>1119.54</v>
      </c>
      <c r="E87" s="22" t="n">
        <v>1311.6</v>
      </c>
      <c r="F87" s="2"/>
      <c r="G87" s="23" t="n">
        <f aca="false">IF(B87="","",B87/B$4*100)</f>
        <v>121.274483838381</v>
      </c>
      <c r="H87" s="23" t="n">
        <f aca="false">IF(C87="","",C87/C$4*100)</f>
        <v>126.664540344649</v>
      </c>
      <c r="I87" s="23" t="n">
        <f aca="false">IF(D87="","",D87/D$4*100)</f>
        <v>141.167124807707</v>
      </c>
      <c r="J87" s="23" t="n">
        <f aca="false">IF(E87="","",E87/E$4*100)</f>
        <v>141.032258064516</v>
      </c>
    </row>
    <row r="88" customFormat="false" ht="15" hidden="false" customHeight="false" outlineLevel="0" collapsed="false">
      <c r="A88" s="21" t="n">
        <v>45058</v>
      </c>
      <c r="B88" s="22" t="n">
        <v>1022.842</v>
      </c>
      <c r="C88" s="22" t="n">
        <v>5596.49</v>
      </c>
      <c r="D88" s="22" t="n">
        <v>1140.25</v>
      </c>
      <c r="E88" s="22" t="n">
        <v>1267.5</v>
      </c>
      <c r="F88" s="2"/>
      <c r="G88" s="23" t="n">
        <f aca="false">IF(B88="","",B88/B$4*100)</f>
        <v>119.866450725286</v>
      </c>
      <c r="H88" s="23" t="n">
        <f aca="false">IF(C88="","",C88/C$4*100)</f>
        <v>129.347172916204</v>
      </c>
      <c r="I88" s="23" t="n">
        <f aca="false">IF(D88="","",D88/D$4*100)</f>
        <v>143.778528736792</v>
      </c>
      <c r="J88" s="23" t="n">
        <f aca="false">IF(E88="","",E88/E$4*100)</f>
        <v>136.290322580645</v>
      </c>
    </row>
    <row r="89" customFormat="false" ht="15" hidden="false" customHeight="false" outlineLevel="0" collapsed="false">
      <c r="A89" s="21" t="n">
        <v>45065</v>
      </c>
      <c r="B89" s="22" t="n">
        <v>1061.57</v>
      </c>
      <c r="C89" s="22" t="n">
        <v>5653.6</v>
      </c>
      <c r="D89" s="22" t="n">
        <v>1154.75</v>
      </c>
      <c r="E89" s="22" t="n">
        <v>1271.1</v>
      </c>
      <c r="F89" s="2"/>
      <c r="G89" s="23" t="n">
        <f aca="false">IF(B89="","",B89/B$4*100)</f>
        <v>124.404969776801</v>
      </c>
      <c r="H89" s="23" t="n">
        <f aca="false">IF(C89="","",C89/C$4*100)</f>
        <v>130.667110420827</v>
      </c>
      <c r="I89" s="23" t="n">
        <f aca="false">IF(D89="","",D89/D$4*100)</f>
        <v>145.606889768744</v>
      </c>
      <c r="J89" s="23" t="n">
        <f aca="false">IF(E89="","",E89/E$4*100)</f>
        <v>136.677419354839</v>
      </c>
    </row>
    <row r="90" customFormat="false" ht="15" hidden="false" customHeight="false" outlineLevel="0" collapsed="false">
      <c r="A90" s="21" t="n">
        <v>45072</v>
      </c>
      <c r="B90" s="22" t="n">
        <v>1015.294</v>
      </c>
      <c r="C90" s="22" t="n">
        <v>5609.45</v>
      </c>
      <c r="D90" s="22" t="n">
        <v>1142.23</v>
      </c>
      <c r="E90" s="22" t="n">
        <v>1265.1</v>
      </c>
      <c r="F90" s="2"/>
      <c r="G90" s="23" t="n">
        <f aca="false">IF(B90="","",B90/B$4*100)</f>
        <v>118.98190358108</v>
      </c>
      <c r="H90" s="23" t="n">
        <f aca="false">IF(C90="","",C90/C$4*100)</f>
        <v>129.646706974336</v>
      </c>
      <c r="I90" s="23" t="n">
        <f aca="false">IF(D90="","",D90/D$4*100)</f>
        <v>144.028194588051</v>
      </c>
      <c r="J90" s="23" t="n">
        <f aca="false">IF(E90="","",E90/E$4*100)</f>
        <v>136.032258064516</v>
      </c>
    </row>
    <row r="91" customFormat="false" ht="15" hidden="false" customHeight="false" outlineLevel="0" collapsed="false">
      <c r="A91" s="21" t="n">
        <v>45079</v>
      </c>
      <c r="B91" s="22" t="n">
        <v>1056.903</v>
      </c>
      <c r="C91" s="22" t="n">
        <v>5653.81</v>
      </c>
      <c r="D91" s="22" t="n">
        <v>1127.53</v>
      </c>
      <c r="E91" s="22" t="n">
        <v>1323.9</v>
      </c>
      <c r="F91" s="2"/>
      <c r="G91" s="23" t="n">
        <f aca="false">IF(B91="","",B91/B$4*100)</f>
        <v>123.858045886762</v>
      </c>
      <c r="H91" s="23" t="n">
        <f aca="false">IF(C91="","",C91/C$4*100)</f>
        <v>130.671963981954</v>
      </c>
      <c r="I91" s="23" t="n">
        <f aca="false">IF(D91="","",D91/D$4*100)</f>
        <v>142.174614783245</v>
      </c>
      <c r="J91" s="23" t="n">
        <f aca="false">IF(E91="","",E91/E$4*100)</f>
        <v>142.354838709677</v>
      </c>
    </row>
    <row r="92" customFormat="false" ht="15" hidden="false" customHeight="false" outlineLevel="0" collapsed="false">
      <c r="A92" s="21" t="n">
        <v>45086</v>
      </c>
      <c r="B92" s="22" t="n">
        <v>1155.712</v>
      </c>
      <c r="C92" s="22" t="n">
        <v>5690.94</v>
      </c>
      <c r="D92" s="22" t="n">
        <v>1249.74</v>
      </c>
      <c r="E92" s="22" t="n">
        <v>1394.7</v>
      </c>
      <c r="F92" s="2"/>
      <c r="G92" s="23" t="n">
        <f aca="false">IF(B92="","",B92/B$4*100)</f>
        <v>135.437433641386</v>
      </c>
      <c r="H92" s="23" t="n">
        <f aca="false">IF(C92="","",C92/C$4*100)</f>
        <v>131.530119813623</v>
      </c>
      <c r="I92" s="23" t="n">
        <f aca="false">IF(D92="","",D92/D$4*100)</f>
        <v>157.584545935995</v>
      </c>
      <c r="J92" s="23" t="n">
        <f aca="false">IF(E92="","",E92/E$4*100)</f>
        <v>149.967741935484</v>
      </c>
    </row>
    <row r="93" customFormat="false" ht="15" hidden="false" customHeight="false" outlineLevel="0" collapsed="false">
      <c r="A93" s="21" t="n">
        <v>45093</v>
      </c>
      <c r="B93" s="22" t="n">
        <v>1127.211</v>
      </c>
      <c r="C93" s="22" t="n">
        <v>5739.9</v>
      </c>
      <c r="D93" s="22" t="n">
        <v>1214.23</v>
      </c>
      <c r="E93" s="22" t="n">
        <v>1370</v>
      </c>
      <c r="F93" s="2"/>
      <c r="G93" s="23" t="n">
        <f aca="false">IF(B93="","",B93/B$4*100)</f>
        <v>132.097412687884</v>
      </c>
      <c r="H93" s="23" t="n">
        <f aca="false">IF(C93="","",C93/C$4*100)</f>
        <v>132.661692922121</v>
      </c>
      <c r="I93" s="23" t="n">
        <f aca="false">IF(D93="","",D93/D$4*100)</f>
        <v>153.106952815676</v>
      </c>
      <c r="J93" s="23" t="n">
        <f aca="false">IF(E93="","",E93/E$4*100)</f>
        <v>147.311827956989</v>
      </c>
    </row>
    <row r="94" customFormat="false" ht="15" hidden="false" customHeight="false" outlineLevel="0" collapsed="false">
      <c r="A94" s="21" t="n">
        <v>45100</v>
      </c>
      <c r="B94" s="22" t="n">
        <v>1197.32</v>
      </c>
      <c r="C94" s="22" t="n">
        <v>5679.56</v>
      </c>
      <c r="D94" s="22" t="n">
        <v>1234.95</v>
      </c>
      <c r="E94" s="22" t="n">
        <v>1390</v>
      </c>
      <c r="F94" s="2"/>
      <c r="G94" s="23" t="n">
        <f aca="false">IF(B94="","",B94/B$4*100)</f>
        <v>140.313458757462</v>
      </c>
      <c r="H94" s="23" t="n">
        <f aca="false">IF(C94="","",C94/C$4*100)</f>
        <v>131.267103024924</v>
      </c>
      <c r="I94" s="23" t="n">
        <f aca="false">IF(D94="","",D94/D$4*100)</f>
        <v>155.719617683404</v>
      </c>
      <c r="J94" s="23" t="n">
        <f aca="false">IF(E94="","",E94/E$4*100)</f>
        <v>149.462365591398</v>
      </c>
    </row>
    <row r="95" customFormat="false" ht="15" hidden="false" customHeight="false" outlineLevel="0" collapsed="false">
      <c r="A95" s="21" t="n">
        <v>45107</v>
      </c>
      <c r="B95" s="22" t="n">
        <v>1229.892</v>
      </c>
      <c r="C95" s="22" t="n">
        <v>5786.8</v>
      </c>
      <c r="D95" s="22" t="n">
        <v>1271.44</v>
      </c>
      <c r="E95" s="22" t="n">
        <v>1444</v>
      </c>
      <c r="F95" s="2"/>
      <c r="G95" s="23" t="n">
        <f aca="false">IF(B95="","",B95/B$4*100)</f>
        <v>144.130558595975</v>
      </c>
      <c r="H95" s="23" t="n">
        <f aca="false">IF(C95="","",C95/C$4*100)</f>
        <v>133.745654907181</v>
      </c>
      <c r="I95" s="23" t="n">
        <f aca="false">IF(D95="","",D95/D$4*100)</f>
        <v>160.320782790709</v>
      </c>
      <c r="J95" s="23" t="n">
        <f aca="false">IF(E95="","",E95/E$4*100)</f>
        <v>155.268817204301</v>
      </c>
    </row>
    <row r="96" customFormat="false" ht="15" hidden="false" customHeight="false" outlineLevel="0" collapsed="false">
      <c r="A96" s="21" t="n">
        <v>45114</v>
      </c>
      <c r="B96" s="22" t="n">
        <v>1251.839</v>
      </c>
      <c r="C96" s="22" t="n">
        <v>5942.2</v>
      </c>
      <c r="D96" s="22" t="n">
        <v>1322.83</v>
      </c>
      <c r="E96" s="22" t="n">
        <v>1485.4</v>
      </c>
      <c r="F96" s="2"/>
      <c r="G96" s="23" t="n">
        <f aca="false">IF(B96="","",B96/B$4*100)</f>
        <v>146.702518873386</v>
      </c>
      <c r="H96" s="23" t="n">
        <f aca="false">IF(C96="","",C96/C$4*100)</f>
        <v>137.337290141262</v>
      </c>
      <c r="I96" s="23" t="n">
        <f aca="false">IF(D96="","",D96/D$4*100)</f>
        <v>166.800746475676</v>
      </c>
      <c r="J96" s="23" t="n">
        <f aca="false">IF(E96="","",E96/E$4*100)</f>
        <v>159.720430107527</v>
      </c>
    </row>
    <row r="97" customFormat="false" ht="15" hidden="false" customHeight="false" outlineLevel="0" collapsed="false">
      <c r="A97" s="21" t="n">
        <v>45121</v>
      </c>
      <c r="B97" s="22" t="n">
        <v>1287.489</v>
      </c>
      <c r="C97" s="22" t="n">
        <v>6130.68</v>
      </c>
      <c r="D97" s="22" t="n">
        <v>1351.34</v>
      </c>
      <c r="E97" s="22" t="n">
        <v>1490</v>
      </c>
      <c r="F97" s="2"/>
      <c r="G97" s="23" t="n">
        <f aca="false">IF(B97="","",B97/B$4*100)</f>
        <v>150.880328318399</v>
      </c>
      <c r="H97" s="23" t="n">
        <f aca="false">IF(C97="","",C97/C$4*100)</f>
        <v>141.693476813845</v>
      </c>
      <c r="I97" s="23" t="n">
        <f aca="false">IF(D97="","",D97/D$4*100)</f>
        <v>170.395682546087</v>
      </c>
      <c r="J97" s="23" t="n">
        <f aca="false">IF(E97="","",E97/E$4*100)</f>
        <v>160.215053763441</v>
      </c>
    </row>
    <row r="98" customFormat="false" ht="15" hidden="false" customHeight="false" outlineLevel="0" collapsed="false">
      <c r="A98" s="21" t="n">
        <v>45128</v>
      </c>
      <c r="B98" s="22" t="n">
        <v>1359.585</v>
      </c>
      <c r="C98" s="22" t="n">
        <v>6300.92</v>
      </c>
      <c r="D98" s="22" t="n">
        <v>1362.19</v>
      </c>
      <c r="E98" s="22" t="n">
        <v>1495</v>
      </c>
      <c r="F98" s="2"/>
      <c r="G98" s="23" t="n">
        <f aca="false">IF(B98="","",B98/B$4*100)</f>
        <v>159.329230134604</v>
      </c>
      <c r="H98" s="23" t="n">
        <f aca="false">IF(C98="","",C98/C$4*100)</f>
        <v>145.628097034243</v>
      </c>
      <c r="I98" s="23" t="n">
        <f aca="false">IF(D98="","",D98/D$4*100)</f>
        <v>171.763800973445</v>
      </c>
      <c r="J98" s="23" t="n">
        <f aca="false">IF(E98="","",E98/E$4*100)</f>
        <v>160.752688172043</v>
      </c>
    </row>
    <row r="99" customFormat="false" ht="15" hidden="false" customHeight="false" outlineLevel="0" collapsed="false">
      <c r="A99" s="21" t="n">
        <v>45135</v>
      </c>
      <c r="B99" s="22" t="n">
        <v>1330.786</v>
      </c>
      <c r="C99" s="22" t="n">
        <v>6339.04</v>
      </c>
      <c r="D99" s="22" t="n">
        <v>1332.6</v>
      </c>
      <c r="E99" s="22" t="n">
        <v>1499.4</v>
      </c>
      <c r="F99" s="2"/>
      <c r="G99" s="23" t="n">
        <f aca="false">IF(B99="","",B99/B$4*100)</f>
        <v>155.954286678589</v>
      </c>
      <c r="H99" s="23" t="n">
        <f aca="false">IF(C99="","",C99/C$4*100)</f>
        <v>146.509133939797</v>
      </c>
      <c r="I99" s="23" t="n">
        <f aca="false">IF(D99="","",D99/D$4*100)</f>
        <v>168.032683529619</v>
      </c>
      <c r="J99" s="23" t="n">
        <f aca="false">IF(E99="","",E99/E$4*100)</f>
        <v>161.225806451613</v>
      </c>
    </row>
    <row r="100" customFormat="false" ht="15" hidden="false" customHeight="false" outlineLevel="0" collapsed="false">
      <c r="A100" s="21" t="n">
        <v>45142</v>
      </c>
      <c r="B100" s="22" t="n">
        <v>1276.466</v>
      </c>
      <c r="C100" s="22" t="n">
        <v>6292.64</v>
      </c>
      <c r="D100" s="22" t="n">
        <v>1292.26</v>
      </c>
      <c r="E100" s="22" t="n">
        <v>1478</v>
      </c>
      <c r="F100" s="2"/>
      <c r="G100" s="23" t="n">
        <f aca="false">IF(B100="","",B100/B$4*100)</f>
        <v>149.588547294209</v>
      </c>
      <c r="H100" s="23" t="n">
        <f aca="false">IF(C100="","",C100/C$4*100)</f>
        <v>145.436728052659</v>
      </c>
      <c r="I100" s="23" t="n">
        <f aca="false">IF(D100="","",D100/D$4*100)</f>
        <v>162.946057044864</v>
      </c>
      <c r="J100" s="23" t="n">
        <f aca="false">IF(E100="","",E100/E$4*100)</f>
        <v>158.924731182796</v>
      </c>
    </row>
    <row r="101" customFormat="false" ht="15" hidden="false" customHeight="false" outlineLevel="0" collapsed="false">
      <c r="A101" s="21" t="n">
        <v>45149</v>
      </c>
      <c r="B101" s="22" t="n">
        <v>1364.351</v>
      </c>
      <c r="C101" s="22" t="n">
        <v>6257.44</v>
      </c>
      <c r="D101" s="22" t="n">
        <v>1321.65</v>
      </c>
      <c r="E101" s="22" t="n">
        <v>1484</v>
      </c>
      <c r="F101" s="2"/>
      <c r="G101" s="23" t="n">
        <f aca="false">IF(B101="","",B101/B$4*100)</f>
        <v>159.887755795612</v>
      </c>
      <c r="H101" s="23" t="n">
        <f aca="false">IF(C101="","",C101/C$4*100)</f>
        <v>144.623178758968</v>
      </c>
      <c r="I101" s="23" t="n">
        <f aca="false">IF(D101="","",D101/D$4*100)</f>
        <v>166.651955715835</v>
      </c>
      <c r="J101" s="23" t="n">
        <f aca="false">IF(E101="","",E101/E$4*100)</f>
        <v>159.569892473118</v>
      </c>
    </row>
    <row r="102" customFormat="false" ht="15" hidden="false" customHeight="false" outlineLevel="0" collapsed="false">
      <c r="A102" s="21" t="n">
        <v>45156</v>
      </c>
      <c r="B102" s="22" t="n">
        <v>1355.513</v>
      </c>
      <c r="C102" s="22" t="n">
        <v>6133.27</v>
      </c>
      <c r="D102" s="22" t="n">
        <v>1281.21</v>
      </c>
      <c r="E102" s="22" t="n">
        <v>1478.1</v>
      </c>
      <c r="F102" s="2"/>
      <c r="G102" s="23" t="n">
        <f aca="false">IF(B102="","",B102/B$4*100)</f>
        <v>158.852034059987</v>
      </c>
      <c r="H102" s="23" t="n">
        <f aca="false">IF(C102="","",C102/C$4*100)</f>
        <v>141.75333740108</v>
      </c>
      <c r="I102" s="23" t="n">
        <f aca="false">IF(D102="","",D102/D$4*100)</f>
        <v>161.552719844652</v>
      </c>
      <c r="J102" s="23" t="n">
        <f aca="false">IF(E102="","",E102/E$4*100)</f>
        <v>158.935483870968</v>
      </c>
    </row>
    <row r="103" customFormat="false" ht="15" hidden="false" customHeight="false" outlineLevel="0" collapsed="false">
      <c r="A103" s="21" t="n">
        <v>45163</v>
      </c>
      <c r="B103" s="22" t="n">
        <v>1376.467</v>
      </c>
      <c r="C103" s="22" t="n">
        <v>6046.62</v>
      </c>
      <c r="D103" s="22" t="n">
        <v>1262.57</v>
      </c>
      <c r="E103" s="22" t="n">
        <v>1476.5</v>
      </c>
      <c r="F103" s="2"/>
      <c r="G103" s="23" t="n">
        <f aca="false">IF(B103="","",B103/B$4*100)</f>
        <v>161.307625058888</v>
      </c>
      <c r="H103" s="23" t="n">
        <f aca="false">IF(C103="","",C103/C$4*100)</f>
        <v>139.75066563124</v>
      </c>
      <c r="I103" s="23" t="n">
        <f aca="false">IF(D103="","",D103/D$4*100)</f>
        <v>159.202330214612</v>
      </c>
      <c r="J103" s="23" t="n">
        <f aca="false">IF(E103="","",E103/E$4*100)</f>
        <v>158.763440860215</v>
      </c>
    </row>
    <row r="104" customFormat="false" ht="15" hidden="false" customHeight="false" outlineLevel="0" collapsed="false">
      <c r="A104" s="21" t="n">
        <v>45170</v>
      </c>
      <c r="B104" s="22" t="n">
        <v>1310.727</v>
      </c>
      <c r="C104" s="22" t="n">
        <v>5996.36</v>
      </c>
      <c r="D104" s="22" t="n">
        <v>1210.29</v>
      </c>
      <c r="E104" s="22" t="n">
        <v>1426.1</v>
      </c>
      <c r="F104" s="2"/>
      <c r="G104" s="23" t="n">
        <f aca="false">IF(B104="","",B104/B$4*100)</f>
        <v>153.603580376835</v>
      </c>
      <c r="H104" s="23" t="n">
        <f aca="false">IF(C104="","",C104/C$4*100)</f>
        <v>138.589046668146</v>
      </c>
      <c r="I104" s="23" t="n">
        <f aca="false">IF(D104="","",D104/D$4*100)</f>
        <v>152.610142990442</v>
      </c>
      <c r="J104" s="23" t="n">
        <f aca="false">IF(E104="","",E104/E$4*100)</f>
        <v>153.344086021505</v>
      </c>
    </row>
    <row r="105" customFormat="false" ht="15" hidden="false" customHeight="false" outlineLevel="0" collapsed="false">
      <c r="A105" s="21" t="n">
        <v>45177</v>
      </c>
      <c r="B105" s="22" t="n">
        <v>1259.585</v>
      </c>
      <c r="C105" s="22" t="n">
        <v>5868.85</v>
      </c>
      <c r="D105" s="22" t="n">
        <v>1195.79</v>
      </c>
      <c r="E105" s="22" t="n">
        <v>1447</v>
      </c>
      <c r="F105" s="2"/>
      <c r="G105" s="23" t="n">
        <f aca="false">IF(B105="","",B105/B$4*100)</f>
        <v>147.610269559531</v>
      </c>
      <c r="H105" s="23" t="n">
        <f aca="false">IF(C105="","",C105/C$4*100)</f>
        <v>135.642010576141</v>
      </c>
      <c r="I105" s="23" t="n">
        <f aca="false">IF(D105="","",D105/D$4*100)</f>
        <v>150.78178195849</v>
      </c>
      <c r="J105" s="23" t="n">
        <f aca="false">IF(E105="","",E105/E$4*100)</f>
        <v>155.591397849462</v>
      </c>
    </row>
    <row r="106" customFormat="false" ht="15" hidden="false" customHeight="false" outlineLevel="0" collapsed="false">
      <c r="A106" s="21" t="n">
        <v>45184</v>
      </c>
      <c r="B106" s="22" t="n">
        <v>1212.514</v>
      </c>
      <c r="C106" s="22" t="n">
        <v>6002.67</v>
      </c>
      <c r="D106" s="22" t="n">
        <v>1223.11</v>
      </c>
      <c r="E106" s="22" t="n">
        <v>1400</v>
      </c>
      <c r="F106" s="2"/>
      <c r="G106" s="23" t="n">
        <f aca="false">IF(B106="","",B106/B$4*100)</f>
        <v>142.094037627239</v>
      </c>
      <c r="H106" s="23" t="n">
        <f aca="false">IF(C106="","",C106/C$4*100)</f>
        <v>138.734884623918</v>
      </c>
      <c r="I106" s="23" t="n">
        <f aca="false">IF(D106="","",D106/D$4*100)</f>
        <v>154.226666330416</v>
      </c>
      <c r="J106" s="23" t="n">
        <f aca="false">IF(E106="","",E106/E$4*100)</f>
        <v>150.537634408602</v>
      </c>
    </row>
    <row r="107" customFormat="false" ht="15" hidden="false" customHeight="false" outlineLevel="0" collapsed="false">
      <c r="A107" s="21" t="n">
        <v>45191</v>
      </c>
      <c r="B107" s="22" t="n">
        <v>1235.156</v>
      </c>
      <c r="C107" s="22" t="n">
        <v>5831.95</v>
      </c>
      <c r="D107" s="22" t="n">
        <v>1206.44</v>
      </c>
      <c r="E107" s="22" t="n">
        <v>1397.7</v>
      </c>
      <c r="F107" s="2"/>
      <c r="G107" s="23" t="n">
        <f aca="false">IF(B107="","",B107/B$4*100)</f>
        <v>144.747444680647</v>
      </c>
      <c r="H107" s="23" t="n">
        <f aca="false">IF(C107="","",C107/C$4*100)</f>
        <v>134.789170549516</v>
      </c>
      <c r="I107" s="23" t="n">
        <f aca="false">IF(D107="","",D107/D$4*100)</f>
        <v>152.124681612993</v>
      </c>
      <c r="J107" s="23" t="n">
        <f aca="false">IF(E107="","",E107/E$4*100)</f>
        <v>150.290322580645</v>
      </c>
    </row>
    <row r="108" customFormat="false" ht="15" hidden="false" customHeight="false" outlineLevel="0" collapsed="false">
      <c r="A108" s="21" t="n">
        <v>45198</v>
      </c>
      <c r="B108" s="22" t="n">
        <v>1212.315</v>
      </c>
      <c r="C108" s="22" t="n">
        <v>5833.36</v>
      </c>
      <c r="D108" s="22" t="n">
        <v>1260.3</v>
      </c>
      <c r="E108" s="22" t="n">
        <v>1350</v>
      </c>
      <c r="F108" s="2"/>
      <c r="G108" s="23" t="n">
        <f aca="false">IF(B108="","",B108/B$4*100)</f>
        <v>142.070716895694</v>
      </c>
      <c r="H108" s="23" t="n">
        <f aca="false">IF(C108="","",C108/C$4*100)</f>
        <v>134.821758745655</v>
      </c>
      <c r="I108" s="23" t="n">
        <f aca="false">IF(D108="","",D108/D$4*100)</f>
        <v>158.916097142713</v>
      </c>
      <c r="J108" s="23" t="n">
        <f aca="false">IF(E108="","",E108/E$4*100)</f>
        <v>145.161290322581</v>
      </c>
    </row>
    <row r="109" customFormat="false" ht="15" hidden="false" customHeight="false" outlineLevel="0" collapsed="false">
      <c r="A109" s="21" t="n">
        <v>45205</v>
      </c>
      <c r="B109" s="22" t="n">
        <v>1136.546</v>
      </c>
      <c r="C109" s="22" t="n">
        <v>5659.29</v>
      </c>
      <c r="D109" s="22" t="n">
        <v>1179.71</v>
      </c>
      <c r="E109" s="22" t="n">
        <v>1341.9</v>
      </c>
      <c r="F109" s="2"/>
      <c r="G109" s="23" t="n">
        <f aca="false">IF(B109="","",B109/B$4*100)</f>
        <v>133.191377657567</v>
      </c>
      <c r="H109" s="23" t="n">
        <f aca="false">IF(C109="","",C109/C$4*100)</f>
        <v>130.798618815176</v>
      </c>
      <c r="I109" s="23" t="n">
        <f aca="false">IF(D109="","",D109/D$4*100)</f>
        <v>148.754192620987</v>
      </c>
      <c r="J109" s="23" t="n">
        <f aca="false">IF(E109="","",E109/E$4*100)</f>
        <v>144.290322580645</v>
      </c>
    </row>
    <row r="110" customFormat="false" ht="15" hidden="false" customHeight="false" outlineLevel="0" collapsed="false">
      <c r="A110" s="21" t="n">
        <v>45212</v>
      </c>
      <c r="B110" s="22" t="n">
        <v>1072.494</v>
      </c>
      <c r="C110" s="22" t="n">
        <v>5777.75</v>
      </c>
      <c r="D110" s="22" t="n">
        <v>1193.52</v>
      </c>
      <c r="E110" s="22" t="n">
        <v>1379</v>
      </c>
      <c r="F110" s="2"/>
      <c r="G110" s="23" t="n">
        <f aca="false">IF(B110="","",B110/B$4*100)</f>
        <v>125.685149030022</v>
      </c>
      <c r="H110" s="23" t="n">
        <f aca="false">IF(C110="","",C110/C$4*100)</f>
        <v>133.536489534798</v>
      </c>
      <c r="I110" s="23" t="n">
        <f aca="false">IF(D110="","",D110/D$4*100)</f>
        <v>150.495548886591</v>
      </c>
      <c r="J110" s="23" t="n">
        <f aca="false">IF(E110="","",E110/E$4*100)</f>
        <v>148.279569892473</v>
      </c>
    </row>
    <row r="111" customFormat="false" ht="15" hidden="false" customHeight="false" outlineLevel="0" collapsed="false">
      <c r="A111" s="21" t="n">
        <v>45219</v>
      </c>
      <c r="B111" s="22" t="n">
        <v>1191.561</v>
      </c>
      <c r="C111" s="22" t="n">
        <v>5631.33</v>
      </c>
      <c r="D111" s="22" t="n">
        <v>1223.01</v>
      </c>
      <c r="E111" s="22" t="n">
        <v>1318</v>
      </c>
      <c r="F111" s="2"/>
      <c r="G111" s="23" t="n">
        <f aca="false">IF(B111="","",B111/B$4*100)</f>
        <v>139.638563817944</v>
      </c>
      <c r="H111" s="23" t="n">
        <f aca="false">IF(C111="","",C111/C$4*100)</f>
        <v>130.152401819392</v>
      </c>
      <c r="I111" s="23" t="n">
        <f aca="false">IF(D111="","",D111/D$4*100)</f>
        <v>154.214056943989</v>
      </c>
      <c r="J111" s="23" t="n">
        <f aca="false">IF(E111="","",E111/E$4*100)</f>
        <v>141.720430107527</v>
      </c>
    </row>
    <row r="112" customFormat="false" ht="15" hidden="false" customHeight="false" outlineLevel="0" collapsed="false">
      <c r="A112" s="21" t="n">
        <v>45226</v>
      </c>
      <c r="B112" s="22" t="n">
        <v>1115.195</v>
      </c>
      <c r="C112" s="22" t="n">
        <v>5568.35</v>
      </c>
      <c r="D112" s="22" t="n">
        <v>1183.65</v>
      </c>
      <c r="E112" s="22" t="n">
        <v>1282</v>
      </c>
      <c r="F112" s="2"/>
      <c r="G112" s="23" t="n">
        <f aca="false">IF(B112="","",B112/B$4*100)</f>
        <v>130.689262385183</v>
      </c>
      <c r="H112" s="23" t="n">
        <f aca="false">IF(C112="","",C112/C$4*100)</f>
        <v>128.696795725168</v>
      </c>
      <c r="I112" s="23" t="n">
        <f aca="false">IF(D112="","",D112/D$4*100)</f>
        <v>149.251002446221</v>
      </c>
      <c r="J112" s="23" t="n">
        <f aca="false">IF(E112="","",E112/E$4*100)</f>
        <v>137.849462365591</v>
      </c>
    </row>
    <row r="113" customFormat="false" ht="15" hidden="false" customHeight="false" outlineLevel="0" collapsed="false">
      <c r="A113" s="21" t="n">
        <v>45233</v>
      </c>
      <c r="B113" s="22" t="n">
        <v>1103.874</v>
      </c>
      <c r="C113" s="22" t="n">
        <v>5620.57</v>
      </c>
      <c r="D113" s="22" t="n">
        <v>1186.81</v>
      </c>
      <c r="E113" s="22" t="n">
        <v>1315</v>
      </c>
      <c r="F113" s="2"/>
      <c r="G113" s="23" t="n">
        <f aca="false">IF(B113="","",B113/B$4*100)</f>
        <v>129.36255885848</v>
      </c>
      <c r="H113" s="23" t="n">
        <f aca="false">IF(C113="","",C113/C$4*100)</f>
        <v>129.903714592116</v>
      </c>
      <c r="I113" s="23" t="n">
        <f aca="false">IF(D113="","",D113/D$4*100)</f>
        <v>149.649459057322</v>
      </c>
      <c r="J113" s="23" t="n">
        <f aca="false">IF(E113="","",E113/E$4*100)</f>
        <v>141.397849462366</v>
      </c>
    </row>
    <row r="114" customFormat="false" ht="15" hidden="false" customHeight="false" outlineLevel="0" collapsed="false">
      <c r="A114" s="21" t="n">
        <v>45240</v>
      </c>
      <c r="B114" s="22" t="n">
        <v>1126.615</v>
      </c>
      <c r="C114" s="22" t="n">
        <v>5618.68</v>
      </c>
      <c r="D114" s="22" t="n">
        <v>1173.79</v>
      </c>
      <c r="E114" s="22" t="n">
        <v>1350.3</v>
      </c>
      <c r="F114" s="2"/>
      <c r="G114" s="23" t="n">
        <f aca="false">IF(B114="","",B114/B$4*100)</f>
        <v>132.027567682857</v>
      </c>
      <c r="H114" s="23" t="n">
        <f aca="false">IF(C114="","",C114/C$4*100)</f>
        <v>129.860032541972</v>
      </c>
      <c r="I114" s="23" t="n">
        <f aca="false">IF(D114="","",D114/D$4*100)</f>
        <v>148.007716944494</v>
      </c>
      <c r="J114" s="23" t="n">
        <f aca="false">IF(E114="","",E114/E$4*100)</f>
        <v>145.193548387097</v>
      </c>
    </row>
    <row r="115" customFormat="false" ht="15" hidden="false" customHeight="false" outlineLevel="0" collapsed="false">
      <c r="A115" s="21" t="n">
        <v>45247</v>
      </c>
      <c r="B115" s="22" t="n">
        <v>1218.472</v>
      </c>
      <c r="C115" s="22" t="n">
        <v>5771.1</v>
      </c>
      <c r="D115" s="22" t="n">
        <v>1291.07</v>
      </c>
      <c r="E115" s="22" t="n">
        <v>1405</v>
      </c>
      <c r="F115" s="2"/>
      <c r="G115" s="23" t="n">
        <f aca="false">IF(B115="","",B115/B$4*100)</f>
        <v>142.792253298301</v>
      </c>
      <c r="H115" s="23" t="n">
        <f aca="false">IF(C115="","",C115/C$4*100)</f>
        <v>133.382793432438</v>
      </c>
      <c r="I115" s="23" t="n">
        <f aca="false">IF(D115="","",D115/D$4*100)</f>
        <v>162.79600534638</v>
      </c>
      <c r="J115" s="23" t="n">
        <f aca="false">IF(E115="","",E115/E$4*100)</f>
        <v>151.075268817204</v>
      </c>
    </row>
    <row r="116" customFormat="false" ht="15" hidden="false" customHeight="false" outlineLevel="0" collapsed="false">
      <c r="A116" s="21" t="n">
        <v>45254</v>
      </c>
      <c r="B116" s="22" t="n">
        <v>1190.27</v>
      </c>
      <c r="C116" s="22" t="n">
        <v>5776.75</v>
      </c>
      <c r="D116" s="22" t="n">
        <v>1242.84</v>
      </c>
      <c r="E116" s="22" t="n">
        <v>1419.2</v>
      </c>
      <c r="F116" s="2"/>
      <c r="G116" s="23" t="n">
        <f aca="false">IF(B116="","",B116/B$4*100)</f>
        <v>139.487272036919</v>
      </c>
      <c r="H116" s="23" t="n">
        <f aca="false">IF(C116="","",C116/C$4*100)</f>
        <v>133.513377338954</v>
      </c>
      <c r="I116" s="23" t="n">
        <f aca="false">IF(D116="","",D116/D$4*100)</f>
        <v>156.714498272514</v>
      </c>
      <c r="J116" s="23" t="n">
        <f aca="false">IF(E116="","",E116/E$4*100)</f>
        <v>152.602150537634</v>
      </c>
    </row>
    <row r="117" customFormat="false" ht="15" hidden="false" customHeight="false" outlineLevel="0" collapsed="false">
      <c r="A117" s="21" t="n">
        <v>45261</v>
      </c>
      <c r="B117" s="22" t="n">
        <v>1201.392</v>
      </c>
      <c r="C117" s="22" t="n">
        <v>5886.71</v>
      </c>
      <c r="D117" s="22" t="n">
        <v>1295.02</v>
      </c>
      <c r="E117" s="22" t="n">
        <v>1421.9</v>
      </c>
      <c r="F117" s="2"/>
      <c r="G117" s="23" t="n">
        <f aca="false">IF(B117="","",B117/B$4*100)</f>
        <v>140.790654832079</v>
      </c>
      <c r="H117" s="23" t="n">
        <f aca="false">IF(C117="","",C117/C$4*100)</f>
        <v>136.054794393906</v>
      </c>
      <c r="I117" s="23" t="n">
        <f aca="false">IF(D117="","",D117/D$4*100)</f>
        <v>163.294076110256</v>
      </c>
      <c r="J117" s="23" t="n">
        <f aca="false">IF(E117="","",E117/E$4*100)</f>
        <v>152.89247311828</v>
      </c>
    </row>
    <row r="118" customFormat="false" ht="15" hidden="false" customHeight="false" outlineLevel="0" collapsed="false">
      <c r="A118" s="21" t="n">
        <v>45268</v>
      </c>
      <c r="B118" s="22" t="n">
        <v>1257.599</v>
      </c>
      <c r="C118" s="22" t="n">
        <v>5970.81</v>
      </c>
      <c r="D118" s="22" t="n">
        <v>1369.09</v>
      </c>
      <c r="E118" s="22" t="n">
        <v>1442</v>
      </c>
      <c r="F118" s="2"/>
      <c r="G118" s="23" t="n">
        <f aca="false">IF(B118="","",B118/B$4*100)</f>
        <v>147.37753100251</v>
      </c>
      <c r="H118" s="23" t="n">
        <f aca="false">IF(C118="","",C118/C$4*100)</f>
        <v>137.998530064344</v>
      </c>
      <c r="I118" s="23" t="n">
        <f aca="false">IF(D118="","",D118/D$4*100)</f>
        <v>172.633848636925</v>
      </c>
      <c r="J118" s="23" t="n">
        <f aca="false">IF(E118="","",E118/E$4*100)</f>
        <v>155.05376344086</v>
      </c>
    </row>
    <row r="119" customFormat="false" ht="15" hidden="false" customHeight="false" outlineLevel="0" collapsed="false">
      <c r="A119" s="21" t="n">
        <v>45275</v>
      </c>
      <c r="B119" s="22" t="n">
        <v>1232.375</v>
      </c>
      <c r="C119" s="22" t="n">
        <v>6138.1</v>
      </c>
      <c r="D119" s="22" t="n">
        <v>1380.93</v>
      </c>
      <c r="E119" s="22" t="n">
        <v>1504</v>
      </c>
      <c r="F119" s="2"/>
      <c r="G119" s="23" t="n">
        <f aca="false">IF(B119="","",B119/B$4*100)</f>
        <v>144.421540387054</v>
      </c>
      <c r="H119" s="23" t="n">
        <f aca="false">IF(C119="","",C119/C$4*100)</f>
        <v>141.864969307004</v>
      </c>
      <c r="I119" s="23" t="n">
        <f aca="false">IF(D119="","",D119/D$4*100)</f>
        <v>174.126799989913</v>
      </c>
      <c r="J119" s="23" t="n">
        <f aca="false">IF(E119="","",E119/E$4*100)</f>
        <v>161.720430107527</v>
      </c>
    </row>
    <row r="120" customFormat="false" ht="15" hidden="false" customHeight="false" outlineLevel="0" collapsed="false">
      <c r="A120" s="21" t="n">
        <v>45282</v>
      </c>
      <c r="B120" s="22" t="n">
        <v>1245.98</v>
      </c>
      <c r="C120" s="22" t="n">
        <v>6153.66</v>
      </c>
      <c r="D120" s="22" t="n">
        <v>1395.73</v>
      </c>
      <c r="E120" s="22" t="n">
        <v>1471.8</v>
      </c>
      <c r="F120" s="2"/>
      <c r="G120" s="23" t="n">
        <f aca="false">IF(B120="","",B120/B$4*100)</f>
        <v>146.015904973293</v>
      </c>
      <c r="H120" s="23" t="n">
        <f aca="false">IF(C120="","",C120/C$4*100)</f>
        <v>142.224595074329</v>
      </c>
      <c r="I120" s="23" t="n">
        <f aca="false">IF(D120="","",D120/D$4*100)</f>
        <v>175.992989181146</v>
      </c>
      <c r="J120" s="23" t="n">
        <f aca="false">IF(E120="","",E120/E$4*100)</f>
        <v>158.258064516129</v>
      </c>
    </row>
    <row r="121" customFormat="false" ht="15" hidden="false" customHeight="false" outlineLevel="0" collapsed="false">
      <c r="A121" s="21" t="n">
        <v>45289</v>
      </c>
      <c r="B121" s="22" t="n">
        <v>1236.049</v>
      </c>
      <c r="C121" s="22" t="n">
        <v>6197.77</v>
      </c>
      <c r="D121" s="22" t="n">
        <v>1400.66</v>
      </c>
      <c r="E121" s="22" t="n">
        <v>1410</v>
      </c>
      <c r="F121" s="2"/>
      <c r="G121" s="23" t="n">
        <f aca="false">IF(B121="","",B121/B$4*100)</f>
        <v>144.852094998582</v>
      </c>
      <c r="H121" s="23" t="n">
        <f aca="false">IF(C121="","",C121/C$4*100)</f>
        <v>143.244074032986</v>
      </c>
      <c r="I121" s="23" t="n">
        <f aca="false">IF(D121="","",D121/D$4*100)</f>
        <v>176.61463193201</v>
      </c>
      <c r="J121" s="23" t="n">
        <f aca="false">IF(E121="","",E121/E$4*100)</f>
        <v>151.612903225806</v>
      </c>
    </row>
    <row r="122" customFormat="false" ht="15" hidden="false" customHeight="false" outlineLevel="0" collapsed="false">
      <c r="A122" s="21" t="n">
        <v>45296</v>
      </c>
      <c r="B122" s="22" t="n">
        <v>1226.615</v>
      </c>
      <c r="C122" s="22" t="n">
        <v>6047.64</v>
      </c>
      <c r="D122" s="22" t="n">
        <v>1376.99</v>
      </c>
      <c r="E122" s="22" t="n">
        <v>1399</v>
      </c>
      <c r="F122" s="2"/>
      <c r="G122" s="23" t="n">
        <f aca="false">IF(B122="","",B122/B$4*100)</f>
        <v>143.74652825793</v>
      </c>
      <c r="H122" s="23" t="n">
        <f aca="false">IF(C122="","",C122/C$4*100)</f>
        <v>139.774240071001</v>
      </c>
      <c r="I122" s="23" t="n">
        <f aca="false">IF(D122="","",D122/D$4*100)</f>
        <v>173.629990164679</v>
      </c>
      <c r="J122" s="23" t="n">
        <f aca="false">IF(E122="","",E122/E$4*100)</f>
        <v>150.430107526882</v>
      </c>
    </row>
    <row r="123" customFormat="false" ht="15" hidden="false" customHeight="false" outlineLevel="0" collapsed="false">
      <c r="A123" s="21" t="n">
        <v>45303</v>
      </c>
      <c r="B123" s="22" t="n">
        <v>1255.414</v>
      </c>
      <c r="C123" s="22" t="n">
        <v>5968.61</v>
      </c>
      <c r="D123" s="22" t="n">
        <v>1378.96</v>
      </c>
      <c r="E123" s="22" t="n">
        <v>1409.9</v>
      </c>
      <c r="F123" s="2"/>
      <c r="G123" s="23" t="n">
        <f aca="false">IF(B123="","",B123/B$4*100)</f>
        <v>147.121471713945</v>
      </c>
      <c r="H123" s="23" t="n">
        <f aca="false">IF(C123="","",C123/C$4*100)</f>
        <v>137.947683233489</v>
      </c>
      <c r="I123" s="23" t="n">
        <f aca="false">IF(D123="","",D123/D$4*100)</f>
        <v>173.878395077296</v>
      </c>
      <c r="J123" s="23" t="n">
        <f aca="false">IF(E123="","",E123/E$4*100)</f>
        <v>151.602150537634</v>
      </c>
    </row>
    <row r="124" customFormat="false" ht="15" hidden="false" customHeight="false" outlineLevel="0" collapsed="false">
      <c r="A124" s="21" t="n">
        <v>45310</v>
      </c>
      <c r="B124" s="22" t="n">
        <v>1237.738</v>
      </c>
      <c r="C124" s="22" t="n">
        <v>5844.56</v>
      </c>
      <c r="D124" s="22" t="n">
        <v>1420.39</v>
      </c>
      <c r="E124" s="22" t="n">
        <v>1430</v>
      </c>
      <c r="F124" s="2"/>
      <c r="G124" s="23" t="n">
        <f aca="false">IF(B124="","",B124/B$4*100)</f>
        <v>145.050028242695</v>
      </c>
      <c r="H124" s="23" t="n">
        <f aca="false">IF(C124="","",C124/C$4*100)</f>
        <v>135.080615339102</v>
      </c>
      <c r="I124" s="23" t="n">
        <f aca="false">IF(D124="","",D124/D$4*100)</f>
        <v>179.102463874108</v>
      </c>
      <c r="J124" s="23" t="n">
        <f aca="false">IF(E124="","",E124/E$4*100)</f>
        <v>153.763440860215</v>
      </c>
    </row>
    <row r="125" customFormat="false" ht="15" hidden="false" customHeight="false" outlineLevel="0" collapsed="false">
      <c r="A125" s="21" t="n">
        <v>45317</v>
      </c>
      <c r="B125" s="22" t="n">
        <v>1280.141</v>
      </c>
      <c r="C125" s="22" t="n">
        <v>6058.58</v>
      </c>
      <c r="D125" s="22" t="n">
        <v>1474.64</v>
      </c>
      <c r="E125" s="22" t="n">
        <v>1535.2</v>
      </c>
      <c r="F125" s="2"/>
      <c r="G125" s="23" t="n">
        <f aca="false">IF(B125="","",B125/B$4*100)</f>
        <v>150.019219095343</v>
      </c>
      <c r="H125" s="23" t="n">
        <f aca="false">IF(C125="","",C125/C$4*100)</f>
        <v>140.027087493529</v>
      </c>
      <c r="I125" s="23" t="n">
        <f aca="false">IF(D125="","",D125/D$4*100)</f>
        <v>185.943056010895</v>
      </c>
      <c r="J125" s="23" t="n">
        <f aca="false">IF(E125="","",E125/E$4*100)</f>
        <v>165.075268817204</v>
      </c>
    </row>
    <row r="126" customFormat="false" ht="15" hidden="false" customHeight="false" outlineLevel="0" collapsed="false">
      <c r="A126" s="21" t="n">
        <v>45324</v>
      </c>
      <c r="B126" s="22" t="n">
        <v>1287.291</v>
      </c>
      <c r="C126" s="22" t="n">
        <v>5994.6</v>
      </c>
      <c r="D126" s="22" t="n">
        <v>1461.81</v>
      </c>
      <c r="E126" s="22" t="n">
        <v>1530</v>
      </c>
      <c r="F126" s="2"/>
      <c r="G126" s="23" t="n">
        <f aca="false">IF(B126="","",B126/B$4*100)</f>
        <v>150.857124776461</v>
      </c>
      <c r="H126" s="23" t="n">
        <f aca="false">IF(C126="","",C126/C$4*100)</f>
        <v>138.548369203461</v>
      </c>
      <c r="I126" s="23" t="n">
        <f aca="false">IF(D126="","",D126/D$4*100)</f>
        <v>184.325271732278</v>
      </c>
      <c r="J126" s="23" t="n">
        <f aca="false">IF(E126="","",E126/E$4*100)</f>
        <v>164.516129032258</v>
      </c>
    </row>
    <row r="127" customFormat="false" ht="15" hidden="false" customHeight="false" outlineLevel="0" collapsed="false">
      <c r="A127" s="21" t="n">
        <v>45331</v>
      </c>
      <c r="B127" s="22" t="n">
        <v>1304.173</v>
      </c>
      <c r="C127" s="22" t="n">
        <v>6032.61</v>
      </c>
      <c r="D127" s="22" t="n">
        <v>1415.36</v>
      </c>
      <c r="E127" s="22" t="n">
        <v>1537</v>
      </c>
      <c r="F127" s="2"/>
      <c r="G127" s="23" t="n">
        <f aca="false">IF(B127="","",B127/B$4*100)</f>
        <v>152.835519700745</v>
      </c>
      <c r="H127" s="23" t="n">
        <f aca="false">IF(C127="","",C127/C$4*100)</f>
        <v>139.426863767473</v>
      </c>
      <c r="I127" s="23" t="n">
        <f aca="false">IF(D127="","",D127/D$4*100)</f>
        <v>178.468211736817</v>
      </c>
      <c r="J127" s="23" t="n">
        <f aca="false">IF(E127="","",E127/E$4*100)</f>
        <v>165.268817204301</v>
      </c>
    </row>
    <row r="128" customFormat="false" ht="15" hidden="false" customHeight="false" outlineLevel="0" collapsed="false">
      <c r="A128" s="21" t="n">
        <v>45338</v>
      </c>
      <c r="B128" s="22" t="n">
        <v>1344.292</v>
      </c>
      <c r="C128" s="22" t="n">
        <v>6336.81</v>
      </c>
      <c r="D128" s="22" t="n">
        <v>1514.09</v>
      </c>
      <c r="E128" s="22" t="n">
        <v>1618.3</v>
      </c>
      <c r="F128" s="2"/>
      <c r="G128" s="23" t="n">
        <f aca="false">IF(B128="","",B128/B$4*100)</f>
        <v>157.537049493858</v>
      </c>
      <c r="H128" s="23" t="n">
        <f aca="false">IF(C128="","",C128/C$4*100)</f>
        <v>146.457593743066</v>
      </c>
      <c r="I128" s="23" t="n">
        <f aca="false">IF(D128="","",D128/D$4*100)</f>
        <v>190.917458956447</v>
      </c>
      <c r="J128" s="23" t="n">
        <f aca="false">IF(E128="","",E128/E$4*100)</f>
        <v>174.010752688172</v>
      </c>
    </row>
    <row r="129" customFormat="false" ht="15" hidden="false" customHeight="false" outlineLevel="0" collapsed="false">
      <c r="A129" s="21" t="n">
        <v>45345</v>
      </c>
      <c r="B129" s="22" t="n">
        <v>1359.585</v>
      </c>
      <c r="C129" s="22" t="n">
        <v>6189.56</v>
      </c>
      <c r="D129" s="22" t="n">
        <v>1492.39</v>
      </c>
      <c r="E129" s="22" t="n">
        <v>1560</v>
      </c>
      <c r="F129" s="2"/>
      <c r="G129" s="23" t="n">
        <f aca="false">IF(B129="","",B129/B$4*100)</f>
        <v>159.329230134604</v>
      </c>
      <c r="H129" s="23" t="n">
        <f aca="false">IF(C129="","",C129/C$4*100)</f>
        <v>143.054322905111</v>
      </c>
      <c r="I129" s="23" t="n">
        <f aca="false">IF(D129="","",D129/D$4*100)</f>
        <v>188.181222101733</v>
      </c>
      <c r="J129" s="23" t="n">
        <f aca="false">IF(E129="","",E129/E$4*100)</f>
        <v>167.741935483871</v>
      </c>
    </row>
    <row r="130" customFormat="false" ht="15" hidden="false" customHeight="false" outlineLevel="0" collapsed="false">
      <c r="A130" s="21" t="n">
        <v>45352</v>
      </c>
      <c r="B130" s="22" t="n">
        <v>1414.898</v>
      </c>
      <c r="C130" s="22" t="n">
        <v>6481.25</v>
      </c>
      <c r="D130" s="22" t="n">
        <v>1516.46</v>
      </c>
      <c r="E130" s="22" t="n">
        <v>1558</v>
      </c>
      <c r="F130" s="2"/>
      <c r="G130" s="23" t="n">
        <f aca="false">IF(B130="","",B130/B$4*100)</f>
        <v>165.811338797494</v>
      </c>
      <c r="H130" s="23" t="n">
        <f aca="false">IF(C130="","",C130/C$4*100)</f>
        <v>149.795919310702</v>
      </c>
      <c r="I130" s="23" t="n">
        <f aca="false">IF(D130="","",D130/D$4*100)</f>
        <v>191.216301414773</v>
      </c>
      <c r="J130" s="23" t="n">
        <f aca="false">IF(E130="","",E130/E$4*100)</f>
        <v>167.52688172043</v>
      </c>
    </row>
    <row r="131" customFormat="false" ht="15" hidden="false" customHeight="false" outlineLevel="0" collapsed="false">
      <c r="A131" s="21" t="n">
        <v>45359</v>
      </c>
      <c r="B131" s="22" t="n">
        <v>1410.23</v>
      </c>
      <c r="C131" s="22" t="n">
        <v>6337.61</v>
      </c>
      <c r="D131" s="22" t="n">
        <v>1464.08</v>
      </c>
      <c r="E131" s="22" t="n">
        <v>1542.7</v>
      </c>
      <c r="F131" s="2"/>
      <c r="G131" s="23" t="n">
        <f aca="false">IF(B131="","",B131/B$4*100)</f>
        <v>165.26429771785</v>
      </c>
      <c r="H131" s="23" t="n">
        <f aca="false">IF(C131="","",C131/C$4*100)</f>
        <v>146.476083499741</v>
      </c>
      <c r="I131" s="23" t="n">
        <f aca="false">IF(D131="","",D131/D$4*100)</f>
        <v>184.611504804176</v>
      </c>
      <c r="J131" s="23" t="n">
        <f aca="false">IF(E131="","",E131/E$4*100)</f>
        <v>165.881720430108</v>
      </c>
    </row>
    <row r="132" customFormat="false" ht="15" hidden="false" customHeight="false" outlineLevel="0" collapsed="false">
      <c r="A132" s="21" t="n">
        <v>45366</v>
      </c>
      <c r="B132" s="22" t="n">
        <v>1429.992</v>
      </c>
      <c r="C132" s="22" t="n">
        <v>6463.76</v>
      </c>
      <c r="D132" s="22" t="n">
        <v>1469.7</v>
      </c>
      <c r="E132" s="22" t="n">
        <v>1545</v>
      </c>
      <c r="F132" s="2"/>
      <c r="G132" s="23" t="n">
        <f aca="false">IF(B132="","",B132/B$4*100)</f>
        <v>167.580198706696</v>
      </c>
      <c r="H132" s="23" t="n">
        <f aca="false">IF(C132="","",C132/C$4*100)</f>
        <v>149.391687005399</v>
      </c>
      <c r="I132" s="23" t="n">
        <f aca="false">IF(D132="","",D132/D$4*100)</f>
        <v>185.320152321388</v>
      </c>
      <c r="J132" s="23" t="n">
        <f aca="false">IF(E132="","",E132/E$4*100)</f>
        <v>166.129032258065</v>
      </c>
    </row>
    <row r="133" customFormat="false" ht="15" hidden="false" customHeight="false" outlineLevel="0" collapsed="false">
      <c r="A133" s="21" t="n">
        <v>45373</v>
      </c>
      <c r="B133" s="22" t="n">
        <v>1336.546</v>
      </c>
      <c r="C133" s="22" t="n">
        <v>6516.37</v>
      </c>
      <c r="D133" s="22" t="n">
        <v>1381.92</v>
      </c>
      <c r="E133" s="22" t="n">
        <v>1505</v>
      </c>
      <c r="F133" s="2"/>
      <c r="G133" s="23" t="n">
        <f aca="false">IF(B133="","",B133/B$4*100)</f>
        <v>156.629298807713</v>
      </c>
      <c r="H133" s="23" t="n">
        <f aca="false">IF(C133="","",C133/C$4*100)</f>
        <v>150.607619628726</v>
      </c>
      <c r="I133" s="23" t="n">
        <f aca="false">IF(D133="","",D133/D$4*100)</f>
        <v>174.251632915542</v>
      </c>
      <c r="J133" s="23" t="n">
        <f aca="false">IF(E133="","",E133/E$4*100)</f>
        <v>161.827956989247</v>
      </c>
    </row>
    <row r="134" customFormat="false" ht="15" hidden="false" customHeight="false" outlineLevel="0" collapsed="false">
      <c r="A134" s="21" t="n">
        <v>45380</v>
      </c>
      <c r="B134" s="22" t="n">
        <v>1336.248</v>
      </c>
      <c r="C134" s="22" t="n">
        <v>6643.76</v>
      </c>
      <c r="D134" s="22" t="n">
        <v>1425.61</v>
      </c>
      <c r="E134" s="22" t="n">
        <v>1500</v>
      </c>
      <c r="F134" s="2"/>
      <c r="G134" s="23" t="n">
        <f aca="false">IF(B134="","",B134/B$4*100)</f>
        <v>156.594376305199</v>
      </c>
      <c r="H134" s="23" t="n">
        <f aca="false">IF(C134="","",C134/C$4*100)</f>
        <v>153.55188225723</v>
      </c>
      <c r="I134" s="23" t="n">
        <f aca="false">IF(D134="","",D134/D$4*100)</f>
        <v>179.760673845611</v>
      </c>
      <c r="J134" s="23" t="n">
        <f aca="false">IF(E134="","",E134/E$4*100)</f>
        <v>161.290322580645</v>
      </c>
    </row>
    <row r="135" customFormat="false" ht="15" hidden="false" customHeight="false" outlineLevel="0" collapsed="false">
      <c r="A135" s="21" t="n">
        <v>45387</v>
      </c>
      <c r="B135" s="22" t="n">
        <v>1350.747</v>
      </c>
      <c r="C135" s="22" t="n">
        <v>6512.36</v>
      </c>
      <c r="D135" s="22" t="n">
        <v>1410.52</v>
      </c>
      <c r="E135" s="22" t="n">
        <v>1510.1</v>
      </c>
      <c r="F135" s="2"/>
      <c r="G135" s="23" t="n">
        <f aca="false">IF(B135="","",B135/B$4*100)</f>
        <v>158.293508398979</v>
      </c>
      <c r="H135" s="23" t="n">
        <f aca="false">IF(C135="","",C135/C$4*100)</f>
        <v>150.514939723393</v>
      </c>
      <c r="I135" s="23" t="n">
        <f aca="false">IF(D135="","",D135/D$4*100)</f>
        <v>177.857917433738</v>
      </c>
      <c r="J135" s="23" t="n">
        <f aca="false">IF(E135="","",E135/E$4*100)</f>
        <v>162.376344086021</v>
      </c>
    </row>
    <row r="136" customFormat="false" ht="15" hidden="false" customHeight="false" outlineLevel="0" collapsed="false">
      <c r="A136" s="21" t="n">
        <v>45394</v>
      </c>
      <c r="B136" s="22" t="n">
        <v>1370.409</v>
      </c>
      <c r="C136" s="22" t="n">
        <v>6564.1</v>
      </c>
      <c r="D136" s="22" t="n">
        <v>1429.76</v>
      </c>
      <c r="E136" s="22" t="n">
        <v>1545.3</v>
      </c>
      <c r="F136" s="2"/>
      <c r="G136" s="23" t="n">
        <f aca="false">IF(B136="","",B136/B$4*100)</f>
        <v>160.59769042725</v>
      </c>
      <c r="H136" s="23" t="n">
        <f aca="false">IF(C136="","",C136/C$4*100)</f>
        <v>151.710764736336</v>
      </c>
      <c r="I136" s="23" t="n">
        <f aca="false">IF(D136="","",D136/D$4*100)</f>
        <v>180.283963382342</v>
      </c>
      <c r="J136" s="23" t="n">
        <f aca="false">IF(E136="","",E136/E$4*100)</f>
        <v>166.161290322581</v>
      </c>
    </row>
    <row r="137" customFormat="false" ht="15" hidden="false" customHeight="false" outlineLevel="0" collapsed="false">
      <c r="A137" s="21" t="n">
        <v>45401</v>
      </c>
      <c r="B137" s="22" t="n">
        <v>1364.153</v>
      </c>
      <c r="C137" s="22" t="n">
        <v>6365.09</v>
      </c>
      <c r="D137" s="22" t="n">
        <v>1380.83</v>
      </c>
      <c r="E137" s="22" t="n">
        <v>1436.7</v>
      </c>
      <c r="F137" s="2"/>
      <c r="G137" s="23" t="n">
        <f aca="false">IF(B137="","",B137/B$4*100)</f>
        <v>159.864552253673</v>
      </c>
      <c r="H137" s="23" t="n">
        <f aca="false">IF(C137="","",C137/C$4*100)</f>
        <v>147.111206641521</v>
      </c>
      <c r="I137" s="23" t="n">
        <f aca="false">IF(D137="","",D137/D$4*100)</f>
        <v>174.114190603485</v>
      </c>
      <c r="J137" s="23" t="n">
        <f aca="false">IF(E137="","",E137/E$4*100)</f>
        <v>154.483870967742</v>
      </c>
    </row>
    <row r="138" customFormat="false" ht="15" hidden="false" customHeight="false" outlineLevel="0" collapsed="false">
      <c r="A138" s="21" t="n">
        <v>45408</v>
      </c>
      <c r="B138" s="22" t="n">
        <v>1386.794</v>
      </c>
      <c r="C138" s="22" t="n">
        <v>6393.15</v>
      </c>
      <c r="D138" s="22" t="n">
        <v>1385.86</v>
      </c>
      <c r="E138" s="22" t="n">
        <v>1450.2</v>
      </c>
      <c r="F138" s="2"/>
      <c r="G138" s="23" t="n">
        <f aca="false">IF(B138="","",B138/B$4*100)</f>
        <v>162.517842117476</v>
      </c>
      <c r="H138" s="23" t="n">
        <f aca="false">IF(C138="","",C138/C$4*100)</f>
        <v>147.759734856889</v>
      </c>
      <c r="I138" s="23" t="n">
        <f aca="false">IF(D138="","",D138/D$4*100)</f>
        <v>174.748442740776</v>
      </c>
      <c r="J138" s="23" t="n">
        <f aca="false">IF(E138="","",E138/E$4*100)</f>
        <v>155.935483870968</v>
      </c>
    </row>
    <row r="139" customFormat="false" ht="15" hidden="false" customHeight="false" outlineLevel="0" collapsed="false">
      <c r="A139" s="21" t="n">
        <v>45415</v>
      </c>
      <c r="B139" s="22" t="n">
        <v>1384.411</v>
      </c>
      <c r="C139" s="22" t="n">
        <v>6559.05</v>
      </c>
      <c r="D139" s="22" t="n">
        <v>1406.77</v>
      </c>
      <c r="E139" s="22" t="n">
        <v>1479.1</v>
      </c>
      <c r="F139" s="2"/>
      <c r="G139" s="23" t="n">
        <f aca="false">IF(B139="","",B139/B$4*100)</f>
        <v>162.238579286972</v>
      </c>
      <c r="H139" s="23" t="n">
        <f aca="false">IF(C139="","",C139/C$4*100)</f>
        <v>151.594048147326</v>
      </c>
      <c r="I139" s="23" t="n">
        <f aca="false">IF(D139="","",D139/D$4*100)</f>
        <v>177.385065442716</v>
      </c>
      <c r="J139" s="23" t="n">
        <f aca="false">IF(E139="","",E139/E$4*100)</f>
        <v>159.043010752688</v>
      </c>
    </row>
    <row r="140" customFormat="false" ht="15" hidden="false" customHeight="false" outlineLevel="0" collapsed="false">
      <c r="A140" s="21" t="n">
        <v>45422</v>
      </c>
      <c r="B140" s="22" t="n">
        <v>1445.98</v>
      </c>
      <c r="C140" s="22" t="n">
        <v>6640.33</v>
      </c>
      <c r="D140" s="22" t="n">
        <v>1435.18</v>
      </c>
      <c r="E140" s="22" t="n">
        <v>1484.3</v>
      </c>
      <c r="F140" s="2"/>
      <c r="G140" s="23" t="n">
        <f aca="false">IF(B140="","",B140/B$4*100)</f>
        <v>169.453826123438</v>
      </c>
      <c r="H140" s="23" t="n">
        <f aca="false">IF(C140="","",C140/C$4*100)</f>
        <v>153.472607425486</v>
      </c>
      <c r="I140" s="23" t="n">
        <f aca="false">IF(D140="","",D140/D$4*100)</f>
        <v>180.967392126699</v>
      </c>
      <c r="J140" s="23" t="n">
        <f aca="false">IF(E140="","",E140/E$4*100)</f>
        <v>159.602150537634</v>
      </c>
    </row>
    <row r="141" customFormat="false" ht="15" hidden="false" customHeight="false" outlineLevel="0" collapsed="false">
      <c r="A141" s="21" t="n">
        <v>45429</v>
      </c>
      <c r="B141" s="22" t="n">
        <v>1476.665</v>
      </c>
      <c r="C141" s="22" t="n">
        <v>6658.98</v>
      </c>
      <c r="D141" s="22" t="n">
        <v>1435.18</v>
      </c>
      <c r="E141" s="22" t="n">
        <v>1499.9</v>
      </c>
      <c r="F141" s="2"/>
      <c r="G141" s="23" t="n">
        <f aca="false">IF(B141="","",B141/B$4*100)</f>
        <v>173.049789175899</v>
      </c>
      <c r="H141" s="23" t="n">
        <f aca="false">IF(C141="","",C141/C$4*100)</f>
        <v>153.903649877968</v>
      </c>
      <c r="I141" s="23" t="n">
        <f aca="false">IF(D141="","",D141/D$4*100)</f>
        <v>180.967392126699</v>
      </c>
      <c r="J141" s="23" t="n">
        <f aca="false">IF(E141="","",E141/E$4*100)</f>
        <v>161.279569892473</v>
      </c>
    </row>
    <row r="142" customFormat="false" ht="15" hidden="false" customHeight="false" outlineLevel="0" collapsed="false">
      <c r="A142" s="21" t="n">
        <v>45436</v>
      </c>
      <c r="B142" s="22" t="n">
        <v>1509.237</v>
      </c>
      <c r="C142" s="22" t="n">
        <v>6775.88</v>
      </c>
      <c r="D142" s="22" t="n">
        <v>1494.36</v>
      </c>
      <c r="E142" s="22" t="n">
        <v>1510</v>
      </c>
      <c r="F142" s="2"/>
      <c r="G142" s="23" t="n">
        <f aca="false">IF(B142="","",B142/B$4*100)</f>
        <v>176.866889014412</v>
      </c>
      <c r="H142" s="23" t="n">
        <f aca="false">IF(C142="","",C142/C$4*100)</f>
        <v>156.605465572073</v>
      </c>
      <c r="I142" s="23" t="n">
        <f aca="false">IF(D142="","",D142/D$4*100)</f>
        <v>188.429627014349</v>
      </c>
      <c r="J142" s="23" t="n">
        <f aca="false">IF(E142="","",E142/E$4*100)</f>
        <v>162.365591397849</v>
      </c>
    </row>
    <row r="143" customFormat="false" ht="15" hidden="false" customHeight="false" outlineLevel="0" collapsed="false">
      <c r="A143" s="21" t="n">
        <v>45443</v>
      </c>
      <c r="B143" s="22" t="n">
        <v>1508.443</v>
      </c>
      <c r="C143" s="22" t="n">
        <v>6632.8</v>
      </c>
      <c r="D143" s="22" t="n">
        <v>1473.06</v>
      </c>
      <c r="E143" s="22" t="n">
        <v>1499.6</v>
      </c>
      <c r="F143" s="2"/>
      <c r="G143" s="23" t="n">
        <f aca="false">IF(B143="","",B143/B$4*100)</f>
        <v>176.773840467446</v>
      </c>
      <c r="H143" s="23" t="n">
        <f aca="false">IF(C143="","",C143/C$4*100)</f>
        <v>153.298572590785</v>
      </c>
      <c r="I143" s="23" t="n">
        <f aca="false">IF(D143="","",D143/D$4*100)</f>
        <v>185.743827705344</v>
      </c>
      <c r="J143" s="23" t="n">
        <f aca="false">IF(E143="","",E143/E$4*100)</f>
        <v>161.247311827957</v>
      </c>
    </row>
    <row r="144" customFormat="false" ht="15" hidden="false" customHeight="false" outlineLevel="0" collapsed="false">
      <c r="A144" s="21" t="n">
        <v>45450</v>
      </c>
      <c r="B144" s="22" t="n">
        <v>1502.783</v>
      </c>
      <c r="C144" s="22" t="n">
        <v>6637.66</v>
      </c>
      <c r="D144" s="22" t="n">
        <v>1485.78</v>
      </c>
      <c r="E144" s="22" t="n">
        <v>1490</v>
      </c>
      <c r="F144" s="2"/>
      <c r="G144" s="23" t="n">
        <f aca="false">IF(B144="","",B144/B$4*100)</f>
        <v>176.110547298897</v>
      </c>
      <c r="H144" s="23" t="n">
        <f aca="false">IF(C144="","",C144/C$4*100)</f>
        <v>153.410897862584</v>
      </c>
      <c r="I144" s="23" t="n">
        <f aca="false">IF(D144="","",D144/D$4*100)</f>
        <v>187.347741658891</v>
      </c>
      <c r="J144" s="23" t="n">
        <f aca="false">IF(E144="","",E144/E$4*100)</f>
        <v>160.215053763441</v>
      </c>
    </row>
    <row r="145" customFormat="false" ht="15" hidden="false" customHeight="false" outlineLevel="0" collapsed="false">
      <c r="A145" s="21" t="n">
        <v>45457</v>
      </c>
      <c r="B145" s="22" t="n">
        <v>1429.297</v>
      </c>
      <c r="C145" s="22" t="n">
        <v>6518.11</v>
      </c>
      <c r="D145" s="22" t="n">
        <v>1420.39</v>
      </c>
      <c r="E145" s="22" t="n">
        <v>1450</v>
      </c>
      <c r="F145" s="2"/>
      <c r="G145" s="23" t="n">
        <f aca="false">IF(B145="","",B145/B$4*100)</f>
        <v>167.498751930699</v>
      </c>
      <c r="H145" s="23" t="n">
        <f aca="false">IF(C145="","",C145/C$4*100)</f>
        <v>150.647834849493</v>
      </c>
      <c r="I145" s="23" t="n">
        <f aca="false">IF(D145="","",D145/D$4*100)</f>
        <v>179.102463874108</v>
      </c>
      <c r="J145" s="23" t="n">
        <f aca="false">IF(E145="","",E145/E$4*100)</f>
        <v>155.913978494624</v>
      </c>
    </row>
    <row r="146" customFormat="false" ht="15" hidden="false" customHeight="false" outlineLevel="0" collapsed="false">
      <c r="A146" s="21" t="n">
        <v>45464</v>
      </c>
      <c r="B146" s="22" t="n">
        <v>1425.027</v>
      </c>
      <c r="C146" s="22" t="n">
        <v>6488.75</v>
      </c>
      <c r="D146" s="22" t="n">
        <v>1385.86</v>
      </c>
      <c r="E146" s="22" t="n">
        <v>1380</v>
      </c>
      <c r="F146" s="2"/>
      <c r="G146" s="23" t="n">
        <f aca="false">IF(B146="","",B146/B$4*100)</f>
        <v>166.998352314143</v>
      </c>
      <c r="H146" s="23" t="n">
        <f aca="false">IF(C146="","",C146/C$4*100)</f>
        <v>149.969260779528</v>
      </c>
      <c r="I146" s="23" t="n">
        <f aca="false">IF(D146="","",D146/D$4*100)</f>
        <v>174.748442740776</v>
      </c>
      <c r="J146" s="23" t="n">
        <f aca="false">IF(E146="","",E146/E$4*100)</f>
        <v>148.387096774194</v>
      </c>
    </row>
    <row r="147" customFormat="false" ht="15" hidden="false" customHeight="false" outlineLevel="0" collapsed="false">
      <c r="A147" s="21" t="n">
        <v>45471</v>
      </c>
      <c r="B147" s="22" t="n">
        <v>1369.9</v>
      </c>
      <c r="C147" s="22" t="n">
        <v>6413.88</v>
      </c>
      <c r="D147" s="22" t="n">
        <v>1401.64</v>
      </c>
      <c r="E147" s="22" t="n">
        <v>1425</v>
      </c>
      <c r="F147" s="2"/>
      <c r="G147" s="23" t="n">
        <f aca="false">IF(B147="","",B147/B$4*100)</f>
        <v>160.538040917923</v>
      </c>
      <c r="H147" s="23" t="n">
        <f aca="false">IF(C147="","",C147/C$4*100)</f>
        <v>148.238850676725</v>
      </c>
      <c r="I147" s="23" t="n">
        <f aca="false">IF(D147="","",D147/D$4*100)</f>
        <v>176.738203918997</v>
      </c>
      <c r="J147" s="23" t="n">
        <f aca="false">IF(E147="","",E147/E$4*100)</f>
        <v>153.225806451613</v>
      </c>
    </row>
    <row r="148" customFormat="false" ht="15" hidden="false" customHeight="false" outlineLevel="0" collapsed="false">
      <c r="A148" s="21" t="n">
        <v>45478</v>
      </c>
      <c r="B148" s="22" t="n">
        <v>1400</v>
      </c>
      <c r="C148" s="22" t="n">
        <v>6483.67</v>
      </c>
      <c r="D148" s="22" t="n">
        <v>1351.04</v>
      </c>
      <c r="E148" s="22" t="n">
        <v>1387.6</v>
      </c>
      <c r="F148" s="2"/>
      <c r="G148" s="23" t="n">
        <f aca="false">IF(B148="","",B148/B$4*100)</f>
        <v>164.06544805102</v>
      </c>
      <c r="H148" s="23" t="n">
        <f aca="false">IF(C148="","",C148/C$4*100)</f>
        <v>149.851850824643</v>
      </c>
      <c r="I148" s="23" t="n">
        <f aca="false">IF(D148="","",D148/D$4*100)</f>
        <v>170.357854386806</v>
      </c>
      <c r="J148" s="23" t="n">
        <f aca="false">IF(E148="","",E148/E$4*100)</f>
        <v>149.204301075269</v>
      </c>
    </row>
    <row r="149" customFormat="false" ht="15" hidden="false" customHeight="false" outlineLevel="0" collapsed="false">
      <c r="A149" s="21" t="n">
        <v>45485</v>
      </c>
      <c r="B149" s="22" t="n">
        <v>1381</v>
      </c>
      <c r="C149" s="22" t="n">
        <v>6550.02</v>
      </c>
      <c r="D149" s="22" t="n">
        <v>1416.44</v>
      </c>
      <c r="E149" s="22" t="n">
        <v>1424.9</v>
      </c>
      <c r="F149" s="2"/>
      <c r="G149" s="23" t="n">
        <f aca="false">IF(B149="","",B149/B$4*100)</f>
        <v>161.838845541756</v>
      </c>
      <c r="H149" s="23" t="n">
        <f aca="false">IF(C149="","",C149/C$4*100)</f>
        <v>151.38534501886</v>
      </c>
      <c r="I149" s="23" t="n">
        <f aca="false">IF(D149="","",D149/D$4*100)</f>
        <v>178.604393110231</v>
      </c>
      <c r="J149" s="23" t="n">
        <f aca="false">IF(E149="","",E149/E$4*100)</f>
        <v>153.215053763441</v>
      </c>
    </row>
    <row r="150" customFormat="false" ht="15" hidden="false" customHeight="false" outlineLevel="0" collapsed="false">
      <c r="A150" s="21" t="n">
        <v>45492</v>
      </c>
      <c r="B150" s="22" t="n">
        <v>1440</v>
      </c>
      <c r="C150" s="22" t="n">
        <v>6558.68</v>
      </c>
      <c r="D150" s="22" t="n">
        <v>1509.16</v>
      </c>
      <c r="E150" s="22" t="n">
        <v>1466.1</v>
      </c>
      <c r="F150" s="2"/>
      <c r="G150" s="23" t="n">
        <f aca="false">IF(B150="","",B150/B$4*100)</f>
        <v>168.753032281049</v>
      </c>
      <c r="H150" s="23" t="n">
        <f aca="false">IF(C150="","",C150/C$4*100)</f>
        <v>151.585496634864</v>
      </c>
      <c r="I150" s="23" t="n">
        <f aca="false">IF(D150="","",D150/D$4*100)</f>
        <v>190.295816205583</v>
      </c>
      <c r="J150" s="23" t="n">
        <f aca="false">IF(E150="","",E150/E$4*100)</f>
        <v>157.645161290323</v>
      </c>
    </row>
    <row r="151" customFormat="false" ht="15" hidden="false" customHeight="false" outlineLevel="0" collapsed="false">
      <c r="A151" s="21" t="n">
        <v>45499</v>
      </c>
      <c r="B151" s="22" t="n">
        <v>1460</v>
      </c>
      <c r="C151" s="22" t="n">
        <v>6432.16</v>
      </c>
      <c r="D151" s="22" t="n">
        <v>1489.33</v>
      </c>
      <c r="E151" s="22" t="n">
        <v>1474.7</v>
      </c>
      <c r="F151" s="2"/>
      <c r="G151" s="23" t="n">
        <f aca="false">IF(B151="","",B151/B$4*100)</f>
        <v>171.096824396063</v>
      </c>
      <c r="H151" s="23" t="n">
        <f aca="false">IF(C151="","",C151/C$4*100)</f>
        <v>148.661341616744</v>
      </c>
      <c r="I151" s="23" t="n">
        <f aca="false">IF(D151="","",D151/D$4*100)</f>
        <v>187.795374877059</v>
      </c>
      <c r="J151" s="23" t="n">
        <f aca="false">IF(E151="","",E151/E$4*100)</f>
        <v>158.569892473118</v>
      </c>
    </row>
    <row r="152" customFormat="false" ht="15" hidden="false" customHeight="false" outlineLevel="0" collapsed="false">
      <c r="A152" s="21" t="n">
        <v>45506</v>
      </c>
      <c r="B152" s="22" t="n">
        <v>1442.4</v>
      </c>
      <c r="C152" s="22" t="n">
        <v>6315.46</v>
      </c>
      <c r="D152" s="22" t="n">
        <v>1492.39</v>
      </c>
      <c r="E152" s="22" t="n">
        <v>1484.7</v>
      </c>
      <c r="F152" s="2"/>
      <c r="G152" s="23" t="n">
        <f aca="false">IF(B152="","",B152/B$4*100)</f>
        <v>169.034287334851</v>
      </c>
      <c r="H152" s="23" t="n">
        <f aca="false">IF(C152="","",C152/C$4*100)</f>
        <v>145.964148361808</v>
      </c>
      <c r="I152" s="23" t="n">
        <f aca="false">IF(D152="","",D152/D$4*100)</f>
        <v>188.181222101733</v>
      </c>
      <c r="J152" s="23" t="n">
        <f aca="false">IF(E152="","",E152/E$4*100)</f>
        <v>159.645161290323</v>
      </c>
    </row>
    <row r="153" customFormat="false" ht="15" hidden="false" customHeight="false" outlineLevel="0" collapsed="false">
      <c r="A153" s="21" t="n">
        <v>45513</v>
      </c>
      <c r="B153" s="22" t="n">
        <v>1480</v>
      </c>
      <c r="C153" s="22" t="n">
        <v>6320.96</v>
      </c>
      <c r="D153" s="22" t="n">
        <v>1459.94</v>
      </c>
      <c r="E153" s="22" t="n">
        <v>1505</v>
      </c>
      <c r="F153" s="2"/>
      <c r="G153" s="23" t="n">
        <f aca="false">IF(B153="","",B153/B$4*100)</f>
        <v>173.440616511078</v>
      </c>
      <c r="H153" s="23" t="n">
        <f aca="false">IF(C153="","",C153/C$4*100)</f>
        <v>146.091265438947</v>
      </c>
      <c r="I153" s="23" t="n">
        <f aca="false">IF(D153="","",D153/D$4*100)</f>
        <v>184.089476206088</v>
      </c>
      <c r="J153" s="23" t="n">
        <f aca="false">IF(E153="","",E153/E$4*100)</f>
        <v>161.827956989247</v>
      </c>
    </row>
    <row r="154" customFormat="false" ht="15" hidden="false" customHeight="false" outlineLevel="0" collapsed="false">
      <c r="A154" s="21" t="n">
        <v>45520</v>
      </c>
      <c r="B154" s="22" t="n">
        <v>1532.3</v>
      </c>
      <c r="C154" s="22" t="n">
        <v>6457.75</v>
      </c>
      <c r="D154" s="22" t="n">
        <v>1459.84</v>
      </c>
      <c r="E154" s="22" t="n">
        <v>1540.4</v>
      </c>
      <c r="F154" s="2"/>
      <c r="G154" s="23" t="n">
        <f aca="false">IF(B154="","",B154/B$4*100)</f>
        <v>179.569632891841</v>
      </c>
      <c r="H154" s="23" t="n">
        <f aca="false">IF(C154="","",C154/C$4*100)</f>
        <v>149.25278270838</v>
      </c>
      <c r="I154" s="23" t="n">
        <f aca="false">IF(D154="","",D154/D$4*100)</f>
        <v>184.076866819661</v>
      </c>
      <c r="J154" s="23" t="n">
        <f aca="false">IF(E154="","",E154/E$4*100)</f>
        <v>165.634408602151</v>
      </c>
    </row>
    <row r="155" customFormat="false" ht="15" hidden="false" customHeight="false" outlineLevel="0" collapsed="false">
      <c r="A155" s="21" t="n">
        <v>45527</v>
      </c>
      <c r="B155" s="22" t="n">
        <v>1540</v>
      </c>
      <c r="C155" s="22" t="n">
        <v>6463.24</v>
      </c>
      <c r="D155" s="22" t="n">
        <v>1529.87</v>
      </c>
      <c r="E155" s="22" t="n">
        <v>1555</v>
      </c>
      <c r="F155" s="2"/>
      <c r="G155" s="23" t="n">
        <f aca="false">IF(B155="","",B155/B$4*100)</f>
        <v>180.471992856122</v>
      </c>
      <c r="H155" s="23" t="n">
        <f aca="false">IF(C155="","",C155/C$4*100)</f>
        <v>149.37966866356</v>
      </c>
      <c r="I155" s="23" t="n">
        <f aca="false">IF(D155="","",D155/D$4*100)</f>
        <v>192.907220134668</v>
      </c>
      <c r="J155" s="23" t="n">
        <f aca="false">IF(E155="","",E155/E$4*100)</f>
        <v>167.204301075269</v>
      </c>
    </row>
    <row r="156" customFormat="false" ht="15" hidden="false" customHeight="false" outlineLevel="0" collapsed="false">
      <c r="A156" s="21" t="n">
        <v>45534</v>
      </c>
      <c r="B156" s="22" t="n">
        <v>1510.1</v>
      </c>
      <c r="C156" s="22" t="n">
        <v>6459.96</v>
      </c>
      <c r="D156" s="22" t="n">
        <v>1486.18</v>
      </c>
      <c r="E156" s="22" t="n">
        <v>1548.5</v>
      </c>
      <c r="F156" s="2"/>
      <c r="G156" s="23" t="n">
        <f aca="false">IF(B156="","",B156/B$4*100)</f>
        <v>176.968023644175</v>
      </c>
      <c r="H156" s="23" t="n">
        <f aca="false">IF(C156="","",C156/C$4*100)</f>
        <v>149.303860661194</v>
      </c>
      <c r="I156" s="23" t="n">
        <f aca="false">IF(D156="","",D156/D$4*100)</f>
        <v>187.3981792046</v>
      </c>
      <c r="J156" s="23" t="n">
        <f aca="false">IF(E156="","",E156/E$4*100)</f>
        <v>166.505376344086</v>
      </c>
    </row>
    <row r="157" customFormat="false" ht="15" hidden="false" customHeight="false" outlineLevel="0" collapsed="false">
      <c r="A157" s="21" t="n">
        <v>45541</v>
      </c>
      <c r="B157" s="22" t="n">
        <v>1526.4</v>
      </c>
      <c r="C157" s="22" t="n">
        <v>6245.42</v>
      </c>
      <c r="D157" s="22" t="n">
        <v>1479.57</v>
      </c>
      <c r="E157" s="22" t="n">
        <v>1539</v>
      </c>
      <c r="F157" s="2"/>
      <c r="G157" s="23" t="n">
        <f aca="false">IF(B157="","",B157/B$4*100)</f>
        <v>178.878214217912</v>
      </c>
      <c r="H157" s="23" t="n">
        <f aca="false">IF(C157="","",C157/C$4*100)</f>
        <v>144.345370164929</v>
      </c>
      <c r="I157" s="23" t="n">
        <f aca="false">IF(D157="","",D157/D$4*100)</f>
        <v>186.564698761758</v>
      </c>
      <c r="J157" s="23" t="n">
        <f aca="false">IF(E157="","",E157/E$4*100)</f>
        <v>165.483870967742</v>
      </c>
    </row>
    <row r="158" customFormat="false" ht="15" hidden="false" customHeight="false" outlineLevel="0" collapsed="false">
      <c r="A158" s="21" t="n">
        <v>45548</v>
      </c>
      <c r="B158" s="22" t="n">
        <v>1523</v>
      </c>
      <c r="C158" s="22" t="n">
        <v>6351.31</v>
      </c>
      <c r="D158" s="22" t="n">
        <v>1528.89</v>
      </c>
      <c r="E158" s="22" t="n">
        <v>1536.3</v>
      </c>
      <c r="F158" s="2"/>
      <c r="G158" s="23" t="n">
        <f aca="false">IF(B158="","",B158/B$4*100)</f>
        <v>178.479769558359</v>
      </c>
      <c r="H158" s="23" t="n">
        <f aca="false">IF(C158="","",C158/C$4*100)</f>
        <v>146.792720582797</v>
      </c>
      <c r="I158" s="23" t="n">
        <f aca="false">IF(D158="","",D158/D$4*100)</f>
        <v>192.783648147681</v>
      </c>
      <c r="J158" s="23" t="n">
        <f aca="false">IF(E158="","",E158/E$4*100)</f>
        <v>165.193548387097</v>
      </c>
    </row>
    <row r="159" customFormat="false" ht="15" hidden="false" customHeight="false" outlineLevel="0" collapsed="false">
      <c r="A159" s="21" t="n">
        <v>45555</v>
      </c>
      <c r="B159" s="22" t="n">
        <v>1569</v>
      </c>
      <c r="C159" s="22" t="n">
        <v>6333.16</v>
      </c>
      <c r="D159" s="22" t="n">
        <v>1548.62</v>
      </c>
      <c r="E159" s="22" t="n">
        <v>1534.5</v>
      </c>
      <c r="F159" s="2"/>
      <c r="G159" s="23" t="n">
        <f aca="false">IF(B159="","",B159/B$4*100)</f>
        <v>183.870491422893</v>
      </c>
      <c r="H159" s="23" t="n">
        <f aca="false">IF(C159="","",C159/C$4*100)</f>
        <v>146.373234228238</v>
      </c>
      <c r="I159" s="23" t="n">
        <f aca="false">IF(D159="","",D159/D$4*100)</f>
        <v>195.271480089779</v>
      </c>
      <c r="J159" s="23" t="n">
        <f aca="false">IF(E159="","",E159/E$4*100)</f>
        <v>165</v>
      </c>
    </row>
    <row r="160" customFormat="false" ht="15" hidden="false" customHeight="false" outlineLevel="0" collapsed="false">
      <c r="A160" s="21" t="n">
        <v>45562</v>
      </c>
      <c r="B160" s="22" t="n">
        <v>1601.7</v>
      </c>
      <c r="C160" s="22" t="n">
        <v>6530.73</v>
      </c>
      <c r="D160" s="22" t="n">
        <v>1574.95</v>
      </c>
      <c r="E160" s="22" t="n">
        <v>1550.1</v>
      </c>
      <c r="F160" s="2"/>
      <c r="G160" s="23" t="n">
        <f aca="false">IF(B160="","",B160/B$4*100)</f>
        <v>187.702591530942</v>
      </c>
      <c r="H160" s="23" t="n">
        <f aca="false">IF(C160="","",C160/C$4*100)</f>
        <v>150.939510761038</v>
      </c>
      <c r="I160" s="23" t="n">
        <f aca="false">IF(D160="","",D160/D$4*100)</f>
        <v>198.591531536075</v>
      </c>
      <c r="J160" s="23" t="n">
        <f aca="false">IF(E160="","",E160/E$4*100)</f>
        <v>166.677419354839</v>
      </c>
    </row>
    <row r="161" customFormat="false" ht="15" hidden="false" customHeight="false" outlineLevel="0" collapsed="false">
      <c r="A161" s="21" t="n">
        <v>45569</v>
      </c>
      <c r="B161" s="22" t="n">
        <v>1560</v>
      </c>
      <c r="C161" s="22" t="n">
        <v>6480.93</v>
      </c>
      <c r="D161" s="22" t="n">
        <v>1499.3</v>
      </c>
      <c r="E161" s="22" t="n">
        <v>1520.3</v>
      </c>
      <c r="F161" s="2"/>
      <c r="G161" s="23" t="n">
        <f aca="false">IF(B161="","",B161/B$4*100)</f>
        <v>182.815784971136</v>
      </c>
      <c r="H161" s="23" t="n">
        <f aca="false">IF(C161="","",C161/C$4*100)</f>
        <v>149.788523408032</v>
      </c>
      <c r="I161" s="23" t="n">
        <f aca="false">IF(D161="","",D161/D$4*100)</f>
        <v>189.052530703856</v>
      </c>
      <c r="J161" s="23" t="n">
        <f aca="false">IF(E161="","",E161/E$4*100)</f>
        <v>163.47311827957</v>
      </c>
    </row>
    <row r="162" customFormat="false" ht="15" hidden="false" customHeight="false" outlineLevel="0" collapsed="false">
      <c r="A162" s="21" t="n">
        <v>45576</v>
      </c>
      <c r="B162" s="22" t="n">
        <v>1594</v>
      </c>
      <c r="C162" s="22" t="n">
        <v>6572.95</v>
      </c>
      <c r="D162" s="22" t="n">
        <v>1528.89</v>
      </c>
      <c r="E162" s="22" t="n">
        <v>1589</v>
      </c>
      <c r="F162" s="2"/>
      <c r="G162" s="23" t="n">
        <f aca="false">IF(B162="","",B162/B$4*100)</f>
        <v>186.800231566661</v>
      </c>
      <c r="H162" s="23" t="n">
        <f aca="false">IF(C162="","",C162/C$4*100)</f>
        <v>151.915307669551</v>
      </c>
      <c r="I162" s="23" t="n">
        <f aca="false">IF(D162="","",D162/D$4*100)</f>
        <v>192.783648147681</v>
      </c>
      <c r="J162" s="23" t="n">
        <f aca="false">IF(E162="","",E162/E$4*100)</f>
        <v>170.860215053763</v>
      </c>
    </row>
    <row r="163" customFormat="false" ht="15" hidden="false" customHeight="false" outlineLevel="0" collapsed="false">
      <c r="A163" s="21" t="n">
        <v>45583</v>
      </c>
      <c r="B163" s="22" t="n">
        <v>1590</v>
      </c>
      <c r="C163" s="22" t="n">
        <v>6643.52</v>
      </c>
      <c r="D163" s="22" t="n">
        <v>1529.48</v>
      </c>
      <c r="E163" s="22" t="n">
        <v>1580</v>
      </c>
      <c r="F163" s="2"/>
      <c r="G163" s="23" t="n">
        <f aca="false">IF(B163="","",B163/B$4*100)</f>
        <v>186.331473143658</v>
      </c>
      <c r="H163" s="23" t="n">
        <f aca="false">IF(C163="","",C163/C$4*100)</f>
        <v>153.546335330227</v>
      </c>
      <c r="I163" s="23" t="n">
        <f aca="false">IF(D163="","",D163/D$4*100)</f>
        <v>192.858043527602</v>
      </c>
      <c r="J163" s="23" t="n">
        <f aca="false">IF(E163="","",E163/E$4*100)</f>
        <v>169.89247311828</v>
      </c>
    </row>
    <row r="164" customFormat="false" ht="15" hidden="false" customHeight="false" outlineLevel="0" collapsed="false">
      <c r="A164" s="21" t="n">
        <v>45590</v>
      </c>
      <c r="B164" s="22" t="n">
        <v>1600</v>
      </c>
      <c r="C164" s="22" t="n">
        <v>6754.69</v>
      </c>
      <c r="D164" s="22" t="n">
        <v>1577.12</v>
      </c>
      <c r="E164" s="22" t="n">
        <v>1553</v>
      </c>
      <c r="F164" s="2"/>
      <c r="G164" s="23" t="n">
        <f aca="false">IF(B164="","",B164/B$4*100)</f>
        <v>187.503369201165</v>
      </c>
      <c r="H164" s="23" t="n">
        <f aca="false">IF(C164="","",C164/C$4*100)</f>
        <v>156.115718142149</v>
      </c>
      <c r="I164" s="23" t="n">
        <f aca="false">IF(D164="","",D164/D$4*100)</f>
        <v>198.865155221547</v>
      </c>
      <c r="J164" s="23" t="n">
        <f aca="false">IF(E164="","",E164/E$4*100)</f>
        <v>166.989247311828</v>
      </c>
    </row>
    <row r="165" customFormat="false" ht="15" hidden="false" customHeight="false" outlineLevel="0" collapsed="false">
      <c r="A165" s="21" t="n">
        <v>45597</v>
      </c>
      <c r="B165" s="22" t="n">
        <v>1570</v>
      </c>
      <c r="C165" s="22" t="n">
        <v>6550.32</v>
      </c>
      <c r="D165" s="22" t="n">
        <v>1557.39</v>
      </c>
      <c r="E165" s="22" t="n">
        <v>1587</v>
      </c>
      <c r="F165" s="2"/>
      <c r="G165" s="23" t="n">
        <f aca="false">IF(B165="","",B165/B$4*100)</f>
        <v>183.987681028644</v>
      </c>
      <c r="H165" s="23" t="n">
        <f aca="false">IF(C165="","",C165/C$4*100)</f>
        <v>151.392278677613</v>
      </c>
      <c r="I165" s="23" t="n">
        <f aca="false">IF(D165="","",D165/D$4*100)</f>
        <v>196.377323279449</v>
      </c>
      <c r="J165" s="23" t="n">
        <f aca="false">IF(E165="","",E165/E$4*100)</f>
        <v>170.645161290323</v>
      </c>
    </row>
    <row r="166" customFormat="false" ht="15" hidden="false" customHeight="false" outlineLevel="0" collapsed="false">
      <c r="A166" s="21" t="n">
        <v>45604</v>
      </c>
      <c r="B166" s="22" t="n">
        <v>1537</v>
      </c>
      <c r="C166" s="22" t="n">
        <v>6519.72</v>
      </c>
      <c r="D166" s="22" t="n">
        <v>1471.78</v>
      </c>
      <c r="E166" s="22" t="n">
        <v>1580</v>
      </c>
      <c r="F166" s="2"/>
      <c r="G166" s="23" t="n">
        <f aca="false">IF(B166="","",B166/B$4*100)</f>
        <v>180.120424038869</v>
      </c>
      <c r="H166" s="23" t="n">
        <f aca="false">IF(C166="","",C166/C$4*100)</f>
        <v>150.685045484801</v>
      </c>
      <c r="I166" s="23" t="n">
        <f aca="false">IF(D166="","",D166/D$4*100)</f>
        <v>185.582427559075</v>
      </c>
      <c r="J166" s="23" t="n">
        <f aca="false">IF(E166="","",E166/E$4*100)</f>
        <v>169.89247311828</v>
      </c>
    </row>
    <row r="167" customFormat="false" ht="15" hidden="false" customHeight="false" outlineLevel="0" collapsed="false">
      <c r="A167" s="21" t="n">
        <v>45611</v>
      </c>
      <c r="B167" s="22" t="n">
        <v>1546.7</v>
      </c>
      <c r="C167" s="22" t="n">
        <v>6527.02</v>
      </c>
      <c r="D167" s="22" t="n">
        <v>1441.1</v>
      </c>
      <c r="E167" s="22" t="n">
        <v>1488</v>
      </c>
      <c r="F167" s="2"/>
      <c r="G167" s="23" t="n">
        <f aca="false">IF(B167="","",B167/B$4*100)</f>
        <v>181.257163214652</v>
      </c>
      <c r="H167" s="23" t="n">
        <f aca="false">IF(C167="","",C167/C$4*100)</f>
        <v>150.853764514459</v>
      </c>
      <c r="I167" s="23" t="n">
        <f aca="false">IF(D167="","",D167/D$4*100)</f>
        <v>181.713867803193</v>
      </c>
      <c r="J167" s="23" t="n">
        <f aca="false">IF(E167="","",E167/E$4*100)</f>
        <v>160</v>
      </c>
    </row>
    <row r="168" customFormat="false" ht="15" hidden="false" customHeight="false" outlineLevel="0" collapsed="false">
      <c r="A168" s="21" t="n">
        <v>45618</v>
      </c>
      <c r="B168" s="22" t="n">
        <v>1569</v>
      </c>
      <c r="C168" s="22" t="n">
        <v>6564.16</v>
      </c>
      <c r="D168" s="22" t="n">
        <v>1508.17</v>
      </c>
      <c r="E168" s="22" t="n">
        <v>1506</v>
      </c>
      <c r="F168" s="2"/>
      <c r="G168" s="23" t="n">
        <f aca="false">IF(B168="","",B168/B$4*100)</f>
        <v>183.870491422893</v>
      </c>
      <c r="H168" s="23" t="n">
        <f aca="false">IF(C168="","",C168/C$4*100)</f>
        <v>151.712151468087</v>
      </c>
      <c r="I168" s="23" t="n">
        <f aca="false">IF(D168="","",D168/D$4*100)</f>
        <v>190.170983279954</v>
      </c>
      <c r="J168" s="23" t="n">
        <f aca="false">IF(E168="","",E168/E$4*100)</f>
        <v>161.935483870968</v>
      </c>
    </row>
    <row r="169" customFormat="false" ht="15" hidden="false" customHeight="false" outlineLevel="0" collapsed="false">
      <c r="A169" s="21" t="n">
        <v>45625</v>
      </c>
      <c r="B169" s="22" t="n">
        <v>1645</v>
      </c>
      <c r="C169" s="22" t="n">
        <v>6576.6</v>
      </c>
      <c r="D169" s="22" t="n">
        <v>1550.59</v>
      </c>
      <c r="E169" s="22" t="n">
        <v>1544.9</v>
      </c>
      <c r="F169" s="2"/>
      <c r="G169" s="23" t="n">
        <f aca="false">IF(B169="","",B169/B$4*100)</f>
        <v>192.776901459948</v>
      </c>
      <c r="H169" s="23" t="n">
        <f aca="false">IF(C169="","",C169/C$4*100)</f>
        <v>151.99966718438</v>
      </c>
      <c r="I169" s="23" t="n">
        <f aca="false">IF(D169="","",D169/D$4*100)</f>
        <v>195.519885002396</v>
      </c>
      <c r="J169" s="23" t="n">
        <f aca="false">IF(E169="","",E169/E$4*100)</f>
        <v>166.118279569892</v>
      </c>
    </row>
    <row r="170" customFormat="false" ht="15" hidden="false" customHeight="false" outlineLevel="0" collapsed="false">
      <c r="A170" s="21" t="n">
        <v>45632</v>
      </c>
      <c r="B170" s="22" t="n">
        <v>1668</v>
      </c>
      <c r="C170" s="22" t="n">
        <v>6648.65</v>
      </c>
      <c r="D170" s="22" t="n">
        <v>1515.18</v>
      </c>
      <c r="E170" s="22" t="n">
        <v>1581</v>
      </c>
      <c r="F170" s="2"/>
      <c r="G170" s="23" t="n">
        <f aca="false">IF(B170="","",B170/B$4*100)</f>
        <v>195.472262392215</v>
      </c>
      <c r="H170" s="23" t="n">
        <f aca="false">IF(C170="","",C170/C$4*100)</f>
        <v>153.664900894904</v>
      </c>
      <c r="I170" s="23" t="n">
        <f aca="false">IF(D170="","",D170/D$4*100)</f>
        <v>191.054901268504</v>
      </c>
      <c r="J170" s="23" t="n">
        <f aca="false">IF(E170="","",E170/E$4*100)</f>
        <v>170</v>
      </c>
    </row>
    <row r="171" customFormat="false" ht="15" hidden="false" customHeight="false" outlineLevel="0" collapsed="false">
      <c r="A171" s="21" t="n">
        <v>45639</v>
      </c>
      <c r="B171" s="22" t="n">
        <v>1676</v>
      </c>
      <c r="C171" s="22" t="n">
        <v>6767.25</v>
      </c>
      <c r="D171" s="22" t="n">
        <v>1558.38</v>
      </c>
      <c r="E171" s="22" t="n">
        <v>1574</v>
      </c>
      <c r="F171" s="2"/>
      <c r="G171" s="23" t="n">
        <f aca="false">IF(B171="","",B171/B$4*100)</f>
        <v>196.409779238221</v>
      </c>
      <c r="H171" s="23" t="n">
        <f aca="false">IF(C171="","",C171/C$4*100)</f>
        <v>156.406007321944</v>
      </c>
      <c r="I171" s="23" t="n">
        <f aca="false">IF(D171="","",D171/D$4*100)</f>
        <v>196.502156205079</v>
      </c>
      <c r="J171" s="23" t="n">
        <f aca="false">IF(E171="","",E171/E$4*100)</f>
        <v>169.247311827957</v>
      </c>
    </row>
    <row r="172" customFormat="false" ht="15" hidden="false" customHeight="false" outlineLevel="0" collapsed="false">
      <c r="A172" s="21" t="n">
        <v>45646</v>
      </c>
      <c r="B172" s="22" t="n">
        <v>1650</v>
      </c>
      <c r="C172" s="22" t="n">
        <v>6700.82</v>
      </c>
      <c r="D172" s="22" t="n">
        <v>1525.44</v>
      </c>
      <c r="E172" s="22" t="n">
        <v>1570</v>
      </c>
      <c r="F172" s="2"/>
      <c r="G172" s="23" t="n">
        <f aca="false">IF(B172="","",B172/B$4*100)</f>
        <v>193.362849488702</v>
      </c>
      <c r="H172" s="23" t="n">
        <f aca="false">IF(C172="","",C172/C$4*100)</f>
        <v>154.87066415206</v>
      </c>
      <c r="I172" s="23" t="n">
        <f aca="false">IF(D172="","",D172/D$4*100)</f>
        <v>192.348624315941</v>
      </c>
      <c r="J172" s="23" t="n">
        <f aca="false">IF(E172="","",E172/E$4*100)</f>
        <v>168.817204301075</v>
      </c>
    </row>
    <row r="173" customFormat="false" ht="15" hidden="false" customHeight="false" outlineLevel="0" collapsed="false">
      <c r="A173" s="21" t="n">
        <v>45653</v>
      </c>
      <c r="B173" s="22" t="n">
        <v>1630.1</v>
      </c>
      <c r="C173" s="22" t="n">
        <v>6703.27</v>
      </c>
      <c r="D173" s="22" t="n">
        <v>1535.3</v>
      </c>
      <c r="E173" s="22" t="n">
        <v>1556</v>
      </c>
      <c r="F173" s="2"/>
      <c r="G173" s="23" t="n">
        <f aca="false">IF(B173="","",B173/B$4*100)</f>
        <v>191.030776334262</v>
      </c>
      <c r="H173" s="23" t="n">
        <f aca="false">IF(C173="","",C173/C$4*100)</f>
        <v>154.927289031876</v>
      </c>
      <c r="I173" s="23" t="n">
        <f aca="false">IF(D173="","",D173/D$4*100)</f>
        <v>193.591909817668</v>
      </c>
      <c r="J173" s="23" t="n">
        <f aca="false">IF(E173="","",E173/E$4*100)</f>
        <v>167.311827956989</v>
      </c>
    </row>
    <row r="174" customFormat="false" ht="15" hidden="false" customHeight="false" outlineLevel="0" collapsed="false">
      <c r="A174" s="21" t="n">
        <v>45660</v>
      </c>
      <c r="B174" s="22" t="n">
        <v>1610</v>
      </c>
      <c r="C174" s="22" t="n">
        <v>6700.98</v>
      </c>
      <c r="D174" s="22" t="n">
        <v>1538.75</v>
      </c>
      <c r="E174" s="22" t="n">
        <v>1589.8</v>
      </c>
      <c r="F174" s="2"/>
      <c r="G174" s="23" t="n">
        <f aca="false">IF(B174="","",B174/B$4*100)</f>
        <v>188.675265258673</v>
      </c>
      <c r="H174" s="23" t="n">
        <f aca="false">IF(C174="","",C174/C$4*100)</f>
        <v>154.874362103395</v>
      </c>
      <c r="I174" s="23" t="n">
        <f aca="false">IF(D174="","",D174/D$4*100)</f>
        <v>194.026933649409</v>
      </c>
      <c r="J174" s="23" t="n">
        <f aca="false">IF(E174="","",E174/E$4*100)</f>
        <v>170.94623655914</v>
      </c>
    </row>
    <row r="175" customFormat="false" ht="15" hidden="false" customHeight="false" outlineLevel="0" collapsed="false">
      <c r="A175" s="21" t="n">
        <v>45667</v>
      </c>
      <c r="B175" s="22" t="n">
        <v>1620</v>
      </c>
      <c r="C175" s="22" t="n">
        <v>6814.12</v>
      </c>
      <c r="D175" s="22" t="n">
        <v>1510.15</v>
      </c>
      <c r="E175" s="22" t="n">
        <v>1620</v>
      </c>
      <c r="F175" s="2"/>
      <c r="G175" s="23" t="n">
        <f aca="false">IF(B175="","",B175/B$4*100)</f>
        <v>189.84716131618</v>
      </c>
      <c r="H175" s="23" t="n">
        <f aca="false">IF(C175="","",C175/C$4*100)</f>
        <v>157.489275941129</v>
      </c>
      <c r="I175" s="23" t="n">
        <f aca="false">IF(D175="","",D175/D$4*100)</f>
        <v>190.420649131213</v>
      </c>
      <c r="J175" s="23" t="n">
        <f aca="false">IF(E175="","",E175/E$4*100)</f>
        <v>174.193548387097</v>
      </c>
    </row>
    <row r="176" customFormat="false" ht="15" hidden="false" customHeight="false" outlineLevel="0" collapsed="false">
      <c r="A176" s="21" t="n">
        <v>45674</v>
      </c>
      <c r="B176" s="22" t="n">
        <v>1601</v>
      </c>
      <c r="C176" s="22" t="n">
        <v>6958.79</v>
      </c>
      <c r="D176" s="22" t="n">
        <v>1525.93</v>
      </c>
      <c r="E176" s="22" t="n">
        <v>1596.9</v>
      </c>
      <c r="F176" s="2"/>
      <c r="G176" s="23" t="n">
        <f aca="false">IF(B176="","",B176/B$4*100)</f>
        <v>187.620558806916</v>
      </c>
      <c r="H176" s="23" t="n">
        <f aca="false">IF(C176="","",C176/C$4*100)</f>
        <v>160.832917313808</v>
      </c>
      <c r="I176" s="23" t="n">
        <f aca="false">IF(D176="","",D176/D$4*100)</f>
        <v>192.410410309434</v>
      </c>
      <c r="J176" s="23" t="n">
        <f aca="false">IF(E176="","",E176/E$4*100)</f>
        <v>171.709677419355</v>
      </c>
    </row>
    <row r="177" customFormat="false" ht="15" hidden="false" customHeight="false" outlineLevel="0" collapsed="false">
      <c r="A177" s="21" t="n">
        <v>45681</v>
      </c>
      <c r="B177" s="22" t="n">
        <v>1684.8</v>
      </c>
      <c r="C177" s="22" t="n">
        <v>7068.67</v>
      </c>
      <c r="D177" s="22" t="n">
        <v>1553.55</v>
      </c>
      <c r="E177" s="22" t="n">
        <v>1577.2</v>
      </c>
      <c r="F177" s="2"/>
      <c r="G177" s="23" t="n">
        <f aca="false">IF(B177="","",B177/B$4*100)</f>
        <v>197.441047768827</v>
      </c>
      <c r="H177" s="23" t="n">
        <f aca="false">IF(C177="","",C177/C$4*100)</f>
        <v>163.372485393092</v>
      </c>
      <c r="I177" s="23" t="n">
        <f aca="false">IF(D177="","",D177/D$4*100)</f>
        <v>195.893122840643</v>
      </c>
      <c r="J177" s="23" t="n">
        <f aca="false">IF(E177="","",E177/E$4*100)</f>
        <v>169.591397849462</v>
      </c>
    </row>
    <row r="178" customFormat="false" ht="15" hidden="false" customHeight="false" outlineLevel="0" collapsed="false">
      <c r="A178" s="21" t="n">
        <v>45688</v>
      </c>
      <c r="B178" s="22" t="n">
        <v>1759.9</v>
      </c>
      <c r="C178" s="22" t="n">
        <v>7199.59</v>
      </c>
      <c r="D178" s="22" t="n">
        <v>1661.85</v>
      </c>
      <c r="E178" s="22" t="n">
        <v>1640</v>
      </c>
      <c r="F178" s="2"/>
      <c r="G178" s="23" t="n">
        <f aca="false">IF(B178="","",B178/B$4*100)</f>
        <v>206.241987160707</v>
      </c>
      <c r="H178" s="23" t="n">
        <f aca="false">IF(C178="","",C178/C$4*100)</f>
        <v>166.398334072924</v>
      </c>
      <c r="I178" s="23" t="n">
        <f aca="false">IF(D178="","",D178/D$4*100)</f>
        <v>209.549088341361</v>
      </c>
      <c r="J178" s="23" t="n">
        <f aca="false">IF(E178="","",E178/E$4*100)</f>
        <v>176.344086021505</v>
      </c>
    </row>
    <row r="179" customFormat="false" ht="15" hidden="false" customHeight="false" outlineLevel="0" collapsed="false">
      <c r="A179" s="21" t="n">
        <v>45695</v>
      </c>
      <c r="B179" s="22" t="n">
        <v>1800</v>
      </c>
      <c r="C179" s="22" t="n">
        <v>7285.12</v>
      </c>
      <c r="D179" s="22" t="n">
        <v>1736.03</v>
      </c>
      <c r="E179" s="22" t="n">
        <v>1708.8</v>
      </c>
      <c r="F179" s="2"/>
      <c r="G179" s="23" t="n">
        <f aca="false">IF(B179="","",B179/B$4*100)</f>
        <v>210.941290351311</v>
      </c>
      <c r="H179" s="23" t="n">
        <f aca="false">IF(C179="","",C179/C$4*100)</f>
        <v>168.375120183418</v>
      </c>
      <c r="I179" s="23" t="n">
        <f aca="false">IF(D179="","",D179/D$4*100)</f>
        <v>218.9027311931</v>
      </c>
      <c r="J179" s="23" t="n">
        <f aca="false">IF(E179="","",E179/E$4*100)</f>
        <v>183.741935483871</v>
      </c>
    </row>
    <row r="180" customFormat="false" ht="15" hidden="false" customHeight="false" outlineLevel="0" collapsed="false">
      <c r="A180" s="21" t="n">
        <v>45702</v>
      </c>
      <c r="B180" s="22" t="n">
        <v>1829.8</v>
      </c>
      <c r="C180" s="22" t="n">
        <v>7359.91</v>
      </c>
      <c r="D180" s="22" t="n">
        <v>1726.16</v>
      </c>
      <c r="E180" s="22" t="n">
        <v>1700</v>
      </c>
      <c r="F180" s="2"/>
      <c r="G180" s="23" t="n">
        <f aca="false">IF(B180="","",B180/B$4*100)</f>
        <v>214.433540602683</v>
      </c>
      <c r="H180" s="23" t="n">
        <f aca="false">IF(C180="","",C180/C$4*100)</f>
        <v>170.103681310554</v>
      </c>
      <c r="I180" s="23" t="n">
        <f aca="false">IF(D180="","",D180/D$4*100)</f>
        <v>217.65818475273</v>
      </c>
      <c r="J180" s="23" t="n">
        <f aca="false">IF(E180="","",E180/E$4*100)</f>
        <v>182.795698924731</v>
      </c>
    </row>
    <row r="181" customFormat="false" ht="15" hidden="false" customHeight="false" outlineLevel="0" collapsed="false">
      <c r="A181" s="21" t="n">
        <v>45709</v>
      </c>
      <c r="B181" s="22" t="n">
        <v>1860</v>
      </c>
      <c r="C181" s="22" t="n">
        <v>7311.75</v>
      </c>
      <c r="D181" s="22" t="n">
        <v>1734.05</v>
      </c>
      <c r="E181" s="22" t="n">
        <v>1740</v>
      </c>
      <c r="F181" s="2"/>
      <c r="G181" s="23" t="n">
        <f aca="false">IF(B181="","",B181/B$4*100)</f>
        <v>217.972666696355</v>
      </c>
      <c r="H181" s="23" t="n">
        <f aca="false">IF(C181="","",C181/C$4*100)</f>
        <v>168.990597958731</v>
      </c>
      <c r="I181" s="23" t="n">
        <f aca="false">IF(D181="","",D181/D$4*100)</f>
        <v>218.65306534184</v>
      </c>
      <c r="J181" s="23" t="n">
        <f aca="false">IF(E181="","",E181/E$4*100)</f>
        <v>187.096774193548</v>
      </c>
    </row>
    <row r="182" customFormat="false" ht="15" hidden="false" customHeight="false" outlineLevel="0" collapsed="false">
      <c r="A182" s="21" t="n">
        <v>45716</v>
      </c>
      <c r="B182" s="22" t="n">
        <v>1900</v>
      </c>
      <c r="C182" s="22" t="n">
        <v>7332.12</v>
      </c>
      <c r="D182" s="22" t="n">
        <v>1706.63</v>
      </c>
      <c r="E182" s="22" t="n">
        <v>1785</v>
      </c>
      <c r="F182" s="2"/>
      <c r="G182" s="23" t="n">
        <f aca="false">IF(B182="","",B182/B$4*100)</f>
        <v>222.660250926384</v>
      </c>
      <c r="H182" s="23" t="n">
        <f aca="false">IF(C182="","",C182/C$4*100)</f>
        <v>169.461393388063</v>
      </c>
      <c r="I182" s="23" t="n">
        <f aca="false">IF(D182="","",D182/D$4*100)</f>
        <v>215.195571583487</v>
      </c>
      <c r="J182" s="23" t="n">
        <f aca="false">IF(E182="","",E182/E$4*100)</f>
        <v>191.935483870968</v>
      </c>
    </row>
    <row r="183" customFormat="false" ht="15" hidden="false" customHeight="false" outlineLevel="0" collapsed="false">
      <c r="A183" s="21" t="n">
        <v>45723</v>
      </c>
      <c r="B183" s="22" t="n">
        <v>1930</v>
      </c>
      <c r="C183" s="22" t="n">
        <v>7377.09</v>
      </c>
      <c r="D183" s="22" t="n">
        <v>1775.48</v>
      </c>
      <c r="E183" s="22" t="n">
        <v>1809.9</v>
      </c>
      <c r="F183" s="2"/>
      <c r="G183" s="23" t="n">
        <f aca="false">IF(B183="","",B183/B$4*100)</f>
        <v>226.175939098906</v>
      </c>
      <c r="H183" s="23" t="n">
        <f aca="false">IF(C183="","",C183/C$4*100)</f>
        <v>170.500748835145</v>
      </c>
      <c r="I183" s="23" t="n">
        <f aca="false">IF(D183="","",D183/D$4*100)</f>
        <v>223.877134138653</v>
      </c>
      <c r="J183" s="23" t="n">
        <f aca="false">IF(E183="","",E183/E$4*100)</f>
        <v>194.612903225806</v>
      </c>
    </row>
    <row r="184" customFormat="false" ht="15" hidden="false" customHeight="false" outlineLevel="0" collapsed="false">
      <c r="A184" s="21" t="n">
        <v>45730</v>
      </c>
      <c r="B184" s="22" t="n">
        <v>1940</v>
      </c>
      <c r="C184" s="22" t="n">
        <v>7509</v>
      </c>
      <c r="D184" s="22" t="n">
        <v>1745.89</v>
      </c>
      <c r="E184" s="22" t="n">
        <v>1814</v>
      </c>
      <c r="F184" s="2"/>
      <c r="G184" s="23" t="n">
        <f aca="false">IF(B184="","",B184/B$4*100)</f>
        <v>227.347835156413</v>
      </c>
      <c r="H184" s="23" t="n">
        <f aca="false">IF(C184="","",C184/C$4*100)</f>
        <v>173.549478588862</v>
      </c>
      <c r="I184" s="23" t="n">
        <f aca="false">IF(D184="","",D184/D$4*100)</f>
        <v>220.146016694828</v>
      </c>
      <c r="J184" s="23" t="n">
        <f aca="false">IF(E184="","",E184/E$4*100)</f>
        <v>195.05376344086</v>
      </c>
    </row>
    <row r="185" customFormat="false" ht="15" hidden="false" customHeight="false" outlineLevel="0" collapsed="false">
      <c r="A185" s="21" t="n">
        <v>45737</v>
      </c>
      <c r="B185" s="22" t="n">
        <v>1910</v>
      </c>
      <c r="C185" s="22" t="n">
        <v>7585.81</v>
      </c>
      <c r="D185" s="22" t="n">
        <v>1795.21</v>
      </c>
      <c r="E185" s="22" t="n">
        <v>1887.8</v>
      </c>
      <c r="F185" s="2"/>
      <c r="G185" s="23" t="n">
        <f aca="false">IF(B185="","",B185/B$4*100)</f>
        <v>223.832146983891</v>
      </c>
      <c r="H185" s="23" t="n">
        <f aca="false">IF(C185="","",C185/C$4*100)</f>
        <v>175.324726351601</v>
      </c>
      <c r="I185" s="23" t="n">
        <f aca="false">IF(D185="","",D185/D$4*100)</f>
        <v>226.364966080751</v>
      </c>
      <c r="J185" s="23" t="n">
        <f aca="false">IF(E185="","",E185/E$4*100)</f>
        <v>202.989247311828</v>
      </c>
    </row>
    <row r="186" customFormat="false" ht="15" hidden="false" customHeight="false" outlineLevel="0" collapsed="false">
      <c r="A186" s="21" t="n">
        <v>45744</v>
      </c>
      <c r="B186" s="22" t="n">
        <v>1970</v>
      </c>
      <c r="C186" s="22" t="n">
        <v>7694.49</v>
      </c>
      <c r="D186" s="22" t="n">
        <v>1869.19</v>
      </c>
      <c r="E186" s="22" t="n">
        <v>1900</v>
      </c>
      <c r="F186" s="2"/>
      <c r="G186" s="23" t="n">
        <f aca="false">IF(B186="","",B186/B$4*100)</f>
        <v>230.863523328935</v>
      </c>
      <c r="H186" s="23" t="n">
        <f aca="false">IF(C186="","",C186/C$4*100)</f>
        <v>177.836559795873</v>
      </c>
      <c r="I186" s="23" t="n">
        <f aca="false">IF(D186="","",D186/D$4*100)</f>
        <v>235.693390159635</v>
      </c>
      <c r="J186" s="23" t="n">
        <f aca="false">IF(E186="","",E186/E$4*100)</f>
        <v>204.301075268817</v>
      </c>
    </row>
    <row r="187" customFormat="false" ht="15" hidden="false" customHeight="false" outlineLevel="0" collapsed="false">
      <c r="A187" s="21" t="n">
        <v>45751</v>
      </c>
      <c r="B187" s="22" t="n">
        <v>2000</v>
      </c>
      <c r="C187" s="22" t="n">
        <v>7504.21</v>
      </c>
      <c r="D187" s="22" t="n">
        <v>1913.58</v>
      </c>
      <c r="E187" s="22" t="n">
        <v>1884.5</v>
      </c>
      <c r="F187" s="2"/>
      <c r="G187" s="23" t="n">
        <f aca="false">IF(B187="","",B187/B$4*100)</f>
        <v>234.379211501457</v>
      </c>
      <c r="H187" s="23" t="n">
        <f aca="false">IF(C187="","",C187/C$4*100)</f>
        <v>173.438771170771</v>
      </c>
      <c r="I187" s="23" t="n">
        <f aca="false">IF(D187="","",D187/D$4*100)</f>
        <v>241.290696794694</v>
      </c>
      <c r="J187" s="23" t="n">
        <f aca="false">IF(E187="","",E187/E$4*100)</f>
        <v>202.634408602151</v>
      </c>
    </row>
    <row r="188" customFormat="false" ht="15" hidden="false" customHeight="false" outlineLevel="0" collapsed="false">
      <c r="A188" s="21" t="n">
        <v>45758</v>
      </c>
      <c r="B188" s="22" t="n">
        <v>2049.9</v>
      </c>
      <c r="C188" s="22" t="n">
        <v>7430.69</v>
      </c>
      <c r="D188" s="22" t="n">
        <v>1854.39</v>
      </c>
      <c r="E188" s="22" t="n">
        <v>1840</v>
      </c>
      <c r="F188" s="2"/>
      <c r="G188" s="23" t="n">
        <f aca="false">IF(B188="","",B188/B$4*100)</f>
        <v>240.226972828418</v>
      </c>
      <c r="H188" s="23" t="n">
        <f aca="false">IF(C188="","",C188/C$4*100)</f>
        <v>171.739562532357</v>
      </c>
      <c r="I188" s="23" t="n">
        <f aca="false">IF(D188="","",D188/D$4*100)</f>
        <v>233.827200968401</v>
      </c>
      <c r="J188" s="23" t="n">
        <f aca="false">IF(E188="","",E188/E$4*100)</f>
        <v>197.849462365591</v>
      </c>
    </row>
    <row r="189" customFormat="false" ht="15" hidden="false" customHeight="false" outlineLevel="0" collapsed="false">
      <c r="A189" s="21" t="n">
        <v>45765</v>
      </c>
      <c r="B189" s="22" t="n">
        <v>2179.9</v>
      </c>
      <c r="C189" s="22" t="n">
        <v>7815.25</v>
      </c>
      <c r="D189" s="22" t="n">
        <v>2051.67</v>
      </c>
      <c r="E189" s="22" t="n">
        <v>2017.2</v>
      </c>
      <c r="F189" s="2"/>
      <c r="G189" s="23" t="n">
        <f aca="false">IF(B189="","",B189/B$4*100)</f>
        <v>255.461621576013</v>
      </c>
      <c r="H189" s="23" t="n">
        <f aca="false">IF(C189="","",C189/C$4*100)</f>
        <v>180.627588565934</v>
      </c>
      <c r="I189" s="23" t="n">
        <f aca="false">IF(D189="","",D189/D$4*100)</f>
        <v>258.702998512092</v>
      </c>
      <c r="J189" s="23" t="n">
        <f aca="false">IF(E189="","",E189/E$4*100)</f>
        <v>216.903225806452</v>
      </c>
    </row>
    <row r="190" customFormat="false" ht="15" hidden="false" customHeight="false" outlineLevel="0" collapsed="false">
      <c r="A190" s="21" t="n">
        <v>45772</v>
      </c>
      <c r="B190" s="22" t="n">
        <v>2200</v>
      </c>
      <c r="C190" s="22" t="n">
        <v>7991.62</v>
      </c>
      <c r="D190" s="22" t="n">
        <v>2110.85</v>
      </c>
      <c r="E190" s="22" t="n">
        <v>2051</v>
      </c>
      <c r="F190" s="2"/>
      <c r="G190" s="23" t="n">
        <f aca="false">IF(B190="","",B190/B$4*100)</f>
        <v>257.817132651602</v>
      </c>
      <c r="H190" s="23" t="n">
        <f aca="false">IF(C190="","",C190/C$4*100)</f>
        <v>184.703886546853</v>
      </c>
      <c r="I190" s="23" t="n">
        <f aca="false">IF(D190="","",D190/D$4*100)</f>
        <v>266.165233399743</v>
      </c>
      <c r="J190" s="23" t="n">
        <f aca="false">IF(E190="","",E190/E$4*100)</f>
        <v>220.537634408602</v>
      </c>
    </row>
    <row r="191" customFormat="false" ht="15" hidden="false" customHeight="false" outlineLevel="0" collapsed="false">
      <c r="A191" s="21" t="n">
        <v>45779</v>
      </c>
      <c r="B191" s="22" t="n">
        <v>2254</v>
      </c>
      <c r="C191" s="22" t="n">
        <v>8039.23</v>
      </c>
      <c r="D191" s="22" t="n">
        <v>2071.4</v>
      </c>
      <c r="E191" s="22" t="n">
        <v>1975.1</v>
      </c>
      <c r="F191" s="2"/>
      <c r="G191" s="23" t="n">
        <f aca="false">IF(B191="","",B191/B$4*100)</f>
        <v>264.145371362142</v>
      </c>
      <c r="H191" s="23" t="n">
        <f aca="false">IF(C191="","",C191/C$4*100)</f>
        <v>185.804258190962</v>
      </c>
      <c r="I191" s="23" t="n">
        <f aca="false">IF(D191="","",D191/D$4*100)</f>
        <v>261.19083045419</v>
      </c>
      <c r="J191" s="23" t="n">
        <f aca="false">IF(E191="","",E191/E$4*100)</f>
        <v>212.376344086021</v>
      </c>
    </row>
    <row r="192" customFormat="false" ht="15" hidden="false" customHeight="false" outlineLevel="0" collapsed="false">
      <c r="A192" s="21" t="n">
        <v>45786</v>
      </c>
      <c r="B192" s="22" t="n">
        <v>2230</v>
      </c>
      <c r="C192" s="22" t="n">
        <v>8233.13</v>
      </c>
      <c r="D192" s="22" t="n">
        <v>2045.75</v>
      </c>
      <c r="E192" s="22" t="n">
        <v>2035.2</v>
      </c>
      <c r="F192" s="2"/>
      <c r="G192" s="23" t="n">
        <f aca="false">IF(B192="","",B192/B$4*100)</f>
        <v>261.332820824124</v>
      </c>
      <c r="H192" s="23" t="n">
        <f aca="false">IF(C192="","",C192/C$4*100)</f>
        <v>190.285712965017</v>
      </c>
      <c r="I192" s="23" t="n">
        <f aca="false">IF(D192="","",D192/D$4*100)</f>
        <v>257.956522835599</v>
      </c>
      <c r="J192" s="23" t="n">
        <f aca="false">IF(E192="","",E192/E$4*100)</f>
        <v>218.838709677419</v>
      </c>
    </row>
    <row r="193" customFormat="false" ht="15" hidden="false" customHeight="false" outlineLevel="0" collapsed="false">
      <c r="A193" s="21" t="n">
        <v>45793</v>
      </c>
      <c r="B193" s="22" t="n">
        <v>2177</v>
      </c>
      <c r="C193" s="22" t="n">
        <v>8386.16</v>
      </c>
      <c r="D193" s="22" t="n">
        <v>2050.68</v>
      </c>
      <c r="E193" s="22" t="n">
        <v>2065</v>
      </c>
      <c r="F193" s="2"/>
      <c r="G193" s="23" t="n">
        <f aca="false">IF(B193="","",B193/B$4*100)</f>
        <v>255.121771719336</v>
      </c>
      <c r="H193" s="23" t="n">
        <f aca="false">IF(C193="","",C193/C$4*100)</f>
        <v>193.822572294949</v>
      </c>
      <c r="I193" s="23" t="n">
        <f aca="false">IF(D193="","",D193/D$4*100)</f>
        <v>258.578165586463</v>
      </c>
      <c r="J193" s="23" t="n">
        <f aca="false">IF(E193="","",E193/E$4*100)</f>
        <v>222.043010752688</v>
      </c>
    </row>
    <row r="194" customFormat="false" ht="15" hidden="false" customHeight="false" outlineLevel="0" collapsed="false">
      <c r="A194" s="21" t="n">
        <v>45800</v>
      </c>
      <c r="B194" s="22" t="n">
        <v>2235</v>
      </c>
      <c r="C194" s="22" t="n">
        <v>8399.59</v>
      </c>
      <c r="D194" s="22" t="n">
        <v>2081.26</v>
      </c>
      <c r="E194" s="22" t="n">
        <v>2030</v>
      </c>
      <c r="F194" s="2"/>
      <c r="G194" s="23" t="n">
        <f aca="false">IF(B194="","",B194/B$4*100)</f>
        <v>261.918768852878</v>
      </c>
      <c r="H194" s="23" t="n">
        <f aca="false">IF(C194="","",C194/C$4*100)</f>
        <v>194.132969085127</v>
      </c>
      <c r="I194" s="23" t="n">
        <f aca="false">IF(D194="","",D194/D$4*100)</f>
        <v>262.434115955918</v>
      </c>
      <c r="J194" s="23" t="n">
        <f aca="false">IF(E194="","",E194/E$4*100)</f>
        <v>218.279569892473</v>
      </c>
    </row>
    <row r="195" customFormat="false" ht="15" hidden="false" customHeight="false" outlineLevel="0" collapsed="false">
      <c r="A195" s="21" t="n">
        <v>45807</v>
      </c>
      <c r="B195" s="22" t="n">
        <v>2060</v>
      </c>
      <c r="C195" s="22" t="n">
        <v>8047.51</v>
      </c>
      <c r="D195" s="22" t="n">
        <v>1933.3</v>
      </c>
      <c r="E195" s="22" t="n">
        <v>1935</v>
      </c>
      <c r="F195" s="2"/>
      <c r="G195" s="23" t="n">
        <f aca="false">IF(B195="","",B195/B$4*100)</f>
        <v>241.4105878465</v>
      </c>
      <c r="H195" s="23" t="n">
        <f aca="false">IF(C195="","",C195/C$4*100)</f>
        <v>185.995627172546</v>
      </c>
      <c r="I195" s="23" t="n">
        <f aca="false">IF(D195="","",D195/D$4*100)</f>
        <v>243.777267798149</v>
      </c>
      <c r="J195" s="23" t="n">
        <f aca="false">IF(E195="","",E195/E$4*100)</f>
        <v>208.064516129032</v>
      </c>
    </row>
    <row r="196" customFormat="false" ht="15" hidden="false" customHeight="false" outlineLevel="0" collapsed="false">
      <c r="A196" s="21" t="n">
        <v>45814</v>
      </c>
      <c r="B196" s="22" t="n">
        <v>2056.9</v>
      </c>
      <c r="C196" s="22" t="n">
        <v>8170.04</v>
      </c>
      <c r="D196" s="22" t="n">
        <v>1962.99</v>
      </c>
      <c r="E196" s="22" t="n">
        <v>1976.3</v>
      </c>
      <c r="F196" s="2"/>
      <c r="G196" s="23" t="n">
        <f aca="false">IF(B196="","",B196/B$4*100)</f>
        <v>241.047300068673</v>
      </c>
      <c r="H196" s="23" t="n">
        <f aca="false">IF(C196="","",C196/C$4*100)</f>
        <v>188.827564529251</v>
      </c>
      <c r="I196" s="23" t="n">
        <f aca="false">IF(D196="","",D196/D$4*100)</f>
        <v>247.520994628401</v>
      </c>
      <c r="J196" s="23" t="n">
        <f aca="false">IF(E196="","",E196/E$4*100)</f>
        <v>212.505376344086</v>
      </c>
    </row>
    <row r="197" customFormat="false" ht="15" hidden="false" customHeight="false" outlineLevel="0" collapsed="false">
      <c r="A197" s="21" t="n">
        <v>45821</v>
      </c>
      <c r="B197" s="22" t="n">
        <v>2080</v>
      </c>
      <c r="C197" s="22" t="n">
        <v>8209.92</v>
      </c>
      <c r="D197" s="22" t="n">
        <v>1987.85</v>
      </c>
      <c r="E197" s="22" t="n">
        <v>2000</v>
      </c>
      <c r="F197" s="2"/>
      <c r="G197" s="23" t="n">
        <f aca="false">IF(B197="","",B197/B$4*100)</f>
        <v>243.754379961515</v>
      </c>
      <c r="H197" s="23" t="n">
        <f aca="false">IF(C197="","",C197/C$4*100)</f>
        <v>189.74927889949</v>
      </c>
      <c r="I197" s="23" t="n">
        <f aca="false">IF(D197="","",D197/D$4*100)</f>
        <v>250.655688094217</v>
      </c>
      <c r="J197" s="23" t="n">
        <f aca="false">IF(E197="","",E197/E$4*100)</f>
        <v>215.05376344086</v>
      </c>
    </row>
    <row r="198" customFormat="false" ht="15" hidden="false" customHeight="false" outlineLevel="0" collapsed="false">
      <c r="A198" s="21" t="n">
        <v>45828</v>
      </c>
      <c r="B198" s="22" t="n">
        <v>2095</v>
      </c>
      <c r="C198" s="22" t="n">
        <v>8077.48</v>
      </c>
      <c r="D198" s="22" t="n">
        <v>1943.17</v>
      </c>
      <c r="E198" s="22" t="n">
        <v>1969.9</v>
      </c>
      <c r="F198" s="2"/>
      <c r="G198" s="23" t="n">
        <f aca="false">IF(B198="","",B198/B$4*100)</f>
        <v>245.512224047776</v>
      </c>
      <c r="H198" s="23" t="n">
        <f aca="false">IF(C198="","",C198/C$4*100)</f>
        <v>186.688299681976</v>
      </c>
      <c r="I198" s="23" t="n">
        <f aca="false">IF(D198="","",D198/D$4*100)</f>
        <v>245.021814238519</v>
      </c>
      <c r="J198" s="23" t="n">
        <f aca="false">IF(E198="","",E198/E$4*100)</f>
        <v>211.817204301075</v>
      </c>
    </row>
    <row r="199" customFormat="false" ht="15" hidden="false" customHeight="false" outlineLevel="0" collapsed="false">
      <c r="A199" s="21" t="n">
        <v>45835</v>
      </c>
      <c r="B199" s="22" t="n">
        <v>2050.1</v>
      </c>
      <c r="C199" s="22" t="n">
        <v>8213.08</v>
      </c>
      <c r="D199" s="22" t="n">
        <v>1942.08</v>
      </c>
      <c r="E199" s="22" t="n">
        <v>1920</v>
      </c>
      <c r="F199" s="2"/>
      <c r="G199" s="23" t="n">
        <f aca="false">IF(B199="","",B199/B$4*100)</f>
        <v>240.250410749568</v>
      </c>
      <c r="H199" s="23" t="n">
        <f aca="false">IF(C199="","",C199/C$4*100)</f>
        <v>189.822313438355</v>
      </c>
      <c r="I199" s="23" t="n">
        <f aca="false">IF(D199="","",D199/D$4*100)</f>
        <v>244.884371926462</v>
      </c>
      <c r="J199" s="23" t="n">
        <f aca="false">IF(E199="","",E199/E$4*100)</f>
        <v>206.451612903226</v>
      </c>
    </row>
    <row r="200" customFormat="false" ht="15" hidden="false" customHeight="false" outlineLevel="0" collapsed="false">
      <c r="A200" s="21" t="n">
        <v>45842</v>
      </c>
      <c r="B200" s="22" t="n">
        <v>2080</v>
      </c>
      <c r="C200" s="22" t="n">
        <v>8285.29</v>
      </c>
      <c r="D200" s="22" t="n">
        <v>1923.54</v>
      </c>
      <c r="E200" s="22" t="n">
        <v>1937.2</v>
      </c>
      <c r="F200" s="2"/>
      <c r="G200" s="23" t="n">
        <f aca="false">IF(B200="","",B200/B$4*100)</f>
        <v>243.754379961515</v>
      </c>
      <c r="H200" s="23" t="n">
        <f aca="false">IF(C200="","",C200/C$4*100)</f>
        <v>191.491245100214</v>
      </c>
      <c r="I200" s="23" t="n">
        <f aca="false">IF(D200="","",D200/D$4*100)</f>
        <v>242.546591682849</v>
      </c>
      <c r="J200" s="23" t="n">
        <f aca="false">IF(E200="","",E200/E$4*100)</f>
        <v>208.301075268817</v>
      </c>
    </row>
    <row r="201" customFormat="false" ht="15" hidden="false" customHeight="false" outlineLevel="0" collapsed="false">
      <c r="A201" s="21" t="n">
        <v>45849</v>
      </c>
      <c r="B201" s="22" t="n">
        <v>2190</v>
      </c>
      <c r="C201" s="22" t="n">
        <v>8231.92</v>
      </c>
      <c r="D201" s="22" t="n">
        <v>2007.28</v>
      </c>
      <c r="E201" s="22" t="n">
        <v>1980</v>
      </c>
      <c r="F201" s="2"/>
      <c r="G201" s="23" t="n">
        <f aca="false">IF(B201="","",B201/B$4*100)</f>
        <v>256.645236594095</v>
      </c>
      <c r="H201" s="23" t="n">
        <f aca="false">IF(C201="","",C201/C$4*100)</f>
        <v>190.257747208047</v>
      </c>
      <c r="I201" s="23" t="n">
        <f aca="false">IF(D201="","",D201/D$4*100)</f>
        <v>253.105691877033</v>
      </c>
      <c r="J201" s="23" t="n">
        <f aca="false">IF(E201="","",E201/E$4*100)</f>
        <v>212.903225806452</v>
      </c>
    </row>
    <row r="202" customFormat="false" ht="15" hidden="false" customHeight="false" outlineLevel="0" collapsed="false">
      <c r="A202" s="21" t="n">
        <v>45856</v>
      </c>
      <c r="B202" s="22" t="n">
        <v>2065</v>
      </c>
      <c r="C202" s="22" t="n">
        <v>8184.5</v>
      </c>
      <c r="D202" s="22" t="n">
        <v>1943.17</v>
      </c>
      <c r="E202" s="22" t="n">
        <v>1910</v>
      </c>
      <c r="F202" s="2"/>
      <c r="G202" s="23" t="n">
        <f aca="false">IF(B202="","",B202/B$4*100)</f>
        <v>241.996535875254</v>
      </c>
      <c r="H202" s="23" t="n">
        <f aca="false">IF(C202="","",C202/C$4*100)</f>
        <v>189.161766881148</v>
      </c>
      <c r="I202" s="23" t="n">
        <f aca="false">IF(D202="","",D202/D$4*100)</f>
        <v>245.021814238519</v>
      </c>
      <c r="J202" s="23" t="n">
        <f aca="false">IF(E202="","",E202/E$4*100)</f>
        <v>205.376344086022</v>
      </c>
    </row>
    <row r="203" customFormat="false" ht="15" hidden="false" customHeight="false" outlineLevel="0" collapsed="false">
      <c r="A203" s="21" t="n">
        <v>45863</v>
      </c>
      <c r="B203" s="22" t="n">
        <v>2065</v>
      </c>
      <c r="C203" s="22" t="n">
        <v>8221.9</v>
      </c>
      <c r="D203" s="22" t="n">
        <v>1961.61</v>
      </c>
      <c r="E203" s="22" t="n">
        <v>1868</v>
      </c>
      <c r="F203" s="2"/>
      <c r="G203" s="23" t="n">
        <f aca="false">IF(B203="","",B203/B$4*100)</f>
        <v>241.996535875254</v>
      </c>
      <c r="H203" s="23" t="n">
        <f aca="false">IF(C203="","",C203/C$4*100)</f>
        <v>190.026163005695</v>
      </c>
      <c r="I203" s="23" t="n">
        <f aca="false">IF(D203="","",D203/D$4*100)</f>
        <v>247.346985095705</v>
      </c>
      <c r="J203" s="23" t="n">
        <f aca="false">IF(E203="","",E203/E$4*100)</f>
        <v>200.860215053763</v>
      </c>
    </row>
    <row r="204" customFormat="false" ht="15" hidden="false" customHeight="false" outlineLevel="0" collapsed="false">
      <c r="A204" s="21" t="n">
        <v>45870</v>
      </c>
      <c r="B204" s="22" t="n">
        <v>2124</v>
      </c>
      <c r="C204" s="22" t="n">
        <v>8161.33</v>
      </c>
      <c r="D204" s="22" t="n">
        <v>1992.49</v>
      </c>
      <c r="E204" s="22" t="n">
        <v>1929.9</v>
      </c>
      <c r="F204" s="2"/>
      <c r="G204" s="23" t="n">
        <f aca="false">IF(B204="","",B204/B$4*100)</f>
        <v>248.910722614547</v>
      </c>
      <c r="H204" s="23" t="n">
        <f aca="false">IF(C204="","",C204/C$4*100)</f>
        <v>188.626257303454</v>
      </c>
      <c r="I204" s="23" t="n">
        <f aca="false">IF(D204="","",D204/D$4*100)</f>
        <v>251.240763624442</v>
      </c>
      <c r="J204" s="23" t="n">
        <f aca="false">IF(E204="","",E204/E$4*100)</f>
        <v>207.516129032258</v>
      </c>
    </row>
    <row r="205" customFormat="false" ht="15" hidden="false" customHeight="false" outlineLevel="0" collapsed="false">
      <c r="A205" s="21" t="n">
        <v>45877</v>
      </c>
      <c r="B205" s="22" t="n">
        <v>2164.9</v>
      </c>
      <c r="C205" s="22" t="n">
        <v>8520.53</v>
      </c>
      <c r="D205" s="22" t="n">
        <v>2041.8</v>
      </c>
      <c r="E205" s="22" t="n">
        <v>1948.8</v>
      </c>
      <c r="F205" s="2"/>
      <c r="G205" s="23" t="n">
        <f aca="false">IF(B205="","",B205/B$4*100)</f>
        <v>253.703777489752</v>
      </c>
      <c r="H205" s="23" t="n">
        <f aca="false">IF(C205="","",C205/C$4*100)</f>
        <v>196.92815805044</v>
      </c>
      <c r="I205" s="23" t="n">
        <f aca="false">IF(D205="","",D205/D$4*100)</f>
        <v>257.458452071722</v>
      </c>
      <c r="J205" s="23" t="n">
        <f aca="false">IF(E205="","",E205/E$4*100)</f>
        <v>209.548387096774</v>
      </c>
    </row>
    <row r="206" customFormat="false" ht="15" hidden="false" customHeight="false" outlineLevel="0" collapsed="false">
      <c r="A206" s="21" t="n">
        <v>45884</v>
      </c>
      <c r="B206" s="22" t="n">
        <v>2254.9</v>
      </c>
      <c r="C206" s="22" t="n">
        <v>8739.42</v>
      </c>
      <c r="D206" s="22" t="n">
        <v>2144.19</v>
      </c>
      <c r="E206" s="22" t="n">
        <v>1978</v>
      </c>
      <c r="F206" s="2"/>
      <c r="G206" s="23" t="n">
        <f aca="false">IF(B206="","",B206/B$4*100)</f>
        <v>264.250842007317</v>
      </c>
      <c r="H206" s="23" t="n">
        <f aca="false">IF(C206="","",C206/C$4*100)</f>
        <v>201.987186598624</v>
      </c>
      <c r="I206" s="23" t="n">
        <f aca="false">IF(D206="","",D206/D$4*100)</f>
        <v>270.36920283459</v>
      </c>
      <c r="J206" s="23" t="n">
        <f aca="false">IF(E206="","",E206/E$4*100)</f>
        <v>212.688172043011</v>
      </c>
    </row>
    <row r="207" customFormat="false" ht="15" hidden="false" customHeight="false" outlineLevel="0" collapsed="false">
      <c r="A207" s="21" t="n">
        <v>45891</v>
      </c>
      <c r="B207" s="22" t="n">
        <v>2242.2</v>
      </c>
      <c r="C207" s="22" t="n">
        <v>8854.26</v>
      </c>
      <c r="D207" s="22" t="n">
        <v>2105.92</v>
      </c>
      <c r="E207" s="22" t="n">
        <v>1949.1</v>
      </c>
      <c r="F207" s="2"/>
      <c r="G207" s="23" t="n">
        <f aca="false">IF(B207="","",B207/B$4*100)</f>
        <v>262.762534014283</v>
      </c>
      <c r="H207" s="23" t="n">
        <f aca="false">IF(C207="","",C207/C$4*100)</f>
        <v>204.641391169292</v>
      </c>
      <c r="I207" s="23" t="n">
        <f aca="false">IF(D207="","",D207/D$4*100)</f>
        <v>265.543590648879</v>
      </c>
      <c r="J207" s="23" t="n">
        <f aca="false">IF(E207="","",E207/E$4*100)</f>
        <v>209.58064516129</v>
      </c>
    </row>
    <row r="208" customFormat="false" ht="15" hidden="false" customHeight="false" outlineLevel="0" collapsed="false">
      <c r="A208" s="21" t="n">
        <v>45898</v>
      </c>
      <c r="B208" s="22" t="n">
        <v>2270.1</v>
      </c>
      <c r="C208" s="22" t="n">
        <v>8899.91</v>
      </c>
      <c r="D208" s="22" t="n">
        <v>2199.63</v>
      </c>
      <c r="E208" s="22" t="n">
        <v>1959.9</v>
      </c>
      <c r="F208" s="2"/>
      <c r="G208" s="23" t="n">
        <f aca="false">IF(B208="","",B208/B$4*100)</f>
        <v>266.032124014728</v>
      </c>
      <c r="H208" s="23" t="n">
        <f aca="false">IF(C208="","",C208/C$4*100)</f>
        <v>205.696462909548</v>
      </c>
      <c r="I208" s="23" t="n">
        <f aca="false">IF(D208="","",D208/D$4*100)</f>
        <v>277.359846669861</v>
      </c>
      <c r="J208" s="23" t="n">
        <f aca="false">IF(E208="","",E208/E$4*100)</f>
        <v>210.741935483871</v>
      </c>
    </row>
    <row r="209" customFormat="false" ht="15" hidden="false" customHeight="false" outlineLevel="0" collapsed="false">
      <c r="A209" s="21" t="n">
        <v>45905</v>
      </c>
      <c r="B209" s="22" t="n">
        <v>2482.9</v>
      </c>
      <c r="C209" s="22" t="n">
        <v>9210.68</v>
      </c>
      <c r="D209" s="22" t="n">
        <v>2387.14</v>
      </c>
      <c r="E209" s="22" t="n">
        <v>2148</v>
      </c>
      <c r="F209" s="2"/>
      <c r="G209" s="23" t="n">
        <f aca="false">IF(B209="","",B209/B$4*100)</f>
        <v>290.970072118483</v>
      </c>
      <c r="H209" s="23" t="n">
        <f aca="false">IF(C209="","",C209/C$4*100)</f>
        <v>212.879040011833</v>
      </c>
      <c r="I209" s="23" t="n">
        <f aca="false">IF(D209="","",D209/D$4*100)</f>
        <v>301.00370715961</v>
      </c>
      <c r="J209" s="23" t="n">
        <f aca="false">IF(E209="","",E209/E$4*100)</f>
        <v>230.967741935484</v>
      </c>
    </row>
    <row r="210" customFormat="false" ht="15" hidden="false" customHeight="false" outlineLevel="0" collapsed="false">
      <c r="A210" s="21" t="n">
        <v>45912</v>
      </c>
      <c r="B210" s="22" t="n">
        <v>2515</v>
      </c>
      <c r="C210" s="22" t="n">
        <v>8989.75</v>
      </c>
      <c r="D210" s="22" t="n">
        <v>2465.95</v>
      </c>
      <c r="E210" s="22" t="n">
        <v>2128</v>
      </c>
      <c r="F210" s="2"/>
      <c r="G210" s="23" t="n">
        <f aca="false">IF(B210="","",B210/B$4*100)</f>
        <v>294.731858463082</v>
      </c>
      <c r="H210" s="23" t="n">
        <f aca="false">IF(C210="","",C210/C$4*100)</f>
        <v>207.772862584128</v>
      </c>
      <c r="I210" s="23" t="n">
        <f aca="false">IF(D210="","",D210/D$4*100)</f>
        <v>310.94116460293</v>
      </c>
      <c r="J210" s="23" t="n">
        <f aca="false">IF(E210="","",E210/E$4*100)</f>
        <v>228.817204301075</v>
      </c>
    </row>
    <row r="211" customFormat="false" ht="15" hidden="false" customHeight="false" outlineLevel="0" collapsed="false">
      <c r="A211" s="21" t="n">
        <v>45919</v>
      </c>
      <c r="B211" s="22" t="n">
        <v>2575</v>
      </c>
      <c r="C211" s="22" t="n">
        <v>9007.14</v>
      </c>
      <c r="D211" s="22" t="n">
        <v>2508.36</v>
      </c>
      <c r="E211" s="22" t="n">
        <v>2075</v>
      </c>
      <c r="F211" s="2"/>
      <c r="G211" s="23" t="n">
        <f aca="false">IF(B211="","",B211/B$4*100)</f>
        <v>301.763234808126</v>
      </c>
      <c r="H211" s="23" t="n">
        <f aca="false">IF(C211="","",C211/C$4*100)</f>
        <v>208.174783669847</v>
      </c>
      <c r="I211" s="23" t="n">
        <f aca="false">IF(D211="","",D211/D$4*100)</f>
        <v>316.28880538673</v>
      </c>
      <c r="J211" s="23" t="n">
        <f aca="false">IF(E211="","",E211/E$4*100)</f>
        <v>223.118279569892</v>
      </c>
    </row>
    <row r="212" customFormat="false" ht="15" hidden="false" customHeight="false" outlineLevel="0" collapsed="false">
      <c r="A212" s="21" t="n">
        <v>45926</v>
      </c>
      <c r="B212" s="22" t="n">
        <v>2569</v>
      </c>
      <c r="C212" s="22" t="n">
        <v>9023.05</v>
      </c>
      <c r="D212" s="22" t="n">
        <v>2441.29</v>
      </c>
      <c r="E212" s="22" t="n">
        <v>2150</v>
      </c>
      <c r="F212" s="2"/>
      <c r="G212" s="23" t="n">
        <f aca="false">IF(B212="","",B212/B$4*100)</f>
        <v>301.060097173621</v>
      </c>
      <c r="H212" s="23" t="n">
        <f aca="false">IF(C212="","",C212/C$4*100)</f>
        <v>208.542498705717</v>
      </c>
      <c r="I212" s="23" t="n">
        <f aca="false">IF(D212="","",D212/D$4*100)</f>
        <v>307.831689909969</v>
      </c>
      <c r="J212" s="23" t="n">
        <f aca="false">IF(E212="","",E212/E$4*100)</f>
        <v>231.182795698925</v>
      </c>
    </row>
    <row r="213" customFormat="false" ht="15" hidden="false" customHeight="false" outlineLevel="0" collapsed="false">
      <c r="A213" s="21" t="n">
        <v>45933</v>
      </c>
      <c r="B213" s="22" t="n">
        <v>2580</v>
      </c>
      <c r="C213" s="22" t="n">
        <v>8890.29</v>
      </c>
      <c r="D213" s="22" t="n">
        <v>2370.27</v>
      </c>
      <c r="E213" s="22" t="n">
        <v>2115.9</v>
      </c>
      <c r="F213" s="2"/>
      <c r="G213" s="23" t="n">
        <f aca="false">IF(B213="","",B213/B$4*100)</f>
        <v>302.349182836879</v>
      </c>
      <c r="H213" s="23" t="n">
        <f aca="false">IF(C213="","",C213/C$4*100)</f>
        <v>205.474123585534</v>
      </c>
      <c r="I213" s="23" t="n">
        <f aca="false">IF(D213="","",D213/D$4*100)</f>
        <v>298.876503669331</v>
      </c>
      <c r="J213" s="23" t="n">
        <f aca="false">IF(E213="","",E213/E$4*100)</f>
        <v>227.516129032258</v>
      </c>
    </row>
    <row r="214" customFormat="false" ht="15" hidden="false" customHeight="false" outlineLevel="0" collapsed="false">
      <c r="A214" s="21" t="n">
        <v>45940</v>
      </c>
      <c r="B214" s="22" t="n">
        <v>2537</v>
      </c>
      <c r="C214" s="22" t="n">
        <v>8675.8</v>
      </c>
      <c r="D214" s="22" t="n">
        <v>2300.24</v>
      </c>
      <c r="E214" s="22" t="n">
        <v>1985</v>
      </c>
      <c r="F214" s="2"/>
      <c r="G214" s="23" t="n">
        <f aca="false">IF(B214="","",B214/B$4*100)</f>
        <v>297.310029789598</v>
      </c>
      <c r="H214" s="23" t="n">
        <f aca="false">IF(C214="","",C214/C$4*100)</f>
        <v>200.516788699061</v>
      </c>
      <c r="I214" s="23" t="n">
        <f aca="false">IF(D214="","",D214/D$4*100)</f>
        <v>290.046150354324</v>
      </c>
      <c r="J214" s="23" t="n">
        <f aca="false">IF(E214="","",E214/E$4*100)</f>
        <v>213.440860215054</v>
      </c>
    </row>
    <row r="215" customFormat="false" ht="15" hidden="false" customHeight="false" outlineLevel="0" collapsed="false">
      <c r="A215" s="21" t="n">
        <v>45947</v>
      </c>
      <c r="B215" s="22" t="n">
        <v>2689.9</v>
      </c>
      <c r="C215" s="22" t="n">
        <v>9129.98</v>
      </c>
      <c r="D215" s="22" t="n">
        <v>2459.04</v>
      </c>
      <c r="E215" s="22" t="n">
        <v>2075</v>
      </c>
      <c r="F215" s="2"/>
      <c r="G215" s="23" t="n">
        <f aca="false">IF(B215="","",B215/B$4*100)</f>
        <v>315.228320508884</v>
      </c>
      <c r="H215" s="23" t="n">
        <f aca="false">IF(C215="","",C215/C$4*100)</f>
        <v>211.013885807263</v>
      </c>
      <c r="I215" s="23" t="n">
        <f aca="false">IF(D215="","",D215/D$4*100)</f>
        <v>310.069856000807</v>
      </c>
      <c r="J215" s="23" t="n">
        <f aca="false">IF(E215="","",E215/E$4*100)</f>
        <v>223.118279569892</v>
      </c>
    </row>
    <row r="216" customFormat="false" ht="15" hidden="false" customHeight="false" outlineLevel="0" collapsed="false">
      <c r="A216" s="21" t="n">
        <v>45954</v>
      </c>
      <c r="B216" s="22" t="n">
        <v>2730</v>
      </c>
      <c r="C216" s="22" t="n">
        <v>9184.41</v>
      </c>
      <c r="D216" s="22" t="n">
        <v>2641.52</v>
      </c>
      <c r="E216" s="22" t="n">
        <v>2174</v>
      </c>
      <c r="F216" s="2"/>
      <c r="G216" s="23" t="n">
        <f aca="false">IF(B216="","",B216/B$4*100)</f>
        <v>319.927623699488</v>
      </c>
      <c r="H216" s="23" t="n">
        <f aca="false">IF(C216="","",C216/C$4*100)</f>
        <v>212.271882627025</v>
      </c>
      <c r="I216" s="23" t="n">
        <f aca="false">IF(D216="","",D216/D$4*100)</f>
        <v>333.079464353265</v>
      </c>
      <c r="J216" s="23" t="n">
        <f aca="false">IF(E216="","",E216/E$4*100)</f>
        <v>233.763440860215</v>
      </c>
    </row>
    <row r="217" customFormat="false" ht="15" hidden="false" customHeight="false" outlineLevel="0" collapsed="false">
      <c r="A217" s="21" t="n">
        <v>45961</v>
      </c>
      <c r="B217" s="22" t="n">
        <v>2655</v>
      </c>
      <c r="C217" s="22" t="n">
        <v>9428.89</v>
      </c>
      <c r="D217" s="22" t="n">
        <v>2594.18</v>
      </c>
      <c r="E217" s="22" t="n">
        <v>2235</v>
      </c>
      <c r="F217" s="2"/>
      <c r="G217" s="23" t="n">
        <f aca="false">IF(B217="","",B217/B$4*100)</f>
        <v>311.138403268184</v>
      </c>
      <c r="H217" s="23" t="n">
        <f aca="false">IF(C217="","",C217/C$4*100)</f>
        <v>217.922352266844</v>
      </c>
      <c r="I217" s="23" t="n">
        <f aca="false">IF(D217="","",D217/D$4*100)</f>
        <v>327.110180818601</v>
      </c>
      <c r="J217" s="23" t="n">
        <f aca="false">IF(E217="","",E217/E$4*100)</f>
        <v>240.322580645161</v>
      </c>
    </row>
    <row r="218" customFormat="false" ht="15" hidden="false" customHeight="false" outlineLevel="0" collapsed="false">
      <c r="A218" s="21" t="n">
        <v>45968</v>
      </c>
      <c r="B218" s="22" t="n">
        <v>2955</v>
      </c>
      <c r="C218" s="22" t="n">
        <v>9605.06</v>
      </c>
      <c r="D218" s="22" t="n">
        <v>2673.09</v>
      </c>
      <c r="E218" s="22" t="n">
        <v>2321</v>
      </c>
      <c r="F218" s="2"/>
      <c r="G218" s="23" t="n">
        <f aca="false">IF(B218="","",B218/B$4*100)</f>
        <v>346.295284993402</v>
      </c>
      <c r="H218" s="23" t="n">
        <f aca="false">IF(C218="","",C218/C$4*100)</f>
        <v>221.994027808594</v>
      </c>
      <c r="I218" s="23" t="n">
        <f aca="false">IF(D218="","",D218/D$4*100)</f>
        <v>337.06024764835</v>
      </c>
      <c r="J218" s="23" t="n">
        <f aca="false">IF(E218="","",E218/E$4*100)</f>
        <v>249.569892473118</v>
      </c>
    </row>
    <row r="219" customFormat="false" ht="15" hidden="false" customHeight="false" outlineLevel="0" collapsed="false">
      <c r="A219" s="21" t="n">
        <v>45975</v>
      </c>
      <c r="B219" s="22" t="n">
        <v>2977</v>
      </c>
      <c r="C219" s="22" t="n">
        <v>9603.02</v>
      </c>
      <c r="D219" s="22" t="n">
        <v>2663.22</v>
      </c>
      <c r="E219" s="22" t="n">
        <v>2310</v>
      </c>
      <c r="F219" s="2"/>
      <c r="G219" s="23" t="n">
        <f aca="false">IF(B219="","",B219/B$4*100)</f>
        <v>348.873456319918</v>
      </c>
      <c r="H219" s="23" t="n">
        <f aca="false">IF(C219="","",C219/C$4*100)</f>
        <v>221.946878929073</v>
      </c>
      <c r="I219" s="23" t="n">
        <f aca="false">IF(D219="","",D219/D$4*100)</f>
        <v>335.815701207979</v>
      </c>
      <c r="J219" s="23" t="n">
        <f aca="false">IF(E219="","",E219/E$4*100)</f>
        <v>248.387096774194</v>
      </c>
    </row>
    <row r="220" customFormat="false" ht="15" hidden="false" customHeight="false" outlineLevel="0" collapsed="false">
      <c r="A220" s="21" t="n">
        <v>45982</v>
      </c>
      <c r="B220" s="22" t="n">
        <v>3096.9</v>
      </c>
      <c r="C220" s="22" t="n">
        <v>9826.58</v>
      </c>
      <c r="D220" s="22" t="n">
        <v>2723.39</v>
      </c>
      <c r="E220" s="22" t="n">
        <v>2380</v>
      </c>
      <c r="F220" s="2"/>
      <c r="G220" s="23" t="n">
        <f aca="false">IF(B220="","",B220/B$4*100)</f>
        <v>362.924490049431</v>
      </c>
      <c r="H220" s="23" t="n">
        <f aca="false">IF(C220="","",C220/C$4*100)</f>
        <v>227.113841431847</v>
      </c>
      <c r="I220" s="23" t="n">
        <f aca="false">IF(D220="","",D220/D$4*100)</f>
        <v>343.402769021259</v>
      </c>
      <c r="J220" s="23" t="n">
        <f aca="false">IF(E220="","",E220/E$4*100)</f>
        <v>255.913978494624</v>
      </c>
    </row>
    <row r="221" customFormat="false" ht="15" hidden="false" customHeight="false" outlineLevel="0" collapsed="false">
      <c r="A221" s="21" t="n">
        <v>45989</v>
      </c>
      <c r="B221" s="22" t="n">
        <v>3200</v>
      </c>
      <c r="C221" s="22" t="n">
        <v>10128.58</v>
      </c>
      <c r="D221" s="22" t="n">
        <v>2959.14</v>
      </c>
      <c r="E221" s="22" t="n">
        <v>2410</v>
      </c>
      <c r="F221" s="2"/>
      <c r="G221" s="23" t="n">
        <f aca="false">IF(B221="","",B221/B$4*100)</f>
        <v>375.006738402331</v>
      </c>
      <c r="H221" s="23" t="n">
        <f aca="false">IF(C221="","",C221/C$4*100)</f>
        <v>234.093724576585</v>
      </c>
      <c r="I221" s="23" t="n">
        <f aca="false">IF(D221="","",D221/D$4*100)</f>
        <v>373.129397523517</v>
      </c>
      <c r="J221" s="23" t="n">
        <f aca="false">IF(E221="","",E221/E$4*100)</f>
        <v>259.139784946237</v>
      </c>
    </row>
    <row r="222" customFormat="false" ht="15" hidden="false" customHeight="false" outlineLevel="0" collapsed="false">
      <c r="A222" s="21" t="n">
        <v>45996</v>
      </c>
      <c r="B222" s="22" t="n">
        <v>3243</v>
      </c>
      <c r="C222" s="22" t="n">
        <v>10222.61</v>
      </c>
      <c r="D222" s="22" t="n">
        <v>3097.23</v>
      </c>
      <c r="E222" s="22" t="n">
        <v>2448.9</v>
      </c>
      <c r="F222" s="2"/>
      <c r="G222" s="23" t="n">
        <f aca="false">IF(B222="","",B222/B$4*100)</f>
        <v>380.045891449612</v>
      </c>
      <c r="H222" s="23" t="n">
        <f aca="false">IF(C222="","",C222/C$4*100)</f>
        <v>236.266964351749</v>
      </c>
      <c r="I222" s="23" t="n">
        <f aca="false">IF(D222="","",D222/D$4*100)</f>
        <v>390.541699240915</v>
      </c>
      <c r="J222" s="23" t="n">
        <f aca="false">IF(E222="","",E222/E$4*100)</f>
        <v>263.322580645161</v>
      </c>
    </row>
    <row r="223" customFormat="false" ht="15" hidden="false" customHeight="false" outlineLevel="0" collapsed="false">
      <c r="A223" s="21" t="n">
        <v>46003</v>
      </c>
      <c r="B223" s="22" t="n">
        <v>3275</v>
      </c>
      <c r="C223" s="22" t="n">
        <v>10400.01</v>
      </c>
      <c r="D223" s="22" t="n">
        <v>2939.41</v>
      </c>
      <c r="E223" s="22" t="n">
        <v>2450</v>
      </c>
      <c r="F223" s="2"/>
      <c r="G223" s="23" t="n">
        <f aca="false">IF(B223="","",B223/B$4*100)</f>
        <v>383.795958833635</v>
      </c>
      <c r="H223" s="23" t="n">
        <f aca="false">IF(C223="","",C223/C$4*100)</f>
        <v>240.367067894387</v>
      </c>
      <c r="I223" s="23" t="n">
        <f aca="false">IF(D223="","",D223/D$4*100)</f>
        <v>370.641565581419</v>
      </c>
      <c r="J223" s="23" t="n">
        <f aca="false">IF(E223="","",E223/E$4*100)</f>
        <v>263.440860215054</v>
      </c>
    </row>
    <row r="224" customFormat="false" ht="15" hidden="false" customHeight="false" outlineLevel="0" collapsed="false">
      <c r="A224" s="21" t="n">
        <v>46010</v>
      </c>
      <c r="B224" s="22" t="n">
        <v>3140</v>
      </c>
      <c r="C224" s="22" t="n">
        <v>10304.26</v>
      </c>
      <c r="D224" s="22" t="n">
        <v>2959.14</v>
      </c>
      <c r="E224" s="22" t="n">
        <v>2449</v>
      </c>
      <c r="F224" s="2"/>
      <c r="G224" s="23" t="n">
        <f aca="false">IF(B224="","",B224/B$4*100)</f>
        <v>367.975362057287</v>
      </c>
      <c r="H224" s="23" t="n">
        <f aca="false">IF(C224="","",C224/C$4*100)</f>
        <v>238.154075142371</v>
      </c>
      <c r="I224" s="23" t="n">
        <f aca="false">IF(D224="","",D224/D$4*100)</f>
        <v>373.129397523517</v>
      </c>
      <c r="J224" s="23" t="n">
        <f aca="false">IF(E224="","",E224/E$4*100)</f>
        <v>263.333333333333</v>
      </c>
    </row>
    <row r="225" customFormat="false" ht="15" hidden="false" customHeight="false" outlineLevel="0" collapsed="false">
      <c r="A225" s="21" t="n">
        <v>46017</v>
      </c>
      <c r="B225" s="22" t="n">
        <v>3125</v>
      </c>
      <c r="C225" s="22" t="n">
        <v>10483.15</v>
      </c>
      <c r="D225" s="22" t="n">
        <v>2870.36</v>
      </c>
      <c r="E225" s="22" t="n">
        <v>2440</v>
      </c>
      <c r="F225" s="2"/>
      <c r="G225" s="23" t="n">
        <f aca="false">IF(B225="","",B225/B$4*100)</f>
        <v>366.217517971026</v>
      </c>
      <c r="H225" s="23" t="n">
        <f aca="false">IF(C225="","",C225/C$4*100)</f>
        <v>242.288615856815</v>
      </c>
      <c r="I225" s="23" t="n">
        <f aca="false">IF(D225="","",D225/D$4*100)</f>
        <v>361.934784253398</v>
      </c>
      <c r="J225" s="23" t="n">
        <f aca="false">IF(E225="","",E225/E$4*100)</f>
        <v>262.365591397849</v>
      </c>
    </row>
    <row r="226" customFormat="false" ht="15" hidden="false" customHeight="false" outlineLevel="0" collapsed="false">
      <c r="A226" s="21" t="n">
        <v>46024</v>
      </c>
      <c r="B226" s="22" t="n">
        <v>3199.9</v>
      </c>
      <c r="C226" s="22" t="n">
        <v>10428.63</v>
      </c>
      <c r="D226" s="22" t="n">
        <v>2875.29</v>
      </c>
      <c r="E226" s="22" t="n">
        <v>2377</v>
      </c>
      <c r="F226" s="2"/>
      <c r="G226" s="23" t="n">
        <f aca="false">IF(B226="","",B226/B$4*100)</f>
        <v>374.995019441756</v>
      </c>
      <c r="H226" s="23" t="n">
        <f aca="false">IF(C226="","",C226/C$4*100)</f>
        <v>241.028538939428</v>
      </c>
      <c r="I226" s="23" t="n">
        <f aca="false">IF(D226="","",D226/D$4*100)</f>
        <v>362.556427004262</v>
      </c>
      <c r="J226" s="23" t="n">
        <f aca="false">IF(E226="","",E226/E$4*100)</f>
        <v>255.591397849462</v>
      </c>
    </row>
    <row r="227" customFormat="false" ht="15" hidden="false" customHeight="false" outlineLevel="0" collapsed="false">
      <c r="A227" s="21" t="n">
        <v>46031</v>
      </c>
      <c r="B227" s="22" t="n">
        <v>3395</v>
      </c>
      <c r="C227" s="22" t="n">
        <v>10929.15</v>
      </c>
      <c r="D227" s="22" t="n">
        <v>3097.23</v>
      </c>
      <c r="E227" s="22" t="n">
        <v>2495</v>
      </c>
      <c r="F227" s="2"/>
      <c r="G227" s="23" t="n">
        <f aca="false">IF(B227="","",B227/B$4*100)</f>
        <v>397.858711523723</v>
      </c>
      <c r="H227" s="23" t="n">
        <f aca="false">IF(C227="","",C227/C$4*100)</f>
        <v>252.596655203018</v>
      </c>
      <c r="I227" s="23" t="n">
        <f aca="false">IF(D227="","",D227/D$4*100)</f>
        <v>390.541699240915</v>
      </c>
      <c r="J227" s="23" t="n">
        <f aca="false">IF(E227="","",E227/E$4*100)</f>
        <v>268.279569892473</v>
      </c>
    </row>
    <row r="228" customFormat="false" ht="15" hidden="false" customHeight="false" outlineLevel="0" collapsed="false">
      <c r="A228" s="21" t="n">
        <v>46038</v>
      </c>
      <c r="B228" s="22" t="n">
        <v>3650</v>
      </c>
      <c r="C228" s="22" t="n">
        <v>11156.73</v>
      </c>
      <c r="D228" s="22" t="n">
        <v>3400.84</v>
      </c>
      <c r="E228" s="22" t="n">
        <v>2600</v>
      </c>
      <c r="F228" s="2"/>
      <c r="G228" s="23" t="n">
        <f aca="false">IF(B228="","",B228/B$4*100)</f>
        <v>427.742060990158</v>
      </c>
      <c r="H228" s="23" t="n">
        <f aca="false">IF(C228="","",C228/C$4*100)</f>
        <v>257.856528733082</v>
      </c>
      <c r="I228" s="23" t="n">
        <f aca="false">IF(D228="","",D228/D$4*100)</f>
        <v>428.825057372708</v>
      </c>
      <c r="J228" s="23" t="n">
        <f aca="false">IF(E228="","",E228/E$4*100)</f>
        <v>279.569892473118</v>
      </c>
    </row>
    <row r="229" customFormat="false" ht="15" hidden="false" customHeight="false" outlineLevel="0" collapsed="false">
      <c r="A229" s="21" t="n">
        <v>46045</v>
      </c>
      <c r="B229" s="22" t="n">
        <v>3800</v>
      </c>
      <c r="C229" s="22" t="n">
        <v>11500.1</v>
      </c>
      <c r="D229" s="22" t="n">
        <v>3698.92</v>
      </c>
      <c r="E229" s="22" t="n">
        <v>2750</v>
      </c>
      <c r="F229" s="2"/>
      <c r="G229" s="23" t="n">
        <f aca="false">IF(B229="","",B229/B$4*100)</f>
        <v>445.320501852768</v>
      </c>
      <c r="H229" s="23" t="n">
        <f aca="false">IF(C229="","",C229/C$4*100)</f>
        <v>265.792563419865</v>
      </c>
      <c r="I229" s="23" t="n">
        <f aca="false">IF(D229="","",D229/D$4*100)</f>
        <v>466.411116435074</v>
      </c>
      <c r="J229" s="23" t="n">
        <f aca="false">IF(E229="","",E229/E$4*100)</f>
        <v>295.698924731183</v>
      </c>
    </row>
    <row r="230" customFormat="false" ht="15" hidden="false" customHeight="false" outlineLevel="0" collapsed="false">
      <c r="A230" s="21" t="n">
        <v>46052</v>
      </c>
      <c r="B230" s="22" t="n">
        <v>3800</v>
      </c>
      <c r="C230" s="22" t="n">
        <v>11420.07</v>
      </c>
      <c r="D230" s="22" t="n">
        <v>3664.4</v>
      </c>
      <c r="E230" s="22" t="n">
        <v>2799.9</v>
      </c>
      <c r="F230" s="2"/>
      <c r="G230" s="23" t="n">
        <f aca="false">IF(B230="","",B230/B$4*100)</f>
        <v>445.320501852768</v>
      </c>
      <c r="H230" s="23" t="n">
        <f aca="false">IF(C230="","",C230/C$4*100)</f>
        <v>263.94289438651</v>
      </c>
      <c r="I230" s="23" t="n">
        <f aca="false">IF(D230="","",D230/D$4*100)</f>
        <v>462.058356240385</v>
      </c>
      <c r="J230" s="23" t="n">
        <f aca="false">IF(E230="","",E230/E$4*100)</f>
        <v>301.064516129032</v>
      </c>
    </row>
    <row r="231" customFormat="false" ht="15" hidden="false" customHeight="false" outlineLevel="0" collapsed="false">
      <c r="A231" s="21" t="n">
        <v>46059</v>
      </c>
      <c r="B231" s="22" t="n">
        <v>3719</v>
      </c>
      <c r="C231" s="22" t="n">
        <v>11210.78</v>
      </c>
      <c r="D231" s="22" t="n">
        <v>3629.78</v>
      </c>
      <c r="E231" s="22" t="n">
        <v>2550.1</v>
      </c>
      <c r="F231" s="2"/>
      <c r="G231" s="23" t="n">
        <f aca="false">IF(B231="","",B231/B$4*100)</f>
        <v>435.828143786959</v>
      </c>
      <c r="H231" s="23" t="n">
        <f aca="false">IF(C231="","",C231/C$4*100)</f>
        <v>259.105742918423</v>
      </c>
      <c r="I231" s="23" t="n">
        <f aca="false">IF(D231="","",D231/D$4*100)</f>
        <v>457.692986659269</v>
      </c>
      <c r="J231" s="23" t="n">
        <f aca="false">IF(E231="","",E231/E$4*100)</f>
        <v>274.204301075269</v>
      </c>
    </row>
    <row r="232" customFormat="false" ht="15" hidden="false" customHeight="false" outlineLevel="0" collapsed="false">
      <c r="A232" s="21" t="n">
        <v>46066</v>
      </c>
      <c r="B232" s="22" t="n">
        <v>3797.9</v>
      </c>
      <c r="C232" s="22" t="n">
        <v>10897.74</v>
      </c>
      <c r="D232" s="22" t="n">
        <v>3476.99</v>
      </c>
      <c r="E232" s="22" t="n">
        <v>2525.2</v>
      </c>
      <c r="F232" s="2"/>
      <c r="G232" s="23" t="n">
        <f aca="false">IF(B232="","",B232/B$4*100)</f>
        <v>445.074403680691</v>
      </c>
      <c r="H232" s="23" t="n">
        <f aca="false">IF(C232="","",C232/C$4*100)</f>
        <v>251.870701131573</v>
      </c>
      <c r="I232" s="23" t="n">
        <f aca="false">IF(D232="","",D232/D$4*100)</f>
        <v>438.427105137064</v>
      </c>
      <c r="J232" s="23" t="n">
        <f aca="false">IF(E232="","",E232/E$4*100)</f>
        <v>271.52688172043</v>
      </c>
    </row>
    <row r="233" customFormat="false" ht="15" hidden="false" customHeight="false" outlineLevel="0" collapsed="false">
      <c r="A233" s="21" t="n">
        <v>46073</v>
      </c>
      <c r="B233" s="22" t="n">
        <v>3905</v>
      </c>
      <c r="C233" s="22" t="n">
        <v>10855.08</v>
      </c>
      <c r="D233" s="22" t="n">
        <v>3822.22</v>
      </c>
      <c r="E233" s="22" t="n">
        <v>2525</v>
      </c>
      <c r="F233" s="2"/>
      <c r="G233" s="23" t="n">
        <f aca="false">IF(B233="","",B233/B$4*100)</f>
        <v>457.625410456594</v>
      </c>
      <c r="H233" s="23" t="n">
        <f aca="false">IF(C233="","",C233/C$4*100)</f>
        <v>250.884734856889</v>
      </c>
      <c r="I233" s="23" t="n">
        <f aca="false">IF(D233="","",D233/D$4*100)</f>
        <v>481.958489899882</v>
      </c>
      <c r="J233" s="23" t="n">
        <f aca="false">IF(E233="","",E233/E$4*100)</f>
        <v>271.505376344086</v>
      </c>
    </row>
    <row r="234" customFormat="false" ht="15" hidden="false" customHeight="false" outlineLevel="0" collapsed="false">
      <c r="A234" s="21" t="n">
        <v>46080</v>
      </c>
      <c r="B234" s="22" t="n">
        <v>4080</v>
      </c>
      <c r="C234" s="22" t="n">
        <v>10877.74</v>
      </c>
      <c r="D234" s="22" t="n">
        <v>4088.54</v>
      </c>
      <c r="E234" s="22" t="n">
        <v>2530.1</v>
      </c>
      <c r="F234" s="2"/>
      <c r="G234" s="23" t="n">
        <f aca="false">IF(B234="","",B234/B$4*100)</f>
        <v>478.133591462972</v>
      </c>
      <c r="H234" s="23" t="n">
        <f aca="false">IF(C234="","",C234/C$4*100)</f>
        <v>251.408457214703</v>
      </c>
      <c r="I234" s="23" t="n">
        <f aca="false">IF(D234="","",D234/D$4*100)</f>
        <v>515.539807832951</v>
      </c>
      <c r="J234" s="23" t="n">
        <f aca="false">IF(E234="","",E234/E$4*100)</f>
        <v>272.05376344086</v>
      </c>
    </row>
    <row r="235" customFormat="false" ht="15" hidden="false" customHeight="false" outlineLevel="0" collapsed="false">
      <c r="A235" s="21" t="n">
        <v>46087</v>
      </c>
      <c r="B235" s="22" t="n">
        <v>3950</v>
      </c>
      <c r="C235" s="22" t="n">
        <v>10314.03</v>
      </c>
      <c r="D235" s="22" t="n">
        <v>3610.64</v>
      </c>
      <c r="E235" s="22" t="n">
        <v>2410</v>
      </c>
      <c r="F235" s="2"/>
      <c r="G235" s="23" t="n">
        <f aca="false">IF(B235="","",B235/B$4*100)</f>
        <v>462.898942715377</v>
      </c>
      <c r="H235" s="23" t="n">
        <f aca="false">IF(C235="","",C235/C$4*100)</f>
        <v>238.379881295762</v>
      </c>
      <c r="I235" s="23" t="n">
        <f aca="false">IF(D235="","",D235/D$4*100)</f>
        <v>455.279550097092</v>
      </c>
      <c r="J235" s="23" t="n">
        <f aca="false">IF(E235="","",E235/E$4*100)</f>
        <v>259.139784946237</v>
      </c>
    </row>
    <row r="236" customFormat="false" ht="15" hidden="false" customHeight="false" outlineLevel="0" collapsed="false">
      <c r="A236" s="21" t="n">
        <v>46094</v>
      </c>
      <c r="B236" s="22" t="n">
        <v>3824.9</v>
      </c>
      <c r="C236" s="22" t="n">
        <v>10466.52</v>
      </c>
      <c r="D236" s="22" t="n">
        <v>3787.6</v>
      </c>
      <c r="E236" s="22" t="n">
        <v>2370</v>
      </c>
      <c r="F236" s="2"/>
      <c r="G236" s="23" t="n">
        <f aca="false">IF(B236="","",B236/B$4*100)</f>
        <v>448.238523035961</v>
      </c>
      <c r="H236" s="23" t="n">
        <f aca="false">IF(C236="","",C236/C$4*100)</f>
        <v>241.904260039938</v>
      </c>
      <c r="I236" s="23" t="n">
        <f aca="false">IF(D236="","",D236/D$4*100)</f>
        <v>477.593120318765</v>
      </c>
      <c r="J236" s="23" t="n">
        <f aca="false">IF(E236="","",E236/E$4*100)</f>
        <v>254.838709677419</v>
      </c>
    </row>
    <row r="237" customFormat="false" ht="15" hidden="false" customHeight="false" outlineLevel="0" collapsed="false">
      <c r="A237" s="21" t="n">
        <v>46101</v>
      </c>
      <c r="B237" s="22" t="n">
        <v>3900</v>
      </c>
      <c r="C237" s="22" t="n">
        <v>10277.51</v>
      </c>
      <c r="D237" s="22" t="n">
        <v>3708.79</v>
      </c>
      <c r="E237" s="22" t="n">
        <v>2295.1</v>
      </c>
      <c r="F237" s="2"/>
      <c r="G237" s="23" t="n">
        <f aca="false">IF(B237="","",B237/B$4*100)</f>
        <v>457.039462427841</v>
      </c>
      <c r="H237" s="23" t="n">
        <f aca="false">IF(C237="","",C237/C$4*100)</f>
        <v>237.535823903557</v>
      </c>
      <c r="I237" s="23" t="n">
        <f aca="false">IF(D237="","",D237/D$4*100)</f>
        <v>467.655662875445</v>
      </c>
      <c r="J237" s="23" t="n">
        <f aca="false">IF(E237="","",E237/E$4*100)</f>
        <v>246.784946236559</v>
      </c>
    </row>
    <row r="238" customFormat="false" ht="15" hidden="false" customHeight="false" outlineLevel="0" collapsed="false">
      <c r="A238" s="21" t="n">
        <v>46108</v>
      </c>
      <c r="B238" s="22" t="n">
        <v>3850</v>
      </c>
      <c r="C238" s="22" t="n">
        <v>10417.19</v>
      </c>
      <c r="D238" s="22" t="n">
        <v>3548.99</v>
      </c>
      <c r="E238" s="22" t="n">
        <v>2185</v>
      </c>
      <c r="F238" s="2"/>
      <c r="G238" s="23" t="n">
        <f aca="false">IF(B238="","",B238/B$4*100)</f>
        <v>451.179982140304</v>
      </c>
      <c r="H238" s="23" t="n">
        <f aca="false">IF(C238="","",C238/C$4*100)</f>
        <v>240.764135418978</v>
      </c>
      <c r="I238" s="23" t="n">
        <f aca="false">IF(D238="","",D238/D$4*100)</f>
        <v>447.505863364689</v>
      </c>
      <c r="J238" s="23" t="n">
        <f aca="false">IF(E238="","",E238/E$4*100)</f>
        <v>234.94623655914</v>
      </c>
    </row>
    <row r="239" customFormat="false" ht="15" hidden="false" customHeight="false" outlineLevel="0" collapsed="false">
      <c r="A239" s="21" t="n">
        <v>46115</v>
      </c>
      <c r="B239" s="22" t="n">
        <v>4000</v>
      </c>
      <c r="C239" s="22" t="n">
        <v>10739.15</v>
      </c>
      <c r="D239" s="22" t="n">
        <v>3781.78</v>
      </c>
      <c r="E239" s="22" t="n">
        <v>2449.9</v>
      </c>
      <c r="F239" s="2"/>
      <c r="G239" s="23" t="n">
        <f aca="false">IF(B239="","",B239/B$4*100)</f>
        <v>468.758423002913</v>
      </c>
      <c r="H239" s="23" t="n">
        <f aca="false">IF(C239="","",C239/C$4*100)</f>
        <v>248.205337992752</v>
      </c>
      <c r="I239" s="23" t="n">
        <f aca="false">IF(D239="","",D239/D$4*100)</f>
        <v>476.859254028699</v>
      </c>
      <c r="J239" s="23" t="n">
        <f aca="false">IF(E239="","",E239/E$4*100)</f>
        <v>263.430107526882</v>
      </c>
    </row>
    <row r="240" customFormat="false" ht="15" hidden="false" customHeight="false" outlineLevel="0" collapsed="false">
      <c r="A240" s="21" t="n">
        <v>46122</v>
      </c>
      <c r="B240" s="22" t="n">
        <v>4150</v>
      </c>
      <c r="C240" s="22" t="n">
        <v>11076.65</v>
      </c>
      <c r="D240" s="22" t="n">
        <v>4113.2</v>
      </c>
      <c r="E240" s="22" t="n">
        <v>2613.9</v>
      </c>
      <c r="F240" s="2"/>
      <c r="G240" s="23" t="n">
        <f aca="false">IF(B240="","",B240/B$4*100)</f>
        <v>486.336863865523</v>
      </c>
      <c r="H240" s="23" t="n">
        <f aca="false">IF(C240="","",C240/C$4*100)</f>
        <v>256.005704089934</v>
      </c>
      <c r="I240" s="23" t="n">
        <f aca="false">IF(D240="","",D240/D$4*100)</f>
        <v>518.649282525912</v>
      </c>
      <c r="J240" s="23" t="n">
        <f aca="false">IF(E240="","",E240/E$4*100)</f>
        <v>281.064516129032</v>
      </c>
    </row>
    <row r="241" customFormat="false" ht="15" hidden="false" customHeight="false" outlineLevel="0" collapsed="false">
      <c r="A241" s="21" t="n">
        <v>46129</v>
      </c>
      <c r="B241" s="22" t="n">
        <v>4585</v>
      </c>
      <c r="C241" s="22" t="n">
        <v>11429.19</v>
      </c>
      <c r="D241" s="22" t="n">
        <v>4438.71</v>
      </c>
      <c r="E241" s="22" t="n">
        <v>2751</v>
      </c>
      <c r="F241" s="2"/>
      <c r="G241" s="23" t="n">
        <f aca="false">IF(B241="","",B241/B$4*100)</f>
        <v>537.31434236709</v>
      </c>
      <c r="H241" s="23" t="n">
        <f aca="false">IF(C241="","",C241/C$4*100)</f>
        <v>264.153677612603</v>
      </c>
      <c r="I241" s="23" t="n">
        <f aca="false">IF(D241="","",D241/D$4*100)</f>
        <v>559.694096285275</v>
      </c>
      <c r="J241" s="23" t="n">
        <f aca="false">IF(E241="","",E241/E$4*100)</f>
        <v>295.806451612903</v>
      </c>
    </row>
    <row r="242" customFormat="false" ht="15" hidden="false" customHeight="false" outlineLevel="0" collapsed="false">
      <c r="A242" s="21" t="n">
        <v>46136</v>
      </c>
      <c r="B242" s="22" t="n">
        <v>4500</v>
      </c>
      <c r="C242" s="22" t="n">
        <v>11173.51</v>
      </c>
      <c r="D242" s="22" t="n">
        <v>4320.34</v>
      </c>
      <c r="E242" s="22" t="n">
        <v>2792.7</v>
      </c>
      <c r="F242" s="2"/>
      <c r="G242" s="23" t="n">
        <f aca="false">IF(B242="","",B242/B$4*100)</f>
        <v>527.353225878278</v>
      </c>
      <c r="H242" s="23" t="n">
        <f aca="false">IF(C242="","",C242/C$4*100)</f>
        <v>258.244351379336</v>
      </c>
      <c r="I242" s="23" t="n">
        <f aca="false">IF(D242="","",D242/D$4*100)</f>
        <v>544.768365571331</v>
      </c>
      <c r="J242" s="23" t="n">
        <f aca="false">IF(E242="","",E242/E$4*100)</f>
        <v>300.290322580645</v>
      </c>
    </row>
    <row r="243" customFormat="false" ht="15" hidden="false" customHeight="false" outlineLevel="0" collapsed="false">
      <c r="A243" s="21" t="n">
        <v>46143</v>
      </c>
      <c r="B243" s="22" t="n">
        <v>4469.9</v>
      </c>
      <c r="C243" s="22" t="n">
        <v>10908.3</v>
      </c>
      <c r="D243" s="22" t="n">
        <v>4020</v>
      </c>
      <c r="E243" s="22" t="n">
        <v>2728</v>
      </c>
      <c r="F243" s="2"/>
      <c r="G243" s="23" t="n">
        <f aca="false">IF(B243="","",B243/B$4*100)</f>
        <v>523.825818745181</v>
      </c>
      <c r="H243" s="23" t="n">
        <f aca="false">IF(C243="","",C243/C$4*100)</f>
        <v>252.11476591968</v>
      </c>
      <c r="I243" s="23" t="n">
        <f aca="false">IF(D243="","",D243/D$4*100)</f>
        <v>506.897334375709</v>
      </c>
      <c r="J243" s="23" t="n">
        <f aca="false">IF(E243="","",E243/E$4*100)</f>
        <v>293.333333333333</v>
      </c>
    </row>
    <row r="244" customFormat="false" ht="15" hidden="false" customHeight="false" outlineLevel="0" collapsed="false">
      <c r="A244" s="21" t="n">
        <v>46150</v>
      </c>
      <c r="B244" s="22" t="n">
        <v>4009</v>
      </c>
      <c r="C244" s="22" t="n">
        <v>10758.9</v>
      </c>
      <c r="D244" s="22" t="n">
        <v>3700.1</v>
      </c>
      <c r="E244" s="22" t="n">
        <v>2585.1</v>
      </c>
      <c r="F244" s="2"/>
      <c r="G244" s="23" t="n">
        <f aca="false">IF(B244="","",B244/B$4*100)</f>
        <v>469.81312945467</v>
      </c>
      <c r="H244" s="23" t="n">
        <f aca="false">IF(C244="","",C244/C$4*100)</f>
        <v>248.661803860661</v>
      </c>
      <c r="I244" s="23" t="n">
        <f aca="false">IF(D244="","",D244/D$4*100)</f>
        <v>466.559907194916</v>
      </c>
      <c r="J244" s="23" t="n">
        <f aca="false">IF(E244="","",E244/E$4*100)</f>
        <v>277.967741935484</v>
      </c>
    </row>
    <row r="245" customFormat="false" ht="15" hidden="false" customHeight="false" outlineLevel="0" collapsed="false">
      <c r="A245" s="21" t="n">
        <v>46157</v>
      </c>
      <c r="B245" s="22" t="n">
        <v>3600</v>
      </c>
      <c r="C245" s="22" t="n">
        <v>10421.35</v>
      </c>
      <c r="D245" s="22" t="n">
        <v>3662</v>
      </c>
      <c r="E245" s="22" t="n">
        <v>2309.7</v>
      </c>
      <c r="F245" s="2"/>
      <c r="G245" s="23" t="n">
        <f aca="false">IF(B245="","",B245/B$4*100)</f>
        <v>421.882580702622</v>
      </c>
      <c r="H245" s="23" t="n">
        <f aca="false">IF(C245="","",C245/C$4*100)</f>
        <v>240.860282153687</v>
      </c>
      <c r="I245" s="23" t="n">
        <f aca="false">IF(D245="","",D245/D$4*100)</f>
        <v>461.755730966131</v>
      </c>
      <c r="J245" s="23" t="n">
        <f aca="false">IF(E245="","",E245/E$4*100)</f>
        <v>248.354838709677</v>
      </c>
    </row>
    <row r="246" customFormat="false" ht="15" hidden="false" customHeight="false" outlineLevel="0" collapsed="false">
      <c r="A246" s="21" t="n">
        <v>46164</v>
      </c>
      <c r="B246" s="22" t="n">
        <v>3849.9</v>
      </c>
      <c r="C246" s="22" t="n">
        <v>10563.88</v>
      </c>
      <c r="D246" s="22" t="n">
        <v>3825</v>
      </c>
      <c r="E246" s="22" t="n">
        <v>2450</v>
      </c>
      <c r="F246" s="2"/>
      <c r="G246" s="23" t="n">
        <f aca="false">IF(B246="","",B246/B$4*100)</f>
        <v>451.168263179729</v>
      </c>
      <c r="H246" s="23" t="n">
        <f aca="false">IF(C246="","",C246/C$4*100)</f>
        <v>244.154463427261</v>
      </c>
      <c r="I246" s="23" t="n">
        <f aca="false">IF(D246="","",D246/D$4*100)</f>
        <v>482.309030842559</v>
      </c>
      <c r="J246" s="23" t="n">
        <f aca="false">IF(E246="","",E246/E$4*100)</f>
        <v>263.440860215054</v>
      </c>
    </row>
    <row r="247" customFormat="false" ht="15" hidden="false" customHeight="false" outlineLevel="0" collapsed="false">
      <c r="A247" s="21" t="n">
        <v>46171</v>
      </c>
      <c r="B247" s="22" t="n">
        <v>3880</v>
      </c>
      <c r="C247" s="22" t="n">
        <v>10788.19</v>
      </c>
      <c r="D247" s="22" t="n">
        <v>3900</v>
      </c>
      <c r="E247" s="22" t="n">
        <v>2428</v>
      </c>
      <c r="F247" s="2"/>
      <c r="G247" s="23" t="n">
        <f aca="false">IF(B247="","",B247/B$4*100)</f>
        <v>454.695670312826</v>
      </c>
      <c r="H247" s="23" t="n">
        <f aca="false">IF(C247="","",C247/C$4*100)</f>
        <v>249.338760076917</v>
      </c>
      <c r="I247" s="23" t="n">
        <f aca="false">IF(D247="","",D247/D$4*100)</f>
        <v>491.766070663002</v>
      </c>
      <c r="J247" s="23" t="n">
        <f aca="false">IF(E247="","",E247/E$4*100)</f>
        <v>261.075268817204</v>
      </c>
    </row>
    <row r="248" customFormat="false" ht="15" hidden="false" customHeight="false" outlineLevel="0" collapsed="false">
      <c r="A248" s="21" t="n">
        <v>46178</v>
      </c>
      <c r="B248" s="22" t="n">
        <v>3620.1</v>
      </c>
      <c r="C248" s="22" t="n">
        <v>10273.09</v>
      </c>
      <c r="D248" s="22" t="n">
        <v>3699.9</v>
      </c>
      <c r="E248" s="22" t="n">
        <v>2350</v>
      </c>
      <c r="F248" s="2"/>
      <c r="G248" s="23" t="n">
        <f aca="false">IF(B248="","",B248/B$4*100)</f>
        <v>424.238091778212</v>
      </c>
      <c r="H248" s="23" t="n">
        <f aca="false">IF(C248="","",C248/C$4*100)</f>
        <v>237.433667997929</v>
      </c>
      <c r="I248" s="23" t="n">
        <f aca="false">IF(D248="","",D248/D$4*100)</f>
        <v>466.534688422061</v>
      </c>
      <c r="J248" s="23" t="n">
        <f aca="false">IF(E248="","",E248/E$4*100)</f>
        <v>252.688172043011</v>
      </c>
    </row>
    <row r="249" customFormat="false" ht="15" hidden="false" customHeight="false" outlineLevel="0" collapsed="false">
      <c r="A249" s="21" t="n">
        <v>46185</v>
      </c>
      <c r="B249" s="22" t="n">
        <v>3712</v>
      </c>
      <c r="C249" s="22" t="n">
        <v>10922.98</v>
      </c>
      <c r="D249" s="22" t="n">
        <v>3775.2</v>
      </c>
      <c r="E249" s="22" t="n">
        <v>2464.3</v>
      </c>
      <c r="F249" s="2"/>
      <c r="G249" s="23" t="n">
        <f aca="false">IF(B249="","",B249/B$4*100)</f>
        <v>435.007816546704</v>
      </c>
      <c r="H249" s="23" t="n">
        <f aca="false">IF(C249="","",C249/C$4*100)</f>
        <v>252.454052954663</v>
      </c>
      <c r="I249" s="23" t="n">
        <f aca="false">IF(D249="","",D249/D$4*100)</f>
        <v>476.029556401786</v>
      </c>
      <c r="J249" s="23" t="n">
        <f aca="false">IF(E249="","",E249/E$4*100)</f>
        <v>264.978494623656</v>
      </c>
    </row>
    <row r="250" customFormat="false" ht="15" hidden="false" customHeight="false" outlineLevel="0" collapsed="false">
      <c r="A250" s="21" t="n">
        <v>46192</v>
      </c>
      <c r="B250" s="22" t="n">
        <v>3820</v>
      </c>
      <c r="C250" s="22" t="n">
        <v>10888.43</v>
      </c>
      <c r="D250" s="22" t="n">
        <v>3900</v>
      </c>
      <c r="E250" s="22" t="n">
        <v>2439.9</v>
      </c>
      <c r="F250" s="2"/>
      <c r="G250" s="23" t="n">
        <f aca="false">IF(B250="","",B250/B$4*100)</f>
        <v>447.664293967782</v>
      </c>
      <c r="H250" s="23" t="n">
        <f aca="false">IF(C250="","",C250/C$4*100)</f>
        <v>251.65552658827</v>
      </c>
      <c r="I250" s="23" t="n">
        <f aca="false">IF(D250="","",D250/D$4*100)</f>
        <v>491.766070663002</v>
      </c>
      <c r="J250" s="23" t="n">
        <f aca="false">IF(E250="","",E250/E$4*100)</f>
        <v>262.354838709677</v>
      </c>
    </row>
    <row r="251" customFormat="false" ht="15" hidden="false" customHeight="false" outlineLevel="0" collapsed="false">
      <c r="A251" s="21" t="n">
        <v>46199</v>
      </c>
      <c r="B251" s="22" t="n">
        <v>3765</v>
      </c>
      <c r="C251" s="22" t="n">
        <v>10762.98</v>
      </c>
      <c r="D251" s="22" t="n">
        <v>3827</v>
      </c>
      <c r="E251" s="22" t="n">
        <v>2335</v>
      </c>
      <c r="F251" s="2"/>
      <c r="G251" s="23" t="n">
        <f aca="false">IF(B251="","",B251/B$4*100)</f>
        <v>441.218865651492</v>
      </c>
      <c r="H251" s="23" t="n">
        <f aca="false">IF(C251="","",C251/C$4*100)</f>
        <v>248.756101619703</v>
      </c>
      <c r="I251" s="23" t="n">
        <f aca="false">IF(D251="","",D251/D$4*100)</f>
        <v>482.561218571104</v>
      </c>
      <c r="J251" s="23" t="n">
        <f aca="false">IF(E251="","",E251/E$4*100)</f>
        <v>251.075268817204</v>
      </c>
    </row>
    <row r="252" customFormat="false" ht="15" hidden="false" customHeight="false" outlineLevel="0" collapsed="false">
      <c r="A252" s="21" t="n">
        <v>46206</v>
      </c>
      <c r="B252" s="22" t="n">
        <v>3919.7</v>
      </c>
      <c r="C252" s="22" t="n">
        <v>10821.14</v>
      </c>
      <c r="D252" s="22" t="n">
        <v>3885</v>
      </c>
      <c r="E252" s="22" t="n">
        <v>2300</v>
      </c>
      <c r="F252" s="2"/>
      <c r="G252" s="23" t="n">
        <f aca="false">IF(B252="","",B252/B$4*100)</f>
        <v>459.34809766113</v>
      </c>
      <c r="H252" s="23" t="n">
        <f aca="false">IF(C252="","",C252/C$4*100)</f>
        <v>250.100306929961</v>
      </c>
      <c r="I252" s="23" t="n">
        <f aca="false">IF(D252="","",D252/D$4*100)</f>
        <v>489.874662698913</v>
      </c>
      <c r="J252" s="23" t="n">
        <f aca="false">IF(E252="","",E252/E$4*100)</f>
        <v>247.311827956989</v>
      </c>
    </row>
    <row r="253" customFormat="false" ht="15" hidden="false" customHeight="false" outlineLevel="0" collapsed="false">
      <c r="A253" s="21" t="n">
        <v>46213</v>
      </c>
      <c r="B253" s="22" t="n">
        <v>3901</v>
      </c>
      <c r="C253" s="22" t="n">
        <v>11056.87</v>
      </c>
      <c r="D253" s="22" t="n">
        <v>3978</v>
      </c>
      <c r="E253" s="22" t="n">
        <v>2257</v>
      </c>
      <c r="F253" s="2"/>
      <c r="G253" s="23" t="n">
        <f aca="false">IF(B253="","",B253/B$4*100)</f>
        <v>457.156652033591</v>
      </c>
      <c r="H253" s="23" t="n">
        <f aca="false">IF(C253="","",C253/C$4*100)</f>
        <v>255.54854485615</v>
      </c>
      <c r="I253" s="23" t="n">
        <f aca="false">IF(D253="","",D253/D$4*100)</f>
        <v>501.601392076262</v>
      </c>
      <c r="J253" s="23" t="n">
        <f aca="false">IF(E253="","",E253/E$4*100)</f>
        <v>242.688172043011</v>
      </c>
    </row>
    <row r="254" customFormat="false" ht="15" hidden="false" customHeight="false" outlineLevel="0" collapsed="false">
      <c r="A254" s="21" t="n">
        <v>46220</v>
      </c>
      <c r="B254" s="22" t="n">
        <v>3950</v>
      </c>
      <c r="C254" s="22" t="n">
        <v>10887.72</v>
      </c>
      <c r="D254" s="22" t="n">
        <v>4039.9</v>
      </c>
      <c r="E254" s="22" t="n">
        <v>2210</v>
      </c>
      <c r="F254" s="2"/>
      <c r="G254" s="23" t="n">
        <f aca="false">IF(B254="","",B254/B$4*100)</f>
        <v>462.898942715377</v>
      </c>
      <c r="H254" s="23" t="n">
        <f aca="false">IF(C254="","",C254/C$4*100)</f>
        <v>251.639116929221</v>
      </c>
      <c r="I254" s="23" t="n">
        <f aca="false">IF(D254="","",D254/D$4*100)</f>
        <v>509.406602274733</v>
      </c>
      <c r="J254" s="23" t="n">
        <f aca="false">IF(E254="","",E254/E$4*100)</f>
        <v>237.634408602151</v>
      </c>
    </row>
    <row r="255" customFormat="false" ht="15" hidden="false" customHeight="false" outlineLevel="0" collapsed="false">
      <c r="A255" s="21" t="n">
        <v>46227</v>
      </c>
      <c r="B255" s="22" t="n">
        <v>3725</v>
      </c>
      <c r="C255" s="22" t="n">
        <v>10950.74</v>
      </c>
      <c r="D255" s="22" t="n">
        <v>3940</v>
      </c>
      <c r="E255" s="22" t="n">
        <v>2323.9</v>
      </c>
      <c r="F255" s="2"/>
      <c r="G255" s="23" t="n">
        <f aca="false">IF(B255="","",B255/B$4*100)</f>
        <v>436.531281421463</v>
      </c>
      <c r="H255" s="23" t="n">
        <f aca="false">IF(C255="","",C255/C$4*100)</f>
        <v>253.095647511279</v>
      </c>
      <c r="I255" s="23" t="n">
        <f aca="false">IF(D255="","",D255/D$4*100)</f>
        <v>496.809825233904</v>
      </c>
      <c r="J255" s="23" t="n">
        <f aca="false">IF(E255="","",E255/E$4*100)</f>
        <v>249.881720430108</v>
      </c>
    </row>
    <row r="256" customFormat="false" ht="15" hidden="false" customHeight="false" outlineLevel="0" collapsed="false">
      <c r="A256" s="21" t="n">
        <v>46234</v>
      </c>
      <c r="B256" s="22" t="n">
        <v>3769.9</v>
      </c>
      <c r="C256" s="22" t="n">
        <v>11016.85</v>
      </c>
      <c r="D256" s="22" t="n">
        <v>3943</v>
      </c>
      <c r="E256" s="22" t="n">
        <v>2335</v>
      </c>
      <c r="F256" s="2"/>
      <c r="G256" s="23" t="n">
        <f aca="false">IF(B256="","",B256/B$4*100)</f>
        <v>441.793094719671</v>
      </c>
      <c r="H256" s="23" t="n">
        <f aca="false">IF(C256="","",C256/C$4*100)</f>
        <v>254.623594778493</v>
      </c>
      <c r="I256" s="23" t="n">
        <f aca="false">IF(D256="","",D256/D$4*100)</f>
        <v>497.188106826722</v>
      </c>
      <c r="J256" s="23" t="n">
        <f aca="false">IF(E256="","",E256/E$4*100)</f>
        <v>251.075268817204</v>
      </c>
    </row>
    <row r="257" customFormat="false" ht="15" hidden="false" customHeight="false" outlineLevel="0" collapsed="false">
      <c r="A257" s="21" t="n">
        <v>46241</v>
      </c>
      <c r="B257" s="22" t="n">
        <v>4072.7</v>
      </c>
      <c r="C257" s="22" t="n">
        <v>11256.28</v>
      </c>
      <c r="D257" s="22" t="n">
        <v>4050</v>
      </c>
      <c r="E257" s="22" t="n">
        <v>2459.6</v>
      </c>
      <c r="F257" s="2"/>
      <c r="G257" s="23" t="n">
        <f aca="false">IF(B257="","",B257/B$4*100)</f>
        <v>477.278107340991</v>
      </c>
      <c r="H257" s="23" t="n">
        <f aca="false">IF(C257="","",C257/C$4*100)</f>
        <v>260.157347829303</v>
      </c>
      <c r="I257" s="23" t="n">
        <f aca="false">IF(D257="","",D257/D$4*100)</f>
        <v>510.680150303886</v>
      </c>
      <c r="J257" s="23" t="n">
        <f aca="false">IF(E257="","",E257/E$4*100)</f>
        <v>264.47311827957</v>
      </c>
    </row>
    <row r="258" customFormat="false" ht="15" hidden="false" customHeight="false" outlineLevel="0" collapsed="false">
      <c r="A258" s="21" t="n">
        <v>46248</v>
      </c>
      <c r="B258" s="22" t="n">
        <v>3970</v>
      </c>
      <c r="C258" s="22" t="n">
        <v>11040.48</v>
      </c>
      <c r="D258" s="22" t="n">
        <v>3965</v>
      </c>
      <c r="E258" s="22" t="n">
        <v>2430</v>
      </c>
      <c r="F258" s="2"/>
      <c r="G258" s="23" t="n">
        <f aca="false">IF(B258="","",B258/B$4*100)</f>
        <v>465.242734830392</v>
      </c>
      <c r="H258" s="23" t="n">
        <f aca="false">IF(C258="","",C258/C$4*100)</f>
        <v>255.169735966275</v>
      </c>
      <c r="I258" s="23" t="n">
        <f aca="false">IF(D258="","",D258/D$4*100)</f>
        <v>499.962171840718</v>
      </c>
      <c r="J258" s="23" t="n">
        <f aca="false">IF(E258="","",E258/E$4*100)</f>
        <v>261.290322580645</v>
      </c>
    </row>
    <row r="259" customFormat="false" ht="15" hidden="false" customHeight="false" outlineLevel="0" collapsed="false">
      <c r="A259" s="21" t="n">
        <v>46255</v>
      </c>
      <c r="B259" s="22" t="n">
        <v>4000</v>
      </c>
      <c r="C259" s="22" t="n">
        <v>11337.85</v>
      </c>
      <c r="D259" s="22" t="n">
        <v>4019.7</v>
      </c>
      <c r="E259" s="22" t="n">
        <v>2427.9</v>
      </c>
      <c r="F259" s="2"/>
      <c r="G259" s="23" t="n">
        <f aca="false">IF(B259="","",B259/B$4*100)</f>
        <v>468.758423002913</v>
      </c>
      <c r="H259" s="23" t="n">
        <f aca="false">IF(C259="","",C259/C$4*100)</f>
        <v>262.042609644257</v>
      </c>
      <c r="I259" s="23" t="n">
        <f aca="false">IF(D259="","",D259/D$4*100)</f>
        <v>506.859506216427</v>
      </c>
      <c r="J259" s="23" t="n">
        <f aca="false">IF(E259="","",E259/E$4*100)</f>
        <v>261.064516129032</v>
      </c>
    </row>
    <row r="260" customFormat="false" ht="15" hidden="false" customHeight="false" outlineLevel="0" collapsed="false">
      <c r="A260" s="21" t="n">
        <v>46262</v>
      </c>
      <c r="B260" s="22" t="n">
        <v>4085</v>
      </c>
      <c r="C260" s="22" t="n">
        <v>11445.56</v>
      </c>
      <c r="D260" s="22" t="n">
        <v>4032.1</v>
      </c>
      <c r="E260" s="22" t="n">
        <v>2495</v>
      </c>
      <c r="F260" s="2"/>
      <c r="G260" s="23" t="n">
        <f aca="false">IF(B260="","",B260/B$4*100)</f>
        <v>478.719539491725</v>
      </c>
      <c r="H260" s="23" t="n">
        <f aca="false">IF(C260="","",C260/C$4*100)</f>
        <v>264.532024258561</v>
      </c>
      <c r="I260" s="23" t="n">
        <f aca="false">IF(D260="","",D260/D$4*100)</f>
        <v>508.423070133407</v>
      </c>
      <c r="J260" s="23" t="n">
        <f aca="false">IF(E260="","",E260/E$4*100)</f>
        <v>268.279569892473</v>
      </c>
    </row>
    <row r="261" customFormat="false" ht="15" hidden="false" customHeight="false" outlineLevel="0" collapsed="false">
      <c r="A261" s="21" t="n">
        <v>46269</v>
      </c>
      <c r="B261" s="22" t="n">
        <v>4055</v>
      </c>
      <c r="C261" s="22" t="n">
        <v>11315.26</v>
      </c>
      <c r="D261" s="22" t="n">
        <v>3930.1</v>
      </c>
      <c r="E261" s="22" t="n">
        <v>2494</v>
      </c>
      <c r="F261" s="2"/>
      <c r="G261" s="23" t="n">
        <f aca="false">IF(B261="","",B261/B$4*100)</f>
        <v>475.203851319203</v>
      </c>
      <c r="H261" s="23" t="n">
        <f aca="false">IF(C261="","",C261/C$4*100)</f>
        <v>261.520505140152</v>
      </c>
      <c r="I261" s="23" t="n">
        <f aca="false">IF(D261="","",D261/D$4*100)</f>
        <v>495.561495977606</v>
      </c>
      <c r="J261" s="23" t="n">
        <f aca="false">IF(E261="","",E261/E$4*100)</f>
        <v>268.172043010753</v>
      </c>
    </row>
    <row r="262" customFormat="false" ht="15" hidden="false" customHeight="false" outlineLevel="0" collapsed="false">
      <c r="A262" s="21" t="n">
        <v>46276</v>
      </c>
      <c r="B262" s="22" t="n">
        <v>3850</v>
      </c>
      <c r="C262" s="22"/>
      <c r="D262" s="22" t="n">
        <v>3762.4</v>
      </c>
      <c r="E262" s="22" t="n">
        <v>2394.9</v>
      </c>
      <c r="F262" s="2"/>
      <c r="G262" s="23" t="n">
        <f aca="false">IF(B262="","",B262/B$4*100)</f>
        <v>451.179982140304</v>
      </c>
      <c r="H262" s="23" t="str">
        <f aca="false">IF(C262="","",C262/C$4*100)</f>
        <v/>
      </c>
      <c r="I262" s="23" t="n">
        <f aca="false">IF(D262="","",D262/D$4*100)</f>
        <v>474.415554939097</v>
      </c>
      <c r="J262" s="23" t="n">
        <f aca="false">IF(E262="","",E262/E$4*100)</f>
        <v>257.516129032258</v>
      </c>
    </row>
    <row r="263" customFormat="false" ht="15" hidden="false" customHeight="false" outlineLevel="0" collapsed="false">
      <c r="A263" s="21" t="n">
        <v>46283</v>
      </c>
      <c r="B263" s="22" t="n">
        <v>3900</v>
      </c>
      <c r="C263" s="22"/>
      <c r="D263" s="22" t="n">
        <v>3900</v>
      </c>
      <c r="E263" s="22" t="n">
        <v>2240</v>
      </c>
      <c r="F263" s="2"/>
      <c r="G263" s="23" t="n">
        <f aca="false">IF(B263="","",B263/B$4*100)</f>
        <v>457.039462427841</v>
      </c>
      <c r="H263" s="23" t="str">
        <f aca="false">IF(C263="","",C263/C$4*100)</f>
        <v/>
      </c>
      <c r="I263" s="23" t="n">
        <f aca="false">IF(D263="","",D263/D$4*100)</f>
        <v>491.766070663002</v>
      </c>
      <c r="J263" s="23" t="n">
        <f aca="false">IF(E263="","",E263/E$4*100)</f>
        <v>240.860215053763</v>
      </c>
    </row>
    <row r="264" customFormat="false" ht="15" hidden="false" customHeight="false" outlineLevel="0" collapsed="false">
      <c r="A264" s="21" t="n">
        <v>46290</v>
      </c>
      <c r="B264" s="22" t="n">
        <v>3642</v>
      </c>
      <c r="C264" s="22"/>
      <c r="D264" s="22" t="n">
        <v>3761</v>
      </c>
      <c r="E264" s="22" t="n">
        <v>2285</v>
      </c>
      <c r="F264" s="2"/>
      <c r="G264" s="23" t="n">
        <f aca="false">IF(B264="","",B264/B$4*100)</f>
        <v>426.804544144153</v>
      </c>
      <c r="H264" s="23" t="str">
        <f aca="false">IF(C264="","",C264/C$4*100)</f>
        <v/>
      </c>
      <c r="I264" s="23" t="n">
        <f aca="false">IF(D264="","",D264/D$4*100)</f>
        <v>474.239023529115</v>
      </c>
      <c r="J264" s="23" t="n">
        <f aca="false">IF(E264="","",E264/E$4*100)</f>
        <v>245.698924731183</v>
      </c>
    </row>
    <row r="265" customFormat="false" ht="15" hidden="false" customHeight="false" outlineLevel="0" collapsed="false">
      <c r="A265" s="21" t="n">
        <v>46295</v>
      </c>
      <c r="B265" s="22" t="n">
        <v>3555</v>
      </c>
      <c r="C265" s="22"/>
      <c r="D265" s="22" t="n">
        <v>3505</v>
      </c>
      <c r="E265" s="22" t="n">
        <v>2175</v>
      </c>
      <c r="F265" s="2"/>
      <c r="G265" s="23" t="n">
        <f aca="false">IF(B265="","",B265/B$4*100)</f>
        <v>416.609048443839</v>
      </c>
      <c r="H265" s="23" t="str">
        <f aca="false">IF(C265="","",C265/C$4*100)</f>
        <v/>
      </c>
      <c r="I265" s="23" t="n">
        <f aca="false">IF(D265="","",D265/D$4*100)</f>
        <v>441.958994275339</v>
      </c>
      <c r="J265" s="23" t="n">
        <f aca="false">IF(E265="","",E265/E$4*100)</f>
        <v>233.870967741936</v>
      </c>
    </row>
    <row r="266" customFormat="false" ht="15" hidden="false" customHeight="false" outlineLevel="0" collapsed="false">
      <c r="A266" s="2"/>
      <c r="B266" s="2"/>
      <c r="C266" s="2"/>
      <c r="D266" s="2"/>
      <c r="E266" s="2"/>
      <c r="F266" s="2"/>
      <c r="G266" s="2"/>
      <c r="H266" s="2"/>
      <c r="I266" s="2"/>
      <c r="J266" s="2"/>
    </row>
    <row r="267" customFormat="false" ht="15" hidden="false" customHeight="false" outlineLevel="0" collapsed="false">
      <c r="A267" s="20" t="s">
        <v>120</v>
      </c>
      <c r="B267" s="2"/>
      <c r="C267" s="2"/>
      <c r="D267" s="2"/>
      <c r="E267" s="2"/>
      <c r="F267" s="2"/>
      <c r="G267" s="2"/>
      <c r="H267" s="2"/>
      <c r="I267" s="2"/>
      <c r="J267" s="2"/>
    </row>
    <row r="268" customFormat="false" ht="15" hidden="false" customHeight="false" outlineLevel="0" collapsed="false">
      <c r="A268" s="20" t="s">
        <v>121</v>
      </c>
      <c r="B268" s="2"/>
      <c r="C268" s="2"/>
      <c r="D268" s="2"/>
      <c r="E268" s="2"/>
      <c r="F268" s="2"/>
      <c r="G268" s="2"/>
      <c r="H268" s="2"/>
      <c r="I268" s="2"/>
      <c r="J268" s="2"/>
    </row>
    <row r="269" customFormat="false" ht="15" hidden="false" customHeight="false" outlineLevel="0" collapsed="false">
      <c r="A269" s="20" t="s">
        <v>122</v>
      </c>
      <c r="B269" s="2"/>
      <c r="C269" s="2"/>
      <c r="D269" s="2"/>
      <c r="E269" s="2"/>
      <c r="F269" s="2"/>
      <c r="G269" s="2"/>
      <c r="H269" s="2"/>
      <c r="I269" s="2"/>
      <c r="J269" s="2"/>
    </row>
    <row r="270" customFormat="false" ht="15" hidden="false" customHeight="false" outlineLevel="0" collapsed="false">
      <c r="A270" s="2"/>
      <c r="B270" s="2"/>
      <c r="C270" s="2"/>
      <c r="D270" s="2"/>
      <c r="E270" s="2"/>
      <c r="F270" s="2"/>
      <c r="G270" s="2"/>
      <c r="H270" s="2"/>
      <c r="I270" s="2"/>
      <c r="J270" s="2"/>
    </row>
    <row r="271" customFormat="false" ht="15" hidden="false" customHeight="false" outlineLevel="0" collapsed="false">
      <c r="A271" s="17" t="s">
        <v>123</v>
      </c>
      <c r="B271" s="2"/>
      <c r="C271" s="2"/>
      <c r="D271" s="2"/>
      <c r="E271" s="2"/>
      <c r="F271" s="2"/>
      <c r="G271" s="2"/>
      <c r="H271" s="2"/>
      <c r="I271" s="2"/>
      <c r="J271" s="2"/>
    </row>
    <row r="272" customFormat="false" ht="15" hidden="false" customHeight="false" outlineLevel="0" collapsed="false">
      <c r="A272" s="2" t="s">
        <v>124</v>
      </c>
      <c r="B272" s="24" t="n">
        <f aca="false">B265/B4-1</f>
        <v>3.16609048443839</v>
      </c>
      <c r="C272" s="2"/>
      <c r="D272" s="2"/>
      <c r="E272" s="2"/>
      <c r="F272" s="2"/>
      <c r="G272" s="2"/>
      <c r="H272" s="2"/>
      <c r="I272" s="2"/>
      <c r="J272" s="2"/>
    </row>
    <row r="273" customFormat="false" ht="15" hidden="false" customHeight="false" outlineLevel="0" collapsed="false">
      <c r="A273" s="2" t="s">
        <v>125</v>
      </c>
      <c r="B273" s="24" t="n">
        <f aca="false">C261/C4-1</f>
        <v>1.61520505140152</v>
      </c>
      <c r="C273" s="2"/>
      <c r="D273" s="2"/>
      <c r="E273" s="2"/>
      <c r="F273" s="2"/>
      <c r="G273" s="2"/>
      <c r="H273" s="2"/>
      <c r="I273" s="2"/>
      <c r="J273" s="2"/>
    </row>
    <row r="274" customFormat="false" ht="15" hidden="false" customHeight="false" outlineLevel="0" collapsed="false">
      <c r="A274" s="2" t="s">
        <v>126</v>
      </c>
      <c r="B274" s="24" t="n">
        <f aca="false">D265/D4-1</f>
        <v>3.41958994275339</v>
      </c>
      <c r="C274" s="2"/>
      <c r="D274" s="2"/>
      <c r="E274" s="2"/>
      <c r="F274" s="2"/>
      <c r="G274" s="2"/>
      <c r="H274" s="2"/>
      <c r="I274" s="2"/>
      <c r="J274" s="2"/>
    </row>
    <row r="275" customFormat="false" ht="15" hidden="false" customHeight="false" outlineLevel="0" collapsed="false">
      <c r="A275" s="2" t="s">
        <v>127</v>
      </c>
      <c r="B275" s="24" t="n">
        <f aca="false">E265/E4-1</f>
        <v>1.33870967741936</v>
      </c>
      <c r="C275" s="2"/>
      <c r="D275" s="2"/>
      <c r="E275" s="2"/>
      <c r="F275" s="2"/>
      <c r="G275" s="2"/>
      <c r="H275" s="2"/>
      <c r="I275" s="2"/>
      <c r="J27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4" min="3" style="0" width="16"/>
    <col collapsed="false" customWidth="true" hidden="false" outlineLevel="0" max="5" min="5" style="0" width="22"/>
    <col collapsed="false" customWidth="true" hidden="false" outlineLevel="0" max="6" min="6" style="0" width="60"/>
  </cols>
  <sheetData>
    <row r="1" customFormat="false" ht="17.35" hidden="false" customHeight="false" outlineLevel="0" collapsed="false">
      <c r="A1" s="1" t="s">
        <v>128</v>
      </c>
      <c r="B1" s="2"/>
      <c r="C1" s="2"/>
      <c r="D1" s="2"/>
      <c r="E1" s="2"/>
      <c r="F1" s="2"/>
    </row>
    <row r="2" customFormat="false" ht="15" hidden="false" customHeight="false" outlineLevel="0" collapsed="false">
      <c r="A2" s="2"/>
      <c r="B2" s="2"/>
      <c r="C2" s="2"/>
      <c r="D2" s="2"/>
      <c r="E2" s="2"/>
      <c r="F2" s="2"/>
    </row>
    <row r="3" customFormat="false" ht="30" hidden="false" customHeight="true" outlineLevel="0" collapsed="false">
      <c r="A3" s="8" t="s">
        <v>129</v>
      </c>
      <c r="B3" s="8" t="s">
        <v>130</v>
      </c>
      <c r="C3" s="8" t="s">
        <v>126</v>
      </c>
      <c r="D3" s="8" t="s">
        <v>127</v>
      </c>
      <c r="E3" s="8" t="s">
        <v>131</v>
      </c>
      <c r="F3" s="8" t="s">
        <v>132</v>
      </c>
    </row>
    <row r="4" customFormat="false" ht="15" hidden="false" customHeight="false" outlineLevel="0" collapsed="false">
      <c r="A4" s="10" t="s">
        <v>133</v>
      </c>
      <c r="B4" s="12" t="n">
        <v>3600.1</v>
      </c>
      <c r="C4" s="12" t="n">
        <v>3800</v>
      </c>
      <c r="D4" s="12" t="n">
        <v>2210.1</v>
      </c>
      <c r="E4" s="12" t="n">
        <v>3555</v>
      </c>
      <c r="F4" s="20" t="s">
        <v>134</v>
      </c>
    </row>
    <row r="5" customFormat="false" ht="15" hidden="false" customHeight="false" outlineLevel="0" collapsed="false">
      <c r="A5" s="10" t="s">
        <v>135</v>
      </c>
      <c r="B5" s="12" t="n">
        <v>7884220</v>
      </c>
      <c r="C5" s="12" t="n">
        <v>3729970</v>
      </c>
      <c r="D5" s="12" t="n">
        <v>3770060</v>
      </c>
      <c r="E5" s="13" t="n">
        <f aca="false">E4*E6</f>
        <v>7785450</v>
      </c>
      <c r="F5" s="20" t="s">
        <v>136</v>
      </c>
    </row>
    <row r="6" customFormat="false" ht="15" hidden="false" customHeight="false" outlineLevel="0" collapsed="false">
      <c r="A6" s="10" t="s">
        <v>104</v>
      </c>
      <c r="B6" s="22" t="n">
        <v>2190</v>
      </c>
      <c r="C6" s="22" t="n">
        <v>981.5716</v>
      </c>
      <c r="D6" s="22" t="n">
        <v>1705.831</v>
      </c>
      <c r="E6" s="22" t="n">
        <v>2190</v>
      </c>
      <c r="F6" s="20" t="s">
        <v>137</v>
      </c>
    </row>
    <row r="7" customFormat="false" ht="15" hidden="false" customHeight="false" outlineLevel="0" collapsed="false">
      <c r="A7" s="10" t="s">
        <v>138</v>
      </c>
      <c r="B7" s="25"/>
      <c r="C7" s="25"/>
      <c r="D7" s="25"/>
      <c r="E7" s="25" t="n">
        <v>922.34</v>
      </c>
      <c r="F7" s="20" t="s">
        <v>139</v>
      </c>
    </row>
    <row r="8" customFormat="false" ht="15" hidden="false" customHeight="false" outlineLevel="0" collapsed="false">
      <c r="A8" s="10" t="s">
        <v>140</v>
      </c>
      <c r="B8" s="12"/>
      <c r="C8" s="12"/>
      <c r="D8" s="12"/>
      <c r="E8" s="13" t="n">
        <f aca="false">E5/E7</f>
        <v>8440.97621267645</v>
      </c>
      <c r="F8" s="20" t="s">
        <v>141</v>
      </c>
    </row>
    <row r="9" customFormat="false" ht="15" hidden="false" customHeight="false" outlineLevel="0" collapsed="false">
      <c r="A9" s="10" t="s">
        <v>142</v>
      </c>
      <c r="B9" s="26" t="n">
        <v>0.4529058</v>
      </c>
      <c r="C9" s="26" t="n">
        <v>0.7582495</v>
      </c>
      <c r="D9" s="26" t="n">
        <v>0.2725683</v>
      </c>
      <c r="E9" s="27" t="n">
        <f aca="false">B9</f>
        <v>0.4529058</v>
      </c>
      <c r="F9" s="20" t="s">
        <v>143</v>
      </c>
    </row>
    <row r="10" customFormat="false" ht="15" hidden="false" customHeight="false" outlineLevel="0" collapsed="false">
      <c r="A10" s="10" t="s">
        <v>144</v>
      </c>
      <c r="B10" s="12" t="n">
        <v>1458331.266</v>
      </c>
      <c r="C10" s="12" t="n">
        <v>1227688.047</v>
      </c>
      <c r="D10" s="12" t="n">
        <v>1122343.578</v>
      </c>
      <c r="E10" s="13" t="n">
        <f aca="false">B10</f>
        <v>1458331.266</v>
      </c>
      <c r="F10" s="20" t="s">
        <v>145</v>
      </c>
    </row>
    <row r="11" customFormat="false" ht="15" hidden="false" customHeight="false" outlineLevel="0" collapsed="false">
      <c r="A11" s="10" t="s">
        <v>146</v>
      </c>
      <c r="B11" s="28" t="n">
        <f aca="false">B10*B4/1000000</f>
        <v>5250.1383907266</v>
      </c>
      <c r="C11" s="28" t="n">
        <f aca="false">C10*C4/1000000</f>
        <v>4665.2145786</v>
      </c>
      <c r="D11" s="28" t="n">
        <f aca="false">D10*D4/1000000</f>
        <v>2480.4915417378</v>
      </c>
      <c r="E11" s="28" t="n">
        <f aca="false">E10*E4/1000000</f>
        <v>5184.36765063</v>
      </c>
      <c r="F11" s="20" t="s">
        <v>147</v>
      </c>
    </row>
    <row r="12" customFormat="false" ht="15" hidden="false" customHeight="false" outlineLevel="0" collapsed="false">
      <c r="A12" s="10" t="s">
        <v>148</v>
      </c>
      <c r="B12" s="12" t="n">
        <v>4700</v>
      </c>
      <c r="C12" s="12" t="n">
        <v>4533.69</v>
      </c>
      <c r="D12" s="12" t="n">
        <v>2799.9</v>
      </c>
      <c r="E12" s="12" t="n">
        <v>4700</v>
      </c>
      <c r="F12" s="20" t="s">
        <v>149</v>
      </c>
    </row>
    <row r="13" customFormat="false" ht="15" hidden="false" customHeight="false" outlineLevel="0" collapsed="false">
      <c r="A13" s="10" t="s">
        <v>150</v>
      </c>
      <c r="B13" s="12" t="n">
        <v>2590.2</v>
      </c>
      <c r="C13" s="12" t="n">
        <v>2459.04</v>
      </c>
      <c r="D13" s="12" t="n">
        <v>2090</v>
      </c>
      <c r="E13" s="12" t="n">
        <v>2470</v>
      </c>
      <c r="F13" s="20" t="s">
        <v>151</v>
      </c>
    </row>
    <row r="14" customFormat="false" ht="15" hidden="false" customHeight="false" outlineLevel="0" collapsed="false">
      <c r="A14" s="10" t="s">
        <v>152</v>
      </c>
      <c r="B14" s="26" t="n">
        <v>0.01944390434</v>
      </c>
      <c r="C14" s="26" t="n">
        <v>0.01168080179</v>
      </c>
      <c r="D14" s="26" t="n">
        <v>0.03393511606</v>
      </c>
      <c r="E14" s="27" t="n">
        <f aca="false">B14</f>
        <v>0.01944390434</v>
      </c>
      <c r="F14" s="20" t="s">
        <v>153</v>
      </c>
    </row>
    <row r="15" customFormat="false" ht="15" hidden="false" customHeight="false" outlineLevel="0" collapsed="false">
      <c r="A15" s="10" t="s">
        <v>154</v>
      </c>
      <c r="B15" s="29" t="n">
        <v>0.9879698</v>
      </c>
      <c r="C15" s="29" t="n">
        <v>1.165572</v>
      </c>
      <c r="D15" s="29" t="n">
        <v>1.052899</v>
      </c>
      <c r="E15" s="30" t="n">
        <f aca="false">B15</f>
        <v>0.9879698</v>
      </c>
      <c r="F15" s="20" t="s">
        <v>155</v>
      </c>
    </row>
    <row r="16" customFormat="false" ht="15" hidden="false" customHeight="false" outlineLevel="0" collapsed="false">
      <c r="A16" s="10" t="s">
        <v>156</v>
      </c>
      <c r="B16" s="12" t="n">
        <v>4124.153809</v>
      </c>
      <c r="C16" s="12" t="n">
        <v>4186.531738</v>
      </c>
      <c r="D16" s="12" t="n">
        <v>2809.800049</v>
      </c>
      <c r="E16" s="12" t="n">
        <v>4111</v>
      </c>
      <c r="F16" s="20" t="s">
        <v>157</v>
      </c>
    </row>
    <row r="17" customFormat="false" ht="15" hidden="false" customHeight="false" outlineLevel="0" collapsed="false">
      <c r="A17" s="10" t="s">
        <v>158</v>
      </c>
      <c r="B17" s="31" t="s">
        <v>159</v>
      </c>
      <c r="C17" s="31" t="s">
        <v>160</v>
      </c>
      <c r="D17" s="31" t="s">
        <v>161</v>
      </c>
      <c r="E17" s="31" t="s">
        <v>159</v>
      </c>
      <c r="F17" s="20" t="s">
        <v>162</v>
      </c>
    </row>
    <row r="18" customFormat="false" ht="15" hidden="false" customHeight="false" outlineLevel="0" collapsed="false">
      <c r="A18" s="2"/>
      <c r="B18" s="2"/>
      <c r="C18" s="2"/>
      <c r="D18" s="2"/>
      <c r="E18" s="2"/>
      <c r="F18" s="2"/>
    </row>
    <row r="19" customFormat="false" ht="15" hidden="false" customHeight="false" outlineLevel="0" collapsed="false">
      <c r="A19" s="20" t="s">
        <v>163</v>
      </c>
      <c r="B19" s="2"/>
      <c r="C19" s="2"/>
      <c r="D19" s="2"/>
      <c r="E19" s="2"/>
      <c r="F1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6"/>
    <col collapsed="false" customWidth="true" hidden="false" outlineLevel="0" max="5" min="5" style="0" width="60"/>
  </cols>
  <sheetData>
    <row r="1" customFormat="false" ht="17.35" hidden="false" customHeight="false" outlineLevel="0" collapsed="false">
      <c r="A1" s="1" t="s">
        <v>164</v>
      </c>
      <c r="B1" s="2"/>
      <c r="C1" s="2"/>
      <c r="D1" s="2"/>
      <c r="E1" s="2"/>
    </row>
    <row r="2" customFormat="false" ht="15" hidden="false" customHeight="false" outlineLevel="0" collapsed="false">
      <c r="A2" s="2"/>
      <c r="B2" s="2"/>
      <c r="C2" s="2"/>
      <c r="D2" s="2"/>
      <c r="E2" s="2"/>
    </row>
    <row r="3" customFormat="false" ht="15" hidden="false" customHeight="false" outlineLevel="0" collapsed="false">
      <c r="A3" s="8" t="s">
        <v>165</v>
      </c>
      <c r="B3" s="8" t="s">
        <v>124</v>
      </c>
      <c r="C3" s="8" t="s">
        <v>126</v>
      </c>
      <c r="D3" s="8" t="s">
        <v>127</v>
      </c>
      <c r="E3" s="8" t="s">
        <v>166</v>
      </c>
    </row>
    <row r="4" customFormat="false" ht="15" hidden="false" customHeight="false" outlineLevel="0" collapsed="false">
      <c r="A4" s="10" t="s">
        <v>167</v>
      </c>
      <c r="B4" s="12" t="n">
        <v>4820897.848</v>
      </c>
      <c r="C4" s="12" t="n">
        <v>1961393.215</v>
      </c>
      <c r="D4" s="12" t="n">
        <v>3136456.799</v>
      </c>
      <c r="E4" s="20" t="s">
        <v>168</v>
      </c>
    </row>
    <row r="5" customFormat="false" ht="15" hidden="false" customHeight="false" outlineLevel="0" collapsed="false">
      <c r="A5" s="10" t="s">
        <v>169</v>
      </c>
      <c r="B5" s="12" t="n">
        <v>1292731.731</v>
      </c>
      <c r="C5" s="12" t="n">
        <v>392256.861</v>
      </c>
      <c r="D5" s="12" t="n">
        <v>600282.454</v>
      </c>
      <c r="E5" s="20" t="s">
        <v>170</v>
      </c>
    </row>
    <row r="6" customFormat="false" ht="15" hidden="false" customHeight="false" outlineLevel="0" collapsed="false">
      <c r="A6" s="10" t="s">
        <v>171</v>
      </c>
      <c r="B6" s="12" t="n">
        <v>0</v>
      </c>
      <c r="C6" s="12" t="n">
        <v>4472.487</v>
      </c>
      <c r="D6" s="12" t="n">
        <v>0</v>
      </c>
      <c r="E6" s="20" t="s">
        <v>172</v>
      </c>
    </row>
    <row r="7" customFormat="false" ht="15" hidden="false" customHeight="false" outlineLevel="0" collapsed="false">
      <c r="A7" s="10" t="s">
        <v>173</v>
      </c>
      <c r="B7" s="12" t="n">
        <v>8258.384</v>
      </c>
      <c r="C7" s="12" t="n">
        <v>25418.102</v>
      </c>
      <c r="D7" s="12" t="n">
        <v>3845.795</v>
      </c>
      <c r="E7" s="20" t="s">
        <v>174</v>
      </c>
    </row>
    <row r="8" customFormat="false" ht="15" hidden="false" customHeight="false" outlineLevel="0" collapsed="false">
      <c r="A8" s="17" t="s">
        <v>175</v>
      </c>
      <c r="B8" s="13" t="n">
        <f aca="false">B4</f>
        <v>4820897.848</v>
      </c>
      <c r="C8" s="13" t="n">
        <f aca="false">C4</f>
        <v>1961393.215</v>
      </c>
      <c r="D8" s="13" t="n">
        <f aca="false">D4</f>
        <v>3136456.799</v>
      </c>
      <c r="E8" s="20" t="s">
        <v>141</v>
      </c>
    </row>
    <row r="9" customFormat="false" ht="15" hidden="false" customHeight="false" outlineLevel="0" collapsed="false">
      <c r="A9" s="17" t="s">
        <v>176</v>
      </c>
      <c r="B9" s="13" t="n">
        <f aca="false">B4+B5-B6-B7</f>
        <v>6105371.195</v>
      </c>
      <c r="C9" s="13" t="n">
        <f aca="false">C4+C5-C6-C7</f>
        <v>2323759.487</v>
      </c>
      <c r="D9" s="13" t="n">
        <f aca="false">D4+D5-D6-D7</f>
        <v>3732893.458</v>
      </c>
      <c r="E9" s="20" t="s">
        <v>141</v>
      </c>
    </row>
    <row r="10" customFormat="false" ht="15" hidden="false" customHeight="false" outlineLevel="0" collapsed="false">
      <c r="A10" s="10" t="s">
        <v>104</v>
      </c>
      <c r="B10" s="22" t="n">
        <v>2190</v>
      </c>
      <c r="C10" s="22" t="n">
        <v>981.5716</v>
      </c>
      <c r="D10" s="22" t="n">
        <v>1705.831</v>
      </c>
      <c r="E10" s="20" t="s">
        <v>177</v>
      </c>
    </row>
    <row r="11" customFormat="false" ht="15" hidden="false" customHeight="false" outlineLevel="0" collapsed="false">
      <c r="A11" s="17" t="s">
        <v>178</v>
      </c>
      <c r="B11" s="13" t="n">
        <f aca="false">B8/B10</f>
        <v>2201.32321826484</v>
      </c>
      <c r="C11" s="13" t="n">
        <f aca="false">C8/C10</f>
        <v>1998.21716011343</v>
      </c>
      <c r="D11" s="13" t="n">
        <f aca="false">D8/D10</f>
        <v>1838.66795655607</v>
      </c>
      <c r="E11" s="20" t="s">
        <v>141</v>
      </c>
    </row>
    <row r="12" customFormat="false" ht="15" hidden="false" customHeight="false" outlineLevel="0" collapsed="false">
      <c r="A12" s="17" t="s">
        <v>179</v>
      </c>
      <c r="B12" s="13" t="n">
        <f aca="false">B9/B10</f>
        <v>2787.8407283105</v>
      </c>
      <c r="C12" s="13" t="n">
        <f aca="false">C9/C10</f>
        <v>2367.38663486189</v>
      </c>
      <c r="D12" s="13" t="n">
        <f aca="false">D9/D10</f>
        <v>2188.31376496265</v>
      </c>
      <c r="E12" s="20" t="s">
        <v>141</v>
      </c>
    </row>
    <row r="13" customFormat="false" ht="15" hidden="false" customHeight="false" outlineLevel="0" collapsed="false">
      <c r="A13" s="10" t="s">
        <v>180</v>
      </c>
      <c r="B13" s="12" t="n">
        <v>7785450</v>
      </c>
      <c r="C13" s="12" t="n">
        <v>3440408.419</v>
      </c>
      <c r="D13" s="12" t="n">
        <v>3710182.595</v>
      </c>
      <c r="E13" s="20" t="s">
        <v>181</v>
      </c>
    </row>
    <row r="14" customFormat="false" ht="15" hidden="false" customHeight="false" outlineLevel="0" collapsed="false">
      <c r="A14" s="17" t="s">
        <v>182</v>
      </c>
      <c r="B14" s="32" t="n">
        <f aca="false">B13/B8</f>
        <v>1.61493776584166</v>
      </c>
      <c r="C14" s="32" t="n">
        <f aca="false">C13/C8</f>
        <v>1.75406358739749</v>
      </c>
      <c r="D14" s="32" t="n">
        <f aca="false">D13/D8</f>
        <v>1.18292163188185</v>
      </c>
      <c r="E14" s="20" t="s">
        <v>141</v>
      </c>
    </row>
    <row r="15" customFormat="false" ht="15" hidden="false" customHeight="false" outlineLevel="0" collapsed="false">
      <c r="A15" s="17" t="s">
        <v>183</v>
      </c>
      <c r="B15" s="32" t="n">
        <f aca="false">B13/B9</f>
        <v>1.27518045198888</v>
      </c>
      <c r="C15" s="32" t="n">
        <f aca="false">C13/C9</f>
        <v>1.48053550216662</v>
      </c>
      <c r="D15" s="32" t="n">
        <f aca="false">D13/D9</f>
        <v>0.993916016287224</v>
      </c>
      <c r="E15" s="20" t="s">
        <v>141</v>
      </c>
    </row>
    <row r="16" customFormat="false" ht="15" hidden="false" customHeight="false" outlineLevel="0" collapsed="false">
      <c r="A16" s="10" t="s">
        <v>184</v>
      </c>
      <c r="B16" s="12" t="n">
        <v>3555</v>
      </c>
      <c r="C16" s="2"/>
      <c r="D16" s="2"/>
      <c r="E16" s="20" t="s">
        <v>185</v>
      </c>
    </row>
    <row r="17" customFormat="false" ht="15" hidden="false" customHeight="false" outlineLevel="0" collapsed="false">
      <c r="A17" s="17" t="s">
        <v>186</v>
      </c>
      <c r="B17" s="33" t="n">
        <f aca="false">B16/B11-1</f>
        <v>0.614937765841663</v>
      </c>
      <c r="C17" s="2"/>
      <c r="D17" s="2"/>
      <c r="E17" s="20" t="s">
        <v>141</v>
      </c>
    </row>
    <row r="18" customFormat="false" ht="15" hidden="false" customHeight="false" outlineLevel="0" collapsed="false">
      <c r="A18" s="17" t="s">
        <v>187</v>
      </c>
      <c r="B18" s="33" t="n">
        <f aca="false">B16/B12-1</f>
        <v>0.275180451988882</v>
      </c>
      <c r="C18" s="2"/>
      <c r="D18" s="2"/>
      <c r="E18" s="20" t="s">
        <v>141</v>
      </c>
    </row>
    <row r="19" customFormat="false" ht="15" hidden="false" customHeight="false" outlineLevel="0" collapsed="false">
      <c r="A19" s="2"/>
      <c r="B19" s="2"/>
      <c r="C19" s="2"/>
      <c r="D19" s="2"/>
      <c r="E19" s="2"/>
    </row>
    <row r="20" customFormat="false" ht="15" hidden="false" customHeight="false" outlineLevel="0" collapsed="false">
      <c r="A20" s="2"/>
      <c r="B20" s="2"/>
      <c r="C20" s="2"/>
      <c r="D20" s="2"/>
      <c r="E20" s="2"/>
    </row>
    <row r="21" customFormat="false" ht="15" hidden="false" customHeight="false" outlineLevel="0" collapsed="false">
      <c r="A21" s="20" t="s">
        <v>188</v>
      </c>
      <c r="B21" s="34" t="n">
        <f aca="false">(B4+1313700-B6-B7)/B10</f>
        <v>2797.4152803653</v>
      </c>
      <c r="C21" s="2"/>
      <c r="D21" s="2"/>
      <c r="E21" s="2"/>
    </row>
    <row r="22" customFormat="false" ht="15" hidden="false" customHeight="false" outlineLevel="0" collapsed="false">
      <c r="A22" s="20" t="s">
        <v>189</v>
      </c>
      <c r="B22" s="2"/>
      <c r="C22" s="2"/>
      <c r="D22" s="2"/>
      <c r="E22" s="2"/>
    </row>
    <row r="23" customFormat="false" ht="15" hidden="false" customHeight="false" outlineLevel="0" collapsed="false">
      <c r="A23" s="20" t="s">
        <v>190</v>
      </c>
      <c r="B23" s="2"/>
      <c r="C23" s="2"/>
      <c r="D23" s="2"/>
      <c r="E2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52"/>
    <col collapsed="false" customWidth="true" hidden="false" outlineLevel="0" max="4" min="4" style="0" width="22"/>
    <col collapsed="false" customWidth="true" hidden="false" outlineLevel="0" max="5" min="5" style="0" width="60"/>
  </cols>
  <sheetData>
    <row r="1" customFormat="false" ht="17.35" hidden="false" customHeight="false" outlineLevel="0" collapsed="false">
      <c r="A1" s="1" t="s">
        <v>191</v>
      </c>
      <c r="B1" s="2"/>
      <c r="C1" s="2"/>
      <c r="D1" s="2"/>
      <c r="E1" s="2"/>
    </row>
    <row r="2" customFormat="false" ht="15" hidden="false" customHeight="false" outlineLevel="0" collapsed="false">
      <c r="A2" s="2"/>
      <c r="B2" s="2"/>
      <c r="C2" s="2"/>
      <c r="D2" s="2"/>
      <c r="E2" s="2"/>
    </row>
    <row r="3" customFormat="false" ht="19.5" hidden="false" customHeight="true" outlineLevel="0" collapsed="false">
      <c r="A3" s="8" t="s">
        <v>111</v>
      </c>
      <c r="B3" s="8" t="s">
        <v>192</v>
      </c>
      <c r="C3" s="8" t="s">
        <v>193</v>
      </c>
      <c r="D3" s="8" t="s">
        <v>194</v>
      </c>
      <c r="E3" s="8" t="s">
        <v>166</v>
      </c>
    </row>
    <row r="4" customFormat="false" ht="31.5" hidden="false" customHeight="true" outlineLevel="0" collapsed="false">
      <c r="A4" s="7" t="s">
        <v>195</v>
      </c>
      <c r="B4" s="7" t="s">
        <v>196</v>
      </c>
      <c r="C4" s="7" t="s">
        <v>197</v>
      </c>
      <c r="D4" s="7" t="s">
        <v>198</v>
      </c>
      <c r="E4" s="35" t="s">
        <v>199</v>
      </c>
    </row>
    <row r="5" customFormat="false" ht="31.5" hidden="false" customHeight="true" outlineLevel="0" collapsed="false">
      <c r="A5" s="7" t="s">
        <v>200</v>
      </c>
      <c r="B5" s="7" t="s">
        <v>201</v>
      </c>
      <c r="C5" s="7" t="s">
        <v>202</v>
      </c>
      <c r="D5" s="7" t="s">
        <v>203</v>
      </c>
      <c r="E5" s="35" t="s">
        <v>204</v>
      </c>
    </row>
    <row r="6" customFormat="false" ht="31.5" hidden="false" customHeight="true" outlineLevel="0" collapsed="false">
      <c r="A6" s="7" t="s">
        <v>205</v>
      </c>
      <c r="B6" s="7" t="s">
        <v>206</v>
      </c>
      <c r="C6" s="7" t="s">
        <v>207</v>
      </c>
      <c r="D6" s="7" t="s">
        <v>208</v>
      </c>
      <c r="E6" s="35" t="s">
        <v>209</v>
      </c>
    </row>
    <row r="7" customFormat="false" ht="31.5" hidden="false" customHeight="true" outlineLevel="0" collapsed="false">
      <c r="A7" s="7" t="s">
        <v>210</v>
      </c>
      <c r="B7" s="7" t="s">
        <v>211</v>
      </c>
      <c r="C7" s="7" t="s">
        <v>212</v>
      </c>
      <c r="D7" s="7" t="s">
        <v>213</v>
      </c>
      <c r="E7" s="35" t="s">
        <v>214</v>
      </c>
    </row>
    <row r="8" customFormat="false" ht="31.5" hidden="false" customHeight="true" outlineLevel="0" collapsed="false">
      <c r="A8" s="7" t="s">
        <v>215</v>
      </c>
      <c r="B8" s="7" t="s">
        <v>216</v>
      </c>
      <c r="C8" s="7" t="s">
        <v>217</v>
      </c>
      <c r="D8" s="7" t="s">
        <v>218</v>
      </c>
      <c r="E8" s="35" t="s">
        <v>214</v>
      </c>
    </row>
    <row r="9" customFormat="false" ht="31.5" hidden="false" customHeight="true" outlineLevel="0" collapsed="false">
      <c r="A9" s="7" t="s">
        <v>219</v>
      </c>
      <c r="B9" s="7" t="s">
        <v>220</v>
      </c>
      <c r="C9" s="7" t="s">
        <v>221</v>
      </c>
      <c r="D9" s="7" t="s">
        <v>222</v>
      </c>
      <c r="E9" s="35" t="s">
        <v>223</v>
      </c>
    </row>
    <row r="10" customFormat="false" ht="31.5" hidden="false" customHeight="true" outlineLevel="0" collapsed="false">
      <c r="A10" s="7" t="s">
        <v>224</v>
      </c>
      <c r="B10" s="7" t="s">
        <v>225</v>
      </c>
      <c r="C10" s="7" t="s">
        <v>226</v>
      </c>
      <c r="D10" s="7" t="s">
        <v>227</v>
      </c>
      <c r="E10" s="35" t="s">
        <v>228</v>
      </c>
    </row>
    <row r="11" customFormat="false" ht="31.5" hidden="false" customHeight="true" outlineLevel="0" collapsed="false">
      <c r="A11" s="7" t="s">
        <v>229</v>
      </c>
      <c r="B11" s="7" t="s">
        <v>230</v>
      </c>
      <c r="C11" s="7" t="s">
        <v>231</v>
      </c>
      <c r="D11" s="7" t="s">
        <v>232</v>
      </c>
      <c r="E11" s="35"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00"/>
  </cols>
  <sheetData>
    <row r="1" customFormat="false" ht="17.35" hidden="false" customHeight="false" outlineLevel="0" collapsed="false">
      <c r="A1" s="1" t="s">
        <v>234</v>
      </c>
      <c r="B1" s="2"/>
    </row>
    <row r="2" customFormat="false" ht="15" hidden="false" customHeight="false" outlineLevel="0" collapsed="false">
      <c r="A2" s="2"/>
      <c r="B2" s="2"/>
    </row>
    <row r="3" customFormat="false" ht="15" hidden="false" customHeight="false" outlineLevel="0" collapsed="false">
      <c r="A3" s="10" t="s">
        <v>235</v>
      </c>
      <c r="B3" s="10" t="s">
        <v>236</v>
      </c>
    </row>
    <row r="4" customFormat="false" ht="15" hidden="false" customHeight="false" outlineLevel="0" collapsed="false">
      <c r="A4" s="10" t="s">
        <v>237</v>
      </c>
      <c r="B4" s="10" t="s">
        <v>238</v>
      </c>
    </row>
    <row r="5" customFormat="false" ht="15" hidden="false" customHeight="false" outlineLevel="0" collapsed="false">
      <c r="A5" s="10" t="s">
        <v>199</v>
      </c>
      <c r="B5" s="10" t="s">
        <v>239</v>
      </c>
    </row>
    <row r="6" customFormat="false" ht="15" hidden="false" customHeight="false" outlineLevel="0" collapsed="false">
      <c r="A6" s="10" t="s">
        <v>209</v>
      </c>
      <c r="B6" s="10" t="s">
        <v>240</v>
      </c>
    </row>
    <row r="7" customFormat="false" ht="15" hidden="false" customHeight="false" outlineLevel="0" collapsed="false">
      <c r="A7" s="10" t="s">
        <v>241</v>
      </c>
      <c r="B7" s="10" t="s">
        <v>242</v>
      </c>
    </row>
    <row r="8" customFormat="false" ht="15" hidden="false" customHeight="false" outlineLevel="0" collapsed="false">
      <c r="A8" s="10" t="s">
        <v>243</v>
      </c>
      <c r="B8" s="10" t="s">
        <v>244</v>
      </c>
    </row>
    <row r="9" customFormat="false" ht="15" hidden="false" customHeight="false" outlineLevel="0" collapsed="false">
      <c r="A9" s="10" t="s">
        <v>245</v>
      </c>
      <c r="B9" s="10" t="s">
        <v>246</v>
      </c>
    </row>
    <row r="10" customFormat="false" ht="15" hidden="false" customHeight="false" outlineLevel="0" collapsed="false">
      <c r="A10" s="10" t="s">
        <v>247</v>
      </c>
      <c r="B10" s="10"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2026-10-19T20:14:50Z</dcterms:created>
  <dc:creator>openpyxl</dc:creator>
  <dc:description/>
  <dc:language>en-US</dc:language>
  <cp:lastModifiedBy/>
  <dcterms:modified xsi:type="dcterms:W3CDTF">2026-10-19T17:14:52Z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