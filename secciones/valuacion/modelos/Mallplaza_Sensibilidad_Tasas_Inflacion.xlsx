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nsibilidad" sheetId="1" state="visible" r:id="rId3"/>
    <sheet name="Supuestos" sheetId="2" state="visible" r:id="rId4"/>
    <sheet name="Calculo" sheetId="3" state="visible" r:id="rId5"/>
    <sheet name="Empirico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<sst xmlns="http://schemas.openxmlformats.org/spreadsheetml/2006/main" count="225" uniqueCount="131">
  <si>
    <t xml:space="preserve">Sensibilidad del valor por acción a tasas largas e inflación (NUEVO)</t>
  </si>
  <si>
    <t xml:space="preserve">Valor DCF por acción (CLP) y variación frente a la base (CLP 1.857). Δ tasa real y Δ inflación esperada en puntos base; todo se recalcula desde Calculo.</t>
  </si>
  <si>
    <t xml:space="preserve">A. Valor DCF por acción (CLP): filas = Δ inflación esperada (pb), columnas = Δ tasa real (pb)</t>
  </si>
  <si>
    <t xml:space="preserve">B. Variación frente a la base</t>
  </si>
  <si>
    <t xml:space="preserve">C. Mix: efecto de una misma alza (+100 pb) o baja (−100 pb) de la tasa larga NOMINAL según cuánto venga de inflación (Δi ≈ Δr + Δπ)</t>
  </si>
  <si>
    <t xml:space="preserve">% de la variación que viene de inflación</t>
  </si>
  <si>
    <t xml:space="preserve">Δi = +100 pb, θ = 1.0</t>
  </si>
  <si>
    <t xml:space="preserve">Δi = +100 pb, θ = 0.85</t>
  </si>
  <si>
    <t xml:space="preserve">Δi = +100 pb, θ = 0.7</t>
  </si>
  <si>
    <t xml:space="preserve">Δi = -100 pb, θ = 1.0</t>
  </si>
  <si>
    <t xml:space="preserve">Δi = -100 pb, θ = 0.85</t>
  </si>
  <si>
    <t xml:space="preserve">Δi = -100 pb, θ = 0.7</t>
  </si>
  <si>
    <t xml:space="preserve">D. Control empírico (regresión semanal; ver hoja Empirico)</t>
  </si>
  <si>
    <t xml:space="preserve">Variable</t>
  </si>
  <si>
    <t xml:space="preserve">Coef. por +1 pp</t>
  </si>
  <si>
    <t xml:space="preserve">Estadístico t</t>
  </si>
  <si>
    <t xml:space="preserve">Δ tasa real 10 años (BCU10)</t>
  </si>
  <si>
    <t xml:space="preserve">Δ inflación implícita (BCP10 − BCU10)</t>
  </si>
  <si>
    <t xml:space="preserve">Δ ln IPSA (control)</t>
  </si>
  <si>
    <t xml:space="preserve">R²</t>
  </si>
  <si>
    <t xml:space="preserve">N.º de semanas</t>
  </si>
  <si>
    <t xml:space="preserve">Lectura: el DCF dice que una alza de 100 pb de tasa real baja el valor ~17%, mientras que la inflación casi no lo mueve; en el dato histórico la sensibilidad es mucho menor y poco significativa porque la acción se re-valorizó con tasas casi planas.</t>
  </si>
  <si>
    <t xml:space="preserve">Sensibilidad a tasas largas e inflación — insumos</t>
  </si>
  <si>
    <t xml:space="preserve">Azul = dato pegado del modelo v3 (fuente en col. K); negro = fórmula. Los supuestos de traspaso (B13, B14) son del equipo y se pueden mover.</t>
  </si>
  <si>
    <t xml:space="preserve">Inflación esperada de largo plazo π (Chile)</t>
  </si>
  <si>
    <t xml:space="preserve">Mallplaza_Valoracion_Consolidada_v3 · Supuestos!B34</t>
  </si>
  <si>
    <t xml:space="preserve">Crecimiento terminal nominal g</t>
  </si>
  <si>
    <t xml:space="preserve">v3 · DCF!C39 (real = 0%)</t>
  </si>
  <si>
    <t xml:space="preserve">Tasa de impuesto t</t>
  </si>
  <si>
    <t xml:space="preserve">v3 · Supuestos!B35</t>
  </si>
  <si>
    <t xml:space="preserve">DFN al 30-06-2026 (MM CLP)</t>
  </si>
  <si>
    <t xml:space="preserve">v3 · DCF!C45</t>
  </si>
  <si>
    <t xml:space="preserve">Minoritarios a libro (MM CLP)</t>
  </si>
  <si>
    <t xml:space="preserve">v3 · DCF!C46</t>
  </si>
  <si>
    <t xml:space="preserve">Acciones (MM)</t>
  </si>
  <si>
    <t xml:space="preserve">v3 · DCF!C48</t>
  </si>
  <si>
    <t xml:space="preserve">Precio 30-09-2026 (CLP)</t>
  </si>
  <si>
    <t xml:space="preserve">v3 · DCF!C50</t>
  </si>
  <si>
    <t xml:space="preserve">Valor por múltiplos EV/EBITDA LTM (CLP)</t>
  </si>
  <si>
    <t xml:space="preserve">v3 · Precio_Objetivo!D5</t>
  </si>
  <si>
    <t xml:space="preserve">Peso del DCF en el precio objetivo</t>
  </si>
  <si>
    <t xml:space="preserve">v3 · Precio_Objetivo!B14</t>
  </si>
  <si>
    <t xml:space="preserve">θ: parte del flujo que se reajusta con la inflación</t>
  </si>
  <si>
    <t xml:space="preserve">SUPUESTO del equipo: rentas UF/reajustables y valor terminal; &lt;1 por contratos fijos en CLP y rezago</t>
  </si>
  <si>
    <t xml:space="preserve">λ: traspaso de la tasa real al Ke (Kd traspasa 1:1)</t>
  </si>
  <si>
    <t xml:space="preserve">SUPUESTO del equipo: la tasa libre de riesgo mueve el Ke 1:1</t>
  </si>
  <si>
    <t xml:space="preserve">Escenario único: Δ tasa real (pb)</t>
  </si>
  <si>
    <t xml:space="preserve">Cambiar para ver un caso puntual (resultado en B19)</t>
  </si>
  <si>
    <t xml:space="preserve">Escenario único: Δ inflación esperada (pb)</t>
  </si>
  <si>
    <t xml:space="preserve">Cambiar para ver un caso puntual</t>
  </si>
  <si>
    <t xml:space="preserve">Valor por acción del escenario único (CLP)</t>
  </si>
  <si>
    <t xml:space="preserve">Variación frente a la base</t>
  </si>
  <si>
    <t xml:space="preserve">Período</t>
  </si>
  <si>
    <t xml:space="preserve">2S26E</t>
  </si>
  <si>
    <t xml:space="preserve">2027E</t>
  </si>
  <si>
    <t xml:space="preserve">2028E</t>
  </si>
  <si>
    <t xml:space="preserve">2029E</t>
  </si>
  <si>
    <t xml:space="preserve">2030E</t>
  </si>
  <si>
    <t xml:space="preserve">2031E</t>
  </si>
  <si>
    <t xml:space="preserve">Terminal</t>
  </si>
  <si>
    <t xml:space="preserve">FCFF (MM CLP nominales)</t>
  </si>
  <si>
    <t xml:space="preserve">v3 · DCF!C22:I22</t>
  </si>
  <si>
    <t xml:space="preserve">Fracción de año</t>
  </si>
  <si>
    <t xml:space="preserve">v3 · DCF!C26:H26</t>
  </si>
  <si>
    <t xml:space="preserve">τ: años a mitad de período desde 30-06-26</t>
  </si>
  <si>
    <t xml:space="preserve">Convención de mitad de período del DCF</t>
  </si>
  <si>
    <t xml:space="preserve">Ke nominal CLP</t>
  </si>
  <si>
    <t xml:space="preserve">v3 · WACC!C39:I39</t>
  </si>
  <si>
    <t xml:space="preserve">Kd real (UF)</t>
  </si>
  <si>
    <t xml:space="preserve">v3 · WACC!C40:I40</t>
  </si>
  <si>
    <t xml:space="preserve">D/V</t>
  </si>
  <si>
    <t xml:space="preserve">v3 · WACC!C35:I35</t>
  </si>
  <si>
    <t xml:space="preserve">Cálculo por escenario (réplica del DCF v3 con Δ tasa real y Δ inflación)</t>
  </si>
  <si>
    <t xml:space="preserve">Cada fila es un escenario completo: WACC por período, factores de descuento, flujos ajustados, valor terminal y valor por acción.</t>
  </si>
  <si>
    <t xml:space="preserve">Δ tasa real (pb)</t>
  </si>
  <si>
    <t xml:space="preserve">Δ inflación (pb)</t>
  </si>
  <si>
    <t xml:space="preserve">θ</t>
  </si>
  <si>
    <t xml:space="preserve">Escenario</t>
  </si>
  <si>
    <t xml:space="preserve">WACC 2S26E</t>
  </si>
  <si>
    <t xml:space="preserve">WACC 2027E</t>
  </si>
  <si>
    <t xml:space="preserve">WACC 2028E</t>
  </si>
  <si>
    <t xml:space="preserve">WACC 2029E</t>
  </si>
  <si>
    <t xml:space="preserve">WACC 2030E</t>
  </si>
  <si>
    <t xml:space="preserve">WACC 2031E</t>
  </si>
  <si>
    <t xml:space="preserve">WACC Terminal</t>
  </si>
  <si>
    <t xml:space="preserve">Factor cierre 1</t>
  </si>
  <si>
    <t xml:space="preserve">Factor cierre 2</t>
  </si>
  <si>
    <t xml:space="preserve">Factor cierre 3</t>
  </si>
  <si>
    <t xml:space="preserve">Factor cierre 4</t>
  </si>
  <si>
    <t xml:space="preserve">Factor cierre 5</t>
  </si>
  <si>
    <t xml:space="preserve">Factor cierre 6</t>
  </si>
  <si>
    <t xml:space="preserve">Factor medio 1</t>
  </si>
  <si>
    <t xml:space="preserve">Factor medio 2</t>
  </si>
  <si>
    <t xml:space="preserve">Factor medio 3</t>
  </si>
  <si>
    <t xml:space="preserve">Factor medio 4</t>
  </si>
  <si>
    <t xml:space="preserve">Factor medio 5</t>
  </si>
  <si>
    <t xml:space="preserve">Factor medio 6</t>
  </si>
  <si>
    <t xml:space="preserve">FCFF aj. 2S26E</t>
  </si>
  <si>
    <t xml:space="preserve">FCFF aj. 2027E</t>
  </si>
  <si>
    <t xml:space="preserve">FCFF aj. 2028E</t>
  </si>
  <si>
    <t xml:space="preserve">FCFF aj. 2029E</t>
  </si>
  <si>
    <t xml:space="preserve">FCFF aj. 2030E</t>
  </si>
  <si>
    <t xml:space="preserve">FCFF aj. 2031E</t>
  </si>
  <si>
    <t xml:space="preserve">FCFF aj. Terminal</t>
  </si>
  <si>
    <t xml:space="preserve">VP explícito</t>
  </si>
  <si>
    <t xml:space="preserve">g terminal</t>
  </si>
  <si>
    <t xml:space="preserve">Valor terminal</t>
  </si>
  <si>
    <t xml:space="preserve">VP valor terminal</t>
  </si>
  <si>
    <t xml:space="preserve">Valor por acción (CLP)</t>
  </si>
  <si>
    <t xml:space="preserve">Variación vs base</t>
  </si>
  <si>
    <t xml:space="preserve">Base</t>
  </si>
  <si>
    <t xml:space="preserve">Grilla</t>
  </si>
  <si>
    <t xml:space="preserve">Mix Δi=+100 θ=1.0</t>
  </si>
  <si>
    <t xml:space="preserve">Mix Δi=+100 θ=0.85</t>
  </si>
  <si>
    <t xml:space="preserve">Mix Δi=+100 θ=0.7</t>
  </si>
  <si>
    <t xml:space="preserve">Mix Δi=-100 θ=1.0</t>
  </si>
  <si>
    <t xml:space="preserve">Mix Δi=-100 θ=0.85</t>
  </si>
  <si>
    <t xml:space="preserve">Mix Δi=-100 θ=0.7</t>
  </si>
  <si>
    <t xml:space="preserve">Escenario único</t>
  </si>
  <si>
    <t xml:space="preserve">Semanal: precio de Mallplaza, tasas a 10 años (BCCh) e IPSA</t>
  </si>
  <si>
    <t xml:space="preserve">Fuente: Mallplaza_Tasas_Historico.xlsx, hoja Datos (último dato de cada semana). Azul = dato; negro = fórmula.</t>
  </si>
  <si>
    <t xml:space="preserve">Semana (último día)</t>
  </si>
  <si>
    <t xml:space="preserve">Mallplaza (CLP)</t>
  </si>
  <si>
    <t xml:space="preserve">BCP10 (%)</t>
  </si>
  <si>
    <t xml:space="preserve">BCU10 (%)</t>
  </si>
  <si>
    <t xml:space="preserve">IPSA</t>
  </si>
  <si>
    <t xml:space="preserve">Inflación implícita (%)</t>
  </si>
  <si>
    <t xml:space="preserve">Δ ln precio</t>
  </si>
  <si>
    <t xml:space="preserve">Δ BCU10 (pp)</t>
  </si>
  <si>
    <t xml:space="preserve">Δ infl. implícita (pp)</t>
  </si>
  <si>
    <t xml:space="preserve">Δ ln IPSA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</si>
</sst>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\-yy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B5" s="0" t="n">
        <v>-150</v>
      </c>
      <c r="C5" s="0" t="n">
        <v>-100</v>
      </c>
      <c r="D5" s="0" t="n">
        <v>-50</v>
      </c>
      <c r="E5" s="0" t="n">
        <v>0</v>
      </c>
      <c r="F5" s="0" t="n">
        <v>50</v>
      </c>
      <c r="G5" s="0" t="n">
        <v>100</v>
      </c>
      <c r="H5" s="0" t="n">
        <v>150</v>
      </c>
    </row>
    <row r="6" customFormat="false" ht="15" hidden="false" customHeight="false" outlineLevel="0" collapsed="false">
      <c r="A6" s="0" t="n">
        <v>-100</v>
      </c>
      <c r="B6" s="0" t="n">
        <f aca="false">Calculo!AI6</f>
        <v>2522.32427145383</v>
      </c>
      <c r="C6" s="0" t="n">
        <f aca="false">Calculo!AI7</f>
        <v>2269.94576626277</v>
      </c>
      <c r="D6" s="0" t="n">
        <f aca="false">Calculo!AI8</f>
        <v>2053.10833423148</v>
      </c>
      <c r="E6" s="0" t="n">
        <f aca="false">Calculo!AI9</f>
        <v>1864.88552791714</v>
      </c>
      <c r="F6" s="0" t="n">
        <f aca="false">Calculo!AI10</f>
        <v>1700.03737988343</v>
      </c>
      <c r="G6" s="0" t="n">
        <f aca="false">Calculo!AI11</f>
        <v>1554.52672137775</v>
      </c>
      <c r="H6" s="0" t="n">
        <f aca="false">Calculo!AI12</f>
        <v>1425.19292673489</v>
      </c>
    </row>
    <row r="7" customFormat="false" ht="15" hidden="false" customHeight="false" outlineLevel="0" collapsed="false">
      <c r="A7" s="0" t="n">
        <v>-50</v>
      </c>
      <c r="B7" s="0" t="n">
        <f aca="false">Calculo!AI13</f>
        <v>2519.48967403073</v>
      </c>
      <c r="C7" s="0" t="n">
        <f aca="false">Calculo!AI14</f>
        <v>2266.46118093163</v>
      </c>
      <c r="D7" s="0" t="n">
        <f aca="false">Calculo!AI15</f>
        <v>2049.20802462752</v>
      </c>
      <c r="E7" s="0" t="n">
        <f aca="false">Calculo!AI16</f>
        <v>1860.7307780146</v>
      </c>
      <c r="F7" s="0" t="n">
        <f aca="false">Calculo!AI17</f>
        <v>1695.74059488589</v>
      </c>
      <c r="G7" s="0" t="n">
        <f aca="false">Calculo!AI18</f>
        <v>1550.16689566966</v>
      </c>
      <c r="H7" s="0" t="n">
        <f aca="false">Calculo!AI19</f>
        <v>1420.82582031647</v>
      </c>
    </row>
    <row r="8" customFormat="false" ht="15" hidden="false" customHeight="false" outlineLevel="0" collapsed="false">
      <c r="A8" s="0" t="n">
        <v>0</v>
      </c>
      <c r="B8" s="0" t="n">
        <f aca="false">Calculo!AI20</f>
        <v>2516.95545045931</v>
      </c>
      <c r="C8" s="0" t="n">
        <f aca="false">Calculo!AI21</f>
        <v>2263.25164465211</v>
      </c>
      <c r="D8" s="0" t="n">
        <f aca="false">Calculo!AI22</f>
        <v>2045.56167696511</v>
      </c>
      <c r="E8" s="0" t="n">
        <f aca="false">Calculo!AI23</f>
        <v>1856.81199718015</v>
      </c>
      <c r="F8" s="0" t="n">
        <f aca="false">Calculo!AI24</f>
        <v>1691.66413461539</v>
      </c>
      <c r="G8" s="0" t="n">
        <f aca="false">Calculo!AI25</f>
        <v>1546.01359238008</v>
      </c>
      <c r="H8" s="0" t="n">
        <f aca="false">Calculo!AI26</f>
        <v>1416.65291908699</v>
      </c>
    </row>
    <row r="9" customFormat="false" ht="15" hidden="false" customHeight="false" outlineLevel="0" collapsed="false">
      <c r="A9" s="0" t="n">
        <v>50</v>
      </c>
      <c r="B9" s="0" t="n">
        <f aca="false">Calculo!AI27</f>
        <v>2514.71089461663</v>
      </c>
      <c r="C9" s="0" t="n">
        <f aca="false">Calculo!AI28</f>
        <v>2260.30715941169</v>
      </c>
      <c r="D9" s="0" t="n">
        <f aca="false">Calculo!AI29</f>
        <v>2042.15994019964</v>
      </c>
      <c r="E9" s="0" t="n">
        <f aca="false">Calculo!AI30</f>
        <v>1853.12042347488</v>
      </c>
      <c r="F9" s="0" t="n">
        <f aca="false">Calculo!AI31</f>
        <v>1687.79977352677</v>
      </c>
      <c r="G9" s="0" t="n">
        <f aca="false">Calculo!AI32</f>
        <v>1542.05907511109</v>
      </c>
      <c r="H9" s="0" t="n">
        <f aca="false">Calculo!AI33</f>
        <v>1412.66693371665</v>
      </c>
    </row>
    <row r="10" customFormat="false" ht="15" hidden="false" customHeight="false" outlineLevel="0" collapsed="false">
      <c r="A10" s="0" t="n">
        <v>100</v>
      </c>
      <c r="B10" s="0" t="n">
        <f aca="false">Calculo!AI34</f>
        <v>2512.74571285406</v>
      </c>
      <c r="C10" s="0" t="n">
        <f aca="false">Calculo!AI35</f>
        <v>2257.61811501104</v>
      </c>
      <c r="D10" s="0" t="n">
        <f aca="false">Calculo!AI36</f>
        <v>2038.9938283514</v>
      </c>
      <c r="E10" s="0" t="n">
        <f aca="false">Calculo!AI37</f>
        <v>1849.64763902609</v>
      </c>
      <c r="F10" s="0" t="n">
        <f aca="false">Calculo!AI38</f>
        <v>1684.13961074471</v>
      </c>
      <c r="G10" s="0" t="n">
        <f aca="false">Calculo!AI39</f>
        <v>1538.295914203</v>
      </c>
      <c r="H10" s="0" t="n">
        <f aca="false">Calculo!AI40</f>
        <v>1408.86086501871</v>
      </c>
    </row>
    <row r="12" customFormat="false" ht="15" hidden="false" customHeight="false" outlineLevel="0" collapsed="false">
      <c r="A12" s="2" t="s">
        <v>3</v>
      </c>
    </row>
    <row r="13" customFormat="false" ht="15" hidden="false" customHeight="false" outlineLevel="0" collapsed="false">
      <c r="B13" s="0" t="n">
        <v>-150</v>
      </c>
      <c r="C13" s="0" t="n">
        <v>-100</v>
      </c>
      <c r="D13" s="0" t="n">
        <v>-50</v>
      </c>
      <c r="E13" s="0" t="n">
        <v>0</v>
      </c>
      <c r="F13" s="0" t="n">
        <v>50</v>
      </c>
      <c r="G13" s="0" t="n">
        <v>100</v>
      </c>
      <c r="H13" s="0" t="n">
        <v>150</v>
      </c>
    </row>
    <row r="14" customFormat="false" ht="15" hidden="false" customHeight="false" outlineLevel="0" collapsed="false">
      <c r="A14" s="0" t="n">
        <v>-100</v>
      </c>
      <c r="B14" s="0" t="n">
        <f aca="false">Calculo!AJ6</f>
        <v>0.358416616913486</v>
      </c>
      <c r="C14" s="0" t="n">
        <f aca="false">Calculo!AJ7</f>
        <v>0.222496283797194</v>
      </c>
      <c r="D14" s="0" t="n">
        <f aca="false">Calculo!AJ8</f>
        <v>0.105716861669056</v>
      </c>
      <c r="E14" s="0" t="n">
        <f aca="false">Calculo!AJ9</f>
        <v>0.00434806041174873</v>
      </c>
      <c r="F14" s="0" t="n">
        <f aca="false">Calculo!AJ10</f>
        <v>-0.0844321436606436</v>
      </c>
      <c r="G14" s="0" t="n">
        <f aca="false">Calculo!AJ11</f>
        <v>-0.162797997999508</v>
      </c>
      <c r="H14" s="0" t="n">
        <f aca="false">Calculo!AJ12</f>
        <v>-0.232451681215296</v>
      </c>
    </row>
    <row r="15" customFormat="false" ht="15" hidden="false" customHeight="false" outlineLevel="0" collapsed="false">
      <c r="A15" s="0" t="n">
        <v>-50</v>
      </c>
      <c r="B15" s="0" t="n">
        <f aca="false">Calculo!AJ13</f>
        <v>0.356890023253275</v>
      </c>
      <c r="C15" s="0" t="n">
        <f aca="false">Calculo!AJ14</f>
        <v>0.220619634283707</v>
      </c>
      <c r="D15" s="0" t="n">
        <f aca="false">Calculo!AJ15</f>
        <v>0.103616320736594</v>
      </c>
      <c r="E15" s="0" t="n">
        <f aca="false">Calculo!AJ16</f>
        <v>0.00211048875190589</v>
      </c>
      <c r="F15" s="0" t="n">
        <f aca="false">Calculo!AJ17</f>
        <v>-0.0867462093840776</v>
      </c>
      <c r="G15" s="0" t="n">
        <f aca="false">Calculo!AJ18</f>
        <v>-0.165146014769496</v>
      </c>
      <c r="H15" s="0" t="n">
        <f aca="false">Calculo!AJ19</f>
        <v>-0.23480361906633</v>
      </c>
    </row>
    <row r="16" customFormat="false" ht="15" hidden="false" customHeight="false" outlineLevel="0" collapsed="false">
      <c r="A16" s="0" t="n">
        <v>0</v>
      </c>
      <c r="B16" s="0" t="n">
        <f aca="false">Calculo!AJ20</f>
        <v>0.355525198179298</v>
      </c>
      <c r="C16" s="0" t="n">
        <f aca="false">Calculo!AJ21</f>
        <v>0.218891114495815</v>
      </c>
      <c r="D16" s="0" t="n">
        <f aca="false">Calculo!AJ22</f>
        <v>0.101652552908755</v>
      </c>
      <c r="E16" s="0" t="n">
        <f aca="false">Calculo!AJ23</f>
        <v>0</v>
      </c>
      <c r="F16" s="0" t="n">
        <f aca="false">Calculo!AJ24</f>
        <v>-0.0889416175765557</v>
      </c>
      <c r="G16" s="0" t="n">
        <f aca="false">Calculo!AJ25</f>
        <v>-0.167382807345096</v>
      </c>
      <c r="H16" s="0" t="n">
        <f aca="false">Calculo!AJ26</f>
        <v>-0.237050966259161</v>
      </c>
    </row>
    <row r="17" customFormat="false" ht="15" hidden="false" customHeight="false" outlineLevel="0" collapsed="false">
      <c r="A17" s="0" t="n">
        <v>50</v>
      </c>
      <c r="B17" s="0" t="n">
        <f aca="false">Calculo!AJ27</f>
        <v>0.354316375828897</v>
      </c>
      <c r="C17" s="0" t="n">
        <f aca="false">Calculo!AJ28</f>
        <v>0.217305339929035</v>
      </c>
      <c r="D17" s="0" t="n">
        <f aca="false">Calculo!AJ29</f>
        <v>0.0998205221104631</v>
      </c>
      <c r="E17" s="0" t="n">
        <f aca="false">Calculo!AJ30</f>
        <v>-0.0019881246517538</v>
      </c>
      <c r="F17" s="0" t="n">
        <f aca="false">Calculo!AJ31</f>
        <v>-0.0910227981669906</v>
      </c>
      <c r="G17" s="0" t="n">
        <f aca="false">Calculo!AJ32</f>
        <v>-0.169512542221321</v>
      </c>
      <c r="H17" s="0" t="n">
        <f aca="false">Calculo!AJ33</f>
        <v>-0.239197648516919</v>
      </c>
    </row>
    <row r="18" customFormat="false" ht="15" hidden="false" customHeight="false" outlineLevel="0" collapsed="false">
      <c r="A18" s="0" t="n">
        <v>100</v>
      </c>
      <c r="B18" s="0" t="n">
        <f aca="false">Calculo!AJ34</f>
        <v>0.35325801248056</v>
      </c>
      <c r="C18" s="0" t="n">
        <f aca="false">Calculo!AJ35</f>
        <v>0.215857134938582</v>
      </c>
      <c r="D18" s="0" t="n">
        <f aca="false">Calculo!AJ36</f>
        <v>0.098115388875087</v>
      </c>
      <c r="E18" s="0" t="n">
        <f aca="false">Calculo!AJ37</f>
        <v>-0.00385841871171311</v>
      </c>
      <c r="F18" s="0" t="n">
        <f aca="false">Calculo!AJ38</f>
        <v>-0.0929940062309281</v>
      </c>
      <c r="G18" s="0" t="n">
        <f aca="false">Calculo!AJ39</f>
        <v>-0.171539220697012</v>
      </c>
      <c r="H18" s="0" t="n">
        <f aca="false">Calculo!AJ40</f>
        <v>-0.241247435304015</v>
      </c>
    </row>
    <row r="20" customFormat="false" ht="15" hidden="false" customHeight="false" outlineLevel="0" collapsed="false">
      <c r="A20" s="2" t="s">
        <v>4</v>
      </c>
    </row>
    <row r="21" customFormat="false" ht="15" hidden="false" customHeight="false" outlineLevel="0" collapsed="false">
      <c r="A21" s="0" t="s">
        <v>5</v>
      </c>
      <c r="B21" s="0" t="n">
        <v>0</v>
      </c>
      <c r="C21" s="0" t="n">
        <v>0.1</v>
      </c>
      <c r="D21" s="0" t="n">
        <v>0.2</v>
      </c>
      <c r="E21" s="0" t="n">
        <v>0.3</v>
      </c>
      <c r="F21" s="0" t="n">
        <v>0.4</v>
      </c>
      <c r="G21" s="0" t="n">
        <v>0.5</v>
      </c>
      <c r="H21" s="0" t="n">
        <v>0.6</v>
      </c>
      <c r="I21" s="0" t="n">
        <v>0.7</v>
      </c>
      <c r="J21" s="0" t="n">
        <v>0.8</v>
      </c>
      <c r="K21" s="0" t="n">
        <v>0.9</v>
      </c>
      <c r="L21" s="0" t="n">
        <v>1</v>
      </c>
    </row>
    <row r="22" customFormat="false" ht="15" hidden="false" customHeight="false" outlineLevel="0" collapsed="false">
      <c r="A22" s="0" t="s">
        <v>6</v>
      </c>
      <c r="B22" s="0" t="n">
        <f aca="false">Calculo!AJ41</f>
        <v>-0.167382807345096</v>
      </c>
      <c r="C22" s="0" t="n">
        <f aca="false">Calculo!AJ42</f>
        <v>-0.151993554258035</v>
      </c>
      <c r="D22" s="0" t="n">
        <f aca="false">Calculo!AJ43</f>
        <v>-0.136213490162946</v>
      </c>
      <c r="E22" s="0" t="n">
        <f aca="false">Calculo!AJ44</f>
        <v>-0.120027733474049</v>
      </c>
      <c r="F22" s="0" t="n">
        <f aca="false">Calculo!AJ45</f>
        <v>-0.103420639156367</v>
      </c>
      <c r="G22" s="0" t="n">
        <f aca="false">Calculo!AJ46</f>
        <v>-0.0863757491506102</v>
      </c>
      <c r="H22" s="0" t="n">
        <f aca="false">Calculo!AJ47</f>
        <v>-0.0688757388844042</v>
      </c>
      <c r="I22" s="0" t="n">
        <f aca="false">Calculo!AJ48</f>
        <v>-0.0509023595045717</v>
      </c>
      <c r="J22" s="0" t="n">
        <f aca="false">Calculo!AJ49</f>
        <v>-0.0324363754258225</v>
      </c>
      <c r="K22" s="0" t="n">
        <f aca="false">Calculo!AJ50</f>
        <v>-0.0134574967466479</v>
      </c>
      <c r="L22" s="0" t="n">
        <f aca="false">Calculo!AJ51</f>
        <v>0.00605569396649108</v>
      </c>
    </row>
    <row r="23" customFormat="false" ht="15" hidden="false" customHeight="false" outlineLevel="0" collapsed="false">
      <c r="A23" s="0" t="s">
        <v>7</v>
      </c>
      <c r="B23" s="0" t="n">
        <f aca="false">Calculo!AJ52</f>
        <v>-0.167382807345096</v>
      </c>
      <c r="C23" s="0" t="n">
        <f aca="false">Calculo!AJ53</f>
        <v>-0.15287899234932</v>
      </c>
      <c r="D23" s="0" t="n">
        <f aca="false">Calculo!AJ54</f>
        <v>-0.138005507731023</v>
      </c>
      <c r="E23" s="0" t="n">
        <f aca="false">Calculo!AJ55</f>
        <v>-0.122748295009658</v>
      </c>
      <c r="F23" s="0" t="n">
        <f aca="false">Calculo!AJ56</f>
        <v>-0.107092574437963</v>
      </c>
      <c r="G23" s="0" t="n">
        <f aca="false">Calculo!AJ57</f>
        <v>-0.0910227981669906</v>
      </c>
      <c r="H23" s="0" t="n">
        <f aca="false">Calculo!AJ58</f>
        <v>-0.0745225997138173</v>
      </c>
      <c r="I23" s="0" t="n">
        <f aca="false">Calculo!AJ59</f>
        <v>-0.0575747393867963</v>
      </c>
      <c r="J23" s="0" t="n">
        <f aca="false">Calculo!AJ60</f>
        <v>-0.0401610452861012</v>
      </c>
      <c r="K23" s="0" t="n">
        <f aca="false">Calculo!AJ61</f>
        <v>-0.0222623494551681</v>
      </c>
      <c r="L23" s="0" t="n">
        <f aca="false">Calculo!AJ62</f>
        <v>-0.00385841871171311</v>
      </c>
    </row>
    <row r="24" customFormat="false" ht="15" hidden="false" customHeight="false" outlineLevel="0" collapsed="false">
      <c r="A24" s="0" t="s">
        <v>8</v>
      </c>
      <c r="B24" s="0" t="n">
        <f aca="false">Calculo!AJ63</f>
        <v>-0.167382807345096</v>
      </c>
      <c r="C24" s="0" t="n">
        <f aca="false">Calculo!AJ64</f>
        <v>-0.153764430440606</v>
      </c>
      <c r="D24" s="0" t="n">
        <f aca="false">Calculo!AJ65</f>
        <v>-0.1397975252991</v>
      </c>
      <c r="E24" s="0" t="n">
        <f aca="false">Calculo!AJ66</f>
        <v>-0.125468856545268</v>
      </c>
      <c r="F24" s="0" t="n">
        <f aca="false">Calculo!AJ67</f>
        <v>-0.110764509719558</v>
      </c>
      <c r="G24" s="0" t="n">
        <f aca="false">Calculo!AJ68</f>
        <v>-0.0956698471833708</v>
      </c>
      <c r="H24" s="0" t="n">
        <f aca="false">Calculo!AJ69</f>
        <v>-0.0801694605432303</v>
      </c>
      <c r="I24" s="0" t="n">
        <f aca="false">Calculo!AJ70</f>
        <v>-0.0642471192690213</v>
      </c>
      <c r="J24" s="0" t="n">
        <f aca="false">Calculo!AJ71</f>
        <v>-0.0478857151463799</v>
      </c>
      <c r="K24" s="0" t="n">
        <f aca="false">Calculo!AJ72</f>
        <v>-0.0310672021636879</v>
      </c>
      <c r="L24" s="0" t="n">
        <f aca="false">Calculo!AJ73</f>
        <v>-0.0137725313899169</v>
      </c>
    </row>
    <row r="25" customFormat="false" ht="15" hidden="false" customHeight="false" outlineLevel="0" collapsed="false">
      <c r="A25" s="0" t="s">
        <v>9</v>
      </c>
      <c r="B25" s="0" t="n">
        <f aca="false">Calculo!AJ74</f>
        <v>0.218891114495815</v>
      </c>
      <c r="C25" s="0" t="n">
        <f aca="false">Calculo!AJ75</f>
        <v>0.193186396479287</v>
      </c>
      <c r="D25" s="0" t="n">
        <f aca="false">Calculo!AJ76</f>
        <v>0.168281230684348</v>
      </c>
      <c r="E25" s="0" t="n">
        <f aca="false">Calculo!AJ77</f>
        <v>0.144139216355283</v>
      </c>
      <c r="F25" s="0" t="n">
        <f aca="false">Calculo!AJ78</f>
        <v>0.120726126350907</v>
      </c>
      <c r="G25" s="0" t="n">
        <f aca="false">Calculo!AJ79</f>
        <v>0.0980097473170249</v>
      </c>
      <c r="H25" s="0" t="n">
        <f aca="false">Calculo!AJ80</f>
        <v>0.0759597337568947</v>
      </c>
      <c r="I25" s="0" t="n">
        <f aca="false">Calculo!AJ81</f>
        <v>0.0545474746098629</v>
      </c>
      <c r="J25" s="0" t="n">
        <f aca="false">Calculo!AJ82</f>
        <v>0.0337459711050507</v>
      </c>
      <c r="K25" s="0" t="n">
        <f aca="false">Calculo!AJ83</f>
        <v>0.0135297247938668</v>
      </c>
      <c r="L25" s="0" t="n">
        <f aca="false">Calculo!AJ84</f>
        <v>-0.00612536521473805</v>
      </c>
    </row>
    <row r="26" customFormat="false" ht="15" hidden="false" customHeight="false" outlineLevel="0" collapsed="false">
      <c r="A26" s="0" t="s">
        <v>10</v>
      </c>
      <c r="B26" s="0" t="n">
        <f aca="false">Calculo!AJ85</f>
        <v>0.218891114495815</v>
      </c>
      <c r="C26" s="0" t="n">
        <f aca="false">Calculo!AJ86</f>
        <v>0.194375376288335</v>
      </c>
      <c r="D26" s="0" t="n">
        <f aca="false">Calculo!AJ87</f>
        <v>0.170623769128919</v>
      </c>
      <c r="E26" s="0" t="n">
        <f aca="false">Calculo!AJ88</f>
        <v>0.147601528998447</v>
      </c>
      <c r="F26" s="0" t="n">
        <f aca="false">Calculo!AJ89</f>
        <v>0.125275967804174</v>
      </c>
      <c r="G26" s="0" t="n">
        <f aca="false">Calculo!AJ90</f>
        <v>0.103616320736594</v>
      </c>
      <c r="H26" s="0" t="n">
        <f aca="false">Calculo!AJ91</f>
        <v>0.0825936068995816</v>
      </c>
      <c r="I26" s="0" t="n">
        <f aca="false">Calculo!AJ92</f>
        <v>0.0621805018864448</v>
      </c>
      <c r="J26" s="0" t="n">
        <f aca="false">Calculo!AJ93</f>
        <v>0.0423512211242185</v>
      </c>
      <c r="K26" s="0" t="n">
        <f aca="false">Calculo!AJ94</f>
        <v>0.0230814129392316</v>
      </c>
      <c r="L26" s="0" t="n">
        <f aca="false">Calculo!AJ95</f>
        <v>0.00434806041174873</v>
      </c>
    </row>
    <row r="27" customFormat="false" ht="15" hidden="false" customHeight="false" outlineLevel="0" collapsed="false">
      <c r="A27" s="0" t="s">
        <v>11</v>
      </c>
      <c r="B27" s="0" t="n">
        <f aca="false">Calculo!AJ96</f>
        <v>0.218891114495815</v>
      </c>
      <c r="C27" s="0" t="n">
        <f aca="false">Calculo!AJ97</f>
        <v>0.195564356097383</v>
      </c>
      <c r="D27" s="0" t="n">
        <f aca="false">Calculo!AJ98</f>
        <v>0.172966307573491</v>
      </c>
      <c r="E27" s="0" t="n">
        <f aca="false">Calculo!AJ99</f>
        <v>0.15106384164161</v>
      </c>
      <c r="F27" s="0" t="n">
        <f aca="false">Calculo!AJ100</f>
        <v>0.12982580925744</v>
      </c>
      <c r="G27" s="0" t="n">
        <f aca="false">Calculo!AJ101</f>
        <v>0.109222894156163</v>
      </c>
      <c r="H27" s="0" t="n">
        <f aca="false">Calculo!AJ102</f>
        <v>0.0892274800422681</v>
      </c>
      <c r="I27" s="0" t="n">
        <f aca="false">Calculo!AJ103</f>
        <v>0.0698135291630264</v>
      </c>
      <c r="J27" s="0" t="n">
        <f aca="false">Calculo!AJ104</f>
        <v>0.0509564711433863</v>
      </c>
      <c r="K27" s="0" t="n">
        <f aca="false">Calculo!AJ105</f>
        <v>0.0326331010845964</v>
      </c>
      <c r="L27" s="0" t="n">
        <f aca="false">Calculo!AJ106</f>
        <v>0.0148214860382356</v>
      </c>
    </row>
    <row r="29" customFormat="false" ht="15" hidden="false" customHeight="false" outlineLevel="0" collapsed="false">
      <c r="A29" s="2" t="s">
        <v>12</v>
      </c>
    </row>
    <row r="30" customFormat="false" ht="15" hidden="false" customHeight="false" outlineLevel="0" collapsed="false">
      <c r="A30" s="0" t="s">
        <v>13</v>
      </c>
      <c r="B30" s="0" t="s">
        <v>14</v>
      </c>
      <c r="C30" s="0" t="s">
        <v>15</v>
      </c>
    </row>
    <row r="31" customFormat="false" ht="15" hidden="false" customHeight="false" outlineLevel="0" collapsed="false">
      <c r="A31" s="0" t="s">
        <v>16</v>
      </c>
      <c r="B31" s="0" t="n">
        <f aca="false">INDEX(LINEST(Empirico!$G$6:$G$118,Empirico!$H$6:$J$118,TRUE(),TRUE()),1,3)</f>
        <v>-0.0541589746129357</v>
      </c>
      <c r="C31" s="0" t="n">
        <f aca="false">INDEX(LINEST(Empirico!$G$6:$G$118,Empirico!$H$6:$J$118,TRUE(),TRUE()),1,3)/INDEX(LINEST(Empirico!$G$6:$G$118,Empirico!$H$6:$J$118,TRUE(),TRUE()),2,3)</f>
        <v>-1.70642477962468</v>
      </c>
    </row>
    <row r="32" customFormat="false" ht="15" hidden="false" customHeight="false" outlineLevel="0" collapsed="false">
      <c r="A32" s="0" t="s">
        <v>17</v>
      </c>
      <c r="B32" s="0" t="n">
        <f aca="false">INDEX(LINEST(Empirico!$G$6:$G$118,Empirico!$H$6:$J$118,TRUE(),TRUE()),1,2)</f>
        <v>-0.0496910839852909</v>
      </c>
      <c r="C32" s="0" t="n">
        <f aca="false">INDEX(LINEST(Empirico!$G$6:$G$118,Empirico!$H$6:$J$118,TRUE(),TRUE()),1,2)/INDEX(LINEST(Empirico!$G$6:$G$118,Empirico!$H$6:$J$118,TRUE(),TRUE()),2,2)</f>
        <v>-1.40501238995649</v>
      </c>
    </row>
    <row r="33" customFormat="false" ht="15" hidden="false" customHeight="false" outlineLevel="0" collapsed="false">
      <c r="A33" s="0" t="s">
        <v>18</v>
      </c>
      <c r="B33" s="0" t="n">
        <f aca="false">INDEX(LINEST(Empirico!$G$6:$G$118,Empirico!$H$6:$J$118,TRUE(),TRUE()),1,1)</f>
        <v>0.957914269526189</v>
      </c>
      <c r="C33" s="0" t="n">
        <f aca="false">INDEX(LINEST(Empirico!$G$6:$G$118,Empirico!$H$6:$J$118,TRUE(),TRUE()),1,1)/INDEX(LINEST(Empirico!$G$6:$G$118,Empirico!$H$6:$J$118,TRUE(),TRUE()),2,1)</f>
        <v>6.73448408089351</v>
      </c>
    </row>
    <row r="34" customFormat="false" ht="15" hidden="false" customHeight="false" outlineLevel="0" collapsed="false">
      <c r="A34" s="0" t="s">
        <v>19</v>
      </c>
      <c r="B34" s="0" t="n">
        <f aca="false">INDEX(LINEST(Empirico!$G$6:$G$118,Empirico!$H$6:$J$118,TRUE(),TRUE()),3,1)</f>
        <v>0.331369695632404</v>
      </c>
    </row>
    <row r="35" customFormat="false" ht="15" hidden="false" customHeight="false" outlineLevel="0" collapsed="false">
      <c r="A35" s="0" t="s">
        <v>20</v>
      </c>
      <c r="B35" s="0" t="n">
        <f aca="false">COUNT(Empirico!$G$6:$G$118)</f>
        <v>113</v>
      </c>
    </row>
    <row r="37" customFormat="false" ht="15" hidden="false" customHeight="false" outlineLevel="0" collapsed="false">
      <c r="A37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22</v>
      </c>
    </row>
    <row r="2" customFormat="false" ht="15" hidden="false" customHeight="false" outlineLevel="0" collapsed="false">
      <c r="A2" s="0" t="s">
        <v>23</v>
      </c>
    </row>
    <row r="4" customFormat="false" ht="15" hidden="false" customHeight="false" outlineLevel="0" collapsed="false">
      <c r="A4" s="0" t="s">
        <v>24</v>
      </c>
      <c r="B4" s="3" t="n">
        <v>0.03</v>
      </c>
      <c r="K4" s="4" t="s">
        <v>25</v>
      </c>
    </row>
    <row r="5" customFormat="false" ht="15" hidden="false" customHeight="false" outlineLevel="0" collapsed="false">
      <c r="A5" s="0" t="s">
        <v>26</v>
      </c>
      <c r="B5" s="3" t="n">
        <v>0.03</v>
      </c>
      <c r="K5" s="4" t="s">
        <v>27</v>
      </c>
    </row>
    <row r="6" customFormat="false" ht="15" hidden="false" customHeight="false" outlineLevel="0" collapsed="false">
      <c r="A6" s="0" t="s">
        <v>28</v>
      </c>
      <c r="B6" s="3" t="n">
        <v>0.27</v>
      </c>
      <c r="K6" s="4" t="s">
        <v>29</v>
      </c>
    </row>
    <row r="7" customFormat="false" ht="15" hidden="false" customHeight="false" outlineLevel="0" collapsed="false">
      <c r="A7" s="0" t="s">
        <v>30</v>
      </c>
      <c r="B7" s="3" t="n">
        <v>1285740</v>
      </c>
      <c r="K7" s="4" t="s">
        <v>31</v>
      </c>
    </row>
    <row r="8" customFormat="false" ht="15" hidden="false" customHeight="false" outlineLevel="0" collapsed="false">
      <c r="A8" s="0" t="s">
        <v>32</v>
      </c>
      <c r="B8" s="3" t="n">
        <v>50841</v>
      </c>
      <c r="K8" s="4" t="s">
        <v>33</v>
      </c>
    </row>
    <row r="9" customFormat="false" ht="15" hidden="false" customHeight="false" outlineLevel="0" collapsed="false">
      <c r="A9" s="0" t="s">
        <v>34</v>
      </c>
      <c r="B9" s="3" t="n">
        <v>2190</v>
      </c>
      <c r="K9" s="4" t="s">
        <v>35</v>
      </c>
    </row>
    <row r="10" customFormat="false" ht="15" hidden="false" customHeight="false" outlineLevel="0" collapsed="false">
      <c r="A10" s="0" t="s">
        <v>36</v>
      </c>
      <c r="B10" s="3" t="n">
        <v>3555</v>
      </c>
      <c r="K10" s="4" t="s">
        <v>37</v>
      </c>
    </row>
    <row r="11" customFormat="false" ht="15" hidden="false" customHeight="false" outlineLevel="0" collapsed="false">
      <c r="A11" s="0" t="s">
        <v>38</v>
      </c>
      <c r="B11" s="3" t="n">
        <v>2951.38547083101</v>
      </c>
      <c r="K11" s="4" t="s">
        <v>39</v>
      </c>
    </row>
    <row r="12" customFormat="false" ht="15" hidden="false" customHeight="false" outlineLevel="0" collapsed="false">
      <c r="A12" s="0" t="s">
        <v>40</v>
      </c>
      <c r="B12" s="3" t="n">
        <v>0.8</v>
      </c>
      <c r="K12" s="4" t="s">
        <v>41</v>
      </c>
    </row>
    <row r="13" customFormat="false" ht="15" hidden="false" customHeight="false" outlineLevel="0" collapsed="false">
      <c r="A13" s="0" t="s">
        <v>42</v>
      </c>
      <c r="B13" s="5" t="n">
        <v>0.85</v>
      </c>
      <c r="K13" s="4" t="s">
        <v>43</v>
      </c>
    </row>
    <row r="14" customFormat="false" ht="15" hidden="false" customHeight="false" outlineLevel="0" collapsed="false">
      <c r="A14" s="0" t="s">
        <v>44</v>
      </c>
      <c r="B14" s="5" t="n">
        <v>1</v>
      </c>
      <c r="K14" s="4" t="s">
        <v>45</v>
      </c>
    </row>
    <row r="15" customFormat="false" ht="15" hidden="false" customHeight="false" outlineLevel="0" collapsed="false">
      <c r="A15" s="0" t="s">
        <v>46</v>
      </c>
      <c r="B15" s="3" t="n">
        <v>100</v>
      </c>
      <c r="K15" s="4" t="s">
        <v>47</v>
      </c>
    </row>
    <row r="16" customFormat="false" ht="15" hidden="false" customHeight="false" outlineLevel="0" collapsed="false">
      <c r="A16" s="0" t="s">
        <v>48</v>
      </c>
      <c r="B16" s="3" t="n">
        <v>0</v>
      </c>
      <c r="K16" s="4" t="s">
        <v>49</v>
      </c>
    </row>
    <row r="19" customFormat="false" ht="15" hidden="false" customHeight="false" outlineLevel="0" collapsed="false">
      <c r="A19" s="0" t="s">
        <v>50</v>
      </c>
      <c r="B19" s="0" t="n">
        <f aca="false">Calculo!AI107</f>
        <v>1546.01359238008</v>
      </c>
    </row>
    <row r="20" customFormat="false" ht="15" hidden="false" customHeight="false" outlineLevel="0" collapsed="false">
      <c r="A20" s="0" t="s">
        <v>51</v>
      </c>
      <c r="B20" s="0" t="n">
        <f aca="false">B19/Calculo!AI5-1</f>
        <v>-0.167382807345096</v>
      </c>
    </row>
    <row r="22" customFormat="false" ht="15" hidden="false" customHeight="false" outlineLevel="0" collapsed="false">
      <c r="A22" s="0" t="s">
        <v>52</v>
      </c>
      <c r="C22" s="0" t="s">
        <v>53</v>
      </c>
      <c r="D22" s="0" t="s">
        <v>54</v>
      </c>
      <c r="E22" s="0" t="s">
        <v>55</v>
      </c>
      <c r="F22" s="0" t="s">
        <v>56</v>
      </c>
      <c r="G22" s="0" t="s">
        <v>57</v>
      </c>
      <c r="H22" s="0" t="s">
        <v>58</v>
      </c>
      <c r="I22" s="0" t="s">
        <v>59</v>
      </c>
    </row>
    <row r="23" customFormat="false" ht="15" hidden="false" customHeight="false" outlineLevel="0" collapsed="false">
      <c r="A23" s="0" t="s">
        <v>60</v>
      </c>
      <c r="C23" s="3" t="n">
        <v>113425.715768245</v>
      </c>
      <c r="D23" s="3" t="n">
        <v>199440.442268561</v>
      </c>
      <c r="E23" s="3" t="n">
        <v>259687.719258378</v>
      </c>
      <c r="F23" s="3" t="n">
        <v>375320.615932717</v>
      </c>
      <c r="G23" s="3" t="n">
        <v>377068.219372121</v>
      </c>
      <c r="H23" s="3" t="n">
        <v>398715.503513791</v>
      </c>
      <c r="I23" s="3" t="n">
        <v>528835.311960595</v>
      </c>
      <c r="K23" s="4" t="s">
        <v>61</v>
      </c>
    </row>
    <row r="24" customFormat="false" ht="15" hidden="false" customHeight="false" outlineLevel="0" collapsed="false">
      <c r="A24" s="0" t="s">
        <v>62</v>
      </c>
      <c r="C24" s="3" t="n">
        <v>0.5</v>
      </c>
      <c r="D24" s="3" t="n">
        <v>1</v>
      </c>
      <c r="E24" s="3" t="n">
        <v>1</v>
      </c>
      <c r="F24" s="3" t="n">
        <v>1</v>
      </c>
      <c r="G24" s="3" t="n">
        <v>1</v>
      </c>
      <c r="H24" s="3" t="n">
        <v>1</v>
      </c>
      <c r="K24" s="4" t="s">
        <v>63</v>
      </c>
    </row>
    <row r="25" customFormat="false" ht="15" hidden="false" customHeight="false" outlineLevel="0" collapsed="false">
      <c r="A25" s="0" t="s">
        <v>64</v>
      </c>
      <c r="C25" s="3" t="n">
        <v>0.25</v>
      </c>
      <c r="D25" s="3" t="n">
        <v>1</v>
      </c>
      <c r="E25" s="3" t="n">
        <v>2</v>
      </c>
      <c r="F25" s="3" t="n">
        <v>3</v>
      </c>
      <c r="G25" s="3" t="n">
        <v>4</v>
      </c>
      <c r="H25" s="3" t="n">
        <v>5</v>
      </c>
      <c r="I25" s="3" t="n">
        <v>6</v>
      </c>
      <c r="K25" s="4" t="s">
        <v>65</v>
      </c>
    </row>
    <row r="26" customFormat="false" ht="15" hidden="false" customHeight="false" outlineLevel="0" collapsed="false">
      <c r="A26" s="0" t="s">
        <v>66</v>
      </c>
      <c r="C26" s="3" t="n">
        <v>0.117033041180547</v>
      </c>
      <c r="D26" s="3" t="n">
        <v>0.117479013178444</v>
      </c>
      <c r="E26" s="3" t="n">
        <v>0.11792498517634</v>
      </c>
      <c r="F26" s="3" t="n">
        <v>0.118370957174237</v>
      </c>
      <c r="G26" s="3" t="n">
        <v>0.118816929172134</v>
      </c>
      <c r="H26" s="3" t="n">
        <v>0.119262901170031</v>
      </c>
      <c r="I26" s="3" t="n">
        <v>0.119262901170031</v>
      </c>
      <c r="K26" s="4" t="s">
        <v>67</v>
      </c>
    </row>
    <row r="27" customFormat="false" ht="15" hidden="false" customHeight="false" outlineLevel="0" collapsed="false">
      <c r="A27" s="0" t="s">
        <v>68</v>
      </c>
      <c r="C27" s="3" t="n">
        <v>0.0362592187808888</v>
      </c>
      <c r="D27" s="3" t="n">
        <v>0.0367776563426664</v>
      </c>
      <c r="E27" s="3" t="n">
        <v>0.037296093904444</v>
      </c>
      <c r="F27" s="3" t="n">
        <v>0.0378145314662216</v>
      </c>
      <c r="G27" s="3" t="n">
        <v>0.0383329690279992</v>
      </c>
      <c r="H27" s="3" t="n">
        <v>0.0388514065897768</v>
      </c>
      <c r="I27" s="3" t="n">
        <v>0.0388514065897768</v>
      </c>
      <c r="K27" s="4" t="s">
        <v>69</v>
      </c>
    </row>
    <row r="28" customFormat="false" ht="15" hidden="false" customHeight="false" outlineLevel="0" collapsed="false">
      <c r="A28" s="0" t="s">
        <v>70</v>
      </c>
      <c r="C28" s="3" t="n">
        <v>0.171864958306498</v>
      </c>
      <c r="D28" s="3" t="n">
        <v>0.182384862157361</v>
      </c>
      <c r="E28" s="3" t="n">
        <v>0.192640847271158</v>
      </c>
      <c r="F28" s="3" t="n">
        <v>0.202642722227619</v>
      </c>
      <c r="G28" s="3" t="n">
        <v>0.212399815504365</v>
      </c>
      <c r="H28" s="3" t="n">
        <v>0.221921004496352</v>
      </c>
      <c r="I28" s="3" t="n">
        <v>0.221921004496352</v>
      </c>
      <c r="K28" s="4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72</v>
      </c>
    </row>
    <row r="2" customFormat="false" ht="15" hidden="false" customHeight="false" outlineLevel="0" collapsed="false">
      <c r="A2" s="0" t="s">
        <v>73</v>
      </c>
    </row>
    <row r="4" customFormat="false" ht="15" hidden="false" customHeight="false" outlineLevel="0" collapsed="false">
      <c r="A4" s="0" t="s">
        <v>74</v>
      </c>
      <c r="B4" s="0" t="s">
        <v>75</v>
      </c>
      <c r="C4" s="0" t="s">
        <v>76</v>
      </c>
      <c r="D4" s="0" t="s">
        <v>77</v>
      </c>
      <c r="E4" s="0" t="s">
        <v>78</v>
      </c>
      <c r="F4" s="0" t="s">
        <v>79</v>
      </c>
      <c r="G4" s="0" t="s">
        <v>80</v>
      </c>
      <c r="H4" s="0" t="s">
        <v>81</v>
      </c>
      <c r="I4" s="0" t="s">
        <v>82</v>
      </c>
      <c r="J4" s="0" t="s">
        <v>83</v>
      </c>
      <c r="K4" s="0" t="s">
        <v>84</v>
      </c>
      <c r="L4" s="0" t="s">
        <v>85</v>
      </c>
      <c r="M4" s="0" t="s">
        <v>86</v>
      </c>
      <c r="N4" s="0" t="s">
        <v>87</v>
      </c>
      <c r="O4" s="0" t="s">
        <v>88</v>
      </c>
      <c r="P4" s="0" t="s">
        <v>89</v>
      </c>
      <c r="Q4" s="0" t="s">
        <v>90</v>
      </c>
      <c r="R4" s="0" t="s">
        <v>91</v>
      </c>
      <c r="S4" s="0" t="s">
        <v>92</v>
      </c>
      <c r="T4" s="0" t="s">
        <v>93</v>
      </c>
      <c r="U4" s="0" t="s">
        <v>94</v>
      </c>
      <c r="V4" s="0" t="s">
        <v>95</v>
      </c>
      <c r="W4" s="0" t="s">
        <v>96</v>
      </c>
      <c r="X4" s="0" t="s">
        <v>97</v>
      </c>
      <c r="Y4" s="0" t="s">
        <v>98</v>
      </c>
      <c r="Z4" s="0" t="s">
        <v>99</v>
      </c>
      <c r="AA4" s="0" t="s">
        <v>100</v>
      </c>
      <c r="AB4" s="0" t="s">
        <v>101</v>
      </c>
      <c r="AC4" s="0" t="s">
        <v>102</v>
      </c>
      <c r="AD4" s="0" t="s">
        <v>103</v>
      </c>
      <c r="AE4" s="0" t="s">
        <v>104</v>
      </c>
      <c r="AF4" s="0" t="s">
        <v>105</v>
      </c>
      <c r="AG4" s="0" t="s">
        <v>106</v>
      </c>
      <c r="AH4" s="0" t="s">
        <v>107</v>
      </c>
      <c r="AI4" s="0" t="s">
        <v>108</v>
      </c>
      <c r="AJ4" s="0" t="s">
        <v>109</v>
      </c>
    </row>
    <row r="5" customFormat="false" ht="15" hidden="false" customHeight="false" outlineLevel="0" collapsed="false">
      <c r="A5" s="0" t="n">
        <v>0</v>
      </c>
      <c r="B5" s="0" t="n">
        <v>0</v>
      </c>
      <c r="C5" s="0" t="n">
        <f aca="false">Supuestos!$B$13</f>
        <v>0.85</v>
      </c>
      <c r="D5" s="0" t="s">
        <v>110</v>
      </c>
      <c r="E5" s="0" t="n">
        <f aca="false">(1-Supuestos!C$28)*((1+((1+Supuestos!C$26)/(1+Supuestos!$B$4)-1+Supuestos!$B$14*$A5/10000))*(1+Supuestos!$B$4+$B5/10000)-1)+Supuestos!C$28*((1+Supuestos!C$27+$A5/10000)*(1+Supuestos!$B$4+$B5/10000)-1)*(1-Supuestos!$B$6)</f>
        <v>0.10536861207682</v>
      </c>
      <c r="F5" s="0" t="n">
        <f aca="false">(1-Supuestos!D$28)*((1+((1+Supuestos!D$26)/(1+Supuestos!$B$4)-1+Supuestos!$B$14*$A5/10000))*(1+Supuestos!$B$4+$B5/10000)-1)+Supuestos!D$28*((1+Supuestos!D$27+$A5/10000)*(1+Supuestos!$B$4+$B5/10000)-1)*(1-Supuestos!$B$6)</f>
        <v>0.10509035847844</v>
      </c>
      <c r="G5" s="0" t="n">
        <f aca="false">(1-Supuestos!E$28)*((1+((1+Supuestos!E$26)/(1+Supuestos!$B$4)-1+Supuestos!$B$14*$A5/10000))*(1+Supuestos!$B$4+$B5/10000)-1)+Supuestos!E$28*((1+Supuestos!E$27+$A5/10000)*(1+Supuestos!$B$4+$B5/10000)-1)*(1-Supuestos!$B$6)</f>
        <v>0.104828865047158</v>
      </c>
      <c r="H5" s="0" t="n">
        <f aca="false">(1-Supuestos!F$28)*((1+((1+Supuestos!F$26)/(1+Supuestos!$B$4)-1+Supuestos!$B$14*$A5/10000))*(1+Supuestos!$B$4+$B5/10000)-1)+Supuestos!F$28*((1+Supuestos!F$27+$A5/10000)*(1+Supuestos!$B$4+$B5/10000)-1)*(1-Supuestos!$B$6)</f>
        <v>0.104583508888836</v>
      </c>
      <c r="I5" s="0" t="n">
        <f aca="false">(1-Supuestos!G$28)*((1+((1+Supuestos!G$26)/(1+Supuestos!$B$4)-1+Supuestos!$B$14*$A5/10000))*(1+Supuestos!$B$4+$B5/10000)-1)+Supuestos!G$28*((1+Supuestos!G$27+$A5/10000)*(1+Supuestos!$B$4+$B5/10000)-1)*(1-Supuestos!$B$6)</f>
        <v>0.104353697598228</v>
      </c>
      <c r="J5" s="0" t="n">
        <f aca="false">(1-Supuestos!H$28)*((1+((1+Supuestos!H$26)/(1+Supuestos!$B$4)-1+Supuestos!$B$14*$A5/10000))*(1+Supuestos!$B$4+$B5/10000)-1)+Supuestos!H$28*((1+Supuestos!H$27+$A5/10000)*(1+Supuestos!$B$4+$B5/10000)-1)*(1-Supuestos!$B$6)</f>
        <v>0.104138867416109</v>
      </c>
      <c r="K5" s="0" t="n">
        <f aca="false">(1-Supuestos!I$28)*((1+((1+Supuestos!I$26)/(1+Supuestos!$B$4)-1+Supuestos!$B$14*$A5/10000))*(1+Supuestos!$B$4+$B5/10000)-1)+Supuestos!I$28*((1+Supuestos!I$27+$A5/10000)*(1+Supuestos!$B$4+$B5/10000)-1)*(1-Supuestos!$B$6)</f>
        <v>0.104138867416109</v>
      </c>
      <c r="L5" s="0" t="n">
        <f aca="false">(1+E5)^-Supuestos!C$24</f>
        <v>0.95114435751134</v>
      </c>
      <c r="M5" s="0" t="n">
        <f aca="false">L5*(1+F5)^-Supuestos!D$24</f>
        <v>0.860693743469935</v>
      </c>
      <c r="N5" s="0" t="n">
        <f aca="false">M5*(1+G5)^-Supuestos!E$24</f>
        <v>0.779029015894871</v>
      </c>
      <c r="O5" s="0" t="n">
        <f aca="false">N5*(1+H5)^-Supuestos!F$24</f>
        <v>0.705269460955959</v>
      </c>
      <c r="P5" s="0" t="n">
        <f aca="false">O5*(1+I5)^-Supuestos!G$24</f>
        <v>0.638626431450172</v>
      </c>
      <c r="Q5" s="0" t="n">
        <f aca="false">P5*(1+J5)^-Supuestos!H$24</f>
        <v>0.578393216919061</v>
      </c>
      <c r="R5" s="0" t="n">
        <f aca="false">(1+E5)^-(Supuestos!C$24/2)</f>
        <v>0.975266300818059</v>
      </c>
      <c r="S5" s="0" t="n">
        <f aca="false">L5*(1+F5)^-(Supuestos!D$24/2)</f>
        <v>0.904789476976131</v>
      </c>
      <c r="T5" s="0" t="n">
        <f aca="false">M5*(1+G5)^-(Supuestos!E$24/2)</f>
        <v>0.818843941152559</v>
      </c>
      <c r="U5" s="0" t="n">
        <f aca="false">N5*(1+H5)^-(Supuestos!F$24/2)</f>
        <v>0.741232334770432</v>
      </c>
      <c r="V5" s="0" t="n">
        <f aca="false">O5*(1+I5)^-(Supuestos!G$24/2)</f>
        <v>0.671121240210061</v>
      </c>
      <c r="W5" s="0" t="n">
        <f aca="false">P5*(1+J5)^-(Supuestos!H$24/2)</f>
        <v>0.607764095760851</v>
      </c>
      <c r="X5" s="0" t="n">
        <f aca="false">Supuestos!C$23*(1-$C5+$C5*((1+Supuestos!$B$4+$B5/10000)/(1+Supuestos!$B$4))^Supuestos!C$25)</f>
        <v>113425.715768245</v>
      </c>
      <c r="Y5" s="0" t="n">
        <f aca="false">Supuestos!D$23*(1-$C5+$C5*((1+Supuestos!$B$4+$B5/10000)/(1+Supuestos!$B$4))^Supuestos!D$25)</f>
        <v>199440.442268561</v>
      </c>
      <c r="Z5" s="0" t="n">
        <f aca="false">Supuestos!E$23*(1-$C5+$C5*((1+Supuestos!$B$4+$B5/10000)/(1+Supuestos!$B$4))^Supuestos!E$25)</f>
        <v>259687.719258378</v>
      </c>
      <c r="AA5" s="0" t="n">
        <f aca="false">Supuestos!F$23*(1-$C5+$C5*((1+Supuestos!$B$4+$B5/10000)/(1+Supuestos!$B$4))^Supuestos!F$25)</f>
        <v>375320.615932717</v>
      </c>
      <c r="AB5" s="0" t="n">
        <f aca="false">Supuestos!G$23*(1-$C5+$C5*((1+Supuestos!$B$4+$B5/10000)/(1+Supuestos!$B$4))^Supuestos!G$25)</f>
        <v>377068.219372121</v>
      </c>
      <c r="AC5" s="0" t="n">
        <f aca="false">Supuestos!H$23*(1-$C5+$C5*((1+Supuestos!$B$4+$B5/10000)/(1+Supuestos!$B$4))^Supuestos!H$25)</f>
        <v>398715.503513791</v>
      </c>
      <c r="AD5" s="0" t="n">
        <f aca="false">Supuestos!I$23*(1-$C5+$C5*((1+Supuestos!$B$4+$B5/10000)/(1+Supuestos!$B$4))^Supuestos!I$25)</f>
        <v>528835.311960595</v>
      </c>
      <c r="AE5" s="0" t="n">
        <f aca="false">SUMPRODUCT(X5:AC5,R5:W5)</f>
        <v>1277298.84211244</v>
      </c>
      <c r="AF5" s="0" t="n">
        <f aca="false">(1+Supuestos!$B$5)/(1+Supuestos!$B$4)*(1+Supuestos!$B$4+$B5/10000)-1</f>
        <v>0.03</v>
      </c>
      <c r="AG5" s="0" t="n">
        <f aca="false">AD5/(K5-AF5)</f>
        <v>7133037.37151091</v>
      </c>
      <c r="AH5" s="0" t="n">
        <f aca="false">AG5*Q5</f>
        <v>4125700.43171208</v>
      </c>
      <c r="AI5" s="0" t="n">
        <f aca="false">(AE5+AH5-Supuestos!$B$7-Supuestos!$B$8)/Supuestos!$B$9</f>
        <v>1856.81199718015</v>
      </c>
      <c r="AJ5" s="0" t="n">
        <f aca="false">AI5/AI$5-1</f>
        <v>0</v>
      </c>
    </row>
    <row r="6" customFormat="false" ht="15" hidden="false" customHeight="false" outlineLevel="0" collapsed="false">
      <c r="A6" s="0" t="n">
        <v>-150</v>
      </c>
      <c r="B6" s="0" t="n">
        <v>-100</v>
      </c>
      <c r="C6" s="0" t="n">
        <f aca="false">Supuestos!$B$13</f>
        <v>0.85</v>
      </c>
      <c r="D6" s="0" t="s">
        <v>111</v>
      </c>
      <c r="E6" s="0" t="n">
        <f aca="false">(1-Supuestos!C$28)*((1+((1+Supuestos!C$26)/(1+Supuestos!$B$4)-1+Supuestos!$B$14*$A6/10000))*(1+Supuestos!$B$4+$B6/10000)-1)+Supuestos!C$28*((1+Supuestos!C$27+$A6/10000)*(1+Supuestos!$B$4+$B6/10000)-1)*(1-Supuestos!$B$6)</f>
        <v>0.0804973719153702</v>
      </c>
      <c r="F6" s="0" t="n">
        <f aca="false">(1-Supuestos!D$28)*((1+((1+Supuestos!D$26)/(1+Supuestos!$B$4)-1+Supuestos!$B$14*$A6/10000))*(1+Supuestos!$B$4+$B6/10000)-1)+Supuestos!D$28*((1+Supuestos!D$27+$A6/10000)*(1+Supuestos!$B$4+$B6/10000)-1)*(1-Supuestos!$B$6)</f>
        <v>0.0802928539780317</v>
      </c>
      <c r="G6" s="0" t="n">
        <f aca="false">(1-Supuestos!E$28)*((1+((1+Supuestos!E$26)/(1+Supuestos!$B$4)-1+Supuestos!$B$14*$A6/10000))*(1+Supuestos!$B$4+$B6/10000)-1)+Supuestos!E$28*((1+Supuestos!E$27+$A6/10000)*(1+Supuestos!$B$4+$B6/10000)-1)*(1-Supuestos!$B$6)</f>
        <v>0.0801031514136052</v>
      </c>
      <c r="H6" s="0" t="n">
        <f aca="false">(1-Supuestos!F$28)*((1+((1+Supuestos!F$26)/(1+Supuestos!$B$4)-1+Supuestos!$B$14*$A6/10000))*(1+Supuestos!$B$4+$B6/10000)-1)+Supuestos!F$28*((1+Supuestos!F$27+$A6/10000)*(1+Supuestos!$B$4+$B6/10000)-1)*(1-Supuestos!$B$6)</f>
        <v>0.0799277136065198</v>
      </c>
      <c r="I6" s="0" t="n">
        <f aca="false">(1-Supuestos!G$28)*((1+((1+Supuestos!G$26)/(1+Supuestos!$B$4)-1+Supuestos!$B$14*$A6/10000))*(1+Supuestos!$B$4+$B6/10000)-1)+Supuestos!G$28*((1+Supuestos!G$27+$A6/10000)*(1+Supuestos!$B$4+$B6/10000)-1)*(1-Supuestos!$B$6)</f>
        <v>0.0797660168922702</v>
      </c>
      <c r="J6" s="0" t="n">
        <f aca="false">(1-Supuestos!H$28)*((1+((1+Supuestos!H$26)/(1+Supuestos!$B$4)-1+Supuestos!$B$14*$A6/10000))*(1+Supuestos!$B$4+$B6/10000)-1)+Supuestos!H$28*((1+Supuestos!H$27+$A6/10000)*(1+Supuestos!$B$4+$B6/10000)-1)*(1-Supuestos!$B$6)</f>
        <v>0.0796175629283812</v>
      </c>
      <c r="K6" s="0" t="n">
        <f aca="false">(1-Supuestos!I$28)*((1+((1+Supuestos!I$26)/(1+Supuestos!$B$4)-1+Supuestos!$B$14*$A6/10000))*(1+Supuestos!$B$4+$B6/10000)-1)+Supuestos!I$28*((1+Supuestos!I$27+$A6/10000)*(1+Supuestos!$B$4+$B6/10000)-1)*(1-Supuestos!$B$6)</f>
        <v>0.0796175629283812</v>
      </c>
      <c r="L6" s="0" t="n">
        <f aca="false">(1+E6)^-Supuestos!C$24</f>
        <v>0.962028952766828</v>
      </c>
      <c r="M6" s="0" t="n">
        <f aca="false">L6*(1+F6)^-Supuestos!D$24</f>
        <v>0.890526072836905</v>
      </c>
      <c r="N6" s="0" t="n">
        <f aca="false">M6*(1+G6)^-Supuestos!E$24</f>
        <v>0.824482431767199</v>
      </c>
      <c r="O6" s="0" t="n">
        <f aca="false">N6*(1+H6)^-Supuestos!F$24</f>
        <v>0.763460758881502</v>
      </c>
      <c r="P6" s="0" t="n">
        <f aca="false">O6*(1+I6)^-Supuestos!G$24</f>
        <v>0.707061295630379</v>
      </c>
      <c r="Q6" s="0" t="n">
        <f aca="false">P6*(1+J6)^-Supuestos!H$24</f>
        <v>0.654918296912963</v>
      </c>
      <c r="R6" s="0" t="n">
        <f aca="false">(1+E6)^-(Supuestos!C$24/2)</f>
        <v>0.980830746238528</v>
      </c>
      <c r="S6" s="0" t="n">
        <f aca="false">L6*(1+F6)^-(Supuestos!D$24/2)</f>
        <v>0.92558730828747</v>
      </c>
      <c r="T6" s="0" t="n">
        <f aca="false">M6*(1+G6)^-(Supuestos!E$24/2)</f>
        <v>0.856868194114279</v>
      </c>
      <c r="U6" s="0" t="n">
        <f aca="false">N6*(1+H6)^-(Supuestos!F$24/2)</f>
        <v>0.793385141681802</v>
      </c>
      <c r="V6" s="0" t="n">
        <f aca="false">O6*(1+I6)^-(Supuestos!G$24/2)</f>
        <v>0.734720050997458</v>
      </c>
      <c r="W6" s="0" t="n">
        <f aca="false">P6*(1+J6)^-(Supuestos!H$24/2)</f>
        <v>0.680490543319539</v>
      </c>
      <c r="X6" s="0" t="n">
        <f aca="false">Supuestos!C$23*(1-$C6+$C6*((1+Supuestos!$B$4+$B6/10000)/(1+Supuestos!$B$4))^Supuestos!C$25)</f>
        <v>113190.849569797</v>
      </c>
      <c r="Y6" s="0" t="n">
        <f aca="false">Supuestos!D$23*(1-$C6+$C6*((1+Supuestos!$B$4+$B6/10000)/(1+Supuestos!$B$4))^Supuestos!D$25)</f>
        <v>197794.574541102</v>
      </c>
      <c r="Z6" s="0" t="n">
        <f aca="false">Supuestos!E$23*(1-$C6+$C6*((1+Supuestos!$B$4+$B6/10000)/(1+Supuestos!$B$4))^Supuestos!E$25)</f>
        <v>255422.417620074</v>
      </c>
      <c r="AA6" s="0" t="n">
        <f aca="false">Supuestos!F$23*(1-$C6+$C6*((1+Supuestos!$B$4+$B6/10000)/(1+Supuestos!$B$4))^Supuestos!F$25)</f>
        <v>366118.618618158</v>
      </c>
      <c r="AB6" s="0" t="n">
        <f aca="false">Supuestos!G$23*(1-$C6+$C6*((1+Supuestos!$B$4+$B6/10000)/(1+Supuestos!$B$4))^Supuestos!G$25)</f>
        <v>364801.402593305</v>
      </c>
      <c r="AC6" s="0" t="n">
        <f aca="false">Supuestos!H$23*(1-$C6+$C6*((1+Supuestos!$B$4+$B6/10000)/(1+Supuestos!$B$4))^Supuestos!H$25)</f>
        <v>382580.017212225</v>
      </c>
      <c r="AD6" s="0" t="n">
        <f aca="false">Supuestos!I$23*(1-$C6+$C6*((1+Supuestos!$B$4+$B6/10000)/(1+Supuestos!$B$4))^Supuestos!I$25)</f>
        <v>503277.654354012</v>
      </c>
      <c r="AE6" s="0" t="n">
        <f aca="false">SUMPRODUCT(X6:AC6,R6:W6)</f>
        <v>1331802.62001465</v>
      </c>
      <c r="AF6" s="0" t="n">
        <f aca="false">(1+Supuestos!$B$5)/(1+Supuestos!$B$4)*(1+Supuestos!$B$4+$B6/10000)-1</f>
        <v>0.02</v>
      </c>
      <c r="AG6" s="0" t="n">
        <f aca="false">AD6/(K6-AF6)</f>
        <v>8441768.32519305</v>
      </c>
      <c r="AH6" s="0" t="n">
        <f aca="false">AG6*Q6</f>
        <v>5528668.53446923</v>
      </c>
      <c r="AI6" s="0" t="n">
        <f aca="false">(AE6+AH6-Supuestos!$B$7-Supuestos!$B$8)/Supuestos!$B$9</f>
        <v>2522.32427145383</v>
      </c>
      <c r="AJ6" s="0" t="n">
        <f aca="false">AI6/AI$5-1</f>
        <v>0.358416616913486</v>
      </c>
    </row>
    <row r="7" customFormat="false" ht="15" hidden="false" customHeight="false" outlineLevel="0" collapsed="false">
      <c r="A7" s="0" t="n">
        <v>-100</v>
      </c>
      <c r="B7" s="0" t="n">
        <v>-100</v>
      </c>
      <c r="C7" s="0" t="n">
        <f aca="false">Supuestos!$B$13</f>
        <v>0.85</v>
      </c>
      <c r="D7" s="0" t="s">
        <v>111</v>
      </c>
      <c r="E7" s="0" t="n">
        <f aca="false">(1-Supuestos!C$28)*((1+((1+Supuestos!C$26)/(1+Supuestos!$B$4)-1+Supuestos!$B$14*$A7/10000))*(1+Supuestos!$B$4+$B7/10000)-1)+Supuestos!C$28*((1+Supuestos!C$27+$A7/10000)*(1+Supuestos!$B$4+$B7/10000)-1)*(1-Supuestos!$B$6)</f>
        <v>0.0853607138677821</v>
      </c>
      <c r="F7" s="0" t="n">
        <f aca="false">(1-Supuestos!D$28)*((1+((1+Supuestos!D$26)/(1+Supuestos!$B$4)-1+Supuestos!$B$14*$A7/10000))*(1+Supuestos!$B$4+$B7/10000)-1)+Supuestos!D$28*((1+Supuestos!D$27+$A7/10000)*(1+Supuestos!$B$4+$B7/10000)-1)*(1-Supuestos!$B$6)</f>
        <v>0.0851417100228409</v>
      </c>
      <c r="G7" s="0" t="n">
        <f aca="false">(1-Supuestos!E$28)*((1+((1+Supuestos!E$26)/(1+Supuestos!$B$4)-1+Supuestos!$B$14*$A7/10000))*(1+Supuestos!$B$4+$B7/10000)-1)+Supuestos!E$28*((1+Supuestos!E$27+$A7/10000)*(1+Supuestos!$B$4+$B7/10000)-1)*(1-Supuestos!$B$6)</f>
        <v>0.0849378849669127</v>
      </c>
      <c r="H7" s="0" t="n">
        <f aca="false">(1-Supuestos!F$28)*((1+((1+Supuestos!F$26)/(1+Supuestos!$B$4)-1+Supuestos!$B$14*$A7/10000))*(1+Supuestos!$B$4+$B7/10000)-1)+Supuestos!F$28*((1+Supuestos!F$27+$A7/10000)*(1+Supuestos!$B$4+$B7/10000)-1)*(1-Supuestos!$B$6)</f>
        <v>0.0847486745780123</v>
      </c>
      <c r="I7" s="0" t="n">
        <f aca="false">(1-Supuestos!G$28)*((1+((1+Supuestos!G$26)/(1+Supuestos!$B$4)-1+Supuestos!$B$14*$A7/10000))*(1+Supuestos!$B$4+$B7/10000)-1)+Supuestos!G$28*((1+Supuestos!G$27+$A7/10000)*(1+Supuestos!$B$4+$B7/10000)-1)*(1-Supuestos!$B$6)</f>
        <v>0.0845735423463206</v>
      </c>
      <c r="J7" s="0" t="n">
        <f aca="false">(1-Supuestos!H$28)*((1+((1+Supuestos!H$26)/(1+Supuestos!$B$4)-1+Supuestos!$B$14*$A7/10000))*(1+Supuestos!$B$4+$B7/10000)-1)+Supuestos!H$28*((1+Supuestos!H$27+$A7/10000)*(1+Supuestos!$B$4+$B7/10000)-1)*(1-Supuestos!$B$6)</f>
        <v>0.0844119777051896</v>
      </c>
      <c r="K7" s="0" t="n">
        <f aca="false">(1-Supuestos!I$28)*((1+((1+Supuestos!I$26)/(1+Supuestos!$B$4)-1+Supuestos!$B$14*$A7/10000))*(1+Supuestos!$B$4+$B7/10000)-1)+Supuestos!I$28*((1+Supuestos!I$27+$A7/10000)*(1+Supuestos!$B$4+$B7/10000)-1)*(1-Supuestos!$B$6)</f>
        <v>0.0844119777051896</v>
      </c>
      <c r="L7" s="0" t="n">
        <f aca="false">(1+E7)^-Supuestos!C$24</f>
        <v>0.959871177662369</v>
      </c>
      <c r="M7" s="0" t="n">
        <f aca="false">L7*(1+F7)^-Supuestos!D$24</f>
        <v>0.88455836578447</v>
      </c>
      <c r="N7" s="0" t="n">
        <f aca="false">M7*(1+G7)^-Supuestos!E$24</f>
        <v>0.815307842081158</v>
      </c>
      <c r="O7" s="0" t="n">
        <f aca="false">N7*(1+H7)^-Supuestos!F$24</f>
        <v>0.751609899314538</v>
      </c>
      <c r="P7" s="0" t="n">
        <f aca="false">O7*(1+I7)^-Supuestos!G$24</f>
        <v>0.693000400589283</v>
      </c>
      <c r="Q7" s="0" t="n">
        <f aca="false">P7*(1+J7)^-Supuestos!H$24</f>
        <v>0.639056387089892</v>
      </c>
      <c r="R7" s="0" t="n">
        <f aca="false">(1+E7)^-(Supuestos!C$24/2)</f>
        <v>0.979730155533843</v>
      </c>
      <c r="S7" s="0" t="n">
        <f aca="false">L7*(1+F7)^-(Supuestos!D$24/2)</f>
        <v>0.921445646946492</v>
      </c>
      <c r="T7" s="0" t="n">
        <f aca="false">M7*(1+G7)^-(Supuestos!E$24/2)</f>
        <v>0.849227515099795</v>
      </c>
      <c r="U7" s="0" t="n">
        <f aca="false">N7*(1+H7)^-(Supuestos!F$24/2)</f>
        <v>0.782811244871312</v>
      </c>
      <c r="V7" s="0" t="n">
        <f aca="false">O7*(1+I7)^-(Supuestos!G$24/2)</f>
        <v>0.721710441459624</v>
      </c>
      <c r="W7" s="0" t="n">
        <f aca="false">P7*(1+J7)^-(Supuestos!H$24/2)</f>
        <v>0.665482029999635</v>
      </c>
      <c r="X7" s="0" t="n">
        <f aca="false">Supuestos!C$23*(1-$C7+$C7*((1+Supuestos!$B$4+$B7/10000)/(1+Supuestos!$B$4))^Supuestos!C$25)</f>
        <v>113190.849569797</v>
      </c>
      <c r="Y7" s="0" t="n">
        <f aca="false">Supuestos!D$23*(1-$C7+$C7*((1+Supuestos!$B$4+$B7/10000)/(1+Supuestos!$B$4))^Supuestos!D$25)</f>
        <v>197794.574541102</v>
      </c>
      <c r="Z7" s="0" t="n">
        <f aca="false">Supuestos!E$23*(1-$C7+$C7*((1+Supuestos!$B$4+$B7/10000)/(1+Supuestos!$B$4))^Supuestos!E$25)</f>
        <v>255422.417620074</v>
      </c>
      <c r="AA7" s="0" t="n">
        <f aca="false">Supuestos!F$23*(1-$C7+$C7*((1+Supuestos!$B$4+$B7/10000)/(1+Supuestos!$B$4))^Supuestos!F$25)</f>
        <v>366118.618618158</v>
      </c>
      <c r="AB7" s="0" t="n">
        <f aca="false">Supuestos!G$23*(1-$C7+$C7*((1+Supuestos!$B$4+$B7/10000)/(1+Supuestos!$B$4))^Supuestos!G$25)</f>
        <v>364801.402593305</v>
      </c>
      <c r="AC7" s="0" t="n">
        <f aca="false">Supuestos!H$23*(1-$C7+$C7*((1+Supuestos!$B$4+$B7/10000)/(1+Supuestos!$B$4))^Supuestos!H$25)</f>
        <v>382580.017212225</v>
      </c>
      <c r="AD7" s="0" t="n">
        <f aca="false">Supuestos!I$23*(1-$C7+$C7*((1+Supuestos!$B$4+$B7/10000)/(1+Supuestos!$B$4))^Supuestos!I$25)</f>
        <v>503277.654354012</v>
      </c>
      <c r="AE7" s="0" t="n">
        <f aca="false">SUMPRODUCT(X7:AC7,R7:W7)</f>
        <v>1314548.06278427</v>
      </c>
      <c r="AF7" s="0" t="n">
        <f aca="false">(1+Supuestos!$B$5)/(1+Supuestos!$B$4)*(1+Supuestos!$B$4+$B7/10000)-1</f>
        <v>0.02</v>
      </c>
      <c r="AG7" s="0" t="n">
        <f aca="false">AD7/(K7-AF7)</f>
        <v>7813417.19792379</v>
      </c>
      <c r="AH7" s="0" t="n">
        <f aca="false">AG7*Q7</f>
        <v>4993214.1653312</v>
      </c>
      <c r="AI7" s="0" t="n">
        <f aca="false">(AE7+AH7-Supuestos!$B$7-Supuestos!$B$8)/Supuestos!$B$9</f>
        <v>2269.94576626277</v>
      </c>
      <c r="AJ7" s="0" t="n">
        <f aca="false">AI7/AI$5-1</f>
        <v>0.222496283797194</v>
      </c>
    </row>
    <row r="8" customFormat="false" ht="15" hidden="false" customHeight="false" outlineLevel="0" collapsed="false">
      <c r="A8" s="0" t="n">
        <v>-50</v>
      </c>
      <c r="B8" s="0" t="n">
        <v>-100</v>
      </c>
      <c r="C8" s="0" t="n">
        <f aca="false">Supuestos!$B$13</f>
        <v>0.85</v>
      </c>
      <c r="D8" s="0" t="s">
        <v>111</v>
      </c>
      <c r="E8" s="0" t="n">
        <f aca="false">(1-Supuestos!C$28)*((1+((1+Supuestos!C$26)/(1+Supuestos!$B$4)-1+Supuestos!$B$14*$A8/10000))*(1+Supuestos!$B$4+$B8/10000)-1)+Supuestos!C$28*((1+Supuestos!C$27+$A8/10000)*(1+Supuestos!$B$4+$B8/10000)-1)*(1-Supuestos!$B$6)</f>
        <v>0.0902240558201939</v>
      </c>
      <c r="F8" s="0" t="n">
        <f aca="false">(1-Supuestos!D$28)*((1+((1+Supuestos!D$26)/(1+Supuestos!$B$4)-1+Supuestos!$B$14*$A8/10000))*(1+Supuestos!$B$4+$B8/10000)-1)+Supuestos!D$28*((1+Supuestos!D$27+$A8/10000)*(1+Supuestos!$B$4+$B8/10000)-1)*(1-Supuestos!$B$6)</f>
        <v>0.0899905660676502</v>
      </c>
      <c r="G8" s="0" t="n">
        <f aca="false">(1-Supuestos!E$28)*((1+((1+Supuestos!E$26)/(1+Supuestos!$B$4)-1+Supuestos!$B$14*$A8/10000))*(1+Supuestos!$B$4+$B8/10000)-1)+Supuestos!E$28*((1+Supuestos!E$27+$A8/10000)*(1+Supuestos!$B$4+$B8/10000)-1)*(1-Supuestos!$B$6)</f>
        <v>0.0897726185202204</v>
      </c>
      <c r="H8" s="0" t="n">
        <f aca="false">(1-Supuestos!F$28)*((1+((1+Supuestos!F$26)/(1+Supuestos!$B$4)-1+Supuestos!$B$14*$A8/10000))*(1+Supuestos!$B$4+$B8/10000)-1)+Supuestos!F$28*((1+Supuestos!F$27+$A8/10000)*(1+Supuestos!$B$4+$B8/10000)-1)*(1-Supuestos!$B$6)</f>
        <v>0.0895696355495049</v>
      </c>
      <c r="I8" s="0" t="n">
        <f aca="false">(1-Supuestos!G$28)*((1+((1+Supuestos!G$26)/(1+Supuestos!$B$4)-1+Supuestos!$B$14*$A8/10000))*(1+Supuestos!$B$4+$B8/10000)-1)+Supuestos!G$28*((1+Supuestos!G$27+$A8/10000)*(1+Supuestos!$B$4+$B8/10000)-1)*(1-Supuestos!$B$6)</f>
        <v>0.0893810678003712</v>
      </c>
      <c r="J8" s="0" t="n">
        <f aca="false">(1-Supuestos!H$28)*((1+((1+Supuestos!H$26)/(1+Supuestos!$B$4)-1+Supuestos!$B$14*$A8/10000))*(1+Supuestos!$B$4+$B8/10000)-1)+Supuestos!H$28*((1+Supuestos!H$27+$A8/10000)*(1+Supuestos!$B$4+$B8/10000)-1)*(1-Supuestos!$B$6)</f>
        <v>0.0892063924819983</v>
      </c>
      <c r="K8" s="0" t="n">
        <f aca="false">(1-Supuestos!I$28)*((1+((1+Supuestos!I$26)/(1+Supuestos!$B$4)-1+Supuestos!$B$14*$A8/10000))*(1+Supuestos!$B$4+$B8/10000)-1)+Supuestos!I$28*((1+Supuestos!I$27+$A8/10000)*(1+Supuestos!$B$4+$B8/10000)-1)*(1-Supuestos!$B$6)</f>
        <v>0.0892063924819983</v>
      </c>
      <c r="L8" s="0" t="n">
        <f aca="false">(1+E8)^-Supuestos!C$24</f>
        <v>0.957727857021891</v>
      </c>
      <c r="M8" s="0" t="n">
        <f aca="false">L8*(1+F8)^-Supuestos!D$24</f>
        <v>0.878657014874062</v>
      </c>
      <c r="N8" s="0" t="n">
        <f aca="false">M8*(1+G8)^-Supuestos!E$24</f>
        <v>0.806275547707532</v>
      </c>
      <c r="O8" s="0" t="n">
        <f aca="false">N8*(1+H8)^-Supuestos!F$24</f>
        <v>0.739994509209044</v>
      </c>
      <c r="P8" s="0" t="n">
        <f aca="false">O8*(1+I8)^-Supuestos!G$24</f>
        <v>0.67927975901326</v>
      </c>
      <c r="Q8" s="0" t="n">
        <f aca="false">P8*(1+J8)^-Supuestos!H$24</f>
        <v>0.623646504190422</v>
      </c>
      <c r="R8" s="0" t="n">
        <f aca="false">(1+E8)^-(Supuestos!C$24/2)</f>
        <v>0.978635712112475</v>
      </c>
      <c r="S8" s="0" t="n">
        <f aca="false">L8*(1+F8)^-(Supuestos!D$24/2)</f>
        <v>0.917340885337935</v>
      </c>
      <c r="T8" s="0" t="n">
        <f aca="false">M8*(1+G8)^-(Supuestos!E$24/2)</f>
        <v>0.841688580126076</v>
      </c>
      <c r="U8" s="0" t="n">
        <f aca="false">N8*(1+H8)^-(Supuestos!F$24/2)</f>
        <v>0.772424415857686</v>
      </c>
      <c r="V8" s="0" t="n">
        <f aca="false">O8*(1+I8)^-(Supuestos!G$24/2)</f>
        <v>0.708987511798801</v>
      </c>
      <c r="W8" s="0" t="n">
        <f aca="false">P8*(1+J8)^-(Supuestos!H$24/2)</f>
        <v>0.65086899378902</v>
      </c>
      <c r="X8" s="0" t="n">
        <f aca="false">Supuestos!C$23*(1-$C8+$C8*((1+Supuestos!$B$4+$B8/10000)/(1+Supuestos!$B$4))^Supuestos!C$25)</f>
        <v>113190.849569797</v>
      </c>
      <c r="Y8" s="0" t="n">
        <f aca="false">Supuestos!D$23*(1-$C8+$C8*((1+Supuestos!$B$4+$B8/10000)/(1+Supuestos!$B$4))^Supuestos!D$25)</f>
        <v>197794.574541102</v>
      </c>
      <c r="Z8" s="0" t="n">
        <f aca="false">Supuestos!E$23*(1-$C8+$C8*((1+Supuestos!$B$4+$B8/10000)/(1+Supuestos!$B$4))^Supuestos!E$25)</f>
        <v>255422.417620074</v>
      </c>
      <c r="AA8" s="0" t="n">
        <f aca="false">Supuestos!F$23*(1-$C8+$C8*((1+Supuestos!$B$4+$B8/10000)/(1+Supuestos!$B$4))^Supuestos!F$25)</f>
        <v>366118.618618158</v>
      </c>
      <c r="AB8" s="0" t="n">
        <f aca="false">Supuestos!G$23*(1-$C8+$C8*((1+Supuestos!$B$4+$B8/10000)/(1+Supuestos!$B$4))^Supuestos!G$25)</f>
        <v>364801.402593305</v>
      </c>
      <c r="AC8" s="0" t="n">
        <f aca="false">Supuestos!H$23*(1-$C8+$C8*((1+Supuestos!$B$4+$B8/10000)/(1+Supuestos!$B$4))^Supuestos!H$25)</f>
        <v>382580.017212225</v>
      </c>
      <c r="AD8" s="0" t="n">
        <f aca="false">Supuestos!I$23*(1-$C8+$C8*((1+Supuestos!$B$4+$B8/10000)/(1+Supuestos!$B$4))^Supuestos!I$25)</f>
        <v>503277.654354012</v>
      </c>
      <c r="AE8" s="0" t="n">
        <f aca="false">SUMPRODUCT(X8:AC8,R8:W8)</f>
        <v>1297651.85950974</v>
      </c>
      <c r="AF8" s="0" t="n">
        <f aca="false">(1+Supuestos!$B$5)/(1+Supuestos!$B$4)*(1+Supuestos!$B$4+$B8/10000)-1</f>
        <v>0.02</v>
      </c>
      <c r="AG8" s="0" t="n">
        <f aca="false">AD8/(K8-AF8)</f>
        <v>7272126.69674876</v>
      </c>
      <c r="AH8" s="0" t="n">
        <f aca="false">AG8*Q8</f>
        <v>4535236.39245721</v>
      </c>
      <c r="AI8" s="0" t="n">
        <f aca="false">(AE8+AH8-Supuestos!$B$7-Supuestos!$B$8)/Supuestos!$B$9</f>
        <v>2053.10833423148</v>
      </c>
      <c r="AJ8" s="0" t="n">
        <f aca="false">AI8/AI$5-1</f>
        <v>0.105716861669056</v>
      </c>
    </row>
    <row r="9" customFormat="false" ht="15" hidden="false" customHeight="false" outlineLevel="0" collapsed="false">
      <c r="A9" s="0" t="n">
        <v>0</v>
      </c>
      <c r="B9" s="0" t="n">
        <v>-100</v>
      </c>
      <c r="C9" s="0" t="n">
        <f aca="false">Supuestos!$B$13</f>
        <v>0.85</v>
      </c>
      <c r="D9" s="0" t="s">
        <v>111</v>
      </c>
      <c r="E9" s="0" t="n">
        <f aca="false">(1-Supuestos!C$28)*((1+((1+Supuestos!C$26)/(1+Supuestos!$B$4)-1+Supuestos!$B$14*$A9/10000))*(1+Supuestos!$B$4+$B9/10000)-1)+Supuestos!C$28*((1+Supuestos!C$27+$A9/10000)*(1+Supuestos!$B$4+$B9/10000)-1)*(1-Supuestos!$B$6)</f>
        <v>0.0950873977726059</v>
      </c>
      <c r="F9" s="0" t="n">
        <f aca="false">(1-Supuestos!D$28)*((1+((1+Supuestos!D$26)/(1+Supuestos!$B$4)-1+Supuestos!$B$14*$A9/10000))*(1+Supuestos!$B$4+$B9/10000)-1)+Supuestos!D$28*((1+Supuestos!D$27+$A9/10000)*(1+Supuestos!$B$4+$B9/10000)-1)*(1-Supuestos!$B$6)</f>
        <v>0.0948394221124596</v>
      </c>
      <c r="G9" s="0" t="n">
        <f aca="false">(1-Supuestos!E$28)*((1+((1+Supuestos!E$26)/(1+Supuestos!$B$4)-1+Supuestos!$B$14*$A9/10000))*(1+Supuestos!$B$4+$B9/10000)-1)+Supuestos!E$28*((1+Supuestos!E$27+$A9/10000)*(1+Supuestos!$B$4+$B9/10000)-1)*(1-Supuestos!$B$6)</f>
        <v>0.0946073520735279</v>
      </c>
      <c r="H9" s="0" t="n">
        <f aca="false">(1-Supuestos!F$28)*((1+((1+Supuestos!F$26)/(1+Supuestos!$B$4)-1+Supuestos!$B$14*$A9/10000))*(1+Supuestos!$B$4+$B9/10000)-1)+Supuestos!F$28*((1+Supuestos!F$27+$A9/10000)*(1+Supuestos!$B$4+$B9/10000)-1)*(1-Supuestos!$B$6)</f>
        <v>0.0943905965209974</v>
      </c>
      <c r="I9" s="0" t="n">
        <f aca="false">(1-Supuestos!G$28)*((1+((1+Supuestos!G$26)/(1+Supuestos!$B$4)-1+Supuestos!$B$14*$A9/10000))*(1+Supuestos!$B$4+$B9/10000)-1)+Supuestos!G$28*((1+Supuestos!G$27+$A9/10000)*(1+Supuestos!$B$4+$B9/10000)-1)*(1-Supuestos!$B$6)</f>
        <v>0.0941885932544217</v>
      </c>
      <c r="J9" s="0" t="n">
        <f aca="false">(1-Supuestos!H$28)*((1+((1+Supuestos!H$26)/(1+Supuestos!$B$4)-1+Supuestos!$B$14*$A9/10000))*(1+Supuestos!$B$4+$B9/10000)-1)+Supuestos!H$28*((1+Supuestos!H$27+$A9/10000)*(1+Supuestos!$B$4+$B9/10000)-1)*(1-Supuestos!$B$6)</f>
        <v>0.0940008072588067</v>
      </c>
      <c r="K9" s="0" t="n">
        <f aca="false">(1-Supuestos!I$28)*((1+((1+Supuestos!I$26)/(1+Supuestos!$B$4)-1+Supuestos!$B$14*$A9/10000))*(1+Supuestos!$B$4+$B9/10000)-1)+Supuestos!I$28*((1+Supuestos!I$27+$A9/10000)*(1+Supuestos!$B$4+$B9/10000)-1)*(1-Supuestos!$B$6)</f>
        <v>0.0940008072588067</v>
      </c>
      <c r="L9" s="0" t="n">
        <f aca="false">(1+E9)^-Supuestos!C$24</f>
        <v>0.955598830183924</v>
      </c>
      <c r="M9" s="0" t="n">
        <f aca="false">L9*(1+F9)^-Supuestos!D$24</f>
        <v>0.872820991721439</v>
      </c>
      <c r="N9" s="0" t="n">
        <f aca="false">M9*(1+G9)^-Supuestos!E$24</f>
        <v>0.797382723647931</v>
      </c>
      <c r="O9" s="0" t="n">
        <f aca="false">N9*(1+H9)^-Supuestos!F$24</f>
        <v>0.728608895382291</v>
      </c>
      <c r="P9" s="0" t="n">
        <f aca="false">O9*(1+I9)^-Supuestos!G$24</f>
        <v>0.6658896828884</v>
      </c>
      <c r="Q9" s="0" t="n">
        <f aca="false">P9*(1+J9)^-Supuestos!H$24</f>
        <v>0.608673849662774</v>
      </c>
      <c r="R9" s="0" t="n">
        <f aca="false">(1+E9)^-(Supuestos!C$24/2)</f>
        <v>0.97754735444577</v>
      </c>
      <c r="S9" s="0" t="n">
        <f aca="false">L9*(1+F9)^-(Supuestos!D$24/2)</f>
        <v>0.913272532516433</v>
      </c>
      <c r="T9" s="0" t="n">
        <f aca="false">M9*(1+G9)^-(Supuestos!E$24/2)</f>
        <v>0.834249590731652</v>
      </c>
      <c r="U9" s="0" t="n">
        <f aca="false">N9*(1+H9)^-(Supuestos!F$24/2)</f>
        <v>0.762220535982888</v>
      </c>
      <c r="V9" s="0" t="n">
        <f aca="false">O9*(1+I9)^-(Supuestos!G$24/2)</f>
        <v>0.696543714561966</v>
      </c>
      <c r="W9" s="0" t="n">
        <f aca="false">P9*(1+J9)^-(Supuestos!H$24/2)</f>
        <v>0.636639330181859</v>
      </c>
      <c r="X9" s="0" t="n">
        <f aca="false">Supuestos!C$23*(1-$C9+$C9*((1+Supuestos!$B$4+$B9/10000)/(1+Supuestos!$B$4))^Supuestos!C$25)</f>
        <v>113190.849569797</v>
      </c>
      <c r="Y9" s="0" t="n">
        <f aca="false">Supuestos!D$23*(1-$C9+$C9*((1+Supuestos!$B$4+$B9/10000)/(1+Supuestos!$B$4))^Supuestos!D$25)</f>
        <v>197794.574541102</v>
      </c>
      <c r="Z9" s="0" t="n">
        <f aca="false">Supuestos!E$23*(1-$C9+$C9*((1+Supuestos!$B$4+$B9/10000)/(1+Supuestos!$B$4))^Supuestos!E$25)</f>
        <v>255422.417620074</v>
      </c>
      <c r="AA9" s="0" t="n">
        <f aca="false">Supuestos!F$23*(1-$C9+$C9*((1+Supuestos!$B$4+$B9/10000)/(1+Supuestos!$B$4))^Supuestos!F$25)</f>
        <v>366118.618618158</v>
      </c>
      <c r="AB9" s="0" t="n">
        <f aca="false">Supuestos!G$23*(1-$C9+$C9*((1+Supuestos!$B$4+$B9/10000)/(1+Supuestos!$B$4))^Supuestos!G$25)</f>
        <v>364801.402593305</v>
      </c>
      <c r="AC9" s="0" t="n">
        <f aca="false">Supuestos!H$23*(1-$C9+$C9*((1+Supuestos!$B$4+$B9/10000)/(1+Supuestos!$B$4))^Supuestos!H$25)</f>
        <v>382580.017212225</v>
      </c>
      <c r="AD9" s="0" t="n">
        <f aca="false">Supuestos!I$23*(1-$C9+$C9*((1+Supuestos!$B$4+$B9/10000)/(1+Supuestos!$B$4))^Supuestos!I$25)</f>
        <v>503277.654354012</v>
      </c>
      <c r="AE9" s="0" t="n">
        <f aca="false">SUMPRODUCT(X9:AC9,R9:W9)</f>
        <v>1281104.55457198</v>
      </c>
      <c r="AF9" s="0" t="n">
        <f aca="false">(1+Supuestos!$B$5)/(1+Supuestos!$B$4)*(1+Supuestos!$B$4+$B9/10000)-1</f>
        <v>0.02</v>
      </c>
      <c r="AG9" s="0" t="n">
        <f aca="false">AD9/(K9-AF9)</f>
        <v>6800975.19198506</v>
      </c>
      <c r="AH9" s="0" t="n">
        <f aca="false">AG9*Q9</f>
        <v>4139575.75156657</v>
      </c>
      <c r="AI9" s="0" t="n">
        <f aca="false">(AE9+AH9-Supuestos!$B$7-Supuestos!$B$8)/Supuestos!$B$9</f>
        <v>1864.88552791714</v>
      </c>
      <c r="AJ9" s="0" t="n">
        <f aca="false">AI9/AI$5-1</f>
        <v>0.00434806041174873</v>
      </c>
    </row>
    <row r="10" customFormat="false" ht="15" hidden="false" customHeight="false" outlineLevel="0" collapsed="false">
      <c r="A10" s="0" t="n">
        <v>50</v>
      </c>
      <c r="B10" s="0" t="n">
        <v>-100</v>
      </c>
      <c r="C10" s="0" t="n">
        <f aca="false">Supuestos!$B$13</f>
        <v>0.85</v>
      </c>
      <c r="D10" s="0" t="s">
        <v>111</v>
      </c>
      <c r="E10" s="0" t="n">
        <f aca="false">(1-Supuestos!C$28)*((1+((1+Supuestos!C$26)/(1+Supuestos!$B$4)-1+Supuestos!$B$14*$A10/10000))*(1+Supuestos!$B$4+$B10/10000)-1)+Supuestos!C$28*((1+Supuestos!C$27+$A10/10000)*(1+Supuestos!$B$4+$B10/10000)-1)*(1-Supuestos!$B$6)</f>
        <v>0.099950739725018</v>
      </c>
      <c r="F10" s="0" t="n">
        <f aca="false">(1-Supuestos!D$28)*((1+((1+Supuestos!D$26)/(1+Supuestos!$B$4)-1+Supuestos!$B$14*$A10/10000))*(1+Supuestos!$B$4+$B10/10000)-1)+Supuestos!D$28*((1+Supuestos!D$27+$A10/10000)*(1+Supuestos!$B$4+$B10/10000)-1)*(1-Supuestos!$B$6)</f>
        <v>0.0996882781572689</v>
      </c>
      <c r="G10" s="0" t="n">
        <f aca="false">(1-Supuestos!E$28)*((1+((1+Supuestos!E$26)/(1+Supuestos!$B$4)-1+Supuestos!$B$14*$A10/10000))*(1+Supuestos!$B$4+$B10/10000)-1)+Supuestos!E$28*((1+Supuestos!E$27+$A10/10000)*(1+Supuestos!$B$4+$B10/10000)-1)*(1-Supuestos!$B$6)</f>
        <v>0.0994420856268354</v>
      </c>
      <c r="H10" s="0" t="n">
        <f aca="false">(1-Supuestos!F$28)*((1+((1+Supuestos!F$26)/(1+Supuestos!$B$4)-1+Supuestos!$B$14*$A10/10000))*(1+Supuestos!$B$4+$B10/10000)-1)+Supuestos!F$28*((1+Supuestos!F$27+$A10/10000)*(1+Supuestos!$B$4+$B10/10000)-1)*(1-Supuestos!$B$6)</f>
        <v>0.0992115574924898</v>
      </c>
      <c r="I10" s="0" t="n">
        <f aca="false">(1-Supuestos!G$28)*((1+((1+Supuestos!G$26)/(1+Supuestos!$B$4)-1+Supuestos!$B$14*$A10/10000))*(1+Supuestos!$B$4+$B10/10000)-1)+Supuestos!G$28*((1+Supuestos!G$27+$A10/10000)*(1+Supuestos!$B$4+$B10/10000)-1)*(1-Supuestos!$B$6)</f>
        <v>0.0989961187084723</v>
      </c>
      <c r="J10" s="0" t="n">
        <f aca="false">(1-Supuestos!H$28)*((1+((1+Supuestos!H$26)/(1+Supuestos!$B$4)-1+Supuestos!$B$14*$A10/10000))*(1+Supuestos!$B$4+$B10/10000)-1)+Supuestos!H$28*((1+Supuestos!H$27+$A10/10000)*(1+Supuestos!$B$4+$B10/10000)-1)*(1-Supuestos!$B$6)</f>
        <v>0.0987952220356151</v>
      </c>
      <c r="K10" s="0" t="n">
        <f aca="false">(1-Supuestos!I$28)*((1+((1+Supuestos!I$26)/(1+Supuestos!$B$4)-1+Supuestos!$B$14*$A10/10000))*(1+Supuestos!$B$4+$B10/10000)-1)+Supuestos!I$28*((1+Supuestos!I$27+$A10/10000)*(1+Supuestos!$B$4+$B10/10000)-1)*(1-Supuestos!$B$6)</f>
        <v>0.0987952220356151</v>
      </c>
      <c r="L10" s="0" t="n">
        <f aca="false">(1+E10)^-Supuestos!C$24</f>
        <v>0.953483938975991</v>
      </c>
      <c r="M10" s="0" t="n">
        <f aca="false">L10*(1+F10)^-Supuestos!D$24</f>
        <v>0.867049288343538</v>
      </c>
      <c r="N10" s="0" t="n">
        <f aca="false">M10*(1+G10)^-Supuestos!E$24</f>
        <v>0.788626613150978</v>
      </c>
      <c r="O10" s="0" t="n">
        <f aca="false">N10*(1+H10)^-Supuestos!F$24</f>
        <v>0.717447526616245</v>
      </c>
      <c r="P10" s="0" t="n">
        <f aca="false">O10*(1+I10)^-Supuestos!G$24</f>
        <v>0.652820801095623</v>
      </c>
      <c r="Q10" s="0" t="n">
        <f aca="false">P10*(1+J10)^-Supuestos!H$24</f>
        <v>0.594124171641569</v>
      </c>
      <c r="R10" s="0" t="n">
        <f aca="false">(1+E10)^-(Supuestos!C$24/2)</f>
        <v>0.976465021890693</v>
      </c>
      <c r="S10" s="0" t="n">
        <f aca="false">L10*(1+F10)^-(Supuestos!D$24/2)</f>
        <v>0.909240106207446</v>
      </c>
      <c r="T10" s="0" t="n">
        <f aca="false">M10*(1+G10)^-(Supuestos!E$24/2)</f>
        <v>0.826908788017959</v>
      </c>
      <c r="U10" s="0" t="n">
        <f aca="false">N10*(1+H10)^-(Supuestos!F$24/2)</f>
        <v>0.752195594927886</v>
      </c>
      <c r="V10" s="0" t="n">
        <f aca="false">O10*(1+I10)^-(Supuestos!G$24/2)</f>
        <v>0.684371733102479</v>
      </c>
      <c r="W10" s="0" t="n">
        <f aca="false">P10*(1+J10)^-(Supuestos!H$24/2)</f>
        <v>0.622781356240954</v>
      </c>
      <c r="X10" s="0" t="n">
        <f aca="false">Supuestos!C$23*(1-$C10+$C10*((1+Supuestos!$B$4+$B10/10000)/(1+Supuestos!$B$4))^Supuestos!C$25)</f>
        <v>113190.849569797</v>
      </c>
      <c r="Y10" s="0" t="n">
        <f aca="false">Supuestos!D$23*(1-$C10+$C10*((1+Supuestos!$B$4+$B10/10000)/(1+Supuestos!$B$4))^Supuestos!D$25)</f>
        <v>197794.574541102</v>
      </c>
      <c r="Z10" s="0" t="n">
        <f aca="false">Supuestos!E$23*(1-$C10+$C10*((1+Supuestos!$B$4+$B10/10000)/(1+Supuestos!$B$4))^Supuestos!E$25)</f>
        <v>255422.417620074</v>
      </c>
      <c r="AA10" s="0" t="n">
        <f aca="false">Supuestos!F$23*(1-$C10+$C10*((1+Supuestos!$B$4+$B10/10000)/(1+Supuestos!$B$4))^Supuestos!F$25)</f>
        <v>366118.618618158</v>
      </c>
      <c r="AB10" s="0" t="n">
        <f aca="false">Supuestos!G$23*(1-$C10+$C10*((1+Supuestos!$B$4+$B10/10000)/(1+Supuestos!$B$4))^Supuestos!G$25)</f>
        <v>364801.402593305</v>
      </c>
      <c r="AC10" s="0" t="n">
        <f aca="false">Supuestos!H$23*(1-$C10+$C10*((1+Supuestos!$B$4+$B10/10000)/(1+Supuestos!$B$4))^Supuestos!H$25)</f>
        <v>382580.017212225</v>
      </c>
      <c r="AD10" s="0" t="n">
        <f aca="false">Supuestos!I$23*(1-$C10+$C10*((1+Supuestos!$B$4+$B10/10000)/(1+Supuestos!$B$4))^Supuestos!I$25)</f>
        <v>503277.654354012</v>
      </c>
      <c r="AE10" s="0" t="n">
        <f aca="false">SUMPRODUCT(X10:AC10,R10:W10)</f>
        <v>1264896.98941961</v>
      </c>
      <c r="AF10" s="0" t="n">
        <f aca="false">(1+Supuestos!$B$5)/(1+Supuestos!$B$4)*(1+Supuestos!$B$4+$B10/10000)-1</f>
        <v>0.02</v>
      </c>
      <c r="AG10" s="0" t="n">
        <f aca="false">AD10/(K10-AF10)</f>
        <v>6387159.54282777</v>
      </c>
      <c r="AH10" s="0" t="n">
        <f aca="false">AG10*Q10</f>
        <v>3794765.87252509</v>
      </c>
      <c r="AI10" s="0" t="n">
        <f aca="false">(AE10+AH10-Supuestos!$B$7-Supuestos!$B$8)/Supuestos!$B$9</f>
        <v>1700.03737988343</v>
      </c>
      <c r="AJ10" s="0" t="n">
        <f aca="false">AI10/AI$5-1</f>
        <v>-0.0844321436606436</v>
      </c>
    </row>
    <row r="11" customFormat="false" ht="15" hidden="false" customHeight="false" outlineLevel="0" collapsed="false">
      <c r="A11" s="0" t="n">
        <v>100</v>
      </c>
      <c r="B11" s="0" t="n">
        <v>-100</v>
      </c>
      <c r="C11" s="0" t="n">
        <f aca="false">Supuestos!$B$13</f>
        <v>0.85</v>
      </c>
      <c r="D11" s="0" t="s">
        <v>111</v>
      </c>
      <c r="E11" s="0" t="n">
        <f aca="false">(1-Supuestos!C$28)*((1+((1+Supuestos!C$26)/(1+Supuestos!$B$4)-1+Supuestos!$B$14*$A11/10000))*(1+Supuestos!$B$4+$B11/10000)-1)+Supuestos!C$28*((1+Supuestos!C$27+$A11/10000)*(1+Supuestos!$B$4+$B11/10000)-1)*(1-Supuestos!$B$6)</f>
        <v>0.10481408167743</v>
      </c>
      <c r="F11" s="0" t="n">
        <f aca="false">(1-Supuestos!D$28)*((1+((1+Supuestos!D$26)/(1+Supuestos!$B$4)-1+Supuestos!$B$14*$A11/10000))*(1+Supuestos!$B$4+$B11/10000)-1)+Supuestos!D$28*((1+Supuestos!D$27+$A11/10000)*(1+Supuestos!$B$4+$B11/10000)-1)*(1-Supuestos!$B$6)</f>
        <v>0.104537134202078</v>
      </c>
      <c r="G11" s="0" t="n">
        <f aca="false">(1-Supuestos!E$28)*((1+((1+Supuestos!E$26)/(1+Supuestos!$B$4)-1+Supuestos!$B$14*$A11/10000))*(1+Supuestos!$B$4+$B11/10000)-1)+Supuestos!E$28*((1+Supuestos!E$27+$A11/10000)*(1+Supuestos!$B$4+$B11/10000)-1)*(1-Supuestos!$B$6)</f>
        <v>0.104276819180143</v>
      </c>
      <c r="H11" s="0" t="n">
        <f aca="false">(1-Supuestos!F$28)*((1+((1+Supuestos!F$26)/(1+Supuestos!$B$4)-1+Supuestos!$B$14*$A11/10000))*(1+Supuestos!$B$4+$B11/10000)-1)+Supuestos!F$28*((1+Supuestos!F$27+$A11/10000)*(1+Supuestos!$B$4+$B11/10000)-1)*(1-Supuestos!$B$6)</f>
        <v>0.104032518463983</v>
      </c>
      <c r="I11" s="0" t="n">
        <f aca="false">(1-Supuestos!G$28)*((1+((1+Supuestos!G$26)/(1+Supuestos!$B$4)-1+Supuestos!$B$14*$A11/10000))*(1+Supuestos!$B$4+$B11/10000)-1)+Supuestos!G$28*((1+Supuestos!G$27+$A11/10000)*(1+Supuestos!$B$4+$B11/10000)-1)*(1-Supuestos!$B$6)</f>
        <v>0.103803644162523</v>
      </c>
      <c r="J11" s="0" t="n">
        <f aca="false">(1-Supuestos!H$28)*((1+((1+Supuestos!H$26)/(1+Supuestos!$B$4)-1+Supuestos!$B$14*$A11/10000))*(1+Supuestos!$B$4+$B11/10000)-1)+Supuestos!H$28*((1+Supuestos!H$27+$A11/10000)*(1+Supuestos!$B$4+$B11/10000)-1)*(1-Supuestos!$B$6)</f>
        <v>0.103589636812424</v>
      </c>
      <c r="K11" s="0" t="n">
        <f aca="false">(1-Supuestos!I$28)*((1+((1+Supuestos!I$26)/(1+Supuestos!$B$4)-1+Supuestos!$B$14*$A11/10000))*(1+Supuestos!$B$4+$B11/10000)-1)+Supuestos!I$28*((1+Supuestos!I$27+$A11/10000)*(1+Supuestos!$B$4+$B11/10000)-1)*(1-Supuestos!$B$6)</f>
        <v>0.103589636812424</v>
      </c>
      <c r="L11" s="0" t="n">
        <f aca="false">(1+E11)^-Supuestos!C$24</f>
        <v>0.951383027665246</v>
      </c>
      <c r="M11" s="0" t="n">
        <f aca="false">L11*(1+F11)^-Supuestos!D$24</f>
        <v>0.861340916665992</v>
      </c>
      <c r="N11" s="0" t="n">
        <f aca="false">M11*(1+G11)^-Supuestos!E$24</f>
        <v>0.780004525772337</v>
      </c>
      <c r="O11" s="0" t="n">
        <f aca="false">N11*(1+H11)^-Supuestos!F$24</f>
        <v>0.706505028364147</v>
      </c>
      <c r="P11" s="0" t="n">
        <f aca="false">O11*(1+I11)^-Supuestos!G$24</f>
        <v>0.640064047714017</v>
      </c>
      <c r="Q11" s="0" t="n">
        <f aca="false">P11*(1+J11)^-Supuestos!H$24</f>
        <v>0.579983742474023</v>
      </c>
      <c r="R11" s="0" t="n">
        <f aca="false">(1+E11)^-(Supuestos!C$24/2)</f>
        <v>0.975388654673226</v>
      </c>
      <c r="S11" s="0" t="n">
        <f aca="false">L11*(1+F11)^-(Supuestos!D$24/2)</f>
        <v>0.905243132616674</v>
      </c>
      <c r="T11" s="0" t="n">
        <f aca="false">M11*(1+G11)^-(Supuestos!E$24/2)</f>
        <v>0.819664451609539</v>
      </c>
      <c r="U11" s="0" t="n">
        <f aca="false">N11*(1+H11)^-(Supuestos!F$24/2)</f>
        <v>0.742345687402404</v>
      </c>
      <c r="V11" s="0" t="n">
        <f aca="false">O11*(1+I11)^-(Supuestos!G$24/2)</f>
        <v>0.67246447354865</v>
      </c>
      <c r="W11" s="0" t="n">
        <f aca="false">P11*(1+J11)^-(Supuestos!H$24/2)</f>
        <v>0.609283794151992</v>
      </c>
      <c r="X11" s="0" t="n">
        <f aca="false">Supuestos!C$23*(1-$C11+$C11*((1+Supuestos!$B$4+$B11/10000)/(1+Supuestos!$B$4))^Supuestos!C$25)</f>
        <v>113190.849569797</v>
      </c>
      <c r="Y11" s="0" t="n">
        <f aca="false">Supuestos!D$23*(1-$C11+$C11*((1+Supuestos!$B$4+$B11/10000)/(1+Supuestos!$B$4))^Supuestos!D$25)</f>
        <v>197794.574541102</v>
      </c>
      <c r="Z11" s="0" t="n">
        <f aca="false">Supuestos!E$23*(1-$C11+$C11*((1+Supuestos!$B$4+$B11/10000)/(1+Supuestos!$B$4))^Supuestos!E$25)</f>
        <v>255422.417620074</v>
      </c>
      <c r="AA11" s="0" t="n">
        <f aca="false">Supuestos!F$23*(1-$C11+$C11*((1+Supuestos!$B$4+$B11/10000)/(1+Supuestos!$B$4))^Supuestos!F$25)</f>
        <v>366118.618618158</v>
      </c>
      <c r="AB11" s="0" t="n">
        <f aca="false">Supuestos!G$23*(1-$C11+$C11*((1+Supuestos!$B$4+$B11/10000)/(1+Supuestos!$B$4))^Supuestos!G$25)</f>
        <v>364801.402593305</v>
      </c>
      <c r="AC11" s="0" t="n">
        <f aca="false">Supuestos!H$23*(1-$C11+$C11*((1+Supuestos!$B$4+$B11/10000)/(1+Supuestos!$B$4))^Supuestos!H$25)</f>
        <v>382580.017212225</v>
      </c>
      <c r="AD11" s="0" t="n">
        <f aca="false">Supuestos!I$23*(1-$C11+$C11*((1+Supuestos!$B$4+$B11/10000)/(1+Supuestos!$B$4))^Supuestos!I$25)</f>
        <v>503277.654354012</v>
      </c>
      <c r="AE11" s="0" t="n">
        <f aca="false">SUMPRODUCT(X11:AC11,R11:W11)</f>
        <v>1249020.29183014</v>
      </c>
      <c r="AF11" s="0" t="n">
        <f aca="false">(1+Supuestos!$B$5)/(1+Supuestos!$B$4)*(1+Supuestos!$B$4+$B11/10000)-1</f>
        <v>0.02</v>
      </c>
      <c r="AG11" s="0" t="n">
        <f aca="false">AD11/(K11-AF11)</f>
        <v>6020813.9853912</v>
      </c>
      <c r="AH11" s="0" t="n">
        <f aca="false">AG11*Q11</f>
        <v>3491974.22798713</v>
      </c>
      <c r="AI11" s="0" t="n">
        <f aca="false">(AE11+AH11-Supuestos!$B$7-Supuestos!$B$8)/Supuestos!$B$9</f>
        <v>1554.52672137775</v>
      </c>
      <c r="AJ11" s="0" t="n">
        <f aca="false">AI11/AI$5-1</f>
        <v>-0.162797997999508</v>
      </c>
    </row>
    <row r="12" customFormat="false" ht="15" hidden="false" customHeight="false" outlineLevel="0" collapsed="false">
      <c r="A12" s="0" t="n">
        <v>150</v>
      </c>
      <c r="B12" s="0" t="n">
        <v>-100</v>
      </c>
      <c r="C12" s="0" t="n">
        <f aca="false">Supuestos!$B$13</f>
        <v>0.85</v>
      </c>
      <c r="D12" s="0" t="s">
        <v>111</v>
      </c>
      <c r="E12" s="0" t="n">
        <f aca="false">(1-Supuestos!C$28)*((1+((1+Supuestos!C$26)/(1+Supuestos!$B$4)-1+Supuestos!$B$14*$A12/10000))*(1+Supuestos!$B$4+$B12/10000)-1)+Supuestos!C$28*((1+Supuestos!C$27+$A12/10000)*(1+Supuestos!$B$4+$B12/10000)-1)*(1-Supuestos!$B$6)</f>
        <v>0.109677423629842</v>
      </c>
      <c r="F12" s="0" t="n">
        <f aca="false">(1-Supuestos!D$28)*((1+((1+Supuestos!D$26)/(1+Supuestos!$B$4)-1+Supuestos!$B$14*$A12/10000))*(1+Supuestos!$B$4+$B12/10000)-1)+Supuestos!D$28*((1+Supuestos!D$27+$A12/10000)*(1+Supuestos!$B$4+$B12/10000)-1)*(1-Supuestos!$B$6)</f>
        <v>0.109385990246887</v>
      </c>
      <c r="G12" s="0" t="n">
        <f aca="false">(1-Supuestos!E$28)*((1+((1+Supuestos!E$26)/(1+Supuestos!$B$4)-1+Supuestos!$B$14*$A12/10000))*(1+Supuestos!$B$4+$B12/10000)-1)+Supuestos!E$28*((1+Supuestos!E$27+$A12/10000)*(1+Supuestos!$B$4+$B12/10000)-1)*(1-Supuestos!$B$6)</f>
        <v>0.109111552733451</v>
      </c>
      <c r="H12" s="0" t="n">
        <f aca="false">(1-Supuestos!F$28)*((1+((1+Supuestos!F$26)/(1+Supuestos!$B$4)-1+Supuestos!$B$14*$A12/10000))*(1+Supuestos!$B$4+$B12/10000)-1)+Supuestos!F$28*((1+Supuestos!F$27+$A12/10000)*(1+Supuestos!$B$4+$B12/10000)-1)*(1-Supuestos!$B$6)</f>
        <v>0.108853479435475</v>
      </c>
      <c r="I12" s="0" t="n">
        <f aca="false">(1-Supuestos!G$28)*((1+((1+Supuestos!G$26)/(1+Supuestos!$B$4)-1+Supuestos!$B$14*$A12/10000))*(1+Supuestos!$B$4+$B12/10000)-1)+Supuestos!G$28*((1+Supuestos!G$27+$A12/10000)*(1+Supuestos!$B$4+$B12/10000)-1)*(1-Supuestos!$B$6)</f>
        <v>0.108611169616573</v>
      </c>
      <c r="J12" s="0" t="n">
        <f aca="false">(1-Supuestos!H$28)*((1+((1+Supuestos!H$26)/(1+Supuestos!$B$4)-1+Supuestos!$B$14*$A12/10000))*(1+Supuestos!$B$4+$B12/10000)-1)+Supuestos!H$28*((1+Supuestos!H$27+$A12/10000)*(1+Supuestos!$B$4+$B12/10000)-1)*(1-Supuestos!$B$6)</f>
        <v>0.108384051589232</v>
      </c>
      <c r="K12" s="0" t="n">
        <f aca="false">(1-Supuestos!I$28)*((1+((1+Supuestos!I$26)/(1+Supuestos!$B$4)-1+Supuestos!$B$14*$A12/10000))*(1+Supuestos!$B$4+$B12/10000)-1)+Supuestos!I$28*((1+Supuestos!I$27+$A12/10000)*(1+Supuestos!$B$4+$B12/10000)-1)*(1-Supuestos!$B$6)</f>
        <v>0.108384051589232</v>
      </c>
      <c r="L12" s="0" t="n">
        <f aca="false">(1+E12)^-Supuestos!C$24</f>
        <v>0.949295942910307</v>
      </c>
      <c r="M12" s="0" t="n">
        <f aca="false">L12*(1+F12)^-Supuestos!D$24</f>
        <v>0.855694908044626</v>
      </c>
      <c r="N12" s="0" t="n">
        <f aca="false">M12*(1+G12)^-Supuestos!E$24</f>
        <v>0.77151383549809</v>
      </c>
      <c r="O12" s="0" t="n">
        <f aca="false">N12*(1+H12)^-Supuestos!F$24</f>
        <v>0.69577617765232</v>
      </c>
      <c r="P12" s="0" t="n">
        <f aca="false">O12*(1+I12)^-Supuestos!G$24</f>
        <v>0.627610650804612</v>
      </c>
      <c r="Q12" s="0" t="n">
        <f aca="false">P12*(1+J12)^-Supuestos!H$24</f>
        <v>0.566239337262862</v>
      </c>
      <c r="R12" s="0" t="n">
        <f aca="false">(1+E12)^-(Supuestos!C$24/2)</f>
        <v>0.97431819387216</v>
      </c>
      <c r="S12" s="0" t="n">
        <f aca="false">L12*(1+F12)^-(Supuestos!D$24/2)</f>
        <v>0.901281146244484</v>
      </c>
      <c r="T12" s="0" t="n">
        <f aca="false">M12*(1+G12)^-(Supuestos!E$24/2)</f>
        <v>0.812514898645985</v>
      </c>
      <c r="U12" s="0" t="n">
        <f aca="false">N12*(1+H12)^-(Supuestos!F$24/2)</f>
        <v>0.732667009949773</v>
      </c>
      <c r="V12" s="0" t="n">
        <f aca="false">O12*(1+I12)^-(Supuestos!G$24/2)</f>
        <v>0.660815057085352</v>
      </c>
      <c r="W12" s="0" t="n">
        <f aca="false">P12*(1+J12)^-(Supuestos!H$24/2)</f>
        <v>0.596135755487554</v>
      </c>
      <c r="X12" s="0" t="n">
        <f aca="false">Supuestos!C$23*(1-$C12+$C12*((1+Supuestos!$B$4+$B12/10000)/(1+Supuestos!$B$4))^Supuestos!C$25)</f>
        <v>113190.849569797</v>
      </c>
      <c r="Y12" s="0" t="n">
        <f aca="false">Supuestos!D$23*(1-$C12+$C12*((1+Supuestos!$B$4+$B12/10000)/(1+Supuestos!$B$4))^Supuestos!D$25)</f>
        <v>197794.574541102</v>
      </c>
      <c r="Z12" s="0" t="n">
        <f aca="false">Supuestos!E$23*(1-$C12+$C12*((1+Supuestos!$B$4+$B12/10000)/(1+Supuestos!$B$4))^Supuestos!E$25)</f>
        <v>255422.417620074</v>
      </c>
      <c r="AA12" s="0" t="n">
        <f aca="false">Supuestos!F$23*(1-$C12+$C12*((1+Supuestos!$B$4+$B12/10000)/(1+Supuestos!$B$4))^Supuestos!F$25)</f>
        <v>366118.618618158</v>
      </c>
      <c r="AB12" s="0" t="n">
        <f aca="false">Supuestos!G$23*(1-$C12+$C12*((1+Supuestos!$B$4+$B12/10000)/(1+Supuestos!$B$4))^Supuestos!G$25)</f>
        <v>364801.402593305</v>
      </c>
      <c r="AC12" s="0" t="n">
        <f aca="false">Supuestos!H$23*(1-$C12+$C12*((1+Supuestos!$B$4+$B12/10000)/(1+Supuestos!$B$4))^Supuestos!H$25)</f>
        <v>382580.017212225</v>
      </c>
      <c r="AD12" s="0" t="n">
        <f aca="false">Supuestos!I$23*(1-$C12+$C12*((1+Supuestos!$B$4+$B12/10000)/(1+Supuestos!$B$4))^Supuestos!I$25)</f>
        <v>503277.654354012</v>
      </c>
      <c r="AE12" s="0" t="n">
        <f aca="false">SUMPRODUCT(X12:AC12,R12:W12)</f>
        <v>1233465.8656082</v>
      </c>
      <c r="AF12" s="0" t="n">
        <f aca="false">(1+Supuestos!$B$5)/(1+Supuestos!$B$4)*(1+Supuestos!$B$4+$B12/10000)-1</f>
        <v>0.02</v>
      </c>
      <c r="AG12" s="0" t="n">
        <f aca="false">AD12/(K12-AF12)</f>
        <v>5694213.43901513</v>
      </c>
      <c r="AH12" s="0" t="n">
        <f aca="false">AG12*Q12</f>
        <v>3224287.64394121</v>
      </c>
      <c r="AI12" s="0" t="n">
        <f aca="false">(AE12+AH12-Supuestos!$B$7-Supuestos!$B$8)/Supuestos!$B$9</f>
        <v>1425.19292673489</v>
      </c>
      <c r="AJ12" s="0" t="n">
        <f aca="false">AI12/AI$5-1</f>
        <v>-0.232451681215296</v>
      </c>
    </row>
    <row r="13" customFormat="false" ht="15" hidden="false" customHeight="false" outlineLevel="0" collapsed="false">
      <c r="A13" s="0" t="n">
        <v>-150</v>
      </c>
      <c r="B13" s="0" t="n">
        <v>-50</v>
      </c>
      <c r="C13" s="0" t="n">
        <f aca="false">Supuestos!$B$13</f>
        <v>0.85</v>
      </c>
      <c r="D13" s="0" t="s">
        <v>111</v>
      </c>
      <c r="E13" s="0" t="n">
        <f aca="false">(1-Supuestos!C$28)*((1+((1+Supuestos!C$26)/(1+Supuestos!$B$4)-1+Supuestos!$B$14*$A13/10000))*(1+Supuestos!$B$4+$B13/10000)-1)+Supuestos!C$28*((1+Supuestos!C$27+$A13/10000)*(1+Supuestos!$B$4+$B13/10000)-1)*(1-Supuestos!$B$6)</f>
        <v>0.085566459332883</v>
      </c>
      <c r="F13" s="0" t="n">
        <f aca="false">(1-Supuestos!D$28)*((1+((1+Supuestos!D$26)/(1+Supuestos!$B$4)-1+Supuestos!$B$14*$A13/10000))*(1+Supuestos!$B$4+$B13/10000)-1)+Supuestos!D$28*((1+Supuestos!D$27+$A13/10000)*(1+Supuestos!$B$4+$B13/10000)-1)*(1-Supuestos!$B$6)</f>
        <v>0.0853470154544807</v>
      </c>
      <c r="G13" s="0" t="n">
        <f aca="false">(1-Supuestos!E$28)*((1+((1+Supuestos!E$26)/(1+Supuestos!$B$4)-1+Supuestos!$B$14*$A13/10000))*(1+Supuestos!$B$4+$B13/10000)-1)+Supuestos!E$28*((1+Supuestos!E$27+$A13/10000)*(1+Supuestos!$B$4+$B13/10000)-1)*(1-Supuestos!$B$6)</f>
        <v>0.0851428088775777</v>
      </c>
      <c r="H13" s="0" t="n">
        <f aca="false">(1-Supuestos!F$28)*((1+((1+Supuestos!F$26)/(1+Supuestos!$B$4)-1+Supuestos!$B$14*$A13/10000))*(1+Supuestos!$B$4+$B13/10000)-1)+Supuestos!F$28*((1+Supuestos!F$27+$A13/10000)*(1+Supuestos!$B$4+$B13/10000)-1)*(1-Supuestos!$B$6)</f>
        <v>0.0849532733055643</v>
      </c>
      <c r="I13" s="0" t="n">
        <f aca="false">(1-Supuestos!G$28)*((1+((1+Supuestos!G$26)/(1+Supuestos!$B$4)-1+Supuestos!$B$14*$A13/10000))*(1+Supuestos!$B$4+$B13/10000)-1)+Supuestos!G$28*((1+Supuestos!G$27+$A13/10000)*(1+Supuestos!$B$4+$B13/10000)-1)*(1-Supuestos!$B$6)</f>
        <v>0.0847778701604376</v>
      </c>
      <c r="J13" s="0" t="n">
        <f aca="false">(1-Supuestos!H$28)*((1+((1+Supuestos!H$26)/(1+Supuestos!$B$4)-1+Supuestos!$B$14*$A13/10000))*(1+Supuestos!$B$4+$B13/10000)-1)+Supuestos!H$28*((1+Supuestos!H$27+$A13/10000)*(1+Supuestos!$B$4+$B13/10000)-1)*(1-Supuestos!$B$6)</f>
        <v>0.0846160869073733</v>
      </c>
      <c r="K13" s="0" t="n">
        <f aca="false">(1-Supuestos!I$28)*((1+((1+Supuestos!I$26)/(1+Supuestos!$B$4)-1+Supuestos!$B$14*$A13/10000))*(1+Supuestos!$B$4+$B13/10000)-1)+Supuestos!I$28*((1+Supuestos!I$27+$A13/10000)*(1+Supuestos!$B$4+$B13/10000)-1)*(1-Supuestos!$B$6)</f>
        <v>0.0846160869073733</v>
      </c>
      <c r="L13" s="0" t="n">
        <f aca="false">(1+E13)^-Supuestos!C$24</f>
        <v>0.959780212020185</v>
      </c>
      <c r="M13" s="0" t="n">
        <f aca="false">L13*(1+F13)^-Supuestos!D$24</f>
        <v>0.884307229258178</v>
      </c>
      <c r="N13" s="0" t="n">
        <f aca="false">M13*(1+G13)^-Supuestos!E$24</f>
        <v>0.814922443408961</v>
      </c>
      <c r="O13" s="0" t="n">
        <f aca="false">N13*(1+H13)^-Supuestos!F$24</f>
        <v>0.751112940491998</v>
      </c>
      <c r="P13" s="0" t="n">
        <f aca="false">O13*(1+I13)^-Supuestos!G$24</f>
        <v>0.692411747283256</v>
      </c>
      <c r="Q13" s="0" t="n">
        <f aca="false">P13*(1+J13)^-Supuestos!H$24</f>
        <v>0.638393396190138</v>
      </c>
      <c r="R13" s="0" t="n">
        <f aca="false">(1+E13)^-(Supuestos!C$24/2)</f>
        <v>0.979683730609111</v>
      </c>
      <c r="S13" s="0" t="n">
        <f aca="false">L13*(1+F13)^-(Supuestos!D$24/2)</f>
        <v>0.921271176141095</v>
      </c>
      <c r="T13" s="0" t="n">
        <f aca="false">M13*(1+G13)^-(Supuestos!E$24/2)</f>
        <v>0.848906242167698</v>
      </c>
      <c r="U13" s="0" t="n">
        <f aca="false">N13*(1+H13)^-(Supuestos!F$24/2)</f>
        <v>0.782367428221439</v>
      </c>
      <c r="V13" s="0" t="n">
        <f aca="false">O13*(1+I13)^-(Supuestos!G$24/2)</f>
        <v>0.721165323301896</v>
      </c>
      <c r="W13" s="0" t="n">
        <f aca="false">P13*(1+J13)^-(Supuestos!H$24/2)</f>
        <v>0.664854184697747</v>
      </c>
      <c r="X13" s="0" t="n">
        <f aca="false">Supuestos!C$23*(1-$C13+$C13*((1+Supuestos!$B$4+$B13/10000)/(1+Supuestos!$B$4))^Supuestos!C$25)</f>
        <v>113308.497486598</v>
      </c>
      <c r="Y13" s="0" t="n">
        <f aca="false">Supuestos!D$23*(1-$C13+$C13*((1+Supuestos!$B$4+$B13/10000)/(1+Supuestos!$B$4))^Supuestos!D$25)</f>
        <v>198617.508404832</v>
      </c>
      <c r="Z13" s="0" t="n">
        <f aca="false">Supuestos!E$23*(1-$C13+$C13*((1+Supuestos!$B$4+$B13/10000)/(1+Supuestos!$B$4))^Supuestos!E$25)</f>
        <v>257549.866851862</v>
      </c>
      <c r="AA13" s="0" t="n">
        <f aca="false">Supuestos!F$23*(1-$C13+$C13*((1+Supuestos!$B$4+$B13/10000)/(1+Supuestos!$B$4))^Supuestos!F$25)</f>
        <v>370697.173557567</v>
      </c>
      <c r="AB13" s="0" t="n">
        <f aca="false">Supuestos!G$23*(1-$C13+$C13*((1+Supuestos!$B$4+$B13/10000)/(1+Supuestos!$B$4))^Supuestos!G$25)</f>
        <v>370889.933274639</v>
      </c>
      <c r="AC13" s="0" t="n">
        <f aca="false">Supuestos!H$23*(1-$C13+$C13*((1+Supuestos!$B$4+$B13/10000)/(1+Supuestos!$B$4))^Supuestos!H$25)</f>
        <v>390569.053482996</v>
      </c>
      <c r="AD13" s="0" t="n">
        <f aca="false">Supuestos!I$23*(1-$C13+$C13*((1+Supuestos!$B$4+$B13/10000)/(1+Supuestos!$B$4))^Supuestos!I$25)</f>
        <v>515900.652433643</v>
      </c>
      <c r="AE13" s="0" t="n">
        <f aca="false">SUMPRODUCT(X13:AC13,R13:W13)</f>
        <v>1329788.58932394</v>
      </c>
      <c r="AF13" s="0" t="n">
        <f aca="false">(1+Supuestos!$B$5)/(1+Supuestos!$B$4)*(1+Supuestos!$B$4+$B13/10000)-1</f>
        <v>0.0250000000000001</v>
      </c>
      <c r="AG13" s="0" t="n">
        <f aca="false">AD13/(K13-AF13)</f>
        <v>8653715.45158958</v>
      </c>
      <c r="AH13" s="0" t="n">
        <f aca="false">AG13*Q13</f>
        <v>5524474.79680335</v>
      </c>
      <c r="AI13" s="0" t="n">
        <f aca="false">(AE13+AH13-Supuestos!$B$7-Supuestos!$B$8)/Supuestos!$B$9</f>
        <v>2519.48967403073</v>
      </c>
      <c r="AJ13" s="0" t="n">
        <f aca="false">AI13/AI$5-1</f>
        <v>0.356890023253275</v>
      </c>
    </row>
    <row r="14" customFormat="false" ht="15" hidden="false" customHeight="false" outlineLevel="0" collapsed="false">
      <c r="A14" s="0" t="n">
        <v>-100</v>
      </c>
      <c r="B14" s="0" t="n">
        <v>-50</v>
      </c>
      <c r="C14" s="0" t="n">
        <f aca="false">Supuestos!$B$13</f>
        <v>0.85</v>
      </c>
      <c r="D14" s="0" t="s">
        <v>111</v>
      </c>
      <c r="E14" s="0" t="n">
        <f aca="false">(1-Supuestos!C$28)*((1+((1+Supuestos!C$26)/(1+Supuestos!$B$4)-1+Supuestos!$B$14*$A14/10000))*(1+Supuestos!$B$4+$B14/10000)-1)+Supuestos!C$28*((1+Supuestos!C$27+$A14/10000)*(1+Supuestos!$B$4+$B14/10000)-1)*(1-Supuestos!$B$6)</f>
        <v>0.0904536411968264</v>
      </c>
      <c r="F14" s="0" t="n">
        <f aca="false">(1-Supuestos!D$28)*((1+((1+Supuestos!D$26)/(1+Supuestos!$B$4)-1+Supuestos!$B$14*$A14/10000))*(1+Supuestos!$B$4+$B14/10000)-1)+Supuestos!D$28*((1+Supuestos!D$27+$A14/10000)*(1+Supuestos!$B$4+$B14/10000)-1)*(1-Supuestos!$B$6)</f>
        <v>0.0902196404014703</v>
      </c>
      <c r="G14" s="0" t="n">
        <f aca="false">(1-Supuestos!E$28)*((1+((1+Supuestos!E$26)/(1+Supuestos!$B$4)-1+Supuestos!$B$14*$A14/10000))*(1+Supuestos!$B$4+$B14/10000)-1)+Supuestos!E$28*((1+Supuestos!E$27+$A14/10000)*(1+Supuestos!$B$4+$B14/10000)-1)*(1-Supuestos!$B$6)</f>
        <v>0.0900012421051661</v>
      </c>
      <c r="H14" s="0" t="n">
        <f aca="false">(1-Supuestos!F$28)*((1+((1+Supuestos!F$26)/(1+Supuestos!$B$4)-1+Supuestos!$B$14*$A14/10000))*(1+Supuestos!$B$4+$B14/10000)-1)+Supuestos!F$28*((1+Supuestos!F$27+$A14/10000)*(1+Supuestos!$B$4+$B14/10000)-1)*(1-Supuestos!$B$6)</f>
        <v>0.0897978664386818</v>
      </c>
      <c r="I14" s="0" t="n">
        <f aca="false">(1-Supuestos!G$28)*((1+((1+Supuestos!G$26)/(1+Supuestos!$B$4)-1+Supuestos!$B$14*$A14/10000))*(1+Supuestos!$B$4+$B14/10000)-1)+Supuestos!G$28*((1+Supuestos!G$27+$A14/10000)*(1+Supuestos!$B$4+$B14/10000)-1)*(1-Supuestos!$B$6)</f>
        <v>0.0896089619157333</v>
      </c>
      <c r="J14" s="0" t="n">
        <f aca="false">(1-Supuestos!H$28)*((1+((1+Supuestos!H$26)/(1+Supuestos!$B$4)-1+Supuestos!$B$14*$A14/10000))*(1+Supuestos!$B$4+$B14/10000)-1)+Supuestos!H$28*((1+Supuestos!H$27+$A14/10000)*(1+Supuestos!$B$4+$B14/10000)-1)*(1-Supuestos!$B$6)</f>
        <v>0.0894340037174013</v>
      </c>
      <c r="K14" s="0" t="n">
        <f aca="false">(1-Supuestos!I$28)*((1+((1+Supuestos!I$26)/(1+Supuestos!$B$4)-1+Supuestos!$B$14*$A14/10000))*(1+Supuestos!$B$4+$B14/10000)-1)+Supuestos!I$28*((1+Supuestos!I$27+$A14/10000)*(1+Supuestos!$B$4+$B14/10000)-1)*(1-Supuestos!$B$6)</f>
        <v>0.0894340037174013</v>
      </c>
      <c r="L14" s="0" t="n">
        <f aca="false">(1+E14)^-Supuestos!C$24</f>
        <v>0.957627031146704</v>
      </c>
      <c r="M14" s="0" t="n">
        <f aca="false">L14*(1+F14)^-Supuestos!D$24</f>
        <v>0.878379911403963</v>
      </c>
      <c r="N14" s="0" t="n">
        <f aca="false">M14*(1+G14)^-Supuestos!E$24</f>
        <v>0.805852211422723</v>
      </c>
      <c r="O14" s="0" t="n">
        <f aca="false">N14*(1+H14)^-Supuestos!F$24</f>
        <v>0.739451081929664</v>
      </c>
      <c r="P14" s="0" t="n">
        <f aca="false">O14*(1+I14)^-Supuestos!G$24</f>
        <v>0.67863895009598</v>
      </c>
      <c r="Q14" s="0" t="n">
        <f aca="false">P14*(1+J14)^-Supuestos!H$24</f>
        <v>0.622928004615522</v>
      </c>
      <c r="R14" s="0" t="n">
        <f aca="false">(1+E14)^-(Supuestos!C$24/2)</f>
        <v>0.978584197270068</v>
      </c>
      <c r="S14" s="0" t="n">
        <f aca="false">L14*(1+F14)^-(Supuestos!D$24/2)</f>
        <v>0.917147941597582</v>
      </c>
      <c r="T14" s="0" t="n">
        <f aca="false">M14*(1+G14)^-(Supuestos!E$24/2)</f>
        <v>0.841334888183165</v>
      </c>
      <c r="U14" s="0" t="n">
        <f aca="false">N14*(1+H14)^-(Supuestos!F$24/2)</f>
        <v>0.771938008917779</v>
      </c>
      <c r="V14" s="0" t="n">
        <f aca="false">O14*(1+I14)^-(Supuestos!G$24/2)</f>
        <v>0.708392762447559</v>
      </c>
      <c r="W14" s="0" t="n">
        <f aca="false">P14*(1+J14)^-(Supuestos!H$24/2)</f>
        <v>0.650187055421486</v>
      </c>
      <c r="X14" s="0" t="n">
        <f aca="false">Supuestos!C$23*(1-$C14+$C14*((1+Supuestos!$B$4+$B14/10000)/(1+Supuestos!$B$4))^Supuestos!C$25)</f>
        <v>113308.497486598</v>
      </c>
      <c r="Y14" s="0" t="n">
        <f aca="false">Supuestos!D$23*(1-$C14+$C14*((1+Supuestos!$B$4+$B14/10000)/(1+Supuestos!$B$4))^Supuestos!D$25)</f>
        <v>198617.508404832</v>
      </c>
      <c r="Z14" s="0" t="n">
        <f aca="false">Supuestos!E$23*(1-$C14+$C14*((1+Supuestos!$B$4+$B14/10000)/(1+Supuestos!$B$4))^Supuestos!E$25)</f>
        <v>257549.866851862</v>
      </c>
      <c r="AA14" s="0" t="n">
        <f aca="false">Supuestos!F$23*(1-$C14+$C14*((1+Supuestos!$B$4+$B14/10000)/(1+Supuestos!$B$4))^Supuestos!F$25)</f>
        <v>370697.173557567</v>
      </c>
      <c r="AB14" s="0" t="n">
        <f aca="false">Supuestos!G$23*(1-$C14+$C14*((1+Supuestos!$B$4+$B14/10000)/(1+Supuestos!$B$4))^Supuestos!G$25)</f>
        <v>370889.933274639</v>
      </c>
      <c r="AC14" s="0" t="n">
        <f aca="false">Supuestos!H$23*(1-$C14+$C14*((1+Supuestos!$B$4+$B14/10000)/(1+Supuestos!$B$4))^Supuestos!H$25)</f>
        <v>390569.053482996</v>
      </c>
      <c r="AD14" s="0" t="n">
        <f aca="false">Supuestos!I$23*(1-$C14+$C14*((1+Supuestos!$B$4+$B14/10000)/(1+Supuestos!$B$4))^Supuestos!I$25)</f>
        <v>515900.652433643</v>
      </c>
      <c r="AE14" s="0" t="n">
        <f aca="false">SUMPRODUCT(X14:AC14,R14:W14)</f>
        <v>1312563.15777169</v>
      </c>
      <c r="AF14" s="0" t="n">
        <f aca="false">(1+Supuestos!$B$5)/(1+Supuestos!$B$4)*(1+Supuestos!$B$4+$B14/10000)-1</f>
        <v>0.0250000000000001</v>
      </c>
      <c r="AG14" s="0" t="n">
        <f aca="false">AD14/(K14-AF14)</f>
        <v>8006652.11952858</v>
      </c>
      <c r="AH14" s="0" t="n">
        <f aca="false">AG14*Q14</f>
        <v>4987567.82846858</v>
      </c>
      <c r="AI14" s="0" t="n">
        <f aca="false">(AE14+AH14-Supuestos!$B$7-Supuestos!$B$8)/Supuestos!$B$9</f>
        <v>2266.46118093163</v>
      </c>
      <c r="AJ14" s="0" t="n">
        <f aca="false">AI14/AI$5-1</f>
        <v>0.220619634283707</v>
      </c>
    </row>
    <row r="15" customFormat="false" ht="15" hidden="false" customHeight="false" outlineLevel="0" collapsed="false">
      <c r="A15" s="0" t="n">
        <v>-50</v>
      </c>
      <c r="B15" s="0" t="n">
        <v>-50</v>
      </c>
      <c r="C15" s="0" t="n">
        <f aca="false">Supuestos!$B$13</f>
        <v>0.85</v>
      </c>
      <c r="D15" s="0" t="s">
        <v>111</v>
      </c>
      <c r="E15" s="0" t="n">
        <f aca="false">(1-Supuestos!C$28)*((1+((1+Supuestos!C$26)/(1+Supuestos!$B$4)-1+Supuestos!$B$14*$A15/10000))*(1+Supuestos!$B$4+$B15/10000)-1)+Supuestos!C$28*((1+Supuestos!C$27+$A15/10000)*(1+Supuestos!$B$4+$B15/10000)-1)*(1-Supuestos!$B$6)</f>
        <v>0.0953408230607697</v>
      </c>
      <c r="F15" s="0" t="n">
        <f aca="false">(1-Supuestos!D$28)*((1+((1+Supuestos!D$26)/(1+Supuestos!$B$4)-1+Supuestos!$B$14*$A15/10000))*(1+Supuestos!$B$4+$B15/10000)-1)+Supuestos!D$28*((1+Supuestos!D$27+$A15/10000)*(1+Supuestos!$B$4+$B15/10000)-1)*(1-Supuestos!$B$6)</f>
        <v>0.0950922653484599</v>
      </c>
      <c r="G15" s="0" t="n">
        <f aca="false">(1-Supuestos!E$28)*((1+((1+Supuestos!E$26)/(1+Supuestos!$B$4)-1+Supuestos!$B$14*$A15/10000))*(1+Supuestos!$B$4+$B15/10000)-1)+Supuestos!E$28*((1+Supuestos!E$27+$A15/10000)*(1+Supuestos!$B$4+$B15/10000)-1)*(1-Supuestos!$B$6)</f>
        <v>0.0948596753327548</v>
      </c>
      <c r="H15" s="0" t="n">
        <f aca="false">(1-Supuestos!F$28)*((1+((1+Supuestos!F$26)/(1+Supuestos!$B$4)-1+Supuestos!$B$14*$A15/10000))*(1+Supuestos!$B$4+$B15/10000)-1)+Supuestos!F$28*((1+Supuestos!F$27+$A15/10000)*(1+Supuestos!$B$4+$B15/10000)-1)*(1-Supuestos!$B$6)</f>
        <v>0.0946424595717994</v>
      </c>
      <c r="I15" s="0" t="n">
        <f aca="false">(1-Supuestos!G$28)*((1+((1+Supuestos!G$26)/(1+Supuestos!$B$4)-1+Supuestos!$B$14*$A15/10000))*(1+Supuestos!$B$4+$B15/10000)-1)+Supuestos!G$28*((1+Supuestos!G$27+$A15/10000)*(1+Supuestos!$B$4+$B15/10000)-1)*(1-Supuestos!$B$6)</f>
        <v>0.094440053671029</v>
      </c>
      <c r="J15" s="0" t="n">
        <f aca="false">(1-Supuestos!H$28)*((1+((1+Supuestos!H$26)/(1+Supuestos!$B$4)-1+Supuestos!$B$14*$A15/10000))*(1+Supuestos!$B$4+$B15/10000)-1)+Supuestos!H$28*((1+Supuestos!H$27+$A15/10000)*(1+Supuestos!$B$4+$B15/10000)-1)*(1-Supuestos!$B$6)</f>
        <v>0.0942519205274297</v>
      </c>
      <c r="K15" s="0" t="n">
        <f aca="false">(1-Supuestos!I$28)*((1+((1+Supuestos!I$26)/(1+Supuestos!$B$4)-1+Supuestos!$B$14*$A15/10000))*(1+Supuestos!$B$4+$B15/10000)-1)+Supuestos!I$28*((1+Supuestos!I$27+$A15/10000)*(1+Supuestos!$B$4+$B15/10000)-1)*(1-Supuestos!$B$6)</f>
        <v>0.0942519205274297</v>
      </c>
      <c r="L15" s="0" t="n">
        <f aca="false">(1+E15)^-Supuestos!C$24</f>
        <v>0.955488276960164</v>
      </c>
      <c r="M15" s="0" t="n">
        <f aca="false">L15*(1+F15)^-Supuestos!D$24</f>
        <v>0.872518514826809</v>
      </c>
      <c r="N15" s="0" t="n">
        <f aca="false">M15*(1+G15)^-Supuestos!E$24</f>
        <v>0.796922687431729</v>
      </c>
      <c r="O15" s="0" t="n">
        <f aca="false">N15*(1+H15)^-Supuestos!F$24</f>
        <v>0.728020990290718</v>
      </c>
      <c r="P15" s="0" t="n">
        <f aca="false">O15*(1+I15)^-Supuestos!G$24</f>
        <v>0.665199512617207</v>
      </c>
      <c r="Q15" s="0" t="n">
        <f aca="false">P15*(1+J15)^-Supuestos!H$24</f>
        <v>0.607903445393617</v>
      </c>
      <c r="R15" s="0" t="n">
        <f aca="false">(1+E15)^-(Supuestos!C$24/2)</f>
        <v>0.977490806586008</v>
      </c>
      <c r="S15" s="0" t="n">
        <f aca="false">L15*(1+F15)^-(Supuestos!D$24/2)</f>
        <v>0.913061450477299</v>
      </c>
      <c r="T15" s="0" t="n">
        <f aca="false">M15*(1+G15)^-(Supuestos!E$24/2)</f>
        <v>0.833864377263906</v>
      </c>
      <c r="U15" s="0" t="n">
        <f aca="false">N15*(1+H15)^-(Supuestos!F$24/2)</f>
        <v>0.761693142997354</v>
      </c>
      <c r="V15" s="0" t="n">
        <f aca="false">O15*(1+I15)^-(Supuestos!G$24/2)</f>
        <v>0.69590172288656</v>
      </c>
      <c r="W15" s="0" t="n">
        <f aca="false">P15*(1+J15)^-(Supuestos!H$24/2)</f>
        <v>0.635906499097277</v>
      </c>
      <c r="X15" s="0" t="n">
        <f aca="false">Supuestos!C$23*(1-$C15+$C15*((1+Supuestos!$B$4+$B15/10000)/(1+Supuestos!$B$4))^Supuestos!C$25)</f>
        <v>113308.497486598</v>
      </c>
      <c r="Y15" s="0" t="n">
        <f aca="false">Supuestos!D$23*(1-$C15+$C15*((1+Supuestos!$B$4+$B15/10000)/(1+Supuestos!$B$4))^Supuestos!D$25)</f>
        <v>198617.508404832</v>
      </c>
      <c r="Z15" s="0" t="n">
        <f aca="false">Supuestos!E$23*(1-$C15+$C15*((1+Supuestos!$B$4+$B15/10000)/(1+Supuestos!$B$4))^Supuestos!E$25)</f>
        <v>257549.866851862</v>
      </c>
      <c r="AA15" s="0" t="n">
        <f aca="false">Supuestos!F$23*(1-$C15+$C15*((1+Supuestos!$B$4+$B15/10000)/(1+Supuestos!$B$4))^Supuestos!F$25)</f>
        <v>370697.173557567</v>
      </c>
      <c r="AB15" s="0" t="n">
        <f aca="false">Supuestos!G$23*(1-$C15+$C15*((1+Supuestos!$B$4+$B15/10000)/(1+Supuestos!$B$4))^Supuestos!G$25)</f>
        <v>370889.933274639</v>
      </c>
      <c r="AC15" s="0" t="n">
        <f aca="false">Supuestos!H$23*(1-$C15+$C15*((1+Supuestos!$B$4+$B15/10000)/(1+Supuestos!$B$4))^Supuestos!H$25)</f>
        <v>390569.053482996</v>
      </c>
      <c r="AD15" s="0" t="n">
        <f aca="false">Supuestos!I$23*(1-$C15+$C15*((1+Supuestos!$B$4+$B15/10000)/(1+Supuestos!$B$4))^Supuestos!I$25)</f>
        <v>515900.652433643</v>
      </c>
      <c r="AE15" s="0" t="n">
        <f aca="false">SUMPRODUCT(X15:AC15,R15:W15)</f>
        <v>1295695.50250287</v>
      </c>
      <c r="AF15" s="0" t="n">
        <f aca="false">(1+Supuestos!$B$5)/(1+Supuestos!$B$4)*(1+Supuestos!$B$4+$B15/10000)-1</f>
        <v>0.0250000000000001</v>
      </c>
      <c r="AG15" s="0" t="n">
        <f aca="false">AD15/(K15-AF15)</f>
        <v>7449622.31378554</v>
      </c>
      <c r="AH15" s="0" t="n">
        <f aca="false">AG15*Q15</f>
        <v>4528651.0714314</v>
      </c>
      <c r="AI15" s="0" t="n">
        <f aca="false">(AE15+AH15-Supuestos!$B$7-Supuestos!$B$8)/Supuestos!$B$9</f>
        <v>2049.20802462752</v>
      </c>
      <c r="AJ15" s="0" t="n">
        <f aca="false">AI15/AI$5-1</f>
        <v>0.103616320736594</v>
      </c>
    </row>
    <row r="16" customFormat="false" ht="15" hidden="false" customHeight="false" outlineLevel="0" collapsed="false">
      <c r="A16" s="0" t="n">
        <v>0</v>
      </c>
      <c r="B16" s="0" t="n">
        <v>-50</v>
      </c>
      <c r="C16" s="0" t="n">
        <f aca="false">Supuestos!$B$13</f>
        <v>0.85</v>
      </c>
      <c r="D16" s="0" t="s">
        <v>111</v>
      </c>
      <c r="E16" s="0" t="n">
        <f aca="false">(1-Supuestos!C$28)*((1+((1+Supuestos!C$26)/(1+Supuestos!$B$4)-1+Supuestos!$B$14*$A16/10000))*(1+Supuestos!$B$4+$B16/10000)-1)+Supuestos!C$28*((1+Supuestos!C$27+$A16/10000)*(1+Supuestos!$B$4+$B16/10000)-1)*(1-Supuestos!$B$6)</f>
        <v>0.100228004924713</v>
      </c>
      <c r="F16" s="0" t="n">
        <f aca="false">(1-Supuestos!D$28)*((1+((1+Supuestos!D$26)/(1+Supuestos!$B$4)-1+Supuestos!$B$14*$A16/10000))*(1+Supuestos!$B$4+$B16/10000)-1)+Supuestos!D$28*((1+Supuestos!D$27+$A16/10000)*(1+Supuestos!$B$4+$B16/10000)-1)*(1-Supuestos!$B$6)</f>
        <v>0.0999648902954499</v>
      </c>
      <c r="G16" s="0" t="n">
        <f aca="false">(1-Supuestos!E$28)*((1+((1+Supuestos!E$26)/(1+Supuestos!$B$4)-1+Supuestos!$B$14*$A16/10000))*(1+Supuestos!$B$4+$B16/10000)-1)+Supuestos!E$28*((1+Supuestos!E$27+$A16/10000)*(1+Supuestos!$B$4+$B16/10000)-1)*(1-Supuestos!$B$6)</f>
        <v>0.0997181085603432</v>
      </c>
      <c r="H16" s="0" t="n">
        <f aca="false">(1-Supuestos!F$28)*((1+((1+Supuestos!F$26)/(1+Supuestos!$B$4)-1+Supuestos!$B$14*$A16/10000))*(1+Supuestos!$B$4+$B16/10000)-1)+Supuestos!F$28*((1+Supuestos!F$27+$A16/10000)*(1+Supuestos!$B$4+$B16/10000)-1)*(1-Supuestos!$B$6)</f>
        <v>0.0994870527049168</v>
      </c>
      <c r="I16" s="0" t="n">
        <f aca="false">(1-Supuestos!G$28)*((1+((1+Supuestos!G$26)/(1+Supuestos!$B$4)-1+Supuestos!$B$14*$A16/10000))*(1+Supuestos!$B$4+$B16/10000)-1)+Supuestos!G$28*((1+Supuestos!G$27+$A16/10000)*(1+Supuestos!$B$4+$B16/10000)-1)*(1-Supuestos!$B$6)</f>
        <v>0.099271145426325</v>
      </c>
      <c r="J16" s="0" t="n">
        <f aca="false">(1-Supuestos!H$28)*((1+((1+Supuestos!H$26)/(1+Supuestos!$B$4)-1+Supuestos!$B$14*$A16/10000))*(1+Supuestos!$B$4+$B16/10000)-1)+Supuestos!H$28*((1+Supuestos!H$27+$A16/10000)*(1+Supuestos!$B$4+$B16/10000)-1)*(1-Supuestos!$B$6)</f>
        <v>0.0990698373374577</v>
      </c>
      <c r="K16" s="0" t="n">
        <f aca="false">(1-Supuestos!I$28)*((1+((1+Supuestos!I$26)/(1+Supuestos!$B$4)-1+Supuestos!$B$14*$A16/10000))*(1+Supuestos!$B$4+$B16/10000)-1)+Supuestos!I$28*((1+Supuestos!I$27+$A16/10000)*(1+Supuestos!$B$4+$B16/10000)-1)*(1-Supuestos!$B$6)</f>
        <v>0.0990698373374577</v>
      </c>
      <c r="L16" s="0" t="n">
        <f aca="false">(1+E16)^-Supuestos!C$24</f>
        <v>0.95336378907465</v>
      </c>
      <c r="M16" s="0" t="n">
        <f aca="false">L16*(1+F16)^-Supuestos!D$24</f>
        <v>0.866722017662379</v>
      </c>
      <c r="N16" s="0" t="n">
        <f aca="false">M16*(1+G16)^-Supuestos!E$24</f>
        <v>0.788131077333097</v>
      </c>
      <c r="O16" s="0" t="n">
        <f aca="false">N16*(1+H16)^-Supuestos!F$24</f>
        <v>0.716817060641293</v>
      </c>
      <c r="P16" s="0" t="n">
        <f aca="false">O16*(1+I16)^-Supuestos!G$24</f>
        <v>0.652083940912771</v>
      </c>
      <c r="Q16" s="0" t="n">
        <f aca="false">P16*(1+J16)^-Supuestos!H$24</f>
        <v>0.593305283031396</v>
      </c>
      <c r="R16" s="0" t="n">
        <f aca="false">(1+E16)^-(Supuestos!C$24/2)</f>
        <v>0.976403497061871</v>
      </c>
      <c r="S16" s="0" t="n">
        <f aca="false">L16*(1+F16)^-(Supuestos!D$24/2)</f>
        <v>0.909011213810386</v>
      </c>
      <c r="T16" s="0" t="n">
        <f aca="false">M16*(1+G16)^-(Supuestos!E$24/2)</f>
        <v>0.826492926484291</v>
      </c>
      <c r="U16" s="0" t="n">
        <f aca="false">N16*(1+H16)^-(Supuestos!F$24/2)</f>
        <v>0.751628766249647</v>
      </c>
      <c r="V16" s="0" t="n">
        <f aca="false">O16*(1+I16)^-(Supuestos!G$24/2)</f>
        <v>0.683684791271887</v>
      </c>
      <c r="W16" s="0" t="n">
        <f aca="false">P16*(1+J16)^-(Supuestos!H$24/2)</f>
        <v>0.622000680967054</v>
      </c>
      <c r="X16" s="0" t="n">
        <f aca="false">Supuestos!C$23*(1-$C16+$C16*((1+Supuestos!$B$4+$B16/10000)/(1+Supuestos!$B$4))^Supuestos!C$25)</f>
        <v>113308.497486598</v>
      </c>
      <c r="Y16" s="0" t="n">
        <f aca="false">Supuestos!D$23*(1-$C16+$C16*((1+Supuestos!$B$4+$B16/10000)/(1+Supuestos!$B$4))^Supuestos!D$25)</f>
        <v>198617.508404832</v>
      </c>
      <c r="Z16" s="0" t="n">
        <f aca="false">Supuestos!E$23*(1-$C16+$C16*((1+Supuestos!$B$4+$B16/10000)/(1+Supuestos!$B$4))^Supuestos!E$25)</f>
        <v>257549.866851862</v>
      </c>
      <c r="AA16" s="0" t="n">
        <f aca="false">Supuestos!F$23*(1-$C16+$C16*((1+Supuestos!$B$4+$B16/10000)/(1+Supuestos!$B$4))^Supuestos!F$25)</f>
        <v>370697.173557567</v>
      </c>
      <c r="AB16" s="0" t="n">
        <f aca="false">Supuestos!G$23*(1-$C16+$C16*((1+Supuestos!$B$4+$B16/10000)/(1+Supuestos!$B$4))^Supuestos!G$25)</f>
        <v>370889.933274639</v>
      </c>
      <c r="AC16" s="0" t="n">
        <f aca="false">Supuestos!H$23*(1-$C16+$C16*((1+Supuestos!$B$4+$B16/10000)/(1+Supuestos!$B$4))^Supuestos!H$25)</f>
        <v>390569.053482996</v>
      </c>
      <c r="AD16" s="0" t="n">
        <f aca="false">Supuestos!I$23*(1-$C16+$C16*((1+Supuestos!$B$4+$B16/10000)/(1+Supuestos!$B$4))^Supuestos!I$25)</f>
        <v>515900.652433643</v>
      </c>
      <c r="AE16" s="0" t="n">
        <f aca="false">SUMPRODUCT(X16:AC16,R16:W16)</f>
        <v>1279176.18182195</v>
      </c>
      <c r="AF16" s="0" t="n">
        <f aca="false">(1+Supuestos!$B$5)/(1+Supuestos!$B$4)*(1+Supuestos!$B$4+$B16/10000)-1</f>
        <v>0.0250000000000001</v>
      </c>
      <c r="AG16" s="0" t="n">
        <f aca="false">AD16/(K16-AF16)</f>
        <v>6965057.1808769</v>
      </c>
      <c r="AH16" s="0" t="n">
        <f aca="false">AG16*Q16</f>
        <v>4132405.22203002</v>
      </c>
      <c r="AI16" s="0" t="n">
        <f aca="false">(AE16+AH16-Supuestos!$B$7-Supuestos!$B$8)/Supuestos!$B$9</f>
        <v>1860.7307780146</v>
      </c>
      <c r="AJ16" s="0" t="n">
        <f aca="false">AI16/AI$5-1</f>
        <v>0.00211048875190589</v>
      </c>
    </row>
    <row r="17" customFormat="false" ht="15" hidden="false" customHeight="false" outlineLevel="0" collapsed="false">
      <c r="A17" s="0" t="n">
        <v>50</v>
      </c>
      <c r="B17" s="0" t="n">
        <v>-50</v>
      </c>
      <c r="C17" s="0" t="n">
        <f aca="false">Supuestos!$B$13</f>
        <v>0.85</v>
      </c>
      <c r="D17" s="0" t="s">
        <v>111</v>
      </c>
      <c r="E17" s="0" t="n">
        <f aca="false">(1-Supuestos!C$28)*((1+((1+Supuestos!C$26)/(1+Supuestos!$B$4)-1+Supuestos!$B$14*$A17/10000))*(1+Supuestos!$B$4+$B17/10000)-1)+Supuestos!C$28*((1+Supuestos!C$27+$A17/10000)*(1+Supuestos!$B$4+$B17/10000)-1)*(1-Supuestos!$B$6)</f>
        <v>0.105115186788657</v>
      </c>
      <c r="F17" s="0" t="n">
        <f aca="false">(1-Supuestos!D$28)*((1+((1+Supuestos!D$26)/(1+Supuestos!$B$4)-1+Supuestos!$B$14*$A17/10000))*(1+Supuestos!$B$4+$B17/10000)-1)+Supuestos!D$28*((1+Supuestos!D$27+$A17/10000)*(1+Supuestos!$B$4+$B17/10000)-1)*(1-Supuestos!$B$6)</f>
        <v>0.10483751524244</v>
      </c>
      <c r="G17" s="0" t="n">
        <f aca="false">(1-Supuestos!E$28)*((1+((1+Supuestos!E$26)/(1+Supuestos!$B$4)-1+Supuestos!$B$14*$A17/10000))*(1+Supuestos!$B$4+$B17/10000)-1)+Supuestos!E$28*((1+Supuestos!E$27+$A17/10000)*(1+Supuestos!$B$4+$B17/10000)-1)*(1-Supuestos!$B$6)</f>
        <v>0.104576541787932</v>
      </c>
      <c r="H17" s="0" t="n">
        <f aca="false">(1-Supuestos!F$28)*((1+((1+Supuestos!F$26)/(1+Supuestos!$B$4)-1+Supuestos!$B$14*$A17/10000))*(1+Supuestos!$B$4+$B17/10000)-1)+Supuestos!F$28*((1+Supuestos!F$27+$A17/10000)*(1+Supuestos!$B$4+$B17/10000)-1)*(1-Supuestos!$B$6)</f>
        <v>0.104331645838034</v>
      </c>
      <c r="I17" s="0" t="n">
        <f aca="false">(1-Supuestos!G$28)*((1+((1+Supuestos!G$26)/(1+Supuestos!$B$4)-1+Supuestos!$B$14*$A17/10000))*(1+Supuestos!$B$4+$B17/10000)-1)+Supuestos!G$28*((1+Supuestos!G$27+$A17/10000)*(1+Supuestos!$B$4+$B17/10000)-1)*(1-Supuestos!$B$6)</f>
        <v>0.104102237181621</v>
      </c>
      <c r="J17" s="0" t="n">
        <f aca="false">(1-Supuestos!H$28)*((1+((1+Supuestos!H$26)/(1+Supuestos!$B$4)-1+Supuestos!$B$14*$A17/10000))*(1+Supuestos!$B$4+$B17/10000)-1)+Supuestos!H$28*((1+Supuestos!H$27+$A17/10000)*(1+Supuestos!$B$4+$B17/10000)-1)*(1-Supuestos!$B$6)</f>
        <v>0.103887754147486</v>
      </c>
      <c r="K17" s="0" t="n">
        <f aca="false">(1-Supuestos!I$28)*((1+((1+Supuestos!I$26)/(1+Supuestos!$B$4)-1+Supuestos!$B$14*$A17/10000))*(1+Supuestos!$B$4+$B17/10000)-1)+Supuestos!I$28*((1+Supuestos!I$27+$A17/10000)*(1+Supuestos!$B$4+$B17/10000)-1)*(1-Supuestos!$B$6)</f>
        <v>0.103887754147486</v>
      </c>
      <c r="L17" s="0" t="n">
        <f aca="false">(1+E17)^-Supuestos!C$24</f>
        <v>0.951253409589478</v>
      </c>
      <c r="M17" s="0" t="n">
        <f aca="false">L17*(1+F17)^-Supuestos!D$24</f>
        <v>0.860989418322513</v>
      </c>
      <c r="N17" s="0" t="n">
        <f aca="false">M17*(1+G17)^-Supuestos!E$24</f>
        <v>0.779474654539436</v>
      </c>
      <c r="O17" s="0" t="n">
        <f aca="false">N17*(1+H17)^-Supuestos!F$24</f>
        <v>0.705833847537641</v>
      </c>
      <c r="P17" s="0" t="n">
        <f aca="false">O17*(1+I17)^-Supuestos!G$24</f>
        <v>0.639283051666831</v>
      </c>
      <c r="Q17" s="0" t="n">
        <f aca="false">P17*(1+J17)^-Supuestos!H$24</f>
        <v>0.579119615436389</v>
      </c>
      <c r="R17" s="0" t="n">
        <f aca="false">(1+E17)^-(Supuestos!C$24/2)</f>
        <v>0.975322208087911</v>
      </c>
      <c r="S17" s="0" t="n">
        <f aca="false">L17*(1+F17)^-(Supuestos!D$24/2)</f>
        <v>0.90499675126475</v>
      </c>
      <c r="T17" s="0" t="n">
        <f aca="false">M17*(1+G17)^-(Supuestos!E$24/2)</f>
        <v>0.81921879214838</v>
      </c>
      <c r="U17" s="0" t="n">
        <f aca="false">N17*(1+H17)^-(Supuestos!F$24/2)</f>
        <v>0.741740921394825</v>
      </c>
      <c r="V17" s="0" t="n">
        <f aca="false">O17*(1+I17)^-(Supuestos!G$24/2)</f>
        <v>0.67173478101376</v>
      </c>
      <c r="W17" s="0" t="n">
        <f aca="false">P17*(1+J17)^-(Supuestos!H$24/2)</f>
        <v>0.608458178543354</v>
      </c>
      <c r="X17" s="0" t="n">
        <f aca="false">Supuestos!C$23*(1-$C17+$C17*((1+Supuestos!$B$4+$B17/10000)/(1+Supuestos!$B$4))^Supuestos!C$25)</f>
        <v>113308.497486598</v>
      </c>
      <c r="Y17" s="0" t="n">
        <f aca="false">Supuestos!D$23*(1-$C17+$C17*((1+Supuestos!$B$4+$B17/10000)/(1+Supuestos!$B$4))^Supuestos!D$25)</f>
        <v>198617.508404832</v>
      </c>
      <c r="Z17" s="0" t="n">
        <f aca="false">Supuestos!E$23*(1-$C17+$C17*((1+Supuestos!$B$4+$B17/10000)/(1+Supuestos!$B$4))^Supuestos!E$25)</f>
        <v>257549.866851862</v>
      </c>
      <c r="AA17" s="0" t="n">
        <f aca="false">Supuestos!F$23*(1-$C17+$C17*((1+Supuestos!$B$4+$B17/10000)/(1+Supuestos!$B$4))^Supuestos!F$25)</f>
        <v>370697.173557567</v>
      </c>
      <c r="AB17" s="0" t="n">
        <f aca="false">Supuestos!G$23*(1-$C17+$C17*((1+Supuestos!$B$4+$B17/10000)/(1+Supuestos!$B$4))^Supuestos!G$25)</f>
        <v>370889.933274639</v>
      </c>
      <c r="AC17" s="0" t="n">
        <f aca="false">Supuestos!H$23*(1-$C17+$C17*((1+Supuestos!$B$4+$B17/10000)/(1+Supuestos!$B$4))^Supuestos!H$25)</f>
        <v>390569.053482996</v>
      </c>
      <c r="AD17" s="0" t="n">
        <f aca="false">Supuestos!I$23*(1-$C17+$C17*((1+Supuestos!$B$4+$B17/10000)/(1+Supuestos!$B$4))^Supuestos!I$25)</f>
        <v>515900.652433643</v>
      </c>
      <c r="AE17" s="0" t="n">
        <f aca="false">SUMPRODUCT(X17:AC17,R17:W17)</f>
        <v>1262996.05071394</v>
      </c>
      <c r="AF17" s="0" t="n">
        <f aca="false">(1+Supuestos!$B$5)/(1+Supuestos!$B$4)*(1+Supuestos!$B$4+$B17/10000)-1</f>
        <v>0.0250000000000001</v>
      </c>
      <c r="AG17" s="0" t="n">
        <f aca="false">AD17/(K17-AF17)</f>
        <v>6539679.80212916</v>
      </c>
      <c r="AH17" s="0" t="n">
        <f aca="false">AG17*Q17</f>
        <v>3787256.85208616</v>
      </c>
      <c r="AI17" s="0" t="n">
        <f aca="false">(AE17+AH17-Supuestos!$B$7-Supuestos!$B$8)/Supuestos!$B$9</f>
        <v>1695.74059488589</v>
      </c>
      <c r="AJ17" s="0" t="n">
        <f aca="false">AI17/AI$5-1</f>
        <v>-0.0867462093840776</v>
      </c>
    </row>
    <row r="18" customFormat="false" ht="15" hidden="false" customHeight="false" outlineLevel="0" collapsed="false">
      <c r="A18" s="0" t="n">
        <v>100</v>
      </c>
      <c r="B18" s="0" t="n">
        <v>-50</v>
      </c>
      <c r="C18" s="0" t="n">
        <f aca="false">Supuestos!$B$13</f>
        <v>0.85</v>
      </c>
      <c r="D18" s="0" t="s">
        <v>111</v>
      </c>
      <c r="E18" s="0" t="n">
        <f aca="false">(1-Supuestos!C$28)*((1+((1+Supuestos!C$26)/(1+Supuestos!$B$4)-1+Supuestos!$B$14*$A18/10000))*(1+Supuestos!$B$4+$B18/10000)-1)+Supuestos!C$28*((1+Supuestos!C$27+$A18/10000)*(1+Supuestos!$B$4+$B18/10000)-1)*(1-Supuestos!$B$6)</f>
        <v>0.1100023686526</v>
      </c>
      <c r="F18" s="0" t="n">
        <f aca="false">(1-Supuestos!D$28)*((1+((1+Supuestos!D$26)/(1+Supuestos!$B$4)-1+Supuestos!$B$14*$A18/10000))*(1+Supuestos!$B$4+$B18/10000)-1)+Supuestos!D$28*((1+Supuestos!D$27+$A18/10000)*(1+Supuestos!$B$4+$B18/10000)-1)*(1-Supuestos!$B$6)</f>
        <v>0.109710140189429</v>
      </c>
      <c r="G18" s="0" t="n">
        <f aca="false">(1-Supuestos!E$28)*((1+((1+Supuestos!E$26)/(1+Supuestos!$B$4)-1+Supuestos!$B$14*$A18/10000))*(1+Supuestos!$B$4+$B18/10000)-1)+Supuestos!E$28*((1+Supuestos!E$27+$A18/10000)*(1+Supuestos!$B$4+$B18/10000)-1)*(1-Supuestos!$B$6)</f>
        <v>0.10943497501552</v>
      </c>
      <c r="H18" s="0" t="n">
        <f aca="false">(1-Supuestos!F$28)*((1+((1+Supuestos!F$26)/(1+Supuestos!$B$4)-1+Supuestos!$B$14*$A18/10000))*(1+Supuestos!$B$4+$B18/10000)-1)+Supuestos!F$28*((1+Supuestos!F$27+$A18/10000)*(1+Supuestos!$B$4+$B18/10000)-1)*(1-Supuestos!$B$6)</f>
        <v>0.109176238971152</v>
      </c>
      <c r="I18" s="0" t="n">
        <f aca="false">(1-Supuestos!G$28)*((1+((1+Supuestos!G$26)/(1+Supuestos!$B$4)-1+Supuestos!$B$14*$A18/10000))*(1+Supuestos!$B$4+$B18/10000)-1)+Supuestos!G$28*((1+Supuestos!G$27+$A18/10000)*(1+Supuestos!$B$4+$B18/10000)-1)*(1-Supuestos!$B$6)</f>
        <v>0.108933328936917</v>
      </c>
      <c r="J18" s="0" t="n">
        <f aca="false">(1-Supuestos!H$28)*((1+((1+Supuestos!H$26)/(1+Supuestos!$B$4)-1+Supuestos!$B$14*$A18/10000))*(1+Supuestos!$B$4+$B18/10000)-1)+Supuestos!H$28*((1+Supuestos!H$27+$A18/10000)*(1+Supuestos!$B$4+$B18/10000)-1)*(1-Supuestos!$B$6)</f>
        <v>0.108705670957514</v>
      </c>
      <c r="K18" s="0" t="n">
        <f aca="false">(1-Supuestos!I$28)*((1+((1+Supuestos!I$26)/(1+Supuestos!$B$4)-1+Supuestos!$B$14*$A18/10000))*(1+Supuestos!$B$4+$B18/10000)-1)+Supuestos!I$28*((1+Supuestos!I$27+$A18/10000)*(1+Supuestos!$B$4+$B18/10000)-1)*(1-Supuestos!$B$6)</f>
        <v>0.108705670957514</v>
      </c>
      <c r="L18" s="0" t="n">
        <f aca="false">(1+E18)^-Supuestos!C$24</f>
        <v>0.949156983039906</v>
      </c>
      <c r="M18" s="0" t="n">
        <f aca="false">L18*(1+F18)^-Supuestos!D$24</f>
        <v>0.855319735005651</v>
      </c>
      <c r="N18" s="0" t="n">
        <f aca="false">M18*(1+G18)^-Supuestos!E$24</f>
        <v>0.770950758059241</v>
      </c>
      <c r="O18" s="0" t="n">
        <f aca="false">N18*(1+H18)^-Supuestos!F$24</f>
        <v>0.695066059812423</v>
      </c>
      <c r="P18" s="0" t="n">
        <f aca="false">O18*(1+I18)^-Supuestos!G$24</f>
        <v>0.62678796071424</v>
      </c>
      <c r="Q18" s="0" t="n">
        <f aca="false">P18*(1+J18)^-Supuestos!H$24</f>
        <v>0.565333051983874</v>
      </c>
      <c r="R18" s="0" t="n">
        <f aca="false">(1+E18)^-(Supuestos!C$24/2)</f>
        <v>0.974246879923106</v>
      </c>
      <c r="S18" s="0" t="n">
        <f aca="false">L18*(1+F18)^-(Supuestos!D$24/2)</f>
        <v>0.901017590956167</v>
      </c>
      <c r="T18" s="0" t="n">
        <f aca="false">M18*(1+G18)^-(Supuestos!E$24/2)</f>
        <v>0.81204026875866</v>
      </c>
      <c r="U18" s="0" t="n">
        <f aca="false">N18*(1+H18)^-(Supuestos!F$24/2)</f>
        <v>0.732025754815797</v>
      </c>
      <c r="V18" s="0" t="n">
        <f aca="false">O18*(1+I18)^-(Supuestos!G$24/2)</f>
        <v>0.660044724387303</v>
      </c>
      <c r="W18" s="0" t="n">
        <f aca="false">P18*(1+J18)^-(Supuestos!H$24/2)</f>
        <v>0.595267965522528</v>
      </c>
      <c r="X18" s="0" t="n">
        <f aca="false">Supuestos!C$23*(1-$C18+$C18*((1+Supuestos!$B$4+$B18/10000)/(1+Supuestos!$B$4))^Supuestos!C$25)</f>
        <v>113308.497486598</v>
      </c>
      <c r="Y18" s="0" t="n">
        <f aca="false">Supuestos!D$23*(1-$C18+$C18*((1+Supuestos!$B$4+$B18/10000)/(1+Supuestos!$B$4))^Supuestos!D$25)</f>
        <v>198617.508404832</v>
      </c>
      <c r="Z18" s="0" t="n">
        <f aca="false">Supuestos!E$23*(1-$C18+$C18*((1+Supuestos!$B$4+$B18/10000)/(1+Supuestos!$B$4))^Supuestos!E$25)</f>
        <v>257549.866851862</v>
      </c>
      <c r="AA18" s="0" t="n">
        <f aca="false">Supuestos!F$23*(1-$C18+$C18*((1+Supuestos!$B$4+$B18/10000)/(1+Supuestos!$B$4))^Supuestos!F$25)</f>
        <v>370697.173557567</v>
      </c>
      <c r="AB18" s="0" t="n">
        <f aca="false">Supuestos!G$23*(1-$C18+$C18*((1+Supuestos!$B$4+$B18/10000)/(1+Supuestos!$B$4))^Supuestos!G$25)</f>
        <v>370889.933274639</v>
      </c>
      <c r="AC18" s="0" t="n">
        <f aca="false">Supuestos!H$23*(1-$C18+$C18*((1+Supuestos!$B$4+$B18/10000)/(1+Supuestos!$B$4))^Supuestos!H$25)</f>
        <v>390569.053482996</v>
      </c>
      <c r="AD18" s="0" t="n">
        <f aca="false">Supuestos!I$23*(1-$C18+$C18*((1+Supuestos!$B$4+$B18/10000)/(1+Supuestos!$B$4))^Supuestos!I$25)</f>
        <v>515900.652433643</v>
      </c>
      <c r="AE18" s="0" t="n">
        <f aca="false">SUMPRODUCT(X18:AC18,R18:W18)</f>
        <v>1247146.2501176</v>
      </c>
      <c r="AF18" s="0" t="n">
        <f aca="false">(1+Supuestos!$B$5)/(1+Supuestos!$B$4)*(1+Supuestos!$B$4+$B18/10000)-1</f>
        <v>0.0250000000000001</v>
      </c>
      <c r="AG18" s="0" t="n">
        <f aca="false">AD18/(K18-AF18)</f>
        <v>6163270.0214003</v>
      </c>
      <c r="AH18" s="0" t="n">
        <f aca="false">AG18*Q18</f>
        <v>3484300.25139894</v>
      </c>
      <c r="AI18" s="0" t="n">
        <f aca="false">(AE18+AH18-Supuestos!$B$7-Supuestos!$B$8)/Supuestos!$B$9</f>
        <v>1550.16689566966</v>
      </c>
      <c r="AJ18" s="0" t="n">
        <f aca="false">AI18/AI$5-1</f>
        <v>-0.165146014769496</v>
      </c>
    </row>
    <row r="19" customFormat="false" ht="15" hidden="false" customHeight="false" outlineLevel="0" collapsed="false">
      <c r="A19" s="0" t="n">
        <v>150</v>
      </c>
      <c r="B19" s="0" t="n">
        <v>-50</v>
      </c>
      <c r="C19" s="0" t="n">
        <f aca="false">Supuestos!$B$13</f>
        <v>0.85</v>
      </c>
      <c r="D19" s="0" t="s">
        <v>111</v>
      </c>
      <c r="E19" s="0" t="n">
        <f aca="false">(1-Supuestos!C$28)*((1+((1+Supuestos!C$26)/(1+Supuestos!$B$4)-1+Supuestos!$B$14*$A19/10000))*(1+Supuestos!$B$4+$B19/10000)-1)+Supuestos!C$28*((1+Supuestos!C$27+$A19/10000)*(1+Supuestos!$B$4+$B19/10000)-1)*(1-Supuestos!$B$6)</f>
        <v>0.114889550516543</v>
      </c>
      <c r="F19" s="0" t="n">
        <f aca="false">(1-Supuestos!D$28)*((1+((1+Supuestos!D$26)/(1+Supuestos!$B$4)-1+Supuestos!$B$14*$A19/10000))*(1+Supuestos!$B$4+$B19/10000)-1)+Supuestos!D$28*((1+Supuestos!D$27+$A19/10000)*(1+Supuestos!$B$4+$B19/10000)-1)*(1-Supuestos!$B$6)</f>
        <v>0.114582765136419</v>
      </c>
      <c r="G19" s="0" t="n">
        <f aca="false">(1-Supuestos!E$28)*((1+((1+Supuestos!E$26)/(1+Supuestos!$B$4)-1+Supuestos!$B$14*$A19/10000))*(1+Supuestos!$B$4+$B19/10000)-1)+Supuestos!E$28*((1+Supuestos!E$27+$A19/10000)*(1+Supuestos!$B$4+$B19/10000)-1)*(1-Supuestos!$B$6)</f>
        <v>0.114293408243109</v>
      </c>
      <c r="H19" s="0" t="n">
        <f aca="false">(1-Supuestos!F$28)*((1+((1+Supuestos!F$26)/(1+Supuestos!$B$4)-1+Supuestos!$B$14*$A19/10000))*(1+Supuestos!$B$4+$B19/10000)-1)+Supuestos!F$28*((1+Supuestos!F$27+$A19/10000)*(1+Supuestos!$B$4+$B19/10000)-1)*(1-Supuestos!$B$6)</f>
        <v>0.114020832104269</v>
      </c>
      <c r="I19" s="0" t="n">
        <f aca="false">(1-Supuestos!G$28)*((1+((1+Supuestos!G$26)/(1+Supuestos!$B$4)-1+Supuestos!$B$14*$A19/10000))*(1+Supuestos!$B$4+$B19/10000)-1)+Supuestos!G$28*((1+Supuestos!G$27+$A19/10000)*(1+Supuestos!$B$4+$B19/10000)-1)*(1-Supuestos!$B$6)</f>
        <v>0.113764420692212</v>
      </c>
      <c r="J19" s="0" t="n">
        <f aca="false">(1-Supuestos!H$28)*((1+((1+Supuestos!H$26)/(1+Supuestos!$B$4)-1+Supuestos!$B$14*$A19/10000))*(1+Supuestos!$B$4+$B19/10000)-1)+Supuestos!H$28*((1+Supuestos!H$27+$A19/10000)*(1+Supuestos!$B$4+$B19/10000)-1)*(1-Supuestos!$B$6)</f>
        <v>0.113523587767542</v>
      </c>
      <c r="K19" s="0" t="n">
        <f aca="false">(1-Supuestos!I$28)*((1+((1+Supuestos!I$26)/(1+Supuestos!$B$4)-1+Supuestos!$B$14*$A19/10000))*(1+Supuestos!$B$4+$B19/10000)-1)+Supuestos!I$28*((1+Supuestos!I$27+$A19/10000)*(1+Supuestos!$B$4+$B19/10000)-1)*(1-Supuestos!$B$6)</f>
        <v>0.113523587767542</v>
      </c>
      <c r="L19" s="0" t="n">
        <f aca="false">(1+E19)^-Supuestos!C$24</f>
        <v>0.947074356349026</v>
      </c>
      <c r="M19" s="0" t="n">
        <f aca="false">L19*(1+F19)^-Supuestos!D$24</f>
        <v>0.849712005221173</v>
      </c>
      <c r="N19" s="0" t="n">
        <f aca="false">M19*(1+G19)^-Supuestos!E$24</f>
        <v>0.76255679064</v>
      </c>
      <c r="O19" s="0" t="n">
        <f aca="false">N19*(1+H19)^-Supuestos!F$24</f>
        <v>0.684508555553319</v>
      </c>
      <c r="P19" s="0" t="n">
        <f aca="false">O19*(1+I19)^-Supuestos!G$24</f>
        <v>0.614590072044044</v>
      </c>
      <c r="Q19" s="0" t="n">
        <f aca="false">P19*(1+J19)^-Supuestos!H$24</f>
        <v>0.551932692576553</v>
      </c>
      <c r="R19" s="0" t="n">
        <f aca="false">(1+E19)^-(Supuestos!C$24/2)</f>
        <v>0.97317745367894</v>
      </c>
      <c r="S19" s="0" t="n">
        <f aca="false">L19*(1+F19)^-(Supuestos!D$24/2)</f>
        <v>0.897073269263377</v>
      </c>
      <c r="T19" s="0" t="n">
        <f aca="false">M19*(1+G19)^-(Supuestos!E$24/2)</f>
        <v>0.804955688016264</v>
      </c>
      <c r="U19" s="0" t="n">
        <f aca="false">N19*(1+H19)^-(Supuestos!F$24/2)</f>
        <v>0.722479513403918</v>
      </c>
      <c r="V19" s="0" t="n">
        <f aca="false">O19*(1+I19)^-(Supuestos!G$24/2)</f>
        <v>0.648607864947904</v>
      </c>
      <c r="W19" s="0" t="n">
        <f aca="false">P19*(1+J19)^-(Supuestos!H$24/2)</f>
        <v>0.582419396392399</v>
      </c>
      <c r="X19" s="0" t="n">
        <f aca="false">Supuestos!C$23*(1-$C19+$C19*((1+Supuestos!$B$4+$B19/10000)/(1+Supuestos!$B$4))^Supuestos!C$25)</f>
        <v>113308.497486598</v>
      </c>
      <c r="Y19" s="0" t="n">
        <f aca="false">Supuestos!D$23*(1-$C19+$C19*((1+Supuestos!$B$4+$B19/10000)/(1+Supuestos!$B$4))^Supuestos!D$25)</f>
        <v>198617.508404832</v>
      </c>
      <c r="Z19" s="0" t="n">
        <f aca="false">Supuestos!E$23*(1-$C19+$C19*((1+Supuestos!$B$4+$B19/10000)/(1+Supuestos!$B$4))^Supuestos!E$25)</f>
        <v>257549.866851862</v>
      </c>
      <c r="AA19" s="0" t="n">
        <f aca="false">Supuestos!F$23*(1-$C19+$C19*((1+Supuestos!$B$4+$B19/10000)/(1+Supuestos!$B$4))^Supuestos!F$25)</f>
        <v>370697.173557567</v>
      </c>
      <c r="AB19" s="0" t="n">
        <f aca="false">Supuestos!G$23*(1-$C19+$C19*((1+Supuestos!$B$4+$B19/10000)/(1+Supuestos!$B$4))^Supuestos!G$25)</f>
        <v>370889.933274639</v>
      </c>
      <c r="AC19" s="0" t="n">
        <f aca="false">Supuestos!H$23*(1-$C19+$C19*((1+Supuestos!$B$4+$B19/10000)/(1+Supuestos!$B$4))^Supuestos!H$25)</f>
        <v>390569.053482996</v>
      </c>
      <c r="AD19" s="0" t="n">
        <f aca="false">Supuestos!I$23*(1-$C19+$C19*((1+Supuestos!$B$4+$B19/10000)/(1+Supuestos!$B$4))^Supuestos!I$25)</f>
        <v>515900.652433643</v>
      </c>
      <c r="AE19" s="0" t="n">
        <f aca="false">SUMPRODUCT(X19:AC19,R19:W19)</f>
        <v>1231618.19663523</v>
      </c>
      <c r="AF19" s="0" t="n">
        <f aca="false">(1+Supuestos!$B$5)/(1+Supuestos!$B$4)*(1+Supuestos!$B$4+$B19/10000)-1</f>
        <v>0.0250000000000001</v>
      </c>
      <c r="AG19" s="0" t="n">
        <f aca="false">AD19/(K19-AF19)</f>
        <v>5827832.62002856</v>
      </c>
      <c r="AH19" s="0" t="n">
        <f aca="false">AG19*Q19</f>
        <v>3216571.34985783</v>
      </c>
      <c r="AI19" s="0" t="n">
        <f aca="false">(AE19+AH19-Supuestos!$B$7-Supuestos!$B$8)/Supuestos!$B$9</f>
        <v>1420.82582031647</v>
      </c>
      <c r="AJ19" s="0" t="n">
        <f aca="false">AI19/AI$5-1</f>
        <v>-0.23480361906633</v>
      </c>
    </row>
    <row r="20" customFormat="false" ht="15" hidden="false" customHeight="false" outlineLevel="0" collapsed="false">
      <c r="A20" s="0" t="n">
        <v>-150</v>
      </c>
      <c r="B20" s="0" t="n">
        <v>0</v>
      </c>
      <c r="C20" s="0" t="n">
        <f aca="false">Supuestos!$B$13</f>
        <v>0.85</v>
      </c>
      <c r="D20" s="0" t="s">
        <v>111</v>
      </c>
      <c r="E20" s="0" t="n">
        <f aca="false">(1-Supuestos!C$28)*((1+((1+Supuestos!C$26)/(1+Supuestos!$B$4)-1+Supuestos!$B$14*$A20/10000))*(1+Supuestos!$B$4+$B20/10000)-1)+Supuestos!C$28*((1+Supuestos!C$27+$A20/10000)*(1+Supuestos!$B$4+$B20/10000)-1)*(1-Supuestos!$B$6)</f>
        <v>0.0906355467503958</v>
      </c>
      <c r="F20" s="0" t="n">
        <f aca="false">(1-Supuestos!D$28)*((1+((1+Supuestos!D$26)/(1+Supuestos!$B$4)-1+Supuestos!$B$14*$A20/10000))*(1+Supuestos!$B$4+$B20/10000)-1)+Supuestos!D$28*((1+Supuestos!D$27+$A20/10000)*(1+Supuestos!$B$4+$B20/10000)-1)*(1-Supuestos!$B$6)</f>
        <v>0.0904011769309292</v>
      </c>
      <c r="G20" s="0" t="n">
        <f aca="false">(1-Supuestos!E$28)*((1+((1+Supuestos!E$26)/(1+Supuestos!$B$4)-1+Supuestos!$B$14*$A20/10000))*(1+Supuestos!$B$4+$B20/10000)-1)+Supuestos!E$28*((1+Supuestos!E$27+$A20/10000)*(1+Supuestos!$B$4+$B20/10000)-1)*(1-Supuestos!$B$6)</f>
        <v>0.09018246634155</v>
      </c>
      <c r="H20" s="0" t="n">
        <f aca="false">(1-Supuestos!F$28)*((1+((1+Supuestos!F$26)/(1+Supuestos!$B$4)-1+Supuestos!$B$14*$A20/10000))*(1+Supuestos!$B$4+$B20/10000)-1)+Supuestos!F$28*((1+Supuestos!F$27+$A20/10000)*(1+Supuestos!$B$4+$B20/10000)-1)*(1-Supuestos!$B$6)</f>
        <v>0.0899788330046086</v>
      </c>
      <c r="I20" s="0" t="n">
        <f aca="false">(1-Supuestos!G$28)*((1+((1+Supuestos!G$26)/(1+Supuestos!$B$4)-1+Supuestos!$B$14*$A20/10000))*(1+Supuestos!$B$4+$B20/10000)-1)+Supuestos!G$28*((1+Supuestos!G$27+$A20/10000)*(1+Supuestos!$B$4+$B20/10000)-1)*(1-Supuestos!$B$6)</f>
        <v>0.0897897234286046</v>
      </c>
      <c r="J20" s="0" t="n">
        <f aca="false">(1-Supuestos!H$28)*((1+((1+Supuestos!H$26)/(1+Supuestos!$B$4)-1+Supuestos!$B$14*$A20/10000))*(1+Supuestos!$B$4+$B20/10000)-1)+Supuestos!H$28*((1+Supuestos!H$27+$A20/10000)*(1+Supuestos!$B$4+$B20/10000)-1)*(1-Supuestos!$B$6)</f>
        <v>0.0896146108863652</v>
      </c>
      <c r="K20" s="0" t="n">
        <f aca="false">(1-Supuestos!I$28)*((1+((1+Supuestos!I$26)/(1+Supuestos!$B$4)-1+Supuestos!$B$14*$A20/10000))*(1+Supuestos!$B$4+$B20/10000)-1)+Supuestos!I$28*((1+Supuestos!I$27+$A20/10000)*(1+Supuestos!$B$4+$B20/10000)-1)*(1-Supuestos!$B$6)</f>
        <v>0.0896146108863652</v>
      </c>
      <c r="L20" s="0" t="n">
        <f aca="false">(1+E20)^-Supuestos!C$24</f>
        <v>0.957547167190369</v>
      </c>
      <c r="M20" s="0" t="n">
        <f aca="false">L20*(1+F20)^-Supuestos!D$24</f>
        <v>0.878160430719183</v>
      </c>
      <c r="N20" s="0" t="n">
        <f aca="false">M20*(1+G20)^-Supuestos!E$24</f>
        <v>0.805516927515929</v>
      </c>
      <c r="O20" s="0" t="n">
        <f aca="false">N20*(1+H20)^-Supuestos!F$24</f>
        <v>0.739020706755801</v>
      </c>
      <c r="P20" s="0" t="n">
        <f aca="false">O20*(1+I20)^-Supuestos!G$24</f>
        <v>0.678131469647885</v>
      </c>
      <c r="Q20" s="0" t="n">
        <f aca="false">P20*(1+J20)^-Supuestos!H$24</f>
        <v>0.622359009206243</v>
      </c>
      <c r="R20" s="0" t="n">
        <f aca="false">(1+E20)^-(Supuestos!C$24/2)</f>
        <v>0.978543390550654</v>
      </c>
      <c r="S20" s="0" t="n">
        <f aca="false">L20*(1+F20)^-(Supuestos!D$24/2)</f>
        <v>0.916995110550666</v>
      </c>
      <c r="T20" s="0" t="n">
        <f aca="false">M20*(1+G20)^-(Supuestos!E$24/2)</f>
        <v>0.841054749715488</v>
      </c>
      <c r="U20" s="0" t="n">
        <f aca="false">N20*(1+H20)^-(Supuestos!F$24/2)</f>
        <v>0.771552777894412</v>
      </c>
      <c r="V20" s="0" t="n">
        <f aca="false">O20*(1+I20)^-(Supuestos!G$24/2)</f>
        <v>0.707921745655923</v>
      </c>
      <c r="W20" s="0" t="n">
        <f aca="false">P20*(1+J20)^-(Supuestos!H$24/2)</f>
        <v>0.649647003811786</v>
      </c>
      <c r="X20" s="0" t="n">
        <f aca="false">Supuestos!C$23*(1-$C20+$C20*((1+Supuestos!$B$4+$B20/10000)/(1+Supuestos!$B$4))^Supuestos!C$25)</f>
        <v>113425.715768245</v>
      </c>
      <c r="Y20" s="0" t="n">
        <f aca="false">Supuestos!D$23*(1-$C20+$C20*((1+Supuestos!$B$4+$B20/10000)/(1+Supuestos!$B$4))^Supuestos!D$25)</f>
        <v>199440.442268561</v>
      </c>
      <c r="Z20" s="0" t="n">
        <f aca="false">Supuestos!E$23*(1-$C20+$C20*((1+Supuestos!$B$4+$B20/10000)/(1+Supuestos!$B$4))^Supuestos!E$25)</f>
        <v>259687.719258378</v>
      </c>
      <c r="AA20" s="0" t="n">
        <f aca="false">Supuestos!F$23*(1-$C20+$C20*((1+Supuestos!$B$4+$B20/10000)/(1+Supuestos!$B$4))^Supuestos!F$25)</f>
        <v>375320.615932717</v>
      </c>
      <c r="AB20" s="0" t="n">
        <f aca="false">Supuestos!G$23*(1-$C20+$C20*((1+Supuestos!$B$4+$B20/10000)/(1+Supuestos!$B$4))^Supuestos!G$25)</f>
        <v>377068.219372121</v>
      </c>
      <c r="AC20" s="0" t="n">
        <f aca="false">Supuestos!H$23*(1-$C20+$C20*((1+Supuestos!$B$4+$B20/10000)/(1+Supuestos!$B$4))^Supuestos!H$25)</f>
        <v>398715.503513791</v>
      </c>
      <c r="AD20" s="0" t="n">
        <f aca="false">Supuestos!I$23*(1-$C20+$C20*((1+Supuestos!$B$4+$B20/10000)/(1+Supuestos!$B$4))^Supuestos!I$25)</f>
        <v>528835.311960595</v>
      </c>
      <c r="AE20" s="0" t="n">
        <f aca="false">SUMPRODUCT(X20:AC20,R20:W20)</f>
        <v>1327828.27275912</v>
      </c>
      <c r="AF20" s="0" t="n">
        <f aca="false">(1+Supuestos!$B$5)/(1+Supuestos!$B$4)*(1+Supuestos!$B$4+$B20/10000)-1</f>
        <v>0.03</v>
      </c>
      <c r="AG20" s="0" t="n">
        <f aca="false">AD20/(K20-AF20)</f>
        <v>8870901.01063711</v>
      </c>
      <c r="AH20" s="0" t="n">
        <f aca="false">AG20*Q20</f>
        <v>5520885.16374678</v>
      </c>
      <c r="AI20" s="0" t="n">
        <f aca="false">(AE20+AH20-Supuestos!$B$7-Supuestos!$B$8)/Supuestos!$B$9</f>
        <v>2516.95545045931</v>
      </c>
      <c r="AJ20" s="0" t="n">
        <f aca="false">AI20/AI$5-1</f>
        <v>0.355525198179298</v>
      </c>
    </row>
    <row r="21" customFormat="false" ht="15" hidden="false" customHeight="false" outlineLevel="0" collapsed="false">
      <c r="A21" s="0" t="n">
        <v>-100</v>
      </c>
      <c r="B21" s="0" t="n">
        <v>0</v>
      </c>
      <c r="C21" s="0" t="n">
        <f aca="false">Supuestos!$B$13</f>
        <v>0.85</v>
      </c>
      <c r="D21" s="0" t="s">
        <v>111</v>
      </c>
      <c r="E21" s="0" t="n">
        <f aca="false">(1-Supuestos!C$28)*((1+((1+Supuestos!C$26)/(1+Supuestos!$B$4)-1+Supuestos!$B$14*$A21/10000))*(1+Supuestos!$B$4+$B21/10000)-1)+Supuestos!C$28*((1+Supuestos!C$27+$A21/10000)*(1+Supuestos!$B$4+$B21/10000)-1)*(1-Supuestos!$B$6)</f>
        <v>0.0955465685258706</v>
      </c>
      <c r="F21" s="0" t="n">
        <f aca="false">(1-Supuestos!D$28)*((1+((1+Supuestos!D$26)/(1+Supuestos!$B$4)-1+Supuestos!$B$14*$A21/10000))*(1+Supuestos!$B$4+$B21/10000)-1)+Supuestos!D$28*((1+Supuestos!D$27+$A21/10000)*(1+Supuestos!$B$4+$B21/10000)-1)*(1-Supuestos!$B$6)</f>
        <v>0.0952975707800994</v>
      </c>
      <c r="G21" s="0" t="n">
        <f aca="false">(1-Supuestos!E$28)*((1+((1+Supuestos!E$26)/(1+Supuestos!$B$4)-1+Supuestos!$B$14*$A21/10000))*(1+Supuestos!$B$4+$B21/10000)-1)+Supuestos!E$28*((1+Supuestos!E$27+$A21/10000)*(1+Supuestos!$B$4+$B21/10000)-1)*(1-Supuestos!$B$6)</f>
        <v>0.0950645992434195</v>
      </c>
      <c r="H21" s="0" t="n">
        <f aca="false">(1-Supuestos!F$28)*((1+((1+Supuestos!F$26)/(1+Supuestos!$B$4)-1+Supuestos!$B$14*$A21/10000))*(1+Supuestos!$B$4+$B21/10000)-1)+Supuestos!F$28*((1+Supuestos!F$27+$A21/10000)*(1+Supuestos!$B$4+$B21/10000)-1)*(1-Supuestos!$B$6)</f>
        <v>0.094847058299351</v>
      </c>
      <c r="I21" s="0" t="n">
        <f aca="false">(1-Supuestos!G$28)*((1+((1+Supuestos!G$26)/(1+Supuestos!$B$4)-1+Supuestos!$B$14*$A21/10000))*(1+Supuestos!$B$4+$B21/10000)-1)+Supuestos!G$28*((1+Supuestos!G$27+$A21/10000)*(1+Supuestos!$B$4+$B21/10000)-1)*(1-Supuestos!$B$6)</f>
        <v>0.0946443814851456</v>
      </c>
      <c r="J21" s="0" t="n">
        <f aca="false">(1-Supuestos!H$28)*((1+((1+Supuestos!H$26)/(1+Supuestos!$B$4)-1+Supuestos!$B$14*$A21/10000))*(1+Supuestos!$B$4+$B21/10000)-1)+Supuestos!H$28*((1+Supuestos!H$27+$A21/10000)*(1+Supuestos!$B$4+$B21/10000)-1)*(1-Supuestos!$B$6)</f>
        <v>0.0944560297296128</v>
      </c>
      <c r="K21" s="0" t="n">
        <f aca="false">(1-Supuestos!I$28)*((1+((1+Supuestos!I$26)/(1+Supuestos!$B$4)-1+Supuestos!$B$14*$A21/10000))*(1+Supuestos!$B$4+$B21/10000)-1)+Supuestos!I$28*((1+Supuestos!I$27+$A21/10000)*(1+Supuestos!$B$4+$B21/10000)-1)*(1-Supuestos!$B$6)</f>
        <v>0.0944560297296128</v>
      </c>
      <c r="L21" s="0" t="n">
        <f aca="false">(1+E21)^-Supuestos!C$24</f>
        <v>0.955398551604659</v>
      </c>
      <c r="M21" s="0" t="n">
        <f aca="false">L21*(1+F21)^-Supuestos!D$24</f>
        <v>0.872273048979922</v>
      </c>
      <c r="N21" s="0" t="n">
        <f aca="false">M21*(1+G21)^-Supuestos!E$24</f>
        <v>0.796549399535494</v>
      </c>
      <c r="O21" s="0" t="n">
        <f aca="false">N21*(1+H21)^-Supuestos!F$24</f>
        <v>0.727543992101317</v>
      </c>
      <c r="P21" s="0" t="n">
        <f aca="false">O21*(1+I21)^-Supuestos!G$24</f>
        <v>0.664639589264808</v>
      </c>
      <c r="Q21" s="0" t="n">
        <f aca="false">P21*(1+J21)^-Supuestos!H$24</f>
        <v>0.607278475526339</v>
      </c>
      <c r="R21" s="0" t="n">
        <f aca="false">(1+E21)^-(Supuestos!C$24/2)</f>
        <v>0.977444909754334</v>
      </c>
      <c r="S21" s="0" t="n">
        <f aca="false">L21*(1+F21)^-(Supuestos!D$24/2)</f>
        <v>0.912890139939739</v>
      </c>
      <c r="T21" s="0" t="n">
        <f aca="false">M21*(1+G21)^-(Supuestos!E$24/2)</f>
        <v>0.833551782072326</v>
      </c>
      <c r="U21" s="0" t="n">
        <f aca="false">N21*(1+H21)^-(Supuestos!F$24/2)</f>
        <v>0.76126521662556</v>
      </c>
      <c r="V21" s="0" t="n">
        <f aca="false">O21*(1+I21)^-(Supuestos!G$24/2)</f>
        <v>0.695380859732491</v>
      </c>
      <c r="W21" s="0" t="n">
        <f aca="false">P21*(1+J21)^-(Supuestos!H$24/2)</f>
        <v>0.635311983629448</v>
      </c>
      <c r="X21" s="0" t="n">
        <f aca="false">Supuestos!C$23*(1-$C21+$C21*((1+Supuestos!$B$4+$B21/10000)/(1+Supuestos!$B$4))^Supuestos!C$25)</f>
        <v>113425.715768245</v>
      </c>
      <c r="Y21" s="0" t="n">
        <f aca="false">Supuestos!D$23*(1-$C21+$C21*((1+Supuestos!$B$4+$B21/10000)/(1+Supuestos!$B$4))^Supuestos!D$25)</f>
        <v>199440.442268561</v>
      </c>
      <c r="Z21" s="0" t="n">
        <f aca="false">Supuestos!E$23*(1-$C21+$C21*((1+Supuestos!$B$4+$B21/10000)/(1+Supuestos!$B$4))^Supuestos!E$25)</f>
        <v>259687.719258378</v>
      </c>
      <c r="AA21" s="0" t="n">
        <f aca="false">Supuestos!F$23*(1-$C21+$C21*((1+Supuestos!$B$4+$B21/10000)/(1+Supuestos!$B$4))^Supuestos!F$25)</f>
        <v>375320.615932717</v>
      </c>
      <c r="AB21" s="0" t="n">
        <f aca="false">Supuestos!G$23*(1-$C21+$C21*((1+Supuestos!$B$4+$B21/10000)/(1+Supuestos!$B$4))^Supuestos!G$25)</f>
        <v>377068.219372121</v>
      </c>
      <c r="AC21" s="0" t="n">
        <f aca="false">Supuestos!H$23*(1-$C21+$C21*((1+Supuestos!$B$4+$B21/10000)/(1+Supuestos!$B$4))^Supuestos!H$25)</f>
        <v>398715.503513791</v>
      </c>
      <c r="AD21" s="0" t="n">
        <f aca="false">Supuestos!I$23*(1-$C21+$C21*((1+Supuestos!$B$4+$B21/10000)/(1+Supuestos!$B$4))^Supuestos!I$25)</f>
        <v>528835.311960595</v>
      </c>
      <c r="AE21" s="0" t="n">
        <f aca="false">SUMPRODUCT(X21:AC21,R21:W21)</f>
        <v>1310631.05293323</v>
      </c>
      <c r="AF21" s="0" t="n">
        <f aca="false">(1+Supuestos!$B$5)/(1+Supuestos!$B$4)*(1+Supuestos!$B$4+$B21/10000)-1</f>
        <v>0.03</v>
      </c>
      <c r="AG21" s="0" t="n">
        <f aca="false">AD21/(K21-AF21)</f>
        <v>8204590.23273713</v>
      </c>
      <c r="AH21" s="0" t="n">
        <f aca="false">AG21*Q21</f>
        <v>4982471.04885489</v>
      </c>
      <c r="AI21" s="0" t="n">
        <f aca="false">(AE21+AH21-Supuestos!$B$7-Supuestos!$B$8)/Supuestos!$B$9</f>
        <v>2263.25164465211</v>
      </c>
      <c r="AJ21" s="0" t="n">
        <f aca="false">AI21/AI$5-1</f>
        <v>0.218891114495815</v>
      </c>
    </row>
    <row r="22" customFormat="false" ht="15" hidden="false" customHeight="false" outlineLevel="0" collapsed="false">
      <c r="A22" s="0" t="n">
        <v>-50</v>
      </c>
      <c r="B22" s="0" t="n">
        <v>0</v>
      </c>
      <c r="C22" s="0" t="n">
        <f aca="false">Supuestos!$B$13</f>
        <v>0.85</v>
      </c>
      <c r="D22" s="0" t="s">
        <v>111</v>
      </c>
      <c r="E22" s="0" t="n">
        <f aca="false">(1-Supuestos!C$28)*((1+((1+Supuestos!C$26)/(1+Supuestos!$B$4)-1+Supuestos!$B$14*$A22/10000))*(1+Supuestos!$B$4+$B22/10000)-1)+Supuestos!C$28*((1+Supuestos!C$27+$A22/10000)*(1+Supuestos!$B$4+$B22/10000)-1)*(1-Supuestos!$B$6)</f>
        <v>0.100457590301345</v>
      </c>
      <c r="F22" s="0" t="n">
        <f aca="false">(1-Supuestos!D$28)*((1+((1+Supuestos!D$26)/(1+Supuestos!$B$4)-1+Supuestos!$B$14*$A22/10000))*(1+Supuestos!$B$4+$B22/10000)-1)+Supuestos!D$28*((1+Supuestos!D$27+$A22/10000)*(1+Supuestos!$B$4+$B22/10000)-1)*(1-Supuestos!$B$6)</f>
        <v>0.100193964629269</v>
      </c>
      <c r="G22" s="0" t="n">
        <f aca="false">(1-Supuestos!E$28)*((1+((1+Supuestos!E$26)/(1+Supuestos!$B$4)-1+Supuestos!$B$14*$A22/10000))*(1+Supuestos!$B$4+$B22/10000)-1)+Supuestos!E$28*((1+Supuestos!E$27+$A22/10000)*(1+Supuestos!$B$4+$B22/10000)-1)*(1-Supuestos!$B$6)</f>
        <v>0.0999467321452889</v>
      </c>
      <c r="H22" s="0" t="n">
        <f aca="false">(1-Supuestos!F$28)*((1+((1+Supuestos!F$26)/(1+Supuestos!$B$4)-1+Supuestos!$B$14*$A22/10000))*(1+Supuestos!$B$4+$B22/10000)-1)+Supuestos!F$28*((1+Supuestos!F$27+$A22/10000)*(1+Supuestos!$B$4+$B22/10000)-1)*(1-Supuestos!$B$6)</f>
        <v>0.0997152835940937</v>
      </c>
      <c r="I22" s="0" t="n">
        <f aca="false">(1-Supuestos!G$28)*((1+((1+Supuestos!G$26)/(1+Supuestos!$B$4)-1+Supuestos!$B$14*$A22/10000))*(1+Supuestos!$B$4+$B22/10000)-1)+Supuestos!G$28*((1+Supuestos!G$27+$A22/10000)*(1+Supuestos!$B$4+$B22/10000)-1)*(1-Supuestos!$B$6)</f>
        <v>0.0994990395416868</v>
      </c>
      <c r="J22" s="0" t="n">
        <f aca="false">(1-Supuestos!H$28)*((1+((1+Supuestos!H$26)/(1+Supuestos!$B$4)-1+Supuestos!$B$14*$A22/10000))*(1+Supuestos!$B$4+$B22/10000)-1)+Supuestos!H$28*((1+Supuestos!H$27+$A22/10000)*(1+Supuestos!$B$4+$B22/10000)-1)*(1-Supuestos!$B$6)</f>
        <v>0.0992974485728609</v>
      </c>
      <c r="K22" s="0" t="n">
        <f aca="false">(1-Supuestos!I$28)*((1+((1+Supuestos!I$26)/(1+Supuestos!$B$4)-1+Supuestos!$B$14*$A22/10000))*(1+Supuestos!$B$4+$B22/10000)-1)+Supuestos!I$28*((1+Supuestos!I$27+$A22/10000)*(1+Supuestos!$B$4+$B22/10000)-1)*(1-Supuestos!$B$6)</f>
        <v>0.0992974485728609</v>
      </c>
      <c r="L22" s="0" t="n">
        <f aca="false">(1+E22)^-Supuestos!C$24</f>
        <v>0.953264335082194</v>
      </c>
      <c r="M22" s="0" t="n">
        <f aca="false">L22*(1+F22)^-Supuestos!D$24</f>
        <v>0.86645115836771</v>
      </c>
      <c r="N22" s="0" t="n">
        <f aca="false">M22*(1+G22)^-Supuestos!E$24</f>
        <v>0.787721016887627</v>
      </c>
      <c r="O22" s="0" t="n">
        <f aca="false">N22*(1+H22)^-Supuestos!F$24</f>
        <v>0.716295416312843</v>
      </c>
      <c r="P22" s="0" t="n">
        <f aca="false">O22*(1+I22)^-Supuestos!G$24</f>
        <v>0.651474344726506</v>
      </c>
      <c r="Q22" s="0" t="n">
        <f aca="false">P22*(1+J22)^-Supuestos!H$24</f>
        <v>0.592627905734038</v>
      </c>
      <c r="R22" s="0" t="n">
        <f aca="false">(1+E22)^-(Supuestos!C$24/2)</f>
        <v>0.976352566997288</v>
      </c>
      <c r="S22" s="0" t="n">
        <f aca="false">L22*(1+F22)^-(Supuestos!D$24/2)</f>
        <v>0.908821757751536</v>
      </c>
      <c r="T22" s="0" t="n">
        <f aca="false">M22*(1+G22)^-(Supuestos!E$24/2)</f>
        <v>0.826148768414548</v>
      </c>
      <c r="U22" s="0" t="n">
        <f aca="false">N22*(1+H22)^-(Supuestos!F$24/2)</f>
        <v>0.751159739156658</v>
      </c>
      <c r="V22" s="0" t="n">
        <f aca="false">O22*(1+I22)^-(Supuestos!G$24/2)</f>
        <v>0.683116451985318</v>
      </c>
      <c r="W22" s="0" t="n">
        <f aca="false">P22*(1+J22)^-(Supuestos!H$24/2)</f>
        <v>0.621354871675377</v>
      </c>
      <c r="X22" s="0" t="n">
        <f aca="false">Supuestos!C$23*(1-$C22+$C22*((1+Supuestos!$B$4+$B22/10000)/(1+Supuestos!$B$4))^Supuestos!C$25)</f>
        <v>113425.715768245</v>
      </c>
      <c r="Y22" s="0" t="n">
        <f aca="false">Supuestos!D$23*(1-$C22+$C22*((1+Supuestos!$B$4+$B22/10000)/(1+Supuestos!$B$4))^Supuestos!D$25)</f>
        <v>199440.442268561</v>
      </c>
      <c r="Z22" s="0" t="n">
        <f aca="false">Supuestos!E$23*(1-$C22+$C22*((1+Supuestos!$B$4+$B22/10000)/(1+Supuestos!$B$4))^Supuestos!E$25)</f>
        <v>259687.719258378</v>
      </c>
      <c r="AA22" s="0" t="n">
        <f aca="false">Supuestos!F$23*(1-$C22+$C22*((1+Supuestos!$B$4+$B22/10000)/(1+Supuestos!$B$4))^Supuestos!F$25)</f>
        <v>375320.615932717</v>
      </c>
      <c r="AB22" s="0" t="n">
        <f aca="false">Supuestos!G$23*(1-$C22+$C22*((1+Supuestos!$B$4+$B22/10000)/(1+Supuestos!$B$4))^Supuestos!G$25)</f>
        <v>377068.219372121</v>
      </c>
      <c r="AC22" s="0" t="n">
        <f aca="false">Supuestos!H$23*(1-$C22+$C22*((1+Supuestos!$B$4+$B22/10000)/(1+Supuestos!$B$4))^Supuestos!H$25)</f>
        <v>398715.503513791</v>
      </c>
      <c r="AD22" s="0" t="n">
        <f aca="false">Supuestos!I$23*(1-$C22+$C22*((1+Supuestos!$B$4+$B22/10000)/(1+Supuestos!$B$4))^Supuestos!I$25)</f>
        <v>528835.311960595</v>
      </c>
      <c r="AE22" s="0" t="n">
        <f aca="false">SUMPRODUCT(X22:AC22,R22:W22)</f>
        <v>1293791.05215962</v>
      </c>
      <c r="AF22" s="0" t="n">
        <f aca="false">(1+Supuestos!$B$5)/(1+Supuestos!$B$4)*(1+Supuestos!$B$4+$B22/10000)-1</f>
        <v>0.03</v>
      </c>
      <c r="AG22" s="0" t="n">
        <f aca="false">AD22/(K22-AF22)</f>
        <v>7631382.14828452</v>
      </c>
      <c r="AH22" s="0" t="n">
        <f aca="false">AG22*Q22</f>
        <v>4522570.02039398</v>
      </c>
      <c r="AI22" s="0" t="n">
        <f aca="false">(AE22+AH22-Supuestos!$B$7-Supuestos!$B$8)/Supuestos!$B$9</f>
        <v>2045.56167696511</v>
      </c>
      <c r="AJ22" s="0" t="n">
        <f aca="false">AI22/AI$5-1</f>
        <v>0.101652552908755</v>
      </c>
    </row>
    <row r="23" customFormat="false" ht="15" hidden="false" customHeight="false" outlineLevel="0" collapsed="false">
      <c r="A23" s="0" t="n">
        <v>0</v>
      </c>
      <c r="B23" s="0" t="n">
        <v>0</v>
      </c>
      <c r="C23" s="0" t="n">
        <f aca="false">Supuestos!$B$13</f>
        <v>0.85</v>
      </c>
      <c r="D23" s="0" t="s">
        <v>111</v>
      </c>
      <c r="E23" s="0" t="n">
        <f aca="false">(1-Supuestos!C$28)*((1+((1+Supuestos!C$26)/(1+Supuestos!$B$4)-1+Supuestos!$B$14*$A23/10000))*(1+Supuestos!$B$4+$B23/10000)-1)+Supuestos!C$28*((1+Supuestos!C$27+$A23/10000)*(1+Supuestos!$B$4+$B23/10000)-1)*(1-Supuestos!$B$6)</f>
        <v>0.10536861207682</v>
      </c>
      <c r="F23" s="0" t="n">
        <f aca="false">(1-Supuestos!D$28)*((1+((1+Supuestos!D$26)/(1+Supuestos!$B$4)-1+Supuestos!$B$14*$A23/10000))*(1+Supuestos!$B$4+$B23/10000)-1)+Supuestos!D$28*((1+Supuestos!D$27+$A23/10000)*(1+Supuestos!$B$4+$B23/10000)-1)*(1-Supuestos!$B$6)</f>
        <v>0.10509035847844</v>
      </c>
      <c r="G23" s="0" t="n">
        <f aca="false">(1-Supuestos!E$28)*((1+((1+Supuestos!E$26)/(1+Supuestos!$B$4)-1+Supuestos!$B$14*$A23/10000))*(1+Supuestos!$B$4+$B23/10000)-1)+Supuestos!E$28*((1+Supuestos!E$27+$A23/10000)*(1+Supuestos!$B$4+$B23/10000)-1)*(1-Supuestos!$B$6)</f>
        <v>0.104828865047158</v>
      </c>
      <c r="H23" s="0" t="n">
        <f aca="false">(1-Supuestos!F$28)*((1+((1+Supuestos!F$26)/(1+Supuestos!$B$4)-1+Supuestos!$B$14*$A23/10000))*(1+Supuestos!$B$4+$B23/10000)-1)+Supuestos!F$28*((1+Supuestos!F$27+$A23/10000)*(1+Supuestos!$B$4+$B23/10000)-1)*(1-Supuestos!$B$6)</f>
        <v>0.104583508888836</v>
      </c>
      <c r="I23" s="0" t="n">
        <f aca="false">(1-Supuestos!G$28)*((1+((1+Supuestos!G$26)/(1+Supuestos!$B$4)-1+Supuestos!$B$14*$A23/10000))*(1+Supuestos!$B$4+$B23/10000)-1)+Supuestos!G$28*((1+Supuestos!G$27+$A23/10000)*(1+Supuestos!$B$4+$B23/10000)-1)*(1-Supuestos!$B$6)</f>
        <v>0.104353697598228</v>
      </c>
      <c r="J23" s="0" t="n">
        <f aca="false">(1-Supuestos!H$28)*((1+((1+Supuestos!H$26)/(1+Supuestos!$B$4)-1+Supuestos!$B$14*$A23/10000))*(1+Supuestos!$B$4+$B23/10000)-1)+Supuestos!H$28*((1+Supuestos!H$27+$A23/10000)*(1+Supuestos!$B$4+$B23/10000)-1)*(1-Supuestos!$B$6)</f>
        <v>0.104138867416109</v>
      </c>
      <c r="K23" s="0" t="n">
        <f aca="false">(1-Supuestos!I$28)*((1+((1+Supuestos!I$26)/(1+Supuestos!$B$4)-1+Supuestos!$B$14*$A23/10000))*(1+Supuestos!$B$4+$B23/10000)-1)+Supuestos!I$28*((1+Supuestos!I$27+$A23/10000)*(1+Supuestos!$B$4+$B23/10000)-1)*(1-Supuestos!$B$6)</f>
        <v>0.104138867416109</v>
      </c>
      <c r="L23" s="0" t="n">
        <f aca="false">(1+E23)^-Supuestos!C$24</f>
        <v>0.95114435751134</v>
      </c>
      <c r="M23" s="0" t="n">
        <f aca="false">L23*(1+F23)^-Supuestos!D$24</f>
        <v>0.860693743469935</v>
      </c>
      <c r="N23" s="0" t="n">
        <f aca="false">M23*(1+G23)^-Supuestos!E$24</f>
        <v>0.779029015894871</v>
      </c>
      <c r="O23" s="0" t="n">
        <f aca="false">N23*(1+H23)^-Supuestos!F$24</f>
        <v>0.705269460955959</v>
      </c>
      <c r="P23" s="0" t="n">
        <f aca="false">O23*(1+I23)^-Supuestos!G$24</f>
        <v>0.638626431450172</v>
      </c>
      <c r="Q23" s="0" t="n">
        <f aca="false">P23*(1+J23)^-Supuestos!H$24</f>
        <v>0.578393216919061</v>
      </c>
      <c r="R23" s="0" t="n">
        <f aca="false">(1+E23)^-(Supuestos!C$24/2)</f>
        <v>0.975266300818059</v>
      </c>
      <c r="S23" s="0" t="n">
        <f aca="false">L23*(1+F23)^-(Supuestos!D$24/2)</f>
        <v>0.904789476976131</v>
      </c>
      <c r="T23" s="0" t="n">
        <f aca="false">M23*(1+G23)^-(Supuestos!E$24/2)</f>
        <v>0.818843941152559</v>
      </c>
      <c r="U23" s="0" t="n">
        <f aca="false">N23*(1+H23)^-(Supuestos!F$24/2)</f>
        <v>0.741232334770432</v>
      </c>
      <c r="V23" s="0" t="n">
        <f aca="false">O23*(1+I23)^-(Supuestos!G$24/2)</f>
        <v>0.671121240210061</v>
      </c>
      <c r="W23" s="0" t="n">
        <f aca="false">P23*(1+J23)^-(Supuestos!H$24/2)</f>
        <v>0.607764095760851</v>
      </c>
      <c r="X23" s="0" t="n">
        <f aca="false">Supuestos!C$23*(1-$C23+$C23*((1+Supuestos!$B$4+$B23/10000)/(1+Supuestos!$B$4))^Supuestos!C$25)</f>
        <v>113425.715768245</v>
      </c>
      <c r="Y23" s="0" t="n">
        <f aca="false">Supuestos!D$23*(1-$C23+$C23*((1+Supuestos!$B$4+$B23/10000)/(1+Supuestos!$B$4))^Supuestos!D$25)</f>
        <v>199440.442268561</v>
      </c>
      <c r="Z23" s="0" t="n">
        <f aca="false">Supuestos!E$23*(1-$C23+$C23*((1+Supuestos!$B$4+$B23/10000)/(1+Supuestos!$B$4))^Supuestos!E$25)</f>
        <v>259687.719258378</v>
      </c>
      <c r="AA23" s="0" t="n">
        <f aca="false">Supuestos!F$23*(1-$C23+$C23*((1+Supuestos!$B$4+$B23/10000)/(1+Supuestos!$B$4))^Supuestos!F$25)</f>
        <v>375320.615932717</v>
      </c>
      <c r="AB23" s="0" t="n">
        <f aca="false">Supuestos!G$23*(1-$C23+$C23*((1+Supuestos!$B$4+$B23/10000)/(1+Supuestos!$B$4))^Supuestos!G$25)</f>
        <v>377068.219372121</v>
      </c>
      <c r="AC23" s="0" t="n">
        <f aca="false">Supuestos!H$23*(1-$C23+$C23*((1+Supuestos!$B$4+$B23/10000)/(1+Supuestos!$B$4))^Supuestos!H$25)</f>
        <v>398715.503513791</v>
      </c>
      <c r="AD23" s="0" t="n">
        <f aca="false">Supuestos!I$23*(1-$C23+$C23*((1+Supuestos!$B$4+$B23/10000)/(1+Supuestos!$B$4))^Supuestos!I$25)</f>
        <v>528835.311960595</v>
      </c>
      <c r="AE23" s="0" t="n">
        <f aca="false">SUMPRODUCT(X23:AC23,R23:W23)</f>
        <v>1277298.84211244</v>
      </c>
      <c r="AF23" s="0" t="n">
        <f aca="false">(1+Supuestos!$B$5)/(1+Supuestos!$B$4)*(1+Supuestos!$B$4+$B23/10000)-1</f>
        <v>0.03</v>
      </c>
      <c r="AG23" s="0" t="n">
        <f aca="false">AD23/(K23-AF23)</f>
        <v>7133037.37151091</v>
      </c>
      <c r="AH23" s="0" t="n">
        <f aca="false">AG23*Q23</f>
        <v>4125700.43171208</v>
      </c>
      <c r="AI23" s="0" t="n">
        <f aca="false">(AE23+AH23-Supuestos!$B$7-Supuestos!$B$8)/Supuestos!$B$9</f>
        <v>1856.81199718015</v>
      </c>
      <c r="AJ23" s="0" t="n">
        <f aca="false">AI23/AI$5-1</f>
        <v>0</v>
      </c>
    </row>
    <row r="24" customFormat="false" ht="15" hidden="false" customHeight="false" outlineLevel="0" collapsed="false">
      <c r="A24" s="0" t="n">
        <v>50</v>
      </c>
      <c r="B24" s="0" t="n">
        <v>0</v>
      </c>
      <c r="C24" s="0" t="n">
        <f aca="false">Supuestos!$B$13</f>
        <v>0.85</v>
      </c>
      <c r="D24" s="0" t="s">
        <v>111</v>
      </c>
      <c r="E24" s="0" t="n">
        <f aca="false">(1-Supuestos!C$28)*((1+((1+Supuestos!C$26)/(1+Supuestos!$B$4)-1+Supuestos!$B$14*$A24/10000))*(1+Supuestos!$B$4+$B24/10000)-1)+Supuestos!C$28*((1+Supuestos!C$27+$A24/10000)*(1+Supuestos!$B$4+$B24/10000)-1)*(1-Supuestos!$B$6)</f>
        <v>0.110279633852295</v>
      </c>
      <c r="F24" s="0" t="n">
        <f aca="false">(1-Supuestos!D$28)*((1+((1+Supuestos!D$26)/(1+Supuestos!$B$4)-1+Supuestos!$B$14*$A24/10000))*(1+Supuestos!$B$4+$B24/10000)-1)+Supuestos!D$28*((1+Supuestos!D$27+$A24/10000)*(1+Supuestos!$B$4+$B24/10000)-1)*(1-Supuestos!$B$6)</f>
        <v>0.10998675232761</v>
      </c>
      <c r="G24" s="0" t="n">
        <f aca="false">(1-Supuestos!E$28)*((1+((1+Supuestos!E$26)/(1+Supuestos!$B$4)-1+Supuestos!$B$14*$A24/10000))*(1+Supuestos!$B$4+$B24/10000)-1)+Supuestos!E$28*((1+Supuestos!E$27+$A24/10000)*(1+Supuestos!$B$4+$B24/10000)-1)*(1-Supuestos!$B$6)</f>
        <v>0.109710997949028</v>
      </c>
      <c r="H24" s="0" t="n">
        <f aca="false">(1-Supuestos!F$28)*((1+((1+Supuestos!F$26)/(1+Supuestos!$B$4)-1+Supuestos!$B$14*$A24/10000))*(1+Supuestos!$B$4+$B24/10000)-1)+Supuestos!F$28*((1+Supuestos!F$27+$A24/10000)*(1+Supuestos!$B$4+$B24/10000)-1)*(1-Supuestos!$B$6)</f>
        <v>0.109451734183578</v>
      </c>
      <c r="I24" s="0" t="n">
        <f aca="false">(1-Supuestos!G$28)*((1+((1+Supuestos!G$26)/(1+Supuestos!$B$4)-1+Supuestos!$B$14*$A24/10000))*(1+Supuestos!$B$4+$B24/10000)-1)+Supuestos!G$28*((1+Supuestos!G$27+$A24/10000)*(1+Supuestos!$B$4+$B24/10000)-1)*(1-Supuestos!$B$6)</f>
        <v>0.109208355654769</v>
      </c>
      <c r="J24" s="0" t="n">
        <f aca="false">(1-Supuestos!H$28)*((1+((1+Supuestos!H$26)/(1+Supuestos!$B$4)-1+Supuestos!$B$14*$A24/10000))*(1+Supuestos!$B$4+$B24/10000)-1)+Supuestos!H$28*((1+Supuestos!H$27+$A24/10000)*(1+Supuestos!$B$4+$B24/10000)-1)*(1-Supuestos!$B$6)</f>
        <v>0.108980286259356</v>
      </c>
      <c r="K24" s="0" t="n">
        <f aca="false">(1-Supuestos!I$28)*((1+((1+Supuestos!I$26)/(1+Supuestos!$B$4)-1+Supuestos!$B$14*$A24/10000))*(1+Supuestos!$B$4+$B24/10000)-1)+Supuestos!I$28*((1+Supuestos!I$27+$A24/10000)*(1+Supuestos!$B$4+$B24/10000)-1)*(1-Supuestos!$B$6)</f>
        <v>0.108980286259356</v>
      </c>
      <c r="L24" s="0" t="n">
        <f aca="false">(1+E24)^-Supuestos!C$24</f>
        <v>0.949038461261956</v>
      </c>
      <c r="M24" s="0" t="n">
        <f aca="false">L24*(1+F24)^-Supuestos!D$24</f>
        <v>0.854999809026414</v>
      </c>
      <c r="N24" s="0" t="n">
        <f aca="false">M24*(1+G24)^-Supuestos!E$24</f>
        <v>0.770470699674625</v>
      </c>
      <c r="O24" s="0" t="n">
        <f aca="false">N24*(1+H24)^-Supuestos!F$24</f>
        <v>0.694460764660121</v>
      </c>
      <c r="P24" s="0" t="n">
        <f aca="false">O24*(1+I24)^-Supuestos!G$24</f>
        <v>0.626086849345972</v>
      </c>
      <c r="Q24" s="0" t="n">
        <f aca="false">P24*(1+J24)^-Supuestos!H$24</f>
        <v>0.564560846665537</v>
      </c>
      <c r="R24" s="0" t="n">
        <f aca="false">(1+E24)^-(Supuestos!C$24/2)</f>
        <v>0.974186050640203</v>
      </c>
      <c r="S24" s="0" t="n">
        <f aca="false">L24*(1+F24)^-(Supuestos!D$24/2)</f>
        <v>0.900792819208553</v>
      </c>
      <c r="T24" s="0" t="n">
        <f aca="false">M24*(1+G24)^-(Supuestos!E$24/2)</f>
        <v>0.811635571597408</v>
      </c>
      <c r="U24" s="0" t="n">
        <f aca="false">N24*(1+H24)^-(Supuestos!F$24/2)</f>
        <v>0.731479098296225</v>
      </c>
      <c r="V24" s="0" t="n">
        <f aca="false">O24*(1+I24)^-(Supuestos!G$24/2)</f>
        <v>0.659388164998773</v>
      </c>
      <c r="W24" s="0" t="n">
        <f aca="false">P24*(1+J24)^-(Supuestos!H$24/2)</f>
        <v>0.594528486914564</v>
      </c>
      <c r="X24" s="0" t="n">
        <f aca="false">Supuestos!C$23*(1-$C24+$C24*((1+Supuestos!$B$4+$B24/10000)/(1+Supuestos!$B$4))^Supuestos!C$25)</f>
        <v>113425.715768245</v>
      </c>
      <c r="Y24" s="0" t="n">
        <f aca="false">Supuestos!D$23*(1-$C24+$C24*((1+Supuestos!$B$4+$B24/10000)/(1+Supuestos!$B$4))^Supuestos!D$25)</f>
        <v>199440.442268561</v>
      </c>
      <c r="Z24" s="0" t="n">
        <f aca="false">Supuestos!E$23*(1-$C24+$C24*((1+Supuestos!$B$4+$B24/10000)/(1+Supuestos!$B$4))^Supuestos!E$25)</f>
        <v>259687.719258378</v>
      </c>
      <c r="AA24" s="0" t="n">
        <f aca="false">Supuestos!F$23*(1-$C24+$C24*((1+Supuestos!$B$4+$B24/10000)/(1+Supuestos!$B$4))^Supuestos!F$25)</f>
        <v>375320.615932717</v>
      </c>
      <c r="AB24" s="0" t="n">
        <f aca="false">Supuestos!G$23*(1-$C24+$C24*((1+Supuestos!$B$4+$B24/10000)/(1+Supuestos!$B$4))^Supuestos!G$25)</f>
        <v>377068.219372121</v>
      </c>
      <c r="AC24" s="0" t="n">
        <f aca="false">Supuestos!H$23*(1-$C24+$C24*((1+Supuestos!$B$4+$B24/10000)/(1+Supuestos!$B$4))^Supuestos!H$25)</f>
        <v>398715.503513791</v>
      </c>
      <c r="AD24" s="0" t="n">
        <f aca="false">Supuestos!I$23*(1-$C24+$C24*((1+Supuestos!$B$4+$B24/10000)/(1+Supuestos!$B$4))^Supuestos!I$25)</f>
        <v>528835.311960595</v>
      </c>
      <c r="AE24" s="0" t="n">
        <f aca="false">SUMPRODUCT(X24:AC24,R24:W24)</f>
        <v>1261145.29077672</v>
      </c>
      <c r="AF24" s="0" t="n">
        <f aca="false">(1+Supuestos!$B$5)/(1+Supuestos!$B$4)*(1+Supuestos!$B$4+$B24/10000)-1</f>
        <v>0.03</v>
      </c>
      <c r="AG24" s="0" t="n">
        <f aca="false">AD24/(K24-AF24)</f>
        <v>6695788.74687793</v>
      </c>
      <c r="AH24" s="0" t="n">
        <f aca="false">AG24*Q24</f>
        <v>3780180.16403098</v>
      </c>
      <c r="AI24" s="0" t="n">
        <f aca="false">(AE24+AH24-Supuestos!$B$7-Supuestos!$B$8)/Supuestos!$B$9</f>
        <v>1691.66413461539</v>
      </c>
      <c r="AJ24" s="0" t="n">
        <f aca="false">AI24/AI$5-1</f>
        <v>-0.0889416175765557</v>
      </c>
    </row>
    <row r="25" customFormat="false" ht="15" hidden="false" customHeight="false" outlineLevel="0" collapsed="false">
      <c r="A25" s="0" t="n">
        <v>100</v>
      </c>
      <c r="B25" s="0" t="n">
        <v>0</v>
      </c>
      <c r="C25" s="0" t="n">
        <f aca="false">Supuestos!$B$13</f>
        <v>0.85</v>
      </c>
      <c r="D25" s="0" t="s">
        <v>111</v>
      </c>
      <c r="E25" s="0" t="n">
        <f aca="false">(1-Supuestos!C$28)*((1+((1+Supuestos!C$26)/(1+Supuestos!$B$4)-1+Supuestos!$B$14*$A25/10000))*(1+Supuestos!$B$4+$B25/10000)-1)+Supuestos!C$28*((1+Supuestos!C$27+$A25/10000)*(1+Supuestos!$B$4+$B25/10000)-1)*(1-Supuestos!$B$6)</f>
        <v>0.11519065562777</v>
      </c>
      <c r="F25" s="0" t="n">
        <f aca="false">(1-Supuestos!D$28)*((1+((1+Supuestos!D$26)/(1+Supuestos!$B$4)-1+Supuestos!$B$14*$A25/10000))*(1+Supuestos!$B$4+$B25/10000)-1)+Supuestos!D$28*((1+Supuestos!D$27+$A25/10000)*(1+Supuestos!$B$4+$B25/10000)-1)*(1-Supuestos!$B$6)</f>
        <v>0.11488314617678</v>
      </c>
      <c r="G25" s="0" t="n">
        <f aca="false">(1-Supuestos!E$28)*((1+((1+Supuestos!E$26)/(1+Supuestos!$B$4)-1+Supuestos!$B$14*$A25/10000))*(1+Supuestos!$B$4+$B25/10000)-1)+Supuestos!E$28*((1+Supuestos!E$27+$A25/10000)*(1+Supuestos!$B$4+$B25/10000)-1)*(1-Supuestos!$B$6)</f>
        <v>0.114593130850897</v>
      </c>
      <c r="H25" s="0" t="n">
        <f aca="false">(1-Supuestos!F$28)*((1+((1+Supuestos!F$26)/(1+Supuestos!$B$4)-1+Supuestos!$B$14*$A25/10000))*(1+Supuestos!$B$4+$B25/10000)-1)+Supuestos!F$28*((1+Supuestos!F$27+$A25/10000)*(1+Supuestos!$B$4+$B25/10000)-1)*(1-Supuestos!$B$6)</f>
        <v>0.114319959478321</v>
      </c>
      <c r="I25" s="0" t="n">
        <f aca="false">(1-Supuestos!G$28)*((1+((1+Supuestos!G$26)/(1+Supuestos!$B$4)-1+Supuestos!$B$14*$A25/10000))*(1+Supuestos!$B$4+$B25/10000)-1)+Supuestos!G$28*((1+Supuestos!G$27+$A25/10000)*(1+Supuestos!$B$4+$B25/10000)-1)*(1-Supuestos!$B$6)</f>
        <v>0.11406301371131</v>
      </c>
      <c r="J25" s="0" t="n">
        <f aca="false">(1-Supuestos!H$28)*((1+((1+Supuestos!H$26)/(1+Supuestos!$B$4)-1+Supuestos!$B$14*$A25/10000))*(1+Supuestos!$B$4+$B25/10000)-1)+Supuestos!H$28*((1+Supuestos!H$27+$A25/10000)*(1+Supuestos!$B$4+$B25/10000)-1)*(1-Supuestos!$B$6)</f>
        <v>0.113821705102604</v>
      </c>
      <c r="K25" s="0" t="n">
        <f aca="false">(1-Supuestos!I$28)*((1+((1+Supuestos!I$26)/(1+Supuestos!$B$4)-1+Supuestos!$B$14*$A25/10000))*(1+Supuestos!$B$4+$B25/10000)-1)+Supuestos!I$28*((1+Supuestos!I$27+$A25/10000)*(1+Supuestos!$B$4+$B25/10000)-1)*(1-Supuestos!$B$6)</f>
        <v>0.113821705102604</v>
      </c>
      <c r="L25" s="0" t="n">
        <f aca="false">(1+E25)^-Supuestos!C$24</f>
        <v>0.946946491136157</v>
      </c>
      <c r="M25" s="0" t="n">
        <f aca="false">L25*(1+F25)^-Supuestos!D$24</f>
        <v>0.849368379442706</v>
      </c>
      <c r="N25" s="0" t="n">
        <f aca="false">M25*(1+G25)^-Supuestos!E$24</f>
        <v>0.762043436239631</v>
      </c>
      <c r="O25" s="0" t="n">
        <f aca="false">N25*(1+H25)^-Supuestos!F$24</f>
        <v>0.683864117983122</v>
      </c>
      <c r="P25" s="0" t="n">
        <f aca="false">O25*(1+I25)^-Supuestos!G$24</f>
        <v>0.613846891572987</v>
      </c>
      <c r="Q25" s="0" t="n">
        <f aca="false">P25*(1+J25)^-Supuestos!H$24</f>
        <v>0.551117731644887</v>
      </c>
      <c r="R25" s="0" t="n">
        <f aca="false">(1+E25)^-(Supuestos!C$24/2)</f>
        <v>0.973111756755696</v>
      </c>
      <c r="S25" s="0" t="n">
        <f aca="false">L25*(1+F25)^-(Supuestos!D$24/2)</f>
        <v>0.896831314459567</v>
      </c>
      <c r="T25" s="0" t="n">
        <f aca="false">M25*(1+G25)^-(Supuestos!E$24/2)</f>
        <v>0.804521968937957</v>
      </c>
      <c r="U25" s="0" t="n">
        <f aca="false">N25*(1+H25)^-(Supuestos!F$24/2)</f>
        <v>0.721896226883645</v>
      </c>
      <c r="V25" s="0" t="n">
        <f aca="false">O25*(1+I25)^-(Supuestos!G$24/2)</f>
        <v>0.647910381983683</v>
      </c>
      <c r="W25" s="0" t="n">
        <f aca="false">P25*(1+J25)^-(Supuestos!H$24/2)</f>
        <v>0.581637263645452</v>
      </c>
      <c r="X25" s="0" t="n">
        <f aca="false">Supuestos!C$23*(1-$C25+$C25*((1+Supuestos!$B$4+$B25/10000)/(1+Supuestos!$B$4))^Supuestos!C$25)</f>
        <v>113425.715768245</v>
      </c>
      <c r="Y25" s="0" t="n">
        <f aca="false">Supuestos!D$23*(1-$C25+$C25*((1+Supuestos!$B$4+$B25/10000)/(1+Supuestos!$B$4))^Supuestos!D$25)</f>
        <v>199440.442268561</v>
      </c>
      <c r="Z25" s="0" t="n">
        <f aca="false">Supuestos!E$23*(1-$C25+$C25*((1+Supuestos!$B$4+$B25/10000)/(1+Supuestos!$B$4))^Supuestos!E$25)</f>
        <v>259687.719258378</v>
      </c>
      <c r="AA25" s="0" t="n">
        <f aca="false">Supuestos!F$23*(1-$C25+$C25*((1+Supuestos!$B$4+$B25/10000)/(1+Supuestos!$B$4))^Supuestos!F$25)</f>
        <v>375320.615932717</v>
      </c>
      <c r="AB25" s="0" t="n">
        <f aca="false">Supuestos!G$23*(1-$C25+$C25*((1+Supuestos!$B$4+$B25/10000)/(1+Supuestos!$B$4))^Supuestos!G$25)</f>
        <v>377068.219372121</v>
      </c>
      <c r="AC25" s="0" t="n">
        <f aca="false">Supuestos!H$23*(1-$C25+$C25*((1+Supuestos!$B$4+$B25/10000)/(1+Supuestos!$B$4))^Supuestos!H$25)</f>
        <v>398715.503513791</v>
      </c>
      <c r="AD25" s="0" t="n">
        <f aca="false">Supuestos!I$23*(1-$C25+$C25*((1+Supuestos!$B$4+$B25/10000)/(1+Supuestos!$B$4))^Supuestos!I$25)</f>
        <v>528835.311960595</v>
      </c>
      <c r="AE25" s="0" t="n">
        <f aca="false">SUMPRODUCT(X25:AC25,R25:W25)</f>
        <v>1245321.55173293</v>
      </c>
      <c r="AF25" s="0" t="n">
        <f aca="false">(1+Supuestos!$B$5)/(1+Supuestos!$B$4)*(1+Supuestos!$B$4+$B25/10000)-1</f>
        <v>0.03</v>
      </c>
      <c r="AG25" s="0" t="n">
        <f aca="false">AD25/(K25-AF25)</f>
        <v>6309049.80175791</v>
      </c>
      <c r="AH25" s="0" t="n">
        <f aca="false">AG25*Q25</f>
        <v>3477029.21557944</v>
      </c>
      <c r="AI25" s="0" t="n">
        <f aca="false">(AE25+AH25-Supuestos!$B$7-Supuestos!$B$8)/Supuestos!$B$9</f>
        <v>1546.01359238008</v>
      </c>
      <c r="AJ25" s="0" t="n">
        <f aca="false">AI25/AI$5-1</f>
        <v>-0.167382807345096</v>
      </c>
    </row>
    <row r="26" customFormat="false" ht="15" hidden="false" customHeight="false" outlineLevel="0" collapsed="false">
      <c r="A26" s="0" t="n">
        <v>150</v>
      </c>
      <c r="B26" s="0" t="n">
        <v>0</v>
      </c>
      <c r="C26" s="0" t="n">
        <f aca="false">Supuestos!$B$13</f>
        <v>0.85</v>
      </c>
      <c r="D26" s="0" t="s">
        <v>111</v>
      </c>
      <c r="E26" s="0" t="n">
        <f aca="false">(1-Supuestos!C$28)*((1+((1+Supuestos!C$26)/(1+Supuestos!$B$4)-1+Supuestos!$B$14*$A26/10000))*(1+Supuestos!$B$4+$B26/10000)-1)+Supuestos!C$28*((1+Supuestos!C$27+$A26/10000)*(1+Supuestos!$B$4+$B26/10000)-1)*(1-Supuestos!$B$6)</f>
        <v>0.120101677403244</v>
      </c>
      <c r="F26" s="0" t="n">
        <f aca="false">(1-Supuestos!D$28)*((1+((1+Supuestos!D$26)/(1+Supuestos!$B$4)-1+Supuestos!$B$14*$A26/10000))*(1+Supuestos!$B$4+$B26/10000)-1)+Supuestos!D$28*((1+Supuestos!D$27+$A26/10000)*(1+Supuestos!$B$4+$B26/10000)-1)*(1-Supuestos!$B$6)</f>
        <v>0.11977954002595</v>
      </c>
      <c r="G26" s="0" t="n">
        <f aca="false">(1-Supuestos!E$28)*((1+((1+Supuestos!E$26)/(1+Supuestos!$B$4)-1+Supuestos!$B$14*$A26/10000))*(1+Supuestos!$B$4+$B26/10000)-1)+Supuestos!E$28*((1+Supuestos!E$27+$A26/10000)*(1+Supuestos!$B$4+$B26/10000)-1)*(1-Supuestos!$B$6)</f>
        <v>0.119475263752767</v>
      </c>
      <c r="H26" s="0" t="n">
        <f aca="false">(1-Supuestos!F$28)*((1+((1+Supuestos!F$26)/(1+Supuestos!$B$4)-1+Supuestos!$B$14*$A26/10000))*(1+Supuestos!$B$4+$B26/10000)-1)+Supuestos!F$28*((1+Supuestos!F$27+$A26/10000)*(1+Supuestos!$B$4+$B26/10000)-1)*(1-Supuestos!$B$6)</f>
        <v>0.119188184773063</v>
      </c>
      <c r="I26" s="0" t="n">
        <f aca="false">(1-Supuestos!G$28)*((1+((1+Supuestos!G$26)/(1+Supuestos!$B$4)-1+Supuestos!$B$14*$A26/10000))*(1+Supuestos!$B$4+$B26/10000)-1)+Supuestos!G$28*((1+Supuestos!G$27+$A26/10000)*(1+Supuestos!$B$4+$B26/10000)-1)*(1-Supuestos!$B$6)</f>
        <v>0.118917671767851</v>
      </c>
      <c r="J26" s="0" t="n">
        <f aca="false">(1-Supuestos!H$28)*((1+((1+Supuestos!H$26)/(1+Supuestos!$B$4)-1+Supuestos!$B$14*$A26/10000))*(1+Supuestos!$B$4+$B26/10000)-1)+Supuestos!H$28*((1+Supuestos!H$27+$A26/10000)*(1+Supuestos!$B$4+$B26/10000)-1)*(1-Supuestos!$B$6)</f>
        <v>0.118663123945852</v>
      </c>
      <c r="K26" s="0" t="n">
        <f aca="false">(1-Supuestos!I$28)*((1+((1+Supuestos!I$26)/(1+Supuestos!$B$4)-1+Supuestos!$B$14*$A26/10000))*(1+Supuestos!$B$4+$B26/10000)-1)+Supuestos!I$28*((1+Supuestos!I$27+$A26/10000)*(1+Supuestos!$B$4+$B26/10000)-1)*(1-Supuestos!$B$6)</f>
        <v>0.118663123945852</v>
      </c>
      <c r="L26" s="0" t="n">
        <f aca="false">(1+E26)^-Supuestos!C$24</f>
        <v>0.944868294320281</v>
      </c>
      <c r="M26" s="0" t="n">
        <f aca="false">L26*(1+F26)^-Supuestos!D$24</f>
        <v>0.843798498317253</v>
      </c>
      <c r="N26" s="0" t="n">
        <f aca="false">M26*(1+G26)^-Supuestos!E$24</f>
        <v>0.753744656660501</v>
      </c>
      <c r="O26" s="0" t="n">
        <f aca="false">N26*(1+H26)^-Supuestos!F$24</f>
        <v>0.673474458465032</v>
      </c>
      <c r="P26" s="0" t="n">
        <f aca="false">O26*(1+I26)^-Supuestos!G$24</f>
        <v>0.60189813375721</v>
      </c>
      <c r="Q26" s="0" t="n">
        <f aca="false">P26*(1+J26)^-Supuestos!H$24</f>
        <v>0.538051287177626</v>
      </c>
      <c r="R26" s="0" t="n">
        <f aca="false">(1+E26)^-(Supuestos!C$24/2)</f>
        <v>0.972043360308727</v>
      </c>
      <c r="S26" s="0" t="n">
        <f aca="false">L26*(1+F26)^-(Supuestos!D$24/2)</f>
        <v>0.892904500971429</v>
      </c>
      <c r="T26" s="0" t="n">
        <f aca="false">M26*(1+G26)^-(Supuestos!E$24/2)</f>
        <v>0.797501479249276</v>
      </c>
      <c r="U26" s="0" t="n">
        <f aca="false">N26*(1+H26)^-(Supuestos!F$24/2)</f>
        <v>0.712480016888433</v>
      </c>
      <c r="V26" s="0" t="n">
        <f aca="false">O26*(1+I26)^-(Supuestos!G$24/2)</f>
        <v>0.636681254383424</v>
      </c>
      <c r="W26" s="0" t="n">
        <f aca="false">P26*(1+J26)^-(Supuestos!H$24/2)</f>
        <v>0.56908001688504</v>
      </c>
      <c r="X26" s="0" t="n">
        <f aca="false">Supuestos!C$23*(1-$C26+$C26*((1+Supuestos!$B$4+$B26/10000)/(1+Supuestos!$B$4))^Supuestos!C$25)</f>
        <v>113425.715768245</v>
      </c>
      <c r="Y26" s="0" t="n">
        <f aca="false">Supuestos!D$23*(1-$C26+$C26*((1+Supuestos!$B$4+$B26/10000)/(1+Supuestos!$B$4))^Supuestos!D$25)</f>
        <v>199440.442268561</v>
      </c>
      <c r="Z26" s="0" t="n">
        <f aca="false">Supuestos!E$23*(1-$C26+$C26*((1+Supuestos!$B$4+$B26/10000)/(1+Supuestos!$B$4))^Supuestos!E$25)</f>
        <v>259687.719258378</v>
      </c>
      <c r="AA26" s="0" t="n">
        <f aca="false">Supuestos!F$23*(1-$C26+$C26*((1+Supuestos!$B$4+$B26/10000)/(1+Supuestos!$B$4))^Supuestos!F$25)</f>
        <v>375320.615932717</v>
      </c>
      <c r="AB26" s="0" t="n">
        <f aca="false">Supuestos!G$23*(1-$C26+$C26*((1+Supuestos!$B$4+$B26/10000)/(1+Supuestos!$B$4))^Supuestos!G$25)</f>
        <v>377068.219372121</v>
      </c>
      <c r="AC26" s="0" t="n">
        <f aca="false">Supuestos!H$23*(1-$C26+$C26*((1+Supuestos!$B$4+$B26/10000)/(1+Supuestos!$B$4))^Supuestos!H$25)</f>
        <v>398715.503513791</v>
      </c>
      <c r="AD26" s="0" t="n">
        <f aca="false">Supuestos!I$23*(1-$C26+$C26*((1+Supuestos!$B$4+$B26/10000)/(1+Supuestos!$B$4))^Supuestos!I$25)</f>
        <v>528835.311960595</v>
      </c>
      <c r="AE26" s="0" t="n">
        <f aca="false">SUMPRODUCT(X26:AC26,R26:W26)</f>
        <v>1229819.05387779</v>
      </c>
      <c r="AF26" s="0" t="n">
        <f aca="false">(1+Supuestos!$B$5)/(1+Supuestos!$B$4)*(1+Supuestos!$B$4+$B26/10000)-1</f>
        <v>0.03</v>
      </c>
      <c r="AG26" s="0" t="n">
        <f aca="false">AD26/(K26-AF26)</f>
        <v>5964546.34604984</v>
      </c>
      <c r="AH26" s="0" t="n">
        <f aca="false">AG26*Q26</f>
        <v>3209231.83892272</v>
      </c>
      <c r="AI26" s="0" t="n">
        <f aca="false">(AE26+AH26-Supuestos!$B$7-Supuestos!$B$8)/Supuestos!$B$9</f>
        <v>1416.65291908699</v>
      </c>
      <c r="AJ26" s="0" t="n">
        <f aca="false">AI26/AI$5-1</f>
        <v>-0.237050966259161</v>
      </c>
    </row>
    <row r="27" customFormat="false" ht="15" hidden="false" customHeight="false" outlineLevel="0" collapsed="false">
      <c r="A27" s="0" t="n">
        <v>-150</v>
      </c>
      <c r="B27" s="0" t="n">
        <v>50</v>
      </c>
      <c r="C27" s="0" t="n">
        <f aca="false">Supuestos!$B$13</f>
        <v>0.85</v>
      </c>
      <c r="D27" s="0" t="s">
        <v>111</v>
      </c>
      <c r="E27" s="0" t="n">
        <f aca="false">(1-Supuestos!C$28)*((1+((1+Supuestos!C$26)/(1+Supuestos!$B$4)-1+Supuestos!$B$14*$A27/10000))*(1+Supuestos!$B$4+$B27/10000)-1)+Supuestos!C$28*((1+Supuestos!C$27+$A27/10000)*(1+Supuestos!$B$4+$B27/10000)-1)*(1-Supuestos!$B$6)</f>
        <v>0.0957046341679086</v>
      </c>
      <c r="F27" s="0" t="n">
        <f aca="false">(1-Supuestos!D$28)*((1+((1+Supuestos!D$26)/(1+Supuestos!$B$4)-1+Supuestos!$B$14*$A27/10000))*(1+Supuestos!$B$4+$B27/10000)-1)+Supuestos!D$28*((1+Supuestos!D$27+$A27/10000)*(1+Supuestos!$B$4+$B27/10000)-1)*(1-Supuestos!$B$6)</f>
        <v>0.0954553384073779</v>
      </c>
      <c r="G27" s="0" t="n">
        <f aca="false">(1-Supuestos!E$28)*((1+((1+Supuestos!E$26)/(1+Supuestos!$B$4)-1+Supuestos!$B$14*$A27/10000))*(1+Supuestos!$B$4+$B27/10000)-1)+Supuestos!E$28*((1+Supuestos!E$27+$A27/10000)*(1+Supuestos!$B$4+$B27/10000)-1)*(1-Supuestos!$B$6)</f>
        <v>0.0952221238055226</v>
      </c>
      <c r="H27" s="0" t="n">
        <f aca="false">(1-Supuestos!F$28)*((1+((1+Supuestos!F$26)/(1+Supuestos!$B$4)-1+Supuestos!$B$14*$A27/10000))*(1+Supuestos!$B$4+$B27/10000)-1)+Supuestos!F$28*((1+Supuestos!F$27+$A27/10000)*(1+Supuestos!$B$4+$B27/10000)-1)*(1-Supuestos!$B$6)</f>
        <v>0.095004392703653</v>
      </c>
      <c r="I27" s="0" t="n">
        <f aca="false">(1-Supuestos!G$28)*((1+((1+Supuestos!G$26)/(1+Supuestos!$B$4)-1+Supuestos!$B$14*$A27/10000))*(1+Supuestos!$B$4+$B27/10000)-1)+Supuestos!G$28*((1+Supuestos!G$27+$A27/10000)*(1+Supuestos!$B$4+$B27/10000)-1)*(1-Supuestos!$B$6)</f>
        <v>0.0948015766967716</v>
      </c>
      <c r="J27" s="0" t="n">
        <f aca="false">(1-Supuestos!H$28)*((1+((1+Supuestos!H$26)/(1+Supuestos!$B$4)-1+Supuestos!$B$14*$A27/10000))*(1+Supuestos!$B$4+$B27/10000)-1)+Supuestos!H$28*((1+Supuestos!H$27+$A27/10000)*(1+Supuestos!$B$4+$B27/10000)-1)*(1-Supuestos!$B$6)</f>
        <v>0.0946131348653571</v>
      </c>
      <c r="K27" s="0" t="n">
        <f aca="false">(1-Supuestos!I$28)*((1+((1+Supuestos!I$26)/(1+Supuestos!$B$4)-1+Supuestos!$B$14*$A27/10000))*(1+Supuestos!$B$4+$B27/10000)-1)+Supuestos!I$28*((1+Supuestos!I$27+$A27/10000)*(1+Supuestos!$B$4+$B27/10000)-1)*(1-Supuestos!$B$6)</f>
        <v>0.0946131348653571</v>
      </c>
      <c r="L27" s="0" t="n">
        <f aca="false">(1+E27)^-Supuestos!C$24</f>
        <v>0.955329636530513</v>
      </c>
      <c r="M27" s="0" t="n">
        <f aca="false">L27*(1+F27)^-Supuestos!D$24</f>
        <v>0.87208451411576</v>
      </c>
      <c r="N27" s="0" t="n">
        <f aca="false">M27*(1+G27)^-Supuestos!E$24</f>
        <v>0.796262689695825</v>
      </c>
      <c r="O27" s="0" t="n">
        <f aca="false">N27*(1+H27)^-Supuestos!F$24</f>
        <v>0.727177621388157</v>
      </c>
      <c r="P27" s="0" t="n">
        <f aca="false">O27*(1+I27)^-Supuestos!G$24</f>
        <v>0.664209512359484</v>
      </c>
      <c r="Q27" s="0" t="n">
        <f aca="false">P27*(1+J27)^-Supuestos!H$24</f>
        <v>0.606798412336962</v>
      </c>
      <c r="R27" s="0" t="n">
        <f aca="false">(1+E27)^-(Supuestos!C$24/2)</f>
        <v>0.977409656454505</v>
      </c>
      <c r="S27" s="0" t="n">
        <f aca="false">L27*(1+F27)^-(Supuestos!D$24/2)</f>
        <v>0.912758556187833</v>
      </c>
      <c r="T27" s="0" t="n">
        <f aca="false">M27*(1+G27)^-(Supuestos!E$24/2)</f>
        <v>0.833311682896557</v>
      </c>
      <c r="U27" s="0" t="n">
        <f aca="false">N27*(1+H27)^-(Supuestos!F$24/2)</f>
        <v>0.760936533945602</v>
      </c>
      <c r="V27" s="0" t="n">
        <f aca="false">O27*(1+I27)^-(Supuestos!G$24/2)</f>
        <v>0.694980786281863</v>
      </c>
      <c r="W27" s="0" t="n">
        <f aca="false">P27*(1+J27)^-(Supuestos!H$24/2)</f>
        <v>0.634855320178419</v>
      </c>
      <c r="X27" s="0" t="n">
        <f aca="false">Supuestos!C$23*(1-$C27+$C27*((1+Supuestos!$B$4+$B27/10000)/(1+Supuestos!$B$4))^Supuestos!C$25)</f>
        <v>113542.508057945</v>
      </c>
      <c r="Y27" s="0" t="n">
        <f aca="false">Supuestos!D$23*(1-$C27+$C27*((1+Supuestos!$B$4+$B27/10000)/(1+Supuestos!$B$4))^Supuestos!D$25)</f>
        <v>200263.376132291</v>
      </c>
      <c r="Z27" s="0" t="n">
        <f aca="false">Supuestos!E$23*(1-$C27+$C27*((1+Supuestos!$B$4+$B27/10000)/(1+Supuestos!$B$4))^Supuestos!E$25)</f>
        <v>261835.974839622</v>
      </c>
      <c r="AA27" s="0" t="n">
        <f aca="false">Supuestos!F$23*(1-$C27+$C27*((1+Supuestos!$B$4+$B27/10000)/(1+Supuestos!$B$4))^Supuestos!F$25)</f>
        <v>379989.164706709</v>
      </c>
      <c r="AB27" s="0" t="n">
        <f aca="false">Supuestos!G$23*(1-$C27+$C27*((1+Supuestos!$B$4+$B27/10000)/(1+Supuestos!$B$4))^Supuestos!G$25)</f>
        <v>383337.138680628</v>
      </c>
      <c r="AC27" s="0" t="n">
        <f aca="false">Supuestos!H$23*(1-$C27+$C27*((1+Supuestos!$B$4+$B27/10000)/(1+Supuestos!$B$4))^Supuestos!H$25)</f>
        <v>407021.68215763</v>
      </c>
      <c r="AD27" s="0" t="n">
        <f aca="false">Supuestos!I$23*(1-$C27+$C27*((1+Supuestos!$B$4+$B27/10000)/(1+Supuestos!$B$4))^Supuestos!I$25)</f>
        <v>542087.758702064</v>
      </c>
      <c r="AE27" s="0" t="n">
        <f aca="false">SUMPRODUCT(X27:AC27,R27:W27)</f>
        <v>1325920.09501203</v>
      </c>
      <c r="AF27" s="0" t="n">
        <f aca="false">(1+Supuestos!$B$5)/(1+Supuestos!$B$4)*(1+Supuestos!$B$4+$B27/10000)-1</f>
        <v>0.0349999999999999</v>
      </c>
      <c r="AG27" s="0" t="n">
        <f aca="false">AD27/(K27-AF27)</f>
        <v>9093428.15012881</v>
      </c>
      <c r="AH27" s="0" t="n">
        <f aca="false">AG27*Q27</f>
        <v>5517877.7641984</v>
      </c>
      <c r="AI27" s="0" t="n">
        <f aca="false">(AE27+AH27-Supuestos!$B$7-Supuestos!$B$8)/Supuestos!$B$9</f>
        <v>2514.71089461663</v>
      </c>
      <c r="AJ27" s="0" t="n">
        <f aca="false">AI27/AI$5-1</f>
        <v>0.354316375828897</v>
      </c>
    </row>
    <row r="28" customFormat="false" ht="15" hidden="false" customHeight="false" outlineLevel="0" collapsed="false">
      <c r="A28" s="0" t="n">
        <v>-100</v>
      </c>
      <c r="B28" s="0" t="n">
        <v>50</v>
      </c>
      <c r="C28" s="0" t="n">
        <f aca="false">Supuestos!$B$13</f>
        <v>0.85</v>
      </c>
      <c r="D28" s="0" t="s">
        <v>111</v>
      </c>
      <c r="E28" s="0" t="n">
        <f aca="false">(1-Supuestos!C$28)*((1+((1+Supuestos!C$26)/(1+Supuestos!$B$4)-1+Supuestos!$B$14*$A28/10000))*(1+Supuestos!$B$4+$B28/10000)-1)+Supuestos!C$28*((1+Supuestos!C$27+$A28/10000)*(1+Supuestos!$B$4+$B28/10000)-1)*(1-Supuestos!$B$6)</f>
        <v>0.100639495854915</v>
      </c>
      <c r="F28" s="0" t="n">
        <f aca="false">(1-Supuestos!D$28)*((1+((1+Supuestos!D$26)/(1+Supuestos!$B$4)-1+Supuestos!$B$14*$A28/10000))*(1+Supuestos!$B$4+$B28/10000)-1)+Supuestos!D$28*((1+Supuestos!D$27+$A28/10000)*(1+Supuestos!$B$4+$B28/10000)-1)*(1-Supuestos!$B$6)</f>
        <v>0.100375501158728</v>
      </c>
      <c r="G28" s="0" t="n">
        <f aca="false">(1-Supuestos!E$28)*((1+((1+Supuestos!E$26)/(1+Supuestos!$B$4)-1+Supuestos!$B$14*$A28/10000))*(1+Supuestos!$B$4+$B28/10000)-1)+Supuestos!E$28*((1+Supuestos!E$27+$A28/10000)*(1+Supuestos!$B$4+$B28/10000)-1)*(1-Supuestos!$B$6)</f>
        <v>0.100127956381673</v>
      </c>
      <c r="H28" s="0" t="n">
        <f aca="false">(1-Supuestos!F$28)*((1+((1+Supuestos!F$26)/(1+Supuestos!$B$4)-1+Supuestos!$B$14*$A28/10000))*(1+Supuestos!$B$4+$B28/10000)-1)+Supuestos!F$28*((1+Supuestos!F$27+$A28/10000)*(1+Supuestos!$B$4+$B28/10000)-1)*(1-Supuestos!$B$6)</f>
        <v>0.0998962501600204</v>
      </c>
      <c r="I28" s="0" t="n">
        <f aca="false">(1-Supuestos!G$28)*((1+((1+Supuestos!G$26)/(1+Supuestos!$B$4)-1+Supuestos!$B$14*$A28/10000))*(1+Supuestos!$B$4+$B28/10000)-1)+Supuestos!G$28*((1+Supuestos!G$27+$A28/10000)*(1+Supuestos!$B$4+$B28/10000)-1)*(1-Supuestos!$B$6)</f>
        <v>0.099679801054558</v>
      </c>
      <c r="J28" s="0" t="n">
        <f aca="false">(1-Supuestos!H$28)*((1+((1+Supuestos!H$26)/(1+Supuestos!$B$4)-1+Supuestos!$B$14*$A28/10000))*(1+Supuestos!$B$4+$B28/10000)-1)+Supuestos!H$28*((1+Supuestos!H$27+$A28/10000)*(1+Supuestos!$B$4+$B28/10000)-1)*(1-Supuestos!$B$6)</f>
        <v>0.0994780557418245</v>
      </c>
      <c r="K28" s="0" t="n">
        <f aca="false">(1-Supuestos!I$28)*((1+((1+Supuestos!I$26)/(1+Supuestos!$B$4)-1+Supuestos!$B$14*$A28/10000))*(1+Supuestos!$B$4+$B28/10000)-1)+Supuestos!I$28*((1+Supuestos!I$27+$A28/10000)*(1+Supuestos!$B$4+$B28/10000)-1)*(1-Supuestos!$B$6)</f>
        <v>0.0994780557418245</v>
      </c>
      <c r="L28" s="0" t="n">
        <f aca="false">(1+E28)^-Supuestos!C$24</f>
        <v>0.953185557588495</v>
      </c>
      <c r="M28" s="0" t="n">
        <f aca="false">L28*(1+F28)^-Supuestos!D$24</f>
        <v>0.866236622484563</v>
      </c>
      <c r="N28" s="0" t="n">
        <f aca="false">M28*(1+G28)^-Supuestos!E$24</f>
        <v>0.787396245554581</v>
      </c>
      <c r="O28" s="0" t="n">
        <f aca="false">N28*(1+H28)^-Supuestos!F$24</f>
        <v>0.715882289297763</v>
      </c>
      <c r="P28" s="0" t="n">
        <f aca="false">O28*(1+I28)^-Supuestos!G$24</f>
        <v>0.65099157828602</v>
      </c>
      <c r="Q28" s="0" t="n">
        <f aca="false">P28*(1+J28)^-Supuestos!H$24</f>
        <v>0.592091470026468</v>
      </c>
      <c r="R28" s="0" t="n">
        <f aca="false">(1+E28)^-(Supuestos!C$24/2)</f>
        <v>0.976312223414464</v>
      </c>
      <c r="S28" s="0" t="n">
        <f aca="false">L28*(1+F28)^-(Supuestos!D$24/2)</f>
        <v>0.908671688788928</v>
      </c>
      <c r="T28" s="0" t="n">
        <f aca="false">M28*(1+G28)^-(Supuestos!E$24/2)</f>
        <v>0.825876179766813</v>
      </c>
      <c r="U28" s="0" t="n">
        <f aca="false">N28*(1+H28)^-(Supuestos!F$24/2)</f>
        <v>0.750788270321319</v>
      </c>
      <c r="V28" s="0" t="n">
        <f aca="false">O28*(1+I28)^-(Supuestos!G$24/2)</f>
        <v>0.682666347037087</v>
      </c>
      <c r="W28" s="0" t="n">
        <f aca="false">P28*(1+J28)^-(Supuestos!H$24/2)</f>
        <v>0.620843426768956</v>
      </c>
      <c r="X28" s="0" t="n">
        <f aca="false">Supuestos!C$23*(1-$C28+$C28*((1+Supuestos!$B$4+$B28/10000)/(1+Supuestos!$B$4))^Supuestos!C$25)</f>
        <v>113542.508057945</v>
      </c>
      <c r="Y28" s="0" t="n">
        <f aca="false">Supuestos!D$23*(1-$C28+$C28*((1+Supuestos!$B$4+$B28/10000)/(1+Supuestos!$B$4))^Supuestos!D$25)</f>
        <v>200263.376132291</v>
      </c>
      <c r="Z28" s="0" t="n">
        <f aca="false">Supuestos!E$23*(1-$C28+$C28*((1+Supuestos!$B$4+$B28/10000)/(1+Supuestos!$B$4))^Supuestos!E$25)</f>
        <v>261835.974839622</v>
      </c>
      <c r="AA28" s="0" t="n">
        <f aca="false">Supuestos!F$23*(1-$C28+$C28*((1+Supuestos!$B$4+$B28/10000)/(1+Supuestos!$B$4))^Supuestos!F$25)</f>
        <v>379989.164706709</v>
      </c>
      <c r="AB28" s="0" t="n">
        <f aca="false">Supuestos!G$23*(1-$C28+$C28*((1+Supuestos!$B$4+$B28/10000)/(1+Supuestos!$B$4))^Supuestos!G$25)</f>
        <v>383337.138680628</v>
      </c>
      <c r="AC28" s="0" t="n">
        <f aca="false">Supuestos!H$23*(1-$C28+$C28*((1+Supuestos!$B$4+$B28/10000)/(1+Supuestos!$B$4))^Supuestos!H$25)</f>
        <v>407021.68215763</v>
      </c>
      <c r="AD28" s="0" t="n">
        <f aca="false">Supuestos!I$23*(1-$C28+$C28*((1+Supuestos!$B$4+$B28/10000)/(1+Supuestos!$B$4))^Supuestos!I$25)</f>
        <v>542087.758702064</v>
      </c>
      <c r="AE28" s="0" t="n">
        <f aca="false">SUMPRODUCT(X28:AC28,R28:W28)</f>
        <v>1308750.20109063</v>
      </c>
      <c r="AF28" s="0" t="n">
        <f aca="false">(1+Supuestos!$B$5)/(1+Supuestos!$B$4)*(1+Supuestos!$B$4+$B28/10000)-1</f>
        <v>0.0349999999999999</v>
      </c>
      <c r="AG28" s="0" t="n">
        <f aca="false">AD28/(K28-AF28)</f>
        <v>8407321.72310883</v>
      </c>
      <c r="AH28" s="0" t="n">
        <f aca="false">AG28*Q28</f>
        <v>4977903.47802097</v>
      </c>
      <c r="AI28" s="0" t="n">
        <f aca="false">(AE28+AH28-Supuestos!$B$7-Supuestos!$B$8)/Supuestos!$B$9</f>
        <v>2260.30715941169</v>
      </c>
      <c r="AJ28" s="0" t="n">
        <f aca="false">AI28/AI$5-1</f>
        <v>0.217305339929035</v>
      </c>
    </row>
    <row r="29" customFormat="false" ht="15" hidden="false" customHeight="false" outlineLevel="0" collapsed="false">
      <c r="A29" s="0" t="n">
        <v>-50</v>
      </c>
      <c r="B29" s="0" t="n">
        <v>50</v>
      </c>
      <c r="C29" s="0" t="n">
        <f aca="false">Supuestos!$B$13</f>
        <v>0.85</v>
      </c>
      <c r="D29" s="0" t="s">
        <v>111</v>
      </c>
      <c r="E29" s="0" t="n">
        <f aca="false">(1-Supuestos!C$28)*((1+((1+Supuestos!C$26)/(1+Supuestos!$B$4)-1+Supuestos!$B$14*$A29/10000))*(1+Supuestos!$B$4+$B29/10000)-1)+Supuestos!C$28*((1+Supuestos!C$27+$A29/10000)*(1+Supuestos!$B$4+$B29/10000)-1)*(1-Supuestos!$B$6)</f>
        <v>0.105574357541921</v>
      </c>
      <c r="F29" s="0" t="n">
        <f aca="false">(1-Supuestos!D$28)*((1+((1+Supuestos!D$26)/(1+Supuestos!$B$4)-1+Supuestos!$B$14*$A29/10000))*(1+Supuestos!$B$4+$B29/10000)-1)+Supuestos!D$28*((1+Supuestos!D$27+$A29/10000)*(1+Supuestos!$B$4+$B29/10000)-1)*(1-Supuestos!$B$6)</f>
        <v>0.105295663910079</v>
      </c>
      <c r="G29" s="0" t="n">
        <f aca="false">(1-Supuestos!E$28)*((1+((1+Supuestos!E$26)/(1+Supuestos!$B$4)-1+Supuestos!$B$14*$A29/10000))*(1+Supuestos!$B$4+$B29/10000)-1)+Supuestos!E$28*((1+Supuestos!E$27+$A29/10000)*(1+Supuestos!$B$4+$B29/10000)-1)*(1-Supuestos!$B$6)</f>
        <v>0.105033788957823</v>
      </c>
      <c r="H29" s="0" t="n">
        <f aca="false">(1-Supuestos!F$28)*((1+((1+Supuestos!F$26)/(1+Supuestos!$B$4)-1+Supuestos!$B$14*$A29/10000))*(1+Supuestos!$B$4+$B29/10000)-1)+Supuestos!F$28*((1+Supuestos!F$27+$A29/10000)*(1+Supuestos!$B$4+$B29/10000)-1)*(1-Supuestos!$B$6)</f>
        <v>0.104788107616388</v>
      </c>
      <c r="I29" s="0" t="n">
        <f aca="false">(1-Supuestos!G$28)*((1+((1+Supuestos!G$26)/(1+Supuestos!$B$4)-1+Supuestos!$B$14*$A29/10000))*(1+Supuestos!$B$4+$B29/10000)-1)+Supuestos!G$28*((1+Supuestos!G$27+$A29/10000)*(1+Supuestos!$B$4+$B29/10000)-1)*(1-Supuestos!$B$6)</f>
        <v>0.104558025412344</v>
      </c>
      <c r="J29" s="0" t="n">
        <f aca="false">(1-Supuestos!H$28)*((1+((1+Supuestos!H$26)/(1+Supuestos!$B$4)-1+Supuestos!$B$14*$A29/10000))*(1+Supuestos!$B$4+$B29/10000)-1)+Supuestos!H$28*((1+Supuestos!H$27+$A29/10000)*(1+Supuestos!$B$4+$B29/10000)-1)*(1-Supuestos!$B$6)</f>
        <v>0.104342976618292</v>
      </c>
      <c r="K29" s="0" t="n">
        <f aca="false">(1-Supuestos!I$28)*((1+((1+Supuestos!I$26)/(1+Supuestos!$B$4)-1+Supuestos!$B$14*$A29/10000))*(1+Supuestos!$B$4+$B29/10000)-1)+Supuestos!I$28*((1+Supuestos!I$27+$A29/10000)*(1+Supuestos!$B$4+$B29/10000)-1)*(1-Supuestos!$B$6)</f>
        <v>0.104342976618292</v>
      </c>
      <c r="L29" s="0" t="n">
        <f aca="false">(1+E29)^-Supuestos!C$24</f>
        <v>0.951055850238045</v>
      </c>
      <c r="M29" s="0" t="n">
        <f aca="false">L29*(1+F29)^-Supuestos!D$24</f>
        <v>0.860453796474332</v>
      </c>
      <c r="N29" s="0" t="n">
        <f aca="false">M29*(1+G29)^-Supuestos!E$24</f>
        <v>0.778667408248069</v>
      </c>
      <c r="O29" s="0" t="n">
        <f aca="false">N29*(1+H29)^-Supuestos!F$24</f>
        <v>0.704811540674588</v>
      </c>
      <c r="P29" s="0" t="n">
        <f aca="false">O29*(1+I29)^-Supuestos!G$24</f>
        <v>0.638093721161887</v>
      </c>
      <c r="Q29" s="0" t="n">
        <f aca="false">P29*(1+J29)^-Supuestos!H$24</f>
        <v>0.577803938334312</v>
      </c>
      <c r="R29" s="0" t="n">
        <f aca="false">(1+E29)^-(Supuestos!C$24/2)</f>
        <v>0.975220923810623</v>
      </c>
      <c r="S29" s="0" t="n">
        <f aca="false">L29*(1+F29)^-(Supuestos!D$24/2)</f>
        <v>0.904621256104702</v>
      </c>
      <c r="T29" s="0" t="n">
        <f aca="false">M29*(1+G29)^-(Supuestos!E$24/2)</f>
        <v>0.818539753230031</v>
      </c>
      <c r="U29" s="0" t="n">
        <f aca="false">N29*(1+H29)^-(Supuestos!F$24/2)</f>
        <v>0.740819664750073</v>
      </c>
      <c r="V29" s="0" t="n">
        <f aca="false">O29*(1+I29)^-(Supuestos!G$24/2)</f>
        <v>0.67062345523169</v>
      </c>
      <c r="W29" s="0" t="n">
        <f aca="false">P29*(1+J29)^-(Supuestos!H$24/2)</f>
        <v>0.607201008821407</v>
      </c>
      <c r="X29" s="0" t="n">
        <f aca="false">Supuestos!C$23*(1-$C29+$C29*((1+Supuestos!$B$4+$B29/10000)/(1+Supuestos!$B$4))^Supuestos!C$25)</f>
        <v>113542.508057945</v>
      </c>
      <c r="Y29" s="0" t="n">
        <f aca="false">Supuestos!D$23*(1-$C29+$C29*((1+Supuestos!$B$4+$B29/10000)/(1+Supuestos!$B$4))^Supuestos!D$25)</f>
        <v>200263.376132291</v>
      </c>
      <c r="Z29" s="0" t="n">
        <f aca="false">Supuestos!E$23*(1-$C29+$C29*((1+Supuestos!$B$4+$B29/10000)/(1+Supuestos!$B$4))^Supuestos!E$25)</f>
        <v>261835.974839622</v>
      </c>
      <c r="AA29" s="0" t="n">
        <f aca="false">Supuestos!F$23*(1-$C29+$C29*((1+Supuestos!$B$4+$B29/10000)/(1+Supuestos!$B$4))^Supuestos!F$25)</f>
        <v>379989.164706709</v>
      </c>
      <c r="AB29" s="0" t="n">
        <f aca="false">Supuestos!G$23*(1-$C29+$C29*((1+Supuestos!$B$4+$B29/10000)/(1+Supuestos!$B$4))^Supuestos!G$25)</f>
        <v>383337.138680628</v>
      </c>
      <c r="AC29" s="0" t="n">
        <f aca="false">Supuestos!H$23*(1-$C29+$C29*((1+Supuestos!$B$4+$B29/10000)/(1+Supuestos!$B$4))^Supuestos!H$25)</f>
        <v>407021.68215763</v>
      </c>
      <c r="AD29" s="0" t="n">
        <f aca="false">Supuestos!I$23*(1-$C29+$C29*((1+Supuestos!$B$4+$B29/10000)/(1+Supuestos!$B$4))^Supuestos!I$25)</f>
        <v>542087.758702064</v>
      </c>
      <c r="AE29" s="0" t="n">
        <f aca="false">SUMPRODUCT(X29:AC29,R29:W29)</f>
        <v>1291936.98878619</v>
      </c>
      <c r="AF29" s="0" t="n">
        <f aca="false">(1+Supuestos!$B$5)/(1+Supuestos!$B$4)*(1+Supuestos!$B$4+$B29/10000)-1</f>
        <v>0.0349999999999999</v>
      </c>
      <c r="AG29" s="0" t="n">
        <f aca="false">AD29/(K29-AF29)</f>
        <v>7817486.14118573</v>
      </c>
      <c r="AH29" s="0" t="n">
        <f aca="false">AG29*Q29</f>
        <v>4516974.28025102</v>
      </c>
      <c r="AI29" s="0" t="n">
        <f aca="false">(AE29+AH29-Supuestos!$B$7-Supuestos!$B$8)/Supuestos!$B$9</f>
        <v>2042.15994019964</v>
      </c>
      <c r="AJ29" s="0" t="n">
        <f aca="false">AI29/AI$5-1</f>
        <v>0.0998205221104631</v>
      </c>
    </row>
    <row r="30" customFormat="false" ht="15" hidden="false" customHeight="false" outlineLevel="0" collapsed="false">
      <c r="A30" s="0" t="n">
        <v>0</v>
      </c>
      <c r="B30" s="0" t="n">
        <v>50</v>
      </c>
      <c r="C30" s="0" t="n">
        <f aca="false">Supuestos!$B$13</f>
        <v>0.85</v>
      </c>
      <c r="D30" s="0" t="s">
        <v>111</v>
      </c>
      <c r="E30" s="0" t="n">
        <f aca="false">(1-Supuestos!C$28)*((1+((1+Supuestos!C$26)/(1+Supuestos!$B$4)-1+Supuestos!$B$14*$A30/10000))*(1+Supuestos!$B$4+$B30/10000)-1)+Supuestos!C$28*((1+Supuestos!C$27+$A30/10000)*(1+Supuestos!$B$4+$B30/10000)-1)*(1-Supuestos!$B$6)</f>
        <v>0.110509219228927</v>
      </c>
      <c r="F30" s="0" t="n">
        <f aca="false">(1-Supuestos!D$28)*((1+((1+Supuestos!D$26)/(1+Supuestos!$B$4)-1+Supuestos!$B$14*$A30/10000))*(1+Supuestos!$B$4+$B30/10000)-1)+Supuestos!D$28*((1+Supuestos!D$27+$A30/10000)*(1+Supuestos!$B$4+$B30/10000)-1)*(1-Supuestos!$B$6)</f>
        <v>0.11021582666143</v>
      </c>
      <c r="G30" s="0" t="n">
        <f aca="false">(1-Supuestos!E$28)*((1+((1+Supuestos!E$26)/(1+Supuestos!$B$4)-1+Supuestos!$B$14*$A30/10000))*(1+Supuestos!$B$4+$B30/10000)-1)+Supuestos!E$28*((1+Supuestos!E$27+$A30/10000)*(1+Supuestos!$B$4+$B30/10000)-1)*(1-Supuestos!$B$6)</f>
        <v>0.109939621533974</v>
      </c>
      <c r="H30" s="0" t="n">
        <f aca="false">(1-Supuestos!F$28)*((1+((1+Supuestos!F$26)/(1+Supuestos!$B$4)-1+Supuestos!$B$14*$A30/10000))*(1+Supuestos!$B$4+$B30/10000)-1)+Supuestos!F$28*((1+Supuestos!F$27+$A30/10000)*(1+Supuestos!$B$4+$B30/10000)-1)*(1-Supuestos!$B$6)</f>
        <v>0.109679965072755</v>
      </c>
      <c r="I30" s="0" t="n">
        <f aca="false">(1-Supuestos!G$28)*((1+((1+Supuestos!G$26)/(1+Supuestos!$B$4)-1+Supuestos!$B$14*$A30/10000))*(1+Supuestos!$B$4+$B30/10000)-1)+Supuestos!G$28*((1+Supuestos!G$27+$A30/10000)*(1+Supuestos!$B$4+$B30/10000)-1)*(1-Supuestos!$B$6)</f>
        <v>0.109436249770131</v>
      </c>
      <c r="J30" s="0" t="n">
        <f aca="false">(1-Supuestos!H$28)*((1+((1+Supuestos!H$26)/(1+Supuestos!$B$4)-1+Supuestos!$B$14*$A30/10000))*(1+Supuestos!$B$4+$B30/10000)-1)+Supuestos!H$28*((1+Supuestos!H$27+$A30/10000)*(1+Supuestos!$B$4+$B30/10000)-1)*(1-Supuestos!$B$6)</f>
        <v>0.109207897494759</v>
      </c>
      <c r="K30" s="0" t="n">
        <f aca="false">(1-Supuestos!I$28)*((1+((1+Supuestos!I$26)/(1+Supuestos!$B$4)-1+Supuestos!$B$14*$A30/10000))*(1+Supuestos!$B$4+$B30/10000)-1)+Supuestos!I$28*((1+Supuestos!I$27+$A30/10000)*(1+Supuestos!$B$4+$B30/10000)-1)*(1-Supuestos!$B$6)</f>
        <v>0.109207897494759</v>
      </c>
      <c r="L30" s="0" t="n">
        <f aca="false">(1+E30)^-Supuestos!C$24</f>
        <v>0.948940354640552</v>
      </c>
      <c r="M30" s="0" t="n">
        <f aca="false">L30*(1+F30)^-Supuestos!D$24</f>
        <v>0.854735027056987</v>
      </c>
      <c r="N30" s="0" t="n">
        <f aca="false">M30*(1+G30)^-Supuestos!E$24</f>
        <v>0.770073444063304</v>
      </c>
      <c r="O30" s="0" t="n">
        <f aca="false">N30*(1+H30)^-Supuestos!F$24</f>
        <v>0.693959941876408</v>
      </c>
      <c r="P30" s="0" t="n">
        <f aca="false">O30*(1+I30)^-Supuestos!G$24</f>
        <v>0.625506821162724</v>
      </c>
      <c r="Q30" s="0" t="n">
        <f aca="false">P30*(1+J30)^-Supuestos!H$24</f>
        <v>0.563922076804073</v>
      </c>
      <c r="R30" s="0" t="n">
        <f aca="false">(1+E30)^-(Supuestos!C$24/2)</f>
        <v>0.974135696215138</v>
      </c>
      <c r="S30" s="0" t="n">
        <f aca="false">L30*(1+F30)^-(Supuestos!D$24/2)</f>
        <v>0.900606773069778</v>
      </c>
      <c r="T30" s="0" t="n">
        <f aca="false">M30*(1+G30)^-(Supuestos!E$24/2)</f>
        <v>0.811300650836245</v>
      </c>
      <c r="U30" s="0" t="n">
        <f aca="false">N30*(1+H30)^-(Supuestos!F$24/2)</f>
        <v>0.731026759074342</v>
      </c>
      <c r="V30" s="0" t="n">
        <f aca="false">O30*(1+I30)^-(Supuestos!G$24/2)</f>
        <v>0.658844956918834</v>
      </c>
      <c r="W30" s="0" t="n">
        <f aca="false">P30*(1+J30)^-(Supuestos!H$24/2)</f>
        <v>0.59391674975976</v>
      </c>
      <c r="X30" s="0" t="n">
        <f aca="false">Supuestos!C$23*(1-$C30+$C30*((1+Supuestos!$B$4+$B30/10000)/(1+Supuestos!$B$4))^Supuestos!C$25)</f>
        <v>113542.508057945</v>
      </c>
      <c r="Y30" s="0" t="n">
        <f aca="false">Supuestos!D$23*(1-$C30+$C30*((1+Supuestos!$B$4+$B30/10000)/(1+Supuestos!$B$4))^Supuestos!D$25)</f>
        <v>200263.376132291</v>
      </c>
      <c r="Z30" s="0" t="n">
        <f aca="false">Supuestos!E$23*(1-$C30+$C30*((1+Supuestos!$B$4+$B30/10000)/(1+Supuestos!$B$4))^Supuestos!E$25)</f>
        <v>261835.974839622</v>
      </c>
      <c r="AA30" s="0" t="n">
        <f aca="false">Supuestos!F$23*(1-$C30+$C30*((1+Supuestos!$B$4+$B30/10000)/(1+Supuestos!$B$4))^Supuestos!F$25)</f>
        <v>379989.164706709</v>
      </c>
      <c r="AB30" s="0" t="n">
        <f aca="false">Supuestos!G$23*(1-$C30+$C30*((1+Supuestos!$B$4+$B30/10000)/(1+Supuestos!$B$4))^Supuestos!G$25)</f>
        <v>383337.138680628</v>
      </c>
      <c r="AC30" s="0" t="n">
        <f aca="false">Supuestos!H$23*(1-$C30+$C30*((1+Supuestos!$B$4+$B30/10000)/(1+Supuestos!$B$4))^Supuestos!H$25)</f>
        <v>407021.68215763</v>
      </c>
      <c r="AD30" s="0" t="n">
        <f aca="false">Supuestos!I$23*(1-$C30+$C30*((1+Supuestos!$B$4+$B30/10000)/(1+Supuestos!$B$4))^Supuestos!I$25)</f>
        <v>542087.758702064</v>
      </c>
      <c r="AE30" s="0" t="n">
        <f aca="false">SUMPRODUCT(X30:AC30,R30:W30)</f>
        <v>1275471.04260648</v>
      </c>
      <c r="AF30" s="0" t="n">
        <f aca="false">(1+Supuestos!$B$5)/(1+Supuestos!$B$4)*(1+Supuestos!$B$4+$B30/10000)-1</f>
        <v>0.0349999999999999</v>
      </c>
      <c r="AG30" s="0" t="n">
        <f aca="false">AD30/(K30-AF30)</f>
        <v>7304987.43399038</v>
      </c>
      <c r="AH30" s="0" t="n">
        <f aca="false">AG30*Q30</f>
        <v>4119443.68480351</v>
      </c>
      <c r="AI30" s="0" t="n">
        <f aca="false">(AE30+AH30-Supuestos!$B$7-Supuestos!$B$8)/Supuestos!$B$9</f>
        <v>1853.12042347488</v>
      </c>
      <c r="AJ30" s="0" t="n">
        <f aca="false">AI30/AI$5-1</f>
        <v>-0.0019881246517538</v>
      </c>
    </row>
    <row r="31" customFormat="false" ht="15" hidden="false" customHeight="false" outlineLevel="0" collapsed="false">
      <c r="A31" s="0" t="n">
        <v>50</v>
      </c>
      <c r="B31" s="0" t="n">
        <v>50</v>
      </c>
      <c r="C31" s="0" t="n">
        <f aca="false">Supuestos!$B$13</f>
        <v>0.85</v>
      </c>
      <c r="D31" s="0" t="s">
        <v>111</v>
      </c>
      <c r="E31" s="0" t="n">
        <f aca="false">(1-Supuestos!C$28)*((1+((1+Supuestos!C$26)/(1+Supuestos!$B$4)-1+Supuestos!$B$14*$A31/10000))*(1+Supuestos!$B$4+$B31/10000)-1)+Supuestos!C$28*((1+Supuestos!C$27+$A31/10000)*(1+Supuestos!$B$4+$B31/10000)-1)*(1-Supuestos!$B$6)</f>
        <v>0.115444080915933</v>
      </c>
      <c r="F31" s="0" t="n">
        <f aca="false">(1-Supuestos!D$28)*((1+((1+Supuestos!D$26)/(1+Supuestos!$B$4)-1+Supuestos!$B$14*$A31/10000))*(1+Supuestos!$B$4+$B31/10000)-1)+Supuestos!D$28*((1+Supuestos!D$27+$A31/10000)*(1+Supuestos!$B$4+$B31/10000)-1)*(1-Supuestos!$B$6)</f>
        <v>0.11513598941278</v>
      </c>
      <c r="G31" s="0" t="n">
        <f aca="false">(1-Supuestos!E$28)*((1+((1+Supuestos!E$26)/(1+Supuestos!$B$4)-1+Supuestos!$B$14*$A31/10000))*(1+Supuestos!$B$4+$B31/10000)-1)+Supuestos!E$28*((1+Supuestos!E$27+$A31/10000)*(1+Supuestos!$B$4+$B31/10000)-1)*(1-Supuestos!$B$6)</f>
        <v>0.114845454110124</v>
      </c>
      <c r="H31" s="0" t="n">
        <f aca="false">(1-Supuestos!F$28)*((1+((1+Supuestos!F$26)/(1+Supuestos!$B$4)-1+Supuestos!$B$14*$A31/10000))*(1+Supuestos!$B$4+$B31/10000)-1)+Supuestos!F$28*((1+Supuestos!F$27+$A31/10000)*(1+Supuestos!$B$4+$B31/10000)-1)*(1-Supuestos!$B$6)</f>
        <v>0.114571822529123</v>
      </c>
      <c r="I31" s="0" t="n">
        <f aca="false">(1-Supuestos!G$28)*((1+((1+Supuestos!G$26)/(1+Supuestos!$B$4)-1+Supuestos!$B$14*$A31/10000))*(1+Supuestos!$B$4+$B31/10000)-1)+Supuestos!G$28*((1+Supuestos!G$27+$A31/10000)*(1+Supuestos!$B$4+$B31/10000)-1)*(1-Supuestos!$B$6)</f>
        <v>0.114314474127918</v>
      </c>
      <c r="J31" s="0" t="n">
        <f aca="false">(1-Supuestos!H$28)*((1+((1+Supuestos!H$26)/(1+Supuestos!$B$4)-1+Supuestos!$B$14*$A31/10000))*(1+Supuestos!$B$4+$B31/10000)-1)+Supuestos!H$28*((1+Supuestos!H$27+$A31/10000)*(1+Supuestos!$B$4+$B31/10000)-1)*(1-Supuestos!$B$6)</f>
        <v>0.114072818371227</v>
      </c>
      <c r="K31" s="0" t="n">
        <f aca="false">(1-Supuestos!I$28)*((1+((1+Supuestos!I$26)/(1+Supuestos!$B$4)-1+Supuestos!$B$14*$A31/10000))*(1+Supuestos!$B$4+$B31/10000)-1)+Supuestos!I$28*((1+Supuestos!I$27+$A31/10000)*(1+Supuestos!$B$4+$B31/10000)-1)*(1-Supuestos!$B$6)</f>
        <v>0.114072818371227</v>
      </c>
      <c r="L31" s="0" t="n">
        <f aca="false">(1+E31)^-Supuestos!C$24</f>
        <v>0.946838913435165</v>
      </c>
      <c r="M31" s="0" t="n">
        <f aca="false">L31*(1+F31)^-Supuestos!D$24</f>
        <v>0.84907932523437</v>
      </c>
      <c r="N31" s="0" t="n">
        <f aca="false">M31*(1+G31)^-Supuestos!E$24</f>
        <v>0.76161168537222</v>
      </c>
      <c r="O31" s="0" t="n">
        <f aca="false">N31*(1+H31)^-Supuestos!F$24</f>
        <v>0.683322213945814</v>
      </c>
      <c r="P31" s="0" t="n">
        <f aca="false">O31*(1+I31)^-Supuestos!G$24</f>
        <v>0.613222056978658</v>
      </c>
      <c r="Q31" s="0" t="n">
        <f aca="false">P31*(1+J31)^-Supuestos!H$24</f>
        <v>0.550432652934831</v>
      </c>
      <c r="R31" s="0" t="n">
        <f aca="false">(1+E31)^-(Supuestos!C$24/2)</f>
        <v>0.973056480084874</v>
      </c>
      <c r="S31" s="0" t="n">
        <f aca="false">L31*(1+F31)^-(Supuestos!D$24/2)</f>
        <v>0.896627763191155</v>
      </c>
      <c r="T31" s="0" t="n">
        <f aca="false">M31*(1+G31)^-(Supuestos!E$24/2)</f>
        <v>0.804157158711191</v>
      </c>
      <c r="U31" s="0" t="n">
        <f aca="false">N31*(1+H31)^-(Supuestos!F$24/2)</f>
        <v>0.72140569932289</v>
      </c>
      <c r="V31" s="0" t="n">
        <f aca="false">O31*(1+I31)^-(Supuestos!G$24/2)</f>
        <v>0.647323917073255</v>
      </c>
      <c r="W31" s="0" t="n">
        <f aca="false">P31*(1+J31)^-(Supuestos!H$24/2)</f>
        <v>0.580979727409586</v>
      </c>
      <c r="X31" s="0" t="n">
        <f aca="false">Supuestos!C$23*(1-$C31+$C31*((1+Supuestos!$B$4+$B31/10000)/(1+Supuestos!$B$4))^Supuestos!C$25)</f>
        <v>113542.508057945</v>
      </c>
      <c r="Y31" s="0" t="n">
        <f aca="false">Supuestos!D$23*(1-$C31+$C31*((1+Supuestos!$B$4+$B31/10000)/(1+Supuestos!$B$4))^Supuestos!D$25)</f>
        <v>200263.376132291</v>
      </c>
      <c r="Z31" s="0" t="n">
        <f aca="false">Supuestos!E$23*(1-$C31+$C31*((1+Supuestos!$B$4+$B31/10000)/(1+Supuestos!$B$4))^Supuestos!E$25)</f>
        <v>261835.974839622</v>
      </c>
      <c r="AA31" s="0" t="n">
        <f aca="false">Supuestos!F$23*(1-$C31+$C31*((1+Supuestos!$B$4+$B31/10000)/(1+Supuestos!$B$4))^Supuestos!F$25)</f>
        <v>379989.164706709</v>
      </c>
      <c r="AB31" s="0" t="n">
        <f aca="false">Supuestos!G$23*(1-$C31+$C31*((1+Supuestos!$B$4+$B31/10000)/(1+Supuestos!$B$4))^Supuestos!G$25)</f>
        <v>383337.138680628</v>
      </c>
      <c r="AC31" s="0" t="n">
        <f aca="false">Supuestos!H$23*(1-$C31+$C31*((1+Supuestos!$B$4+$B31/10000)/(1+Supuestos!$B$4))^Supuestos!H$25)</f>
        <v>407021.68215763</v>
      </c>
      <c r="AD31" s="0" t="n">
        <f aca="false">Supuestos!I$23*(1-$C31+$C31*((1+Supuestos!$B$4+$B31/10000)/(1+Supuestos!$B$4))^Supuestos!I$25)</f>
        <v>542087.758702064</v>
      </c>
      <c r="AE31" s="0" t="n">
        <f aca="false">SUMPRODUCT(X31:AC31,R31:W31)</f>
        <v>1259343.24301737</v>
      </c>
      <c r="AF31" s="0" t="n">
        <f aca="false">(1+Supuestos!$B$5)/(1+Supuestos!$B$4)*(1+Supuestos!$B$4+$B31/10000)-1</f>
        <v>0.0349999999999999</v>
      </c>
      <c r="AG31" s="0" t="n">
        <f aca="false">AD31/(K31-AF31)</f>
        <v>6855551.24843406</v>
      </c>
      <c r="AH31" s="0" t="n">
        <f aca="false">AG31*Q31</f>
        <v>3773519.26100625</v>
      </c>
      <c r="AI31" s="0" t="n">
        <f aca="false">(AE31+AH31-Supuestos!$B$7-Supuestos!$B$8)/Supuestos!$B$9</f>
        <v>1687.79977352677</v>
      </c>
      <c r="AJ31" s="0" t="n">
        <f aca="false">AI31/AI$5-1</f>
        <v>-0.0910227981669906</v>
      </c>
    </row>
    <row r="32" customFormat="false" ht="15" hidden="false" customHeight="false" outlineLevel="0" collapsed="false">
      <c r="A32" s="0" t="n">
        <v>100</v>
      </c>
      <c r="B32" s="0" t="n">
        <v>50</v>
      </c>
      <c r="C32" s="0" t="n">
        <f aca="false">Supuestos!$B$13</f>
        <v>0.85</v>
      </c>
      <c r="D32" s="0" t="s">
        <v>111</v>
      </c>
      <c r="E32" s="0" t="n">
        <f aca="false">(1-Supuestos!C$28)*((1+((1+Supuestos!C$26)/(1+Supuestos!$B$4)-1+Supuestos!$B$14*$A32/10000))*(1+Supuestos!$B$4+$B32/10000)-1)+Supuestos!C$28*((1+Supuestos!C$27+$A32/10000)*(1+Supuestos!$B$4+$B32/10000)-1)*(1-Supuestos!$B$6)</f>
        <v>0.12037894260294</v>
      </c>
      <c r="F32" s="0" t="n">
        <f aca="false">(1-Supuestos!D$28)*((1+((1+Supuestos!D$26)/(1+Supuestos!$B$4)-1+Supuestos!$B$14*$A32/10000))*(1+Supuestos!$B$4+$B32/10000)-1)+Supuestos!D$28*((1+Supuestos!D$27+$A32/10000)*(1+Supuestos!$B$4+$B32/10000)-1)*(1-Supuestos!$B$6)</f>
        <v>0.120056152164131</v>
      </c>
      <c r="G32" s="0" t="n">
        <f aca="false">(1-Supuestos!E$28)*((1+((1+Supuestos!E$26)/(1+Supuestos!$B$4)-1+Supuestos!$B$14*$A32/10000))*(1+Supuestos!$B$4+$B32/10000)-1)+Supuestos!E$28*((1+Supuestos!E$27+$A32/10000)*(1+Supuestos!$B$4+$B32/10000)-1)*(1-Supuestos!$B$6)</f>
        <v>0.119751286686274</v>
      </c>
      <c r="H32" s="0" t="n">
        <f aca="false">(1-Supuestos!F$28)*((1+((1+Supuestos!F$26)/(1+Supuestos!$B$4)-1+Supuestos!$B$14*$A32/10000))*(1+Supuestos!$B$4+$B32/10000)-1)+Supuestos!F$28*((1+Supuestos!F$27+$A32/10000)*(1+Supuestos!$B$4+$B32/10000)-1)*(1-Supuestos!$B$6)</f>
        <v>0.11946367998549</v>
      </c>
      <c r="I32" s="0" t="n">
        <f aca="false">(1-Supuestos!G$28)*((1+((1+Supuestos!G$26)/(1+Supuestos!$B$4)-1+Supuestos!$B$14*$A32/10000))*(1+Supuestos!$B$4+$B32/10000)-1)+Supuestos!G$28*((1+Supuestos!G$27+$A32/10000)*(1+Supuestos!$B$4+$B32/10000)-1)*(1-Supuestos!$B$6)</f>
        <v>0.119192698485704</v>
      </c>
      <c r="J32" s="0" t="n">
        <f aca="false">(1-Supuestos!H$28)*((1+((1+Supuestos!H$26)/(1+Supuestos!$B$4)-1+Supuestos!$B$14*$A32/10000))*(1+Supuestos!$B$4+$B32/10000)-1)+Supuestos!H$28*((1+Supuestos!H$27+$A32/10000)*(1+Supuestos!$B$4+$B32/10000)-1)*(1-Supuestos!$B$6)</f>
        <v>0.118937739247694</v>
      </c>
      <c r="K32" s="0" t="n">
        <f aca="false">(1-Supuestos!I$28)*((1+((1+Supuestos!I$26)/(1+Supuestos!$B$4)-1+Supuestos!$B$14*$A32/10000))*(1+Supuestos!$B$4+$B32/10000)-1)+Supuestos!I$28*((1+Supuestos!I$27+$A32/10000)*(1+Supuestos!$B$4+$B32/10000)-1)*(1-Supuestos!$B$6)</f>
        <v>0.118937739247694</v>
      </c>
      <c r="L32" s="0" t="n">
        <f aca="false">(1+E32)^-Supuestos!C$24</f>
        <v>0.944751371689625</v>
      </c>
      <c r="M32" s="0" t="n">
        <f aca="false">L32*(1+F32)^-Supuestos!D$24</f>
        <v>0.843485721554416</v>
      </c>
      <c r="N32" s="0" t="n">
        <f aca="false">M32*(1+G32)^-Supuestos!E$24</f>
        <v>0.753279528751941</v>
      </c>
      <c r="O32" s="0" t="n">
        <f aca="false">N32*(1+H32)^-Supuestos!F$24</f>
        <v>0.672893227551343</v>
      </c>
      <c r="P32" s="0" t="n">
        <f aca="false">O32*(1+I32)^-Supuestos!G$24</f>
        <v>0.601230894788525</v>
      </c>
      <c r="Q32" s="0" t="n">
        <f aca="false">P32*(1+J32)^-Supuestos!H$24</f>
        <v>0.537322921284928</v>
      </c>
      <c r="R32" s="0" t="n">
        <f aca="false">(1+E32)^-(Supuestos!C$24/2)</f>
        <v>0.971983215744812</v>
      </c>
      <c r="S32" s="0" t="n">
        <f aca="false">L32*(1+F32)^-(Supuestos!D$24/2)</f>
        <v>0.892683758359671</v>
      </c>
      <c r="T32" s="0" t="n">
        <f aca="false">M32*(1+G32)^-(Supuestos!E$24/2)</f>
        <v>0.797107600541797</v>
      </c>
      <c r="U32" s="0" t="n">
        <f aca="false">N32*(1+H32)^-(Supuestos!F$24/2)</f>
        <v>0.711952732525305</v>
      </c>
      <c r="V32" s="0" t="n">
        <f aca="false">O32*(1+I32)^-(Supuestos!G$24/2)</f>
        <v>0.63605361196823</v>
      </c>
      <c r="W32" s="0" t="n">
        <f aca="false">P32*(1+J32)^-(Supuestos!H$24/2)</f>
        <v>0.568379398601428</v>
      </c>
      <c r="X32" s="0" t="n">
        <f aca="false">Supuestos!C$23*(1-$C32+$C32*((1+Supuestos!$B$4+$B32/10000)/(1+Supuestos!$B$4))^Supuestos!C$25)</f>
        <v>113542.508057945</v>
      </c>
      <c r="Y32" s="0" t="n">
        <f aca="false">Supuestos!D$23*(1-$C32+$C32*((1+Supuestos!$B$4+$B32/10000)/(1+Supuestos!$B$4))^Supuestos!D$25)</f>
        <v>200263.376132291</v>
      </c>
      <c r="Z32" s="0" t="n">
        <f aca="false">Supuestos!E$23*(1-$C32+$C32*((1+Supuestos!$B$4+$B32/10000)/(1+Supuestos!$B$4))^Supuestos!E$25)</f>
        <v>261835.974839622</v>
      </c>
      <c r="AA32" s="0" t="n">
        <f aca="false">Supuestos!F$23*(1-$C32+$C32*((1+Supuestos!$B$4+$B32/10000)/(1+Supuestos!$B$4))^Supuestos!F$25)</f>
        <v>379989.164706709</v>
      </c>
      <c r="AB32" s="0" t="n">
        <f aca="false">Supuestos!G$23*(1-$C32+$C32*((1+Supuestos!$B$4+$B32/10000)/(1+Supuestos!$B$4))^Supuestos!G$25)</f>
        <v>383337.138680628</v>
      </c>
      <c r="AC32" s="0" t="n">
        <f aca="false">Supuestos!H$23*(1-$C32+$C32*((1+Supuestos!$B$4+$B32/10000)/(1+Supuestos!$B$4))^Supuestos!H$25)</f>
        <v>407021.68215763</v>
      </c>
      <c r="AD32" s="0" t="n">
        <f aca="false">Supuestos!I$23*(1-$C32+$C32*((1+Supuestos!$B$4+$B32/10000)/(1+Supuestos!$B$4))^Supuestos!I$25)</f>
        <v>542087.758702064</v>
      </c>
      <c r="AE32" s="0" t="n">
        <f aca="false">SUMPRODUCT(X32:AC32,R32:W32)</f>
        <v>1243544.75573822</v>
      </c>
      <c r="AF32" s="0" t="n">
        <f aca="false">(1+Supuestos!$B$5)/(1+Supuestos!$B$4)*(1+Supuestos!$B$4+$B32/10000)-1</f>
        <v>0.0349999999999999</v>
      </c>
      <c r="AG32" s="0" t="n">
        <f aca="false">AD32/(K32-AF32)</f>
        <v>6458212.5222887</v>
      </c>
      <c r="AH32" s="0" t="n">
        <f aca="false">AG32*Q32</f>
        <v>3470145.61875507</v>
      </c>
      <c r="AI32" s="0" t="n">
        <f aca="false">(AE32+AH32-Supuestos!$B$7-Supuestos!$B$8)/Supuestos!$B$9</f>
        <v>1542.05907511109</v>
      </c>
      <c r="AJ32" s="0" t="n">
        <f aca="false">AI32/AI$5-1</f>
        <v>-0.169512542221321</v>
      </c>
    </row>
    <row r="33" customFormat="false" ht="15" hidden="false" customHeight="false" outlineLevel="0" collapsed="false">
      <c r="A33" s="0" t="n">
        <v>150</v>
      </c>
      <c r="B33" s="0" t="n">
        <v>50</v>
      </c>
      <c r="C33" s="0" t="n">
        <f aca="false">Supuestos!$B$13</f>
        <v>0.85</v>
      </c>
      <c r="D33" s="0" t="s">
        <v>111</v>
      </c>
      <c r="E33" s="0" t="n">
        <f aca="false">(1-Supuestos!C$28)*((1+((1+Supuestos!C$26)/(1+Supuestos!$B$4)-1+Supuestos!$B$14*$A33/10000))*(1+Supuestos!$B$4+$B33/10000)-1)+Supuestos!C$28*((1+Supuestos!C$27+$A33/10000)*(1+Supuestos!$B$4+$B33/10000)-1)*(1-Supuestos!$B$6)</f>
        <v>0.125313804289946</v>
      </c>
      <c r="F33" s="0" t="n">
        <f aca="false">(1-Supuestos!D$28)*((1+((1+Supuestos!D$26)/(1+Supuestos!$B$4)-1+Supuestos!$B$14*$A33/10000))*(1+Supuestos!$B$4+$B33/10000)-1)+Supuestos!D$28*((1+Supuestos!D$27+$A33/10000)*(1+Supuestos!$B$4+$B33/10000)-1)*(1-Supuestos!$B$6)</f>
        <v>0.124976314915482</v>
      </c>
      <c r="G33" s="0" t="n">
        <f aca="false">(1-Supuestos!E$28)*((1+((1+Supuestos!E$26)/(1+Supuestos!$B$4)-1+Supuestos!$B$14*$A33/10000))*(1+Supuestos!$B$4+$B33/10000)-1)+Supuestos!E$28*((1+Supuestos!E$27+$A33/10000)*(1+Supuestos!$B$4+$B33/10000)-1)*(1-Supuestos!$B$6)</f>
        <v>0.124657119262425</v>
      </c>
      <c r="H33" s="0" t="n">
        <f aca="false">(1-Supuestos!F$28)*((1+((1+Supuestos!F$26)/(1+Supuestos!$B$4)-1+Supuestos!$B$14*$A33/10000))*(1+Supuestos!$B$4+$B33/10000)-1)+Supuestos!F$28*((1+Supuestos!F$27+$A33/10000)*(1+Supuestos!$B$4+$B33/10000)-1)*(1-Supuestos!$B$6)</f>
        <v>0.124355537441858</v>
      </c>
      <c r="I33" s="0" t="n">
        <f aca="false">(1-Supuestos!G$28)*((1+((1+Supuestos!G$26)/(1+Supuestos!$B$4)-1+Supuestos!$B$14*$A33/10000))*(1+Supuestos!$B$4+$B33/10000)-1)+Supuestos!G$28*((1+Supuestos!G$27+$A33/10000)*(1+Supuestos!$B$4+$B33/10000)-1)*(1-Supuestos!$B$6)</f>
        <v>0.124070922843491</v>
      </c>
      <c r="J33" s="0" t="n">
        <f aca="false">(1-Supuestos!H$28)*((1+((1+Supuestos!H$26)/(1+Supuestos!$B$4)-1+Supuestos!$B$14*$A33/10000))*(1+Supuestos!$B$4+$B33/10000)-1)+Supuestos!H$28*((1+Supuestos!H$27+$A33/10000)*(1+Supuestos!$B$4+$B33/10000)-1)*(1-Supuestos!$B$6)</f>
        <v>0.123802660124162</v>
      </c>
      <c r="K33" s="0" t="n">
        <f aca="false">(1-Supuestos!I$28)*((1+((1+Supuestos!I$26)/(1+Supuestos!$B$4)-1+Supuestos!$B$14*$A33/10000))*(1+Supuestos!$B$4+$B33/10000)-1)+Supuestos!I$28*((1+Supuestos!I$27+$A33/10000)*(1+Supuestos!$B$4+$B33/10000)-1)*(1-Supuestos!$B$6)</f>
        <v>0.123802660124162</v>
      </c>
      <c r="L33" s="0" t="n">
        <f aca="false">(1+E33)^-Supuestos!C$24</f>
        <v>0.942677576852289</v>
      </c>
      <c r="M33" s="0" t="n">
        <f aca="false">L33*(1+F33)^-Supuestos!D$24</f>
        <v>0.837953265641074</v>
      </c>
      <c r="N33" s="0" t="n">
        <f aca="false">M33*(1+G33)^-Supuestos!E$24</f>
        <v>0.745074433166459</v>
      </c>
      <c r="O33" s="0" t="n">
        <f aca="false">N33*(1+H33)^-Supuestos!F$24</f>
        <v>0.66266799811531</v>
      </c>
      <c r="P33" s="0" t="n">
        <f aca="false">O33*(1+I33)^-Supuestos!G$24</f>
        <v>0.58952507768727</v>
      </c>
      <c r="Q33" s="0" t="n">
        <f aca="false">P33*(1+J33)^-Supuestos!H$24</f>
        <v>0.52458060352174</v>
      </c>
      <c r="R33" s="0" t="n">
        <f aca="false">(1+E33)^-(Supuestos!C$24/2)</f>
        <v>0.970915844371843</v>
      </c>
      <c r="S33" s="0" t="n">
        <f aca="false">L33*(1+F33)^-(Supuestos!D$24/2)</f>
        <v>0.888774298666422</v>
      </c>
      <c r="T33" s="0" t="n">
        <f aca="false">M33*(1+G33)^-(Supuestos!E$24/2)</f>
        <v>0.790150336592668</v>
      </c>
      <c r="U33" s="0" t="n">
        <f aca="false">N33*(1+H33)^-(Supuestos!F$24/2)</f>
        <v>0.702664203637354</v>
      </c>
      <c r="V33" s="0" t="n">
        <f aca="false">O33*(1+I33)^-(Supuestos!G$24/2)</f>
        <v>0.625027521849875</v>
      </c>
      <c r="W33" s="0" t="n">
        <f aca="false">P33*(1+J33)^-(Supuestos!H$24/2)</f>
        <v>0.556105584439132</v>
      </c>
      <c r="X33" s="0" t="n">
        <f aca="false">Supuestos!C$23*(1-$C33+$C33*((1+Supuestos!$B$4+$B33/10000)/(1+Supuestos!$B$4))^Supuestos!C$25)</f>
        <v>113542.508057945</v>
      </c>
      <c r="Y33" s="0" t="n">
        <f aca="false">Supuestos!D$23*(1-$C33+$C33*((1+Supuestos!$B$4+$B33/10000)/(1+Supuestos!$B$4))^Supuestos!D$25)</f>
        <v>200263.376132291</v>
      </c>
      <c r="Z33" s="0" t="n">
        <f aca="false">Supuestos!E$23*(1-$C33+$C33*((1+Supuestos!$B$4+$B33/10000)/(1+Supuestos!$B$4))^Supuestos!E$25)</f>
        <v>261835.974839622</v>
      </c>
      <c r="AA33" s="0" t="n">
        <f aca="false">Supuestos!F$23*(1-$C33+$C33*((1+Supuestos!$B$4+$B33/10000)/(1+Supuestos!$B$4))^Supuestos!F$25)</f>
        <v>379989.164706709</v>
      </c>
      <c r="AB33" s="0" t="n">
        <f aca="false">Supuestos!G$23*(1-$C33+$C33*((1+Supuestos!$B$4+$B33/10000)/(1+Supuestos!$B$4))^Supuestos!G$25)</f>
        <v>383337.138680628</v>
      </c>
      <c r="AC33" s="0" t="n">
        <f aca="false">Supuestos!H$23*(1-$C33+$C33*((1+Supuestos!$B$4+$B33/10000)/(1+Supuestos!$B$4))^Supuestos!H$25)</f>
        <v>407021.68215763</v>
      </c>
      <c r="AD33" s="0" t="n">
        <f aca="false">Supuestos!I$23*(1-$C33+$C33*((1+Supuestos!$B$4+$B33/10000)/(1+Supuestos!$B$4))^Supuestos!I$25)</f>
        <v>542087.758702064</v>
      </c>
      <c r="AE33" s="0" t="n">
        <f aca="false">SUMPRODUCT(X33:AC33,R33:W33)</f>
        <v>1228067.02147302</v>
      </c>
      <c r="AF33" s="0" t="n">
        <f aca="false">(1+Supuestos!$B$5)/(1+Supuestos!$B$4)*(1+Supuestos!$B$4+$B33/10000)-1</f>
        <v>0.0349999999999999</v>
      </c>
      <c r="AG33" s="0" t="n">
        <f aca="false">AD33/(K33-AF33)</f>
        <v>6104409.01144323</v>
      </c>
      <c r="AH33" s="0" t="n">
        <f aca="false">AG33*Q33</f>
        <v>3202254.56336644</v>
      </c>
      <c r="AI33" s="0" t="n">
        <f aca="false">(AE33+AH33-Supuestos!$B$7-Supuestos!$B$8)/Supuestos!$B$9</f>
        <v>1412.66693371665</v>
      </c>
      <c r="AJ33" s="0" t="n">
        <f aca="false">AI33/AI$5-1</f>
        <v>-0.239197648516919</v>
      </c>
    </row>
    <row r="34" customFormat="false" ht="15" hidden="false" customHeight="false" outlineLevel="0" collapsed="false">
      <c r="A34" s="0" t="n">
        <v>-150</v>
      </c>
      <c r="B34" s="0" t="n">
        <v>100</v>
      </c>
      <c r="C34" s="0" t="n">
        <f aca="false">Supuestos!$B$13</f>
        <v>0.85</v>
      </c>
      <c r="D34" s="0" t="s">
        <v>111</v>
      </c>
      <c r="E34" s="0" t="n">
        <f aca="false">(1-Supuestos!C$28)*((1+((1+Supuestos!C$26)/(1+Supuestos!$B$4)-1+Supuestos!$B$14*$A34/10000))*(1+Supuestos!$B$4+$B34/10000)-1)+Supuestos!C$28*((1+Supuestos!C$27+$A34/10000)*(1+Supuestos!$B$4+$B34/10000)-1)*(1-Supuestos!$B$6)</f>
        <v>0.100773721585421</v>
      </c>
      <c r="F34" s="0" t="n">
        <f aca="false">(1-Supuestos!D$28)*((1+((1+Supuestos!D$26)/(1+Supuestos!$B$4)-1+Supuestos!$B$14*$A34/10000))*(1+Supuestos!$B$4+$B34/10000)-1)+Supuestos!D$28*((1+Supuestos!D$27+$A34/10000)*(1+Supuestos!$B$4+$B34/10000)-1)*(1-Supuestos!$B$6)</f>
        <v>0.100509499883827</v>
      </c>
      <c r="G34" s="0" t="n">
        <f aca="false">(1-Supuestos!E$28)*((1+((1+Supuestos!E$26)/(1+Supuestos!$B$4)-1+Supuestos!$B$14*$A34/10000))*(1+Supuestos!$B$4+$B34/10000)-1)+Supuestos!E$28*((1+Supuestos!E$27+$A34/10000)*(1+Supuestos!$B$4+$B34/10000)-1)*(1-Supuestos!$B$6)</f>
        <v>0.100261781269495</v>
      </c>
      <c r="H34" s="0" t="n">
        <f aca="false">(1-Supuestos!F$28)*((1+((1+Supuestos!F$26)/(1+Supuestos!$B$4)-1+Supuestos!$B$14*$A34/10000))*(1+Supuestos!$B$4+$B34/10000)-1)+Supuestos!F$28*((1+Supuestos!F$27+$A34/10000)*(1+Supuestos!$B$4+$B34/10000)-1)*(1-Supuestos!$B$6)</f>
        <v>0.100029952402698</v>
      </c>
      <c r="I34" s="0" t="n">
        <f aca="false">(1-Supuestos!G$28)*((1+((1+Supuestos!G$26)/(1+Supuestos!$B$4)-1+Supuestos!$B$14*$A34/10000))*(1+Supuestos!$B$4+$B34/10000)-1)+Supuestos!G$28*((1+Supuestos!G$27+$A34/10000)*(1+Supuestos!$B$4+$B34/10000)-1)*(1-Supuestos!$B$6)</f>
        <v>0.0998134299649388</v>
      </c>
      <c r="J34" s="0" t="n">
        <f aca="false">(1-Supuestos!H$28)*((1+((1+Supuestos!H$26)/(1+Supuestos!$B$4)-1+Supuestos!$B$14*$A34/10000))*(1+Supuestos!$B$4+$B34/10000)-1)+Supuestos!H$28*((1+Supuestos!H$27+$A34/10000)*(1+Supuestos!$B$4+$B34/10000)-1)*(1-Supuestos!$B$6)</f>
        <v>0.0996116588443492</v>
      </c>
      <c r="K34" s="0" t="n">
        <f aca="false">(1-Supuestos!I$28)*((1+((1+Supuestos!I$26)/(1+Supuestos!$B$4)-1+Supuestos!$B$14*$A34/10000))*(1+Supuestos!$B$4+$B34/10000)-1)+Supuestos!I$28*((1+Supuestos!I$27+$A34/10000)*(1+Supuestos!$B$4+$B34/10000)-1)*(1-Supuestos!$B$6)</f>
        <v>0.0996116588443492</v>
      </c>
      <c r="L34" s="0" t="n">
        <f aca="false">(1+E34)^-Supuestos!C$24</f>
        <v>0.953127441226457</v>
      </c>
      <c r="M34" s="0" t="n">
        <f aca="false">L34*(1+F34)^-Supuestos!D$24</f>
        <v>0.866078340375137</v>
      </c>
      <c r="N34" s="0" t="n">
        <f aca="false">M34*(1+G34)^-Supuestos!E$24</f>
        <v>0.787156615924481</v>
      </c>
      <c r="O34" s="0" t="n">
        <f aca="false">N34*(1+H34)^-Supuestos!F$24</f>
        <v>0.715577438782612</v>
      </c>
      <c r="P34" s="0" t="n">
        <f aca="false">O34*(1+I34)^-Supuestos!G$24</f>
        <v>0.65063529802998</v>
      </c>
      <c r="Q34" s="0" t="n">
        <f aca="false">P34*(1+J34)^-Supuestos!H$24</f>
        <v>0.591695525230947</v>
      </c>
      <c r="R34" s="0" t="n">
        <f aca="false">(1+E34)^-(Supuestos!C$24/2)</f>
        <v>0.976282459755606</v>
      </c>
      <c r="S34" s="0" t="n">
        <f aca="false">L34*(1+F34)^-(Supuestos!D$24/2)</f>
        <v>0.908560967939638</v>
      </c>
      <c r="T34" s="0" t="n">
        <f aca="false">M34*(1+G34)^-(Supuestos!E$24/2)</f>
        <v>0.825675054446472</v>
      </c>
      <c r="U34" s="0" t="n">
        <f aca="false">N34*(1+H34)^-(Supuestos!F$24/2)</f>
        <v>0.75051416718409</v>
      </c>
      <c r="V34" s="0" t="n">
        <f aca="false">O34*(1+I34)^-(Supuestos!G$24/2)</f>
        <v>0.682334185092506</v>
      </c>
      <c r="W34" s="0" t="n">
        <f aca="false">P34*(1+J34)^-(Supuestos!H$24/2)</f>
        <v>0.620465949429654</v>
      </c>
      <c r="X34" s="0" t="n">
        <f aca="false">Supuestos!C$23*(1-$C34+$C34*((1+Supuestos!$B$4+$B34/10000)/(1+Supuestos!$B$4))^Supuestos!C$25)</f>
        <v>113658.877950589</v>
      </c>
      <c r="Y34" s="0" t="n">
        <f aca="false">Supuestos!D$23*(1-$C34+$C34*((1+Supuestos!$B$4+$B34/10000)/(1+Supuestos!$B$4))^Supuestos!D$25)</f>
        <v>201086.30999602</v>
      </c>
      <c r="Z34" s="0" t="n">
        <f aca="false">Supuestos!E$23*(1-$C34+$C34*((1+Supuestos!$B$4+$B34/10000)/(1+Supuestos!$B$4))^Supuestos!E$25)</f>
        <v>263994.633595593</v>
      </c>
      <c r="AA34" s="0" t="n">
        <f aca="false">Supuestos!F$23*(1-$C34+$C34*((1+Supuestos!$B$4+$B34/10000)/(1+Supuestos!$B$4))^Supuestos!F$25)</f>
        <v>384703.038842644</v>
      </c>
      <c r="AB34" s="0" t="n">
        <f aca="false">Supuestos!G$23*(1-$C34+$C34*((1+Supuestos!$B$4+$B34/10000)/(1+Supuestos!$B$4))^Supuestos!G$25)</f>
        <v>389697.573266547</v>
      </c>
      <c r="AC34" s="0" t="n">
        <f aca="false">Supuestos!H$23*(1-$C34+$C34*((1+Supuestos!$B$4+$B34/10000)/(1+Supuestos!$B$4))^Supuestos!H$25)</f>
        <v>415489.926851194</v>
      </c>
      <c r="AD34" s="0" t="n">
        <f aca="false">Supuestos!I$23*(1-$C34+$C34*((1+Supuestos!$B$4+$B34/10000)/(1+Supuestos!$B$4))^Supuestos!I$25)</f>
        <v>555664.208287311</v>
      </c>
      <c r="AE34" s="0" t="n">
        <f aca="false">SUMPRODUCT(X34:AC34,R34:W34)</f>
        <v>1324062.53369539</v>
      </c>
      <c r="AF34" s="0" t="n">
        <f aca="false">(1+Supuestos!$B$5)/(1+Supuestos!$B$4)*(1+Supuestos!$B$4+$B34/10000)-1</f>
        <v>0.04</v>
      </c>
      <c r="AG34" s="0" t="n">
        <f aca="false">AD34/(K34-AF34)</f>
        <v>9321401.53553174</v>
      </c>
      <c r="AH34" s="0" t="n">
        <f aca="false">AG34*Q34</f>
        <v>5515431.57745501</v>
      </c>
      <c r="AI34" s="0" t="n">
        <f aca="false">(AE34+AH34-Supuestos!$B$7-Supuestos!$B$8)/Supuestos!$B$9</f>
        <v>2512.74571285406</v>
      </c>
      <c r="AJ34" s="0" t="n">
        <f aca="false">AI34/AI$5-1</f>
        <v>0.35325801248056</v>
      </c>
    </row>
    <row r="35" customFormat="false" ht="15" hidden="false" customHeight="false" outlineLevel="0" collapsed="false">
      <c r="A35" s="0" t="n">
        <v>-100</v>
      </c>
      <c r="B35" s="0" t="n">
        <v>100</v>
      </c>
      <c r="C35" s="0" t="n">
        <f aca="false">Supuestos!$B$13</f>
        <v>0.85</v>
      </c>
      <c r="D35" s="0" t="s">
        <v>111</v>
      </c>
      <c r="E35" s="0" t="n">
        <f aca="false">(1-Supuestos!C$28)*((1+((1+Supuestos!C$26)/(1+Supuestos!$B$4)-1+Supuestos!$B$14*$A35/10000))*(1+Supuestos!$B$4+$B35/10000)-1)+Supuestos!C$28*((1+Supuestos!C$27+$A35/10000)*(1+Supuestos!$B$4+$B35/10000)-1)*(1-Supuestos!$B$6)</f>
        <v>0.105732423183959</v>
      </c>
      <c r="F35" s="0" t="n">
        <f aca="false">(1-Supuestos!D$28)*((1+((1+Supuestos!D$26)/(1+Supuestos!$B$4)-1+Supuestos!$B$14*$A35/10000))*(1+Supuestos!$B$4+$B35/10000)-1)+Supuestos!D$28*((1+Supuestos!D$27+$A35/10000)*(1+Supuestos!$B$4+$B35/10000)-1)*(1-Supuestos!$B$6)</f>
        <v>0.105453431537358</v>
      </c>
      <c r="G35" s="0" t="n">
        <f aca="false">(1-Supuestos!E$28)*((1+((1+Supuestos!E$26)/(1+Supuestos!$B$4)-1+Supuestos!$B$14*$A35/10000))*(1+Supuestos!$B$4+$B35/10000)-1)+Supuestos!E$28*((1+Supuestos!E$27+$A35/10000)*(1+Supuestos!$B$4+$B35/10000)-1)*(1-Supuestos!$B$6)</f>
        <v>0.105191313519926</v>
      </c>
      <c r="H35" s="0" t="n">
        <f aca="false">(1-Supuestos!F$28)*((1+((1+Supuestos!F$26)/(1+Supuestos!$B$4)-1+Supuestos!$B$14*$A35/10000))*(1+Supuestos!$B$4+$B35/10000)-1)+Supuestos!F$28*((1+Supuestos!F$27+$A35/10000)*(1+Supuestos!$B$4+$B35/10000)-1)*(1-Supuestos!$B$6)</f>
        <v>0.10494544202069</v>
      </c>
      <c r="I35" s="0" t="n">
        <f aca="false">(1-Supuestos!G$28)*((1+((1+Supuestos!G$26)/(1+Supuestos!$B$4)-1+Supuestos!$B$14*$A35/10000))*(1+Supuestos!$B$4+$B35/10000)-1)+Supuestos!G$28*((1+Supuestos!G$27+$A35/10000)*(1+Supuestos!$B$4+$B35/10000)-1)*(1-Supuestos!$B$6)</f>
        <v>0.104715220623971</v>
      </c>
      <c r="J35" s="0" t="n">
        <f aca="false">(1-Supuestos!H$28)*((1+((1+Supuestos!H$26)/(1+Supuestos!$B$4)-1+Supuestos!$B$14*$A35/10000))*(1+Supuestos!$B$4+$B35/10000)-1)+Supuestos!H$28*((1+Supuestos!H$27+$A35/10000)*(1+Supuestos!$B$4+$B35/10000)-1)*(1-Supuestos!$B$6)</f>
        <v>0.104500081754036</v>
      </c>
      <c r="K35" s="0" t="n">
        <f aca="false">(1-Supuestos!I$28)*((1+((1+Supuestos!I$26)/(1+Supuestos!$B$4)-1+Supuestos!$B$14*$A35/10000))*(1+Supuestos!$B$4+$B35/10000)-1)+Supuestos!I$28*((1+Supuestos!I$27+$A35/10000)*(1+Supuestos!$B$4+$B35/10000)-1)*(1-Supuestos!$B$6)</f>
        <v>0.104500081754036</v>
      </c>
      <c r="L35" s="0" t="n">
        <f aca="false">(1+E35)^-Supuestos!C$24</f>
        <v>0.950987870578931</v>
      </c>
      <c r="M35" s="0" t="n">
        <f aca="false">L35*(1+F35)^-Supuestos!D$24</f>
        <v>0.860269499780184</v>
      </c>
      <c r="N35" s="0" t="n">
        <f aca="false">M35*(1+G35)^-Supuestos!E$24</f>
        <v>0.778389668156466</v>
      </c>
      <c r="O35" s="0" t="n">
        <f aca="false">N35*(1+H35)^-Supuestos!F$24</f>
        <v>0.7044598208695</v>
      </c>
      <c r="P35" s="0" t="n">
        <f aca="false">O35*(1+I35)^-Supuestos!G$24</f>
        <v>0.637684543236042</v>
      </c>
      <c r="Q35" s="0" t="n">
        <f aca="false">P35*(1+J35)^-Supuestos!H$24</f>
        <v>0.577351286586912</v>
      </c>
      <c r="R35" s="0" t="n">
        <f aca="false">(1+E35)^-(Supuestos!C$24/2)</f>
        <v>0.975186069721533</v>
      </c>
      <c r="S35" s="0" t="n">
        <f aca="false">L35*(1+F35)^-(Supuestos!D$24/2)</f>
        <v>0.904492045139127</v>
      </c>
      <c r="T35" s="0" t="n">
        <f aca="false">M35*(1+G35)^-(Supuestos!E$24/2)</f>
        <v>0.818306110486184</v>
      </c>
      <c r="U35" s="0" t="n">
        <f aca="false">N35*(1+H35)^-(Supuestos!F$24/2)</f>
        <v>0.740502698304452</v>
      </c>
      <c r="V35" s="0" t="n">
        <f aca="false">O35*(1+I35)^-(Supuestos!G$24/2)</f>
        <v>0.670241105199697</v>
      </c>
      <c r="W35" s="0" t="n">
        <f aca="false">P35*(1+J35)^-(Supuestos!H$24/2)</f>
        <v>0.606768482597701</v>
      </c>
      <c r="X35" s="0" t="n">
        <f aca="false">Supuestos!C$23*(1-$C35+$C35*((1+Supuestos!$B$4+$B35/10000)/(1+Supuestos!$B$4))^Supuestos!C$25)</f>
        <v>113658.877950589</v>
      </c>
      <c r="Y35" s="0" t="n">
        <f aca="false">Supuestos!D$23*(1-$C35+$C35*((1+Supuestos!$B$4+$B35/10000)/(1+Supuestos!$B$4))^Supuestos!D$25)</f>
        <v>201086.30999602</v>
      </c>
      <c r="Z35" s="0" t="n">
        <f aca="false">Supuestos!E$23*(1-$C35+$C35*((1+Supuestos!$B$4+$B35/10000)/(1+Supuestos!$B$4))^Supuestos!E$25)</f>
        <v>263994.633595593</v>
      </c>
      <c r="AA35" s="0" t="n">
        <f aca="false">Supuestos!F$23*(1-$C35+$C35*((1+Supuestos!$B$4+$B35/10000)/(1+Supuestos!$B$4))^Supuestos!F$25)</f>
        <v>384703.038842644</v>
      </c>
      <c r="AB35" s="0" t="n">
        <f aca="false">Supuestos!G$23*(1-$C35+$C35*((1+Supuestos!$B$4+$B35/10000)/(1+Supuestos!$B$4))^Supuestos!G$25)</f>
        <v>389697.573266547</v>
      </c>
      <c r="AC35" s="0" t="n">
        <f aca="false">Supuestos!H$23*(1-$C35+$C35*((1+Supuestos!$B$4+$B35/10000)/(1+Supuestos!$B$4))^Supuestos!H$25)</f>
        <v>415489.926851194</v>
      </c>
      <c r="AD35" s="0" t="n">
        <f aca="false">Supuestos!I$23*(1-$C35+$C35*((1+Supuestos!$B$4+$B35/10000)/(1+Supuestos!$B$4))^Supuestos!I$25)</f>
        <v>555664.208287311</v>
      </c>
      <c r="AE35" s="0" t="n">
        <f aca="false">SUMPRODUCT(X35:AC35,R35:W35)</f>
        <v>1306919.10702105</v>
      </c>
      <c r="AF35" s="0" t="n">
        <f aca="false">(1+Supuestos!$B$5)/(1+Supuestos!$B$4)*(1+Supuestos!$B$4+$B35/10000)-1</f>
        <v>0.04</v>
      </c>
      <c r="AG35" s="0" t="n">
        <f aca="false">AD35/(K35-AF35)</f>
        <v>8614938.04622254</v>
      </c>
      <c r="AH35" s="0" t="n">
        <f aca="false">AG35*Q35</f>
        <v>4973845.56485312</v>
      </c>
      <c r="AI35" s="0" t="n">
        <f aca="false">(AE35+AH35-Supuestos!$B$7-Supuestos!$B$8)/Supuestos!$B$9</f>
        <v>2257.61811501104</v>
      </c>
      <c r="AJ35" s="0" t="n">
        <f aca="false">AI35/AI$5-1</f>
        <v>0.215857134938582</v>
      </c>
    </row>
    <row r="36" customFormat="false" ht="15" hidden="false" customHeight="false" outlineLevel="0" collapsed="false">
      <c r="A36" s="0" t="n">
        <v>-50</v>
      </c>
      <c r="B36" s="0" t="n">
        <v>100</v>
      </c>
      <c r="C36" s="0" t="n">
        <f aca="false">Supuestos!$B$13</f>
        <v>0.85</v>
      </c>
      <c r="D36" s="0" t="s">
        <v>111</v>
      </c>
      <c r="E36" s="0" t="n">
        <f aca="false">(1-Supuestos!C$28)*((1+((1+Supuestos!C$26)/(1+Supuestos!$B$4)-1+Supuestos!$B$14*$A36/10000))*(1+Supuestos!$B$4+$B36/10000)-1)+Supuestos!C$28*((1+Supuestos!C$27+$A36/10000)*(1+Supuestos!$B$4+$B36/10000)-1)*(1-Supuestos!$B$6)</f>
        <v>0.110691124782497</v>
      </c>
      <c r="F36" s="0" t="n">
        <f aca="false">(1-Supuestos!D$28)*((1+((1+Supuestos!D$26)/(1+Supuestos!$B$4)-1+Supuestos!$B$14*$A36/10000))*(1+Supuestos!$B$4+$B36/10000)-1)+Supuestos!D$28*((1+Supuestos!D$27+$A36/10000)*(1+Supuestos!$B$4+$B36/10000)-1)*(1-Supuestos!$B$6)</f>
        <v>0.110397363190889</v>
      </c>
      <c r="G36" s="0" t="n">
        <f aca="false">(1-Supuestos!E$28)*((1+((1+Supuestos!E$26)/(1+Supuestos!$B$4)-1+Supuestos!$B$14*$A36/10000))*(1+Supuestos!$B$4+$B36/10000)-1)+Supuestos!E$28*((1+Supuestos!E$27+$A36/10000)*(1+Supuestos!$B$4+$B36/10000)-1)*(1-Supuestos!$B$6)</f>
        <v>0.110120845770358</v>
      </c>
      <c r="H36" s="0" t="n">
        <f aca="false">(1-Supuestos!F$28)*((1+((1+Supuestos!F$26)/(1+Supuestos!$B$4)-1+Supuestos!$B$14*$A36/10000))*(1+Supuestos!$B$4+$B36/10000)-1)+Supuestos!F$28*((1+Supuestos!F$27+$A36/10000)*(1+Supuestos!$B$4+$B36/10000)-1)*(1-Supuestos!$B$6)</f>
        <v>0.109860931638682</v>
      </c>
      <c r="I36" s="0" t="n">
        <f aca="false">(1-Supuestos!G$28)*((1+((1+Supuestos!G$26)/(1+Supuestos!$B$4)-1+Supuestos!$B$14*$A36/10000))*(1+Supuestos!$B$4+$B36/10000)-1)+Supuestos!G$28*((1+Supuestos!G$27+$A36/10000)*(1+Supuestos!$B$4+$B36/10000)-1)*(1-Supuestos!$B$6)</f>
        <v>0.109617011283002</v>
      </c>
      <c r="J36" s="0" t="n">
        <f aca="false">(1-Supuestos!H$28)*((1+((1+Supuestos!H$26)/(1+Supuestos!$B$4)-1+Supuestos!$B$14*$A36/10000))*(1+Supuestos!$B$4+$B36/10000)-1)+Supuestos!H$28*((1+Supuestos!H$27+$A36/10000)*(1+Supuestos!$B$4+$B36/10000)-1)*(1-Supuestos!$B$6)</f>
        <v>0.109388504663723</v>
      </c>
      <c r="K36" s="0" t="n">
        <f aca="false">(1-Supuestos!I$28)*((1+((1+Supuestos!I$26)/(1+Supuestos!$B$4)-1+Supuestos!$B$14*$A36/10000))*(1+Supuestos!$B$4+$B36/10000)-1)+Supuestos!I$28*((1+Supuestos!I$27+$A36/10000)*(1+Supuestos!$B$4+$B36/10000)-1)*(1-Supuestos!$B$6)</f>
        <v>0.109388504663723</v>
      </c>
      <c r="L36" s="0" t="n">
        <f aca="false">(1+E36)^-Supuestos!C$24</f>
        <v>0.948862644202009</v>
      </c>
      <c r="M36" s="0" t="n">
        <f aca="false">L36*(1+F36)^-Supuestos!D$24</f>
        <v>0.854525303874385</v>
      </c>
      <c r="N36" s="0" t="n">
        <f aca="false">M36*(1+G36)^-Supuestos!E$24</f>
        <v>0.76975881241235</v>
      </c>
      <c r="O36" s="0" t="n">
        <f aca="false">N36*(1+H36)^-Supuestos!F$24</f>
        <v>0.69356330191371</v>
      </c>
      <c r="P36" s="0" t="n">
        <f aca="false">O36*(1+I36)^-Supuestos!G$24</f>
        <v>0.625047466703644</v>
      </c>
      <c r="Q36" s="0" t="n">
        <f aca="false">P36*(1+J36)^-Supuestos!H$24</f>
        <v>0.563416209989581</v>
      </c>
      <c r="R36" s="0" t="n">
        <f aca="false">(1+E36)^-(Supuestos!C$24/2)</f>
        <v>0.974095808533231</v>
      </c>
      <c r="S36" s="0" t="n">
        <f aca="false">L36*(1+F36)^-(Supuestos!D$24/2)</f>
        <v>0.90045940462176</v>
      </c>
      <c r="T36" s="0" t="n">
        <f aca="false">M36*(1+G36)^-(Supuestos!E$24/2)</f>
        <v>0.811035377210297</v>
      </c>
      <c r="U36" s="0" t="n">
        <f aca="false">N36*(1+H36)^-(Supuestos!F$24/2)</f>
        <v>0.730668504599648</v>
      </c>
      <c r="V36" s="0" t="n">
        <f aca="false">O36*(1+I36)^-(Supuestos!G$24/2)</f>
        <v>0.658414751398979</v>
      </c>
      <c r="W36" s="0" t="n">
        <f aca="false">P36*(1+J36)^-(Supuestos!H$24/2)</f>
        <v>0.59343228320825</v>
      </c>
      <c r="X36" s="0" t="n">
        <f aca="false">Supuestos!C$23*(1-$C36+$C36*((1+Supuestos!$B$4+$B36/10000)/(1+Supuestos!$B$4))^Supuestos!C$25)</f>
        <v>113658.877950589</v>
      </c>
      <c r="Y36" s="0" t="n">
        <f aca="false">Supuestos!D$23*(1-$C36+$C36*((1+Supuestos!$B$4+$B36/10000)/(1+Supuestos!$B$4))^Supuestos!D$25)</f>
        <v>201086.30999602</v>
      </c>
      <c r="Z36" s="0" t="n">
        <f aca="false">Supuestos!E$23*(1-$C36+$C36*((1+Supuestos!$B$4+$B36/10000)/(1+Supuestos!$B$4))^Supuestos!E$25)</f>
        <v>263994.633595593</v>
      </c>
      <c r="AA36" s="0" t="n">
        <f aca="false">Supuestos!F$23*(1-$C36+$C36*((1+Supuestos!$B$4+$B36/10000)/(1+Supuestos!$B$4))^Supuestos!F$25)</f>
        <v>384703.038842644</v>
      </c>
      <c r="AB36" s="0" t="n">
        <f aca="false">Supuestos!G$23*(1-$C36+$C36*((1+Supuestos!$B$4+$B36/10000)/(1+Supuestos!$B$4))^Supuestos!G$25)</f>
        <v>389697.573266547</v>
      </c>
      <c r="AC36" s="0" t="n">
        <f aca="false">Supuestos!H$23*(1-$C36+$C36*((1+Supuestos!$B$4+$B36/10000)/(1+Supuestos!$B$4))^Supuestos!H$25)</f>
        <v>415489.926851194</v>
      </c>
      <c r="AD36" s="0" t="n">
        <f aca="false">Supuestos!I$23*(1-$C36+$C36*((1+Supuestos!$B$4+$B36/10000)/(1+Supuestos!$B$4))^Supuestos!I$25)</f>
        <v>555664.208287311</v>
      </c>
      <c r="AE36" s="0" t="n">
        <f aca="false">SUMPRODUCT(X36:AC36,R36:W36)</f>
        <v>1290131.84370106</v>
      </c>
      <c r="AF36" s="0" t="n">
        <f aca="false">(1+Supuestos!$B$5)/(1+Supuestos!$B$4)*(1+Supuestos!$B$4+$B36/10000)-1</f>
        <v>0.04</v>
      </c>
      <c r="AG36" s="0" t="n">
        <f aca="false">AD36/(K36-AF36)</f>
        <v>8008015.31867878</v>
      </c>
      <c r="AH36" s="0" t="n">
        <f aca="false">AG36*Q36</f>
        <v>4511845.64038851</v>
      </c>
      <c r="AI36" s="0" t="n">
        <f aca="false">(AE36+AH36-Supuestos!$B$7-Supuestos!$B$8)/Supuestos!$B$9</f>
        <v>2038.9938283514</v>
      </c>
      <c r="AJ36" s="0" t="n">
        <f aca="false">AI36/AI$5-1</f>
        <v>0.098115388875087</v>
      </c>
    </row>
    <row r="37" customFormat="false" ht="15" hidden="false" customHeight="false" outlineLevel="0" collapsed="false">
      <c r="A37" s="0" t="n">
        <v>0</v>
      </c>
      <c r="B37" s="0" t="n">
        <v>100</v>
      </c>
      <c r="C37" s="0" t="n">
        <f aca="false">Supuestos!$B$13</f>
        <v>0.85</v>
      </c>
      <c r="D37" s="0" t="s">
        <v>111</v>
      </c>
      <c r="E37" s="0" t="n">
        <f aca="false">(1-Supuestos!C$28)*((1+((1+Supuestos!C$26)/(1+Supuestos!$B$4)-1+Supuestos!$B$14*$A37/10000))*(1+Supuestos!$B$4+$B37/10000)-1)+Supuestos!C$28*((1+Supuestos!C$27+$A37/10000)*(1+Supuestos!$B$4+$B37/10000)-1)*(1-Supuestos!$B$6)</f>
        <v>0.115649826381034</v>
      </c>
      <c r="F37" s="0" t="n">
        <f aca="false">(1-Supuestos!D$28)*((1+((1+Supuestos!D$26)/(1+Supuestos!$B$4)-1+Supuestos!$B$14*$A37/10000))*(1+Supuestos!$B$4+$B37/10000)-1)+Supuestos!D$28*((1+Supuestos!D$27+$A37/10000)*(1+Supuestos!$B$4+$B37/10000)-1)*(1-Supuestos!$B$6)</f>
        <v>0.11534129484442</v>
      </c>
      <c r="G37" s="0" t="n">
        <f aca="false">(1-Supuestos!E$28)*((1+((1+Supuestos!E$26)/(1+Supuestos!$B$4)-1+Supuestos!$B$14*$A37/10000))*(1+Supuestos!$B$4+$B37/10000)-1)+Supuestos!E$28*((1+Supuestos!E$27+$A37/10000)*(1+Supuestos!$B$4+$B37/10000)-1)*(1-Supuestos!$B$6)</f>
        <v>0.115050378020789</v>
      </c>
      <c r="H37" s="0" t="n">
        <f aca="false">(1-Supuestos!F$28)*((1+((1+Supuestos!F$26)/(1+Supuestos!$B$4)-1+Supuestos!$B$14*$A37/10000))*(1+Supuestos!$B$4+$B37/10000)-1)+Supuestos!F$28*((1+Supuestos!F$27+$A37/10000)*(1+Supuestos!$B$4+$B37/10000)-1)*(1-Supuestos!$B$6)</f>
        <v>0.114776421256675</v>
      </c>
      <c r="I37" s="0" t="n">
        <f aca="false">(1-Supuestos!G$28)*((1+((1+Supuestos!G$26)/(1+Supuestos!$B$4)-1+Supuestos!$B$14*$A37/10000))*(1+Supuestos!$B$4+$B37/10000)-1)+Supuestos!G$28*((1+Supuestos!G$27+$A37/10000)*(1+Supuestos!$B$4+$B37/10000)-1)*(1-Supuestos!$B$6)</f>
        <v>0.114518801942034</v>
      </c>
      <c r="J37" s="0" t="n">
        <f aca="false">(1-Supuestos!H$28)*((1+((1+Supuestos!H$26)/(1+Supuestos!$B$4)-1+Supuestos!$B$14*$A37/10000))*(1+Supuestos!$B$4+$B37/10000)-1)+Supuestos!H$28*((1+Supuestos!H$27+$A37/10000)*(1+Supuestos!$B$4+$B37/10000)-1)*(1-Supuestos!$B$6)</f>
        <v>0.11427692757341</v>
      </c>
      <c r="K37" s="0" t="n">
        <f aca="false">(1-Supuestos!I$28)*((1+((1+Supuestos!I$26)/(1+Supuestos!$B$4)-1+Supuestos!$B$14*$A37/10000))*(1+Supuestos!$B$4+$B37/10000)-1)+Supuestos!I$28*((1+Supuestos!I$27+$A37/10000)*(1+Supuestos!$B$4+$B37/10000)-1)*(1-Supuestos!$B$6)</f>
        <v>0.11427692757341</v>
      </c>
      <c r="L37" s="0" t="n">
        <f aca="false">(1+E37)^-Supuestos!C$24</f>
        <v>0.946751602528848</v>
      </c>
      <c r="M37" s="0" t="n">
        <f aca="false">L37*(1+F37)^-Supuestos!D$24</f>
        <v>0.848844749947963</v>
      </c>
      <c r="N37" s="0" t="n">
        <f aca="false">M37*(1+G37)^-Supuestos!E$24</f>
        <v>0.761261344491591</v>
      </c>
      <c r="O37" s="0" t="n">
        <f aca="false">N37*(1+H37)^-Supuestos!F$24</f>
        <v>0.682882531398924</v>
      </c>
      <c r="P37" s="0" t="n">
        <f aca="false">O37*(1+I37)^-Supuestos!G$24</f>
        <v>0.612715128904968</v>
      </c>
      <c r="Q37" s="0" t="n">
        <f aca="false">P37*(1+J37)^-Supuestos!H$24</f>
        <v>0.549876887641651</v>
      </c>
      <c r="R37" s="0" t="n">
        <f aca="false">(1+E37)^-(Supuestos!C$24/2)</f>
        <v>0.973011614796477</v>
      </c>
      <c r="S37" s="0" t="n">
        <f aca="false">L37*(1+F37)^-(Supuestos!D$24/2)</f>
        <v>0.896462563251491</v>
      </c>
      <c r="T37" s="0" t="n">
        <f aca="false">M37*(1+G37)^-(Supuestos!E$24/2)</f>
        <v>0.803861117115397</v>
      </c>
      <c r="U37" s="0" t="n">
        <f aca="false">N37*(1+H37)^-(Supuestos!F$24/2)</f>
        <v>0.721007679558662</v>
      </c>
      <c r="V37" s="0" t="n">
        <f aca="false">O37*(1+I37)^-(Supuestos!G$24/2)</f>
        <v>0.646848095191632</v>
      </c>
      <c r="W37" s="0" t="n">
        <f aca="false">P37*(1+J37)^-(Supuestos!H$24/2)</f>
        <v>0.580446283555349</v>
      </c>
      <c r="X37" s="0" t="n">
        <f aca="false">Supuestos!C$23*(1-$C37+$C37*((1+Supuestos!$B$4+$B37/10000)/(1+Supuestos!$B$4))^Supuestos!C$25)</f>
        <v>113658.877950589</v>
      </c>
      <c r="Y37" s="0" t="n">
        <f aca="false">Supuestos!D$23*(1-$C37+$C37*((1+Supuestos!$B$4+$B37/10000)/(1+Supuestos!$B$4))^Supuestos!D$25)</f>
        <v>201086.30999602</v>
      </c>
      <c r="Z37" s="0" t="n">
        <f aca="false">Supuestos!E$23*(1-$C37+$C37*((1+Supuestos!$B$4+$B37/10000)/(1+Supuestos!$B$4))^Supuestos!E$25)</f>
        <v>263994.633595593</v>
      </c>
      <c r="AA37" s="0" t="n">
        <f aca="false">Supuestos!F$23*(1-$C37+$C37*((1+Supuestos!$B$4+$B37/10000)/(1+Supuestos!$B$4))^Supuestos!F$25)</f>
        <v>384703.038842644</v>
      </c>
      <c r="AB37" s="0" t="n">
        <f aca="false">Supuestos!G$23*(1-$C37+$C37*((1+Supuestos!$B$4+$B37/10000)/(1+Supuestos!$B$4))^Supuestos!G$25)</f>
        <v>389697.573266547</v>
      </c>
      <c r="AC37" s="0" t="n">
        <f aca="false">Supuestos!H$23*(1-$C37+$C37*((1+Supuestos!$B$4+$B37/10000)/(1+Supuestos!$B$4))^Supuestos!H$25)</f>
        <v>415489.926851194</v>
      </c>
      <c r="AD37" s="0" t="n">
        <f aca="false">Supuestos!I$23*(1-$C37+$C37*((1+Supuestos!$B$4+$B37/10000)/(1+Supuestos!$B$4))^Supuestos!I$25)</f>
        <v>555664.208287311</v>
      </c>
      <c r="AE37" s="0" t="n">
        <f aca="false">SUMPRODUCT(X37:AC37,R37:W37)</f>
        <v>1273691.34055792</v>
      </c>
      <c r="AF37" s="0" t="n">
        <f aca="false">(1+Supuestos!$B$5)/(1+Supuestos!$B$4)*(1+Supuestos!$B$4+$B37/10000)-1</f>
        <v>0.04</v>
      </c>
      <c r="AG37" s="0" t="n">
        <f aca="false">AD37/(K37-AF37)</f>
        <v>7480979.98181372</v>
      </c>
      <c r="AH37" s="0" t="n">
        <f aca="false">AG37*Q37</f>
        <v>4113617.98890922</v>
      </c>
      <c r="AI37" s="0" t="n">
        <f aca="false">(AE37+AH37-Supuestos!$B$7-Supuestos!$B$8)/Supuestos!$B$9</f>
        <v>1849.64763902609</v>
      </c>
      <c r="AJ37" s="0" t="n">
        <f aca="false">AI37/AI$5-1</f>
        <v>-0.00385841871171311</v>
      </c>
    </row>
    <row r="38" customFormat="false" ht="15" hidden="false" customHeight="false" outlineLevel="0" collapsed="false">
      <c r="A38" s="0" t="n">
        <v>50</v>
      </c>
      <c r="B38" s="0" t="n">
        <v>100</v>
      </c>
      <c r="C38" s="0" t="n">
        <f aca="false">Supuestos!$B$13</f>
        <v>0.85</v>
      </c>
      <c r="D38" s="0" t="s">
        <v>111</v>
      </c>
      <c r="E38" s="0" t="n">
        <f aca="false">(1-Supuestos!C$28)*((1+((1+Supuestos!C$26)/(1+Supuestos!$B$4)-1+Supuestos!$B$14*$A38/10000))*(1+Supuestos!$B$4+$B38/10000)-1)+Supuestos!C$28*((1+Supuestos!C$27+$A38/10000)*(1+Supuestos!$B$4+$B38/10000)-1)*(1-Supuestos!$B$6)</f>
        <v>0.120608527979572</v>
      </c>
      <c r="F38" s="0" t="n">
        <f aca="false">(1-Supuestos!D$28)*((1+((1+Supuestos!D$26)/(1+Supuestos!$B$4)-1+Supuestos!$B$14*$A38/10000))*(1+Supuestos!$B$4+$B38/10000)-1)+Supuestos!D$28*((1+Supuestos!D$27+$A38/10000)*(1+Supuestos!$B$4+$B38/10000)-1)*(1-Supuestos!$B$6)</f>
        <v>0.120285226497951</v>
      </c>
      <c r="G38" s="0" t="n">
        <f aca="false">(1-Supuestos!E$28)*((1+((1+Supuestos!E$26)/(1+Supuestos!$B$4)-1+Supuestos!$B$14*$A38/10000))*(1+Supuestos!$B$4+$B38/10000)-1)+Supuestos!E$28*((1+Supuestos!E$27+$A38/10000)*(1+Supuestos!$B$4+$B38/10000)-1)*(1-Supuestos!$B$6)</f>
        <v>0.11997991027122</v>
      </c>
      <c r="H38" s="0" t="n">
        <f aca="false">(1-Supuestos!F$28)*((1+((1+Supuestos!F$26)/(1+Supuestos!$B$4)-1+Supuestos!$B$14*$A38/10000))*(1+Supuestos!$B$4+$B38/10000)-1)+Supuestos!F$28*((1+Supuestos!F$27+$A38/10000)*(1+Supuestos!$B$4+$B38/10000)-1)*(1-Supuestos!$B$6)</f>
        <v>0.119691910874667</v>
      </c>
      <c r="I38" s="0" t="n">
        <f aca="false">(1-Supuestos!G$28)*((1+((1+Supuestos!G$26)/(1+Supuestos!$B$4)-1+Supuestos!$B$14*$A38/10000))*(1+Supuestos!$B$4+$B38/10000)-1)+Supuestos!G$28*((1+Supuestos!G$27+$A38/10000)*(1+Supuestos!$B$4+$B38/10000)-1)*(1-Supuestos!$B$6)</f>
        <v>0.119420592601066</v>
      </c>
      <c r="J38" s="0" t="n">
        <f aca="false">(1-Supuestos!H$28)*((1+((1+Supuestos!H$26)/(1+Supuestos!$B$4)-1+Supuestos!$B$14*$A38/10000))*(1+Supuestos!$B$4+$B38/10000)-1)+Supuestos!H$28*((1+Supuestos!H$27+$A38/10000)*(1+Supuestos!$B$4+$B38/10000)-1)*(1-Supuestos!$B$6)</f>
        <v>0.119165350483097</v>
      </c>
      <c r="K38" s="0" t="n">
        <f aca="false">(1-Supuestos!I$28)*((1+((1+Supuestos!I$26)/(1+Supuestos!$B$4)-1+Supuestos!$B$14*$A38/10000))*(1+Supuestos!$B$4+$B38/10000)-1)+Supuestos!I$28*((1+Supuestos!I$27+$A38/10000)*(1+Supuestos!$B$4+$B38/10000)-1)*(1-Supuestos!$B$6)</f>
        <v>0.119165350483097</v>
      </c>
      <c r="L38" s="0" t="n">
        <f aca="false">(1+E38)^-Supuestos!C$24</f>
        <v>0.944654588466647</v>
      </c>
      <c r="M38" s="0" t="n">
        <f aca="false">L38*(1+F38)^-Supuestos!D$24</f>
        <v>0.843226855199786</v>
      </c>
      <c r="N38" s="0" t="n">
        <f aca="false">M38*(1+G38)^-Supuestos!E$24</f>
        <v>0.752894625579119</v>
      </c>
      <c r="O38" s="0" t="n">
        <f aca="false">N38*(1+H38)^-Supuestos!F$24</f>
        <v>0.67241231116065</v>
      </c>
      <c r="P38" s="0" t="n">
        <f aca="false">O38*(1+I38)^-Supuestos!G$24</f>
        <v>0.600678882990927</v>
      </c>
      <c r="Q38" s="0" t="n">
        <f aca="false">P38*(1+J38)^-Supuestos!H$24</f>
        <v>0.536720407517655</v>
      </c>
      <c r="R38" s="0" t="n">
        <f aca="false">(1+E38)^-(Supuestos!C$24/2)</f>
        <v>0.971933428001448</v>
      </c>
      <c r="S38" s="0" t="n">
        <f aca="false">L38*(1+F38)^-(Supuestos!D$24/2)</f>
        <v>0.892501046432316</v>
      </c>
      <c r="T38" s="0" t="n">
        <f aca="false">M38*(1+G38)^-(Supuestos!E$24/2)</f>
        <v>0.796781630952861</v>
      </c>
      <c r="U38" s="0" t="n">
        <f aca="false">N38*(1+H38)^-(Supuestos!F$24/2)</f>
        <v>0.711516419519668</v>
      </c>
      <c r="V38" s="0" t="n">
        <f aca="false">O38*(1+I38)^-(Supuestos!G$24/2)</f>
        <v>0.635534323209476</v>
      </c>
      <c r="W38" s="0" t="n">
        <f aca="false">P38*(1+J38)^-(Supuestos!H$24/2)</f>
        <v>0.567799801748944</v>
      </c>
      <c r="X38" s="0" t="n">
        <f aca="false">Supuestos!C$23*(1-$C38+$C38*((1+Supuestos!$B$4+$B38/10000)/(1+Supuestos!$B$4))^Supuestos!C$25)</f>
        <v>113658.877950589</v>
      </c>
      <c r="Y38" s="0" t="n">
        <f aca="false">Supuestos!D$23*(1-$C38+$C38*((1+Supuestos!$B$4+$B38/10000)/(1+Supuestos!$B$4))^Supuestos!D$25)</f>
        <v>201086.30999602</v>
      </c>
      <c r="Z38" s="0" t="n">
        <f aca="false">Supuestos!E$23*(1-$C38+$C38*((1+Supuestos!$B$4+$B38/10000)/(1+Supuestos!$B$4))^Supuestos!E$25)</f>
        <v>263994.633595593</v>
      </c>
      <c r="AA38" s="0" t="n">
        <f aca="false">Supuestos!F$23*(1-$C38+$C38*((1+Supuestos!$B$4+$B38/10000)/(1+Supuestos!$B$4))^Supuestos!F$25)</f>
        <v>384703.038842644</v>
      </c>
      <c r="AB38" s="0" t="n">
        <f aca="false">Supuestos!G$23*(1-$C38+$C38*((1+Supuestos!$B$4+$B38/10000)/(1+Supuestos!$B$4))^Supuestos!G$25)</f>
        <v>389697.573266547</v>
      </c>
      <c r="AC38" s="0" t="n">
        <f aca="false">Supuestos!H$23*(1-$C38+$C38*((1+Supuestos!$B$4+$B38/10000)/(1+Supuestos!$B$4))^Supuestos!H$25)</f>
        <v>415489.926851194</v>
      </c>
      <c r="AD38" s="0" t="n">
        <f aca="false">Supuestos!I$23*(1-$C38+$C38*((1+Supuestos!$B$4+$B38/10000)/(1+Supuestos!$B$4))^Supuestos!I$25)</f>
        <v>555664.208287311</v>
      </c>
      <c r="AE38" s="0" t="n">
        <f aca="false">SUMPRODUCT(X38:AC38,R38:W38)</f>
        <v>1257588.49003585</v>
      </c>
      <c r="AF38" s="0" t="n">
        <f aca="false">(1+Supuestos!$B$5)/(1+Supuestos!$B$4)*(1+Supuestos!$B$4+$B38/10000)-1</f>
        <v>0.04</v>
      </c>
      <c r="AG38" s="0" t="n">
        <f aca="false">AD38/(K38-AF38)</f>
        <v>7019033.00997765</v>
      </c>
      <c r="AH38" s="0" t="n">
        <f aca="false">AG38*Q38</f>
        <v>3767258.25749507</v>
      </c>
      <c r="AI38" s="0" t="n">
        <f aca="false">(AE38+AH38-Supuestos!$B$7-Supuestos!$B$8)/Supuestos!$B$9</f>
        <v>1684.13961074471</v>
      </c>
      <c r="AJ38" s="0" t="n">
        <f aca="false">AI38/AI$5-1</f>
        <v>-0.0929940062309281</v>
      </c>
    </row>
    <row r="39" customFormat="false" ht="15" hidden="false" customHeight="false" outlineLevel="0" collapsed="false">
      <c r="A39" s="0" t="n">
        <v>100</v>
      </c>
      <c r="B39" s="0" t="n">
        <v>100</v>
      </c>
      <c r="C39" s="0" t="n">
        <f aca="false">Supuestos!$B$13</f>
        <v>0.85</v>
      </c>
      <c r="D39" s="0" t="s">
        <v>111</v>
      </c>
      <c r="E39" s="0" t="n">
        <f aca="false">(1-Supuestos!C$28)*((1+((1+Supuestos!C$26)/(1+Supuestos!$B$4)-1+Supuestos!$B$14*$A39/10000))*(1+Supuestos!$B$4+$B39/10000)-1)+Supuestos!C$28*((1+Supuestos!C$27+$A39/10000)*(1+Supuestos!$B$4+$B39/10000)-1)*(1-Supuestos!$B$6)</f>
        <v>0.12556722957811</v>
      </c>
      <c r="F39" s="0" t="n">
        <f aca="false">(1-Supuestos!D$28)*((1+((1+Supuestos!D$26)/(1+Supuestos!$B$4)-1+Supuestos!$B$14*$A39/10000))*(1+Supuestos!$B$4+$B39/10000)-1)+Supuestos!D$28*((1+Supuestos!D$27+$A39/10000)*(1+Supuestos!$B$4+$B39/10000)-1)*(1-Supuestos!$B$6)</f>
        <v>0.125229158151482</v>
      </c>
      <c r="G39" s="0" t="n">
        <f aca="false">(1-Supuestos!E$28)*((1+((1+Supuestos!E$26)/(1+Supuestos!$B$4)-1+Supuestos!$B$14*$A39/10000))*(1+Supuestos!$B$4+$B39/10000)-1)+Supuestos!E$28*((1+Supuestos!E$27+$A39/10000)*(1+Supuestos!$B$4+$B39/10000)-1)*(1-Supuestos!$B$6)</f>
        <v>0.124909442521651</v>
      </c>
      <c r="H39" s="0" t="n">
        <f aca="false">(1-Supuestos!F$28)*((1+((1+Supuestos!F$26)/(1+Supuestos!$B$4)-1+Supuestos!$B$14*$A39/10000))*(1+Supuestos!$B$4+$B39/10000)-1)+Supuestos!F$28*((1+Supuestos!F$27+$A39/10000)*(1+Supuestos!$B$4+$B39/10000)-1)*(1-Supuestos!$B$6)</f>
        <v>0.124607400492659</v>
      </c>
      <c r="I39" s="0" t="n">
        <f aca="false">(1-Supuestos!G$28)*((1+((1+Supuestos!G$26)/(1+Supuestos!$B$4)-1+Supuestos!$B$14*$A39/10000))*(1+Supuestos!$B$4+$B39/10000)-1)+Supuestos!G$28*((1+Supuestos!G$27+$A39/10000)*(1+Supuestos!$B$4+$B39/10000)-1)*(1-Supuestos!$B$6)</f>
        <v>0.124322383260098</v>
      </c>
      <c r="J39" s="0" t="n">
        <f aca="false">(1-Supuestos!H$28)*((1+((1+Supuestos!H$26)/(1+Supuestos!$B$4)-1+Supuestos!$B$14*$A39/10000))*(1+Supuestos!$B$4+$B39/10000)-1)+Supuestos!H$28*((1+Supuestos!H$27+$A39/10000)*(1+Supuestos!$B$4+$B39/10000)-1)*(1-Supuestos!$B$6)</f>
        <v>0.124053773392785</v>
      </c>
      <c r="K39" s="0" t="n">
        <f aca="false">(1-Supuestos!I$28)*((1+((1+Supuestos!I$26)/(1+Supuestos!$B$4)-1+Supuestos!$B$14*$A39/10000))*(1+Supuestos!$B$4+$B39/10000)-1)+Supuestos!I$28*((1+Supuestos!I$27+$A39/10000)*(1+Supuestos!$B$4+$B39/10000)-1)*(1-Supuestos!$B$6)</f>
        <v>0.124053773392785</v>
      </c>
      <c r="L39" s="0" t="n">
        <f aca="false">(1+E39)^-Supuestos!C$24</f>
        <v>0.942571447347543</v>
      </c>
      <c r="M39" s="0" t="n">
        <f aca="false">L39*(1+F39)^-Supuestos!D$24</f>
        <v>0.83767065625636</v>
      </c>
      <c r="N39" s="0" t="n">
        <f aca="false">M39*(1+G39)^-Supuestos!E$24</f>
        <v>0.744656080385099</v>
      </c>
      <c r="O39" s="0" t="n">
        <f aca="false">N39*(1+H39)^-Supuestos!F$24</f>
        <v>0.662147590402558</v>
      </c>
      <c r="P39" s="0" t="n">
        <f aca="false">O39*(1+I39)^-Supuestos!G$24</f>
        <v>0.588930363978512</v>
      </c>
      <c r="Q39" s="0" t="n">
        <f aca="false">P39*(1+J39)^-Supuestos!H$24</f>
        <v>0.523934332964264</v>
      </c>
      <c r="R39" s="0" t="n">
        <f aca="false">(1+E39)^-(Supuestos!C$24/2)</f>
        <v>0.970861188506134</v>
      </c>
      <c r="S39" s="0" t="n">
        <f aca="false">L39*(1+F39)^-(Supuestos!D$24/2)</f>
        <v>0.888574387920406</v>
      </c>
      <c r="T39" s="0" t="n">
        <f aca="false">M39*(1+G39)^-(Supuestos!E$24/2)</f>
        <v>0.789795256722573</v>
      </c>
      <c r="U39" s="0" t="n">
        <f aca="false">N39*(1+H39)^-(Supuestos!F$24/2)</f>
        <v>0.702191020524762</v>
      </c>
      <c r="V39" s="0" t="n">
        <f aca="false">O39*(1+I39)^-(Supuestos!G$24/2)</f>
        <v>0.624466829722183</v>
      </c>
      <c r="W39" s="0" t="n">
        <f aca="false">P39*(1+J39)^-(Supuestos!H$24/2)</f>
        <v>0.555482526650014</v>
      </c>
      <c r="X39" s="0" t="n">
        <f aca="false">Supuestos!C$23*(1-$C39+$C39*((1+Supuestos!$B$4+$B39/10000)/(1+Supuestos!$B$4))^Supuestos!C$25)</f>
        <v>113658.877950589</v>
      </c>
      <c r="Y39" s="0" t="n">
        <f aca="false">Supuestos!D$23*(1-$C39+$C39*((1+Supuestos!$B$4+$B39/10000)/(1+Supuestos!$B$4))^Supuestos!D$25)</f>
        <v>201086.30999602</v>
      </c>
      <c r="Z39" s="0" t="n">
        <f aca="false">Supuestos!E$23*(1-$C39+$C39*((1+Supuestos!$B$4+$B39/10000)/(1+Supuestos!$B$4))^Supuestos!E$25)</f>
        <v>263994.633595593</v>
      </c>
      <c r="AA39" s="0" t="n">
        <f aca="false">Supuestos!F$23*(1-$C39+$C39*((1+Supuestos!$B$4+$B39/10000)/(1+Supuestos!$B$4))^Supuestos!F$25)</f>
        <v>384703.038842644</v>
      </c>
      <c r="AB39" s="0" t="n">
        <f aca="false">Supuestos!G$23*(1-$C39+$C39*((1+Supuestos!$B$4+$B39/10000)/(1+Supuestos!$B$4))^Supuestos!G$25)</f>
        <v>389697.573266547</v>
      </c>
      <c r="AC39" s="0" t="n">
        <f aca="false">Supuestos!H$23*(1-$C39+$C39*((1+Supuestos!$B$4+$B39/10000)/(1+Supuestos!$B$4))^Supuestos!H$25)</f>
        <v>415489.926851194</v>
      </c>
      <c r="AD39" s="0" t="n">
        <f aca="false">Supuestos!I$23*(1-$C39+$C39*((1+Supuestos!$B$4+$B39/10000)/(1+Supuestos!$B$4))^Supuestos!I$25)</f>
        <v>555664.208287311</v>
      </c>
      <c r="AE39" s="0" t="n">
        <f aca="false">SUMPRODUCT(X39:AC39,R39:W39)</f>
        <v>1241814.46950629</v>
      </c>
      <c r="AF39" s="0" t="n">
        <f aca="false">(1+Supuestos!$B$5)/(1+Supuestos!$B$4)*(1+Supuestos!$B$4+$B39/10000)-1</f>
        <v>0.04</v>
      </c>
      <c r="AG39" s="0" t="n">
        <f aca="false">AD39/(K39-AF39)</f>
        <v>6610818.12104595</v>
      </c>
      <c r="AH39" s="0" t="n">
        <f aca="false">AG39*Q39</f>
        <v>3463634.58259828</v>
      </c>
      <c r="AI39" s="0" t="n">
        <f aca="false">(AE39+AH39-Supuestos!$B$7-Supuestos!$B$8)/Supuestos!$B$9</f>
        <v>1538.295914203</v>
      </c>
      <c r="AJ39" s="0" t="n">
        <f aca="false">AI39/AI$5-1</f>
        <v>-0.171539220697012</v>
      </c>
    </row>
    <row r="40" customFormat="false" ht="15" hidden="false" customHeight="false" outlineLevel="0" collapsed="false">
      <c r="A40" s="0" t="n">
        <v>150</v>
      </c>
      <c r="B40" s="0" t="n">
        <v>100</v>
      </c>
      <c r="C40" s="0" t="n">
        <f aca="false">Supuestos!$B$13</f>
        <v>0.85</v>
      </c>
      <c r="D40" s="0" t="s">
        <v>111</v>
      </c>
      <c r="E40" s="0" t="n">
        <f aca="false">(1-Supuestos!C$28)*((1+((1+Supuestos!C$26)/(1+Supuestos!$B$4)-1+Supuestos!$B$14*$A40/10000))*(1+Supuestos!$B$4+$B40/10000)-1)+Supuestos!C$28*((1+Supuestos!C$27+$A40/10000)*(1+Supuestos!$B$4+$B40/10000)-1)*(1-Supuestos!$B$6)</f>
        <v>0.130525931176647</v>
      </c>
      <c r="F40" s="0" t="n">
        <f aca="false">(1-Supuestos!D$28)*((1+((1+Supuestos!D$26)/(1+Supuestos!$B$4)-1+Supuestos!$B$14*$A40/10000))*(1+Supuestos!$B$4+$B40/10000)-1)+Supuestos!D$28*((1+Supuestos!D$27+$A40/10000)*(1+Supuestos!$B$4+$B40/10000)-1)*(1-Supuestos!$B$6)</f>
        <v>0.130173089805013</v>
      </c>
      <c r="G40" s="0" t="n">
        <f aca="false">(1-Supuestos!E$28)*((1+((1+Supuestos!E$26)/(1+Supuestos!$B$4)-1+Supuestos!$B$14*$A40/10000))*(1+Supuestos!$B$4+$B40/10000)-1)+Supuestos!E$28*((1+Supuestos!E$27+$A40/10000)*(1+Supuestos!$B$4+$B40/10000)-1)*(1-Supuestos!$B$6)</f>
        <v>0.129838974772083</v>
      </c>
      <c r="H40" s="0" t="n">
        <f aca="false">(1-Supuestos!F$28)*((1+((1+Supuestos!F$26)/(1+Supuestos!$B$4)-1+Supuestos!$B$14*$A40/10000))*(1+Supuestos!$B$4+$B40/10000)-1)+Supuestos!F$28*((1+Supuestos!F$27+$A40/10000)*(1+Supuestos!$B$4+$B40/10000)-1)*(1-Supuestos!$B$6)</f>
        <v>0.129522890110652</v>
      </c>
      <c r="I40" s="0" t="n">
        <f aca="false">(1-Supuestos!G$28)*((1+((1+Supuestos!G$26)/(1+Supuestos!$B$4)-1+Supuestos!$B$14*$A40/10000))*(1+Supuestos!$B$4+$B40/10000)-1)+Supuestos!G$28*((1+Supuestos!G$27+$A40/10000)*(1+Supuestos!$B$4+$B40/10000)-1)*(1-Supuestos!$B$6)</f>
        <v>0.12922417391913</v>
      </c>
      <c r="J40" s="0" t="n">
        <f aca="false">(1-Supuestos!H$28)*((1+((1+Supuestos!H$26)/(1+Supuestos!$B$4)-1+Supuestos!$B$14*$A40/10000))*(1+Supuestos!$B$4+$B40/10000)-1)+Supuestos!H$28*((1+Supuestos!H$27+$A40/10000)*(1+Supuestos!$B$4+$B40/10000)-1)*(1-Supuestos!$B$6)</f>
        <v>0.128942196302472</v>
      </c>
      <c r="K40" s="0" t="n">
        <f aca="false">(1-Supuestos!I$28)*((1+((1+Supuestos!I$26)/(1+Supuestos!$B$4)-1+Supuestos!$B$14*$A40/10000))*(1+Supuestos!$B$4+$B40/10000)-1)+Supuestos!I$28*((1+Supuestos!I$27+$A40/10000)*(1+Supuestos!$B$4+$B40/10000)-1)*(1-Supuestos!$B$6)</f>
        <v>0.128942196302472</v>
      </c>
      <c r="L40" s="0" t="n">
        <f aca="false">(1+E40)^-Supuestos!C$24</f>
        <v>0.940502026880701</v>
      </c>
      <c r="M40" s="0" t="n">
        <f aca="false">L40*(1+F40)^-Supuestos!D$24</f>
        <v>0.832175208704504</v>
      </c>
      <c r="N40" s="0" t="n">
        <f aca="false">M40*(1+G40)^-Supuestos!E$24</f>
        <v>0.736543195345491</v>
      </c>
      <c r="O40" s="0" t="n">
        <f aca="false">N40*(1+H40)^-Supuestos!F$24</f>
        <v>0.652083460896784</v>
      </c>
      <c r="P40" s="0" t="n">
        <f aca="false">O40*(1+I40)^-Supuestos!G$24</f>
        <v>0.577461478382665</v>
      </c>
      <c r="Q40" s="0" t="n">
        <f aca="false">P40*(1+J40)^-Supuestos!H$24</f>
        <v>0.511506683224327</v>
      </c>
      <c r="R40" s="0" t="n">
        <f aca="false">(1+E40)^-(Supuestos!C$24/2)</f>
        <v>0.969794837520133</v>
      </c>
      <c r="S40" s="0" t="n">
        <f aca="false">L40*(1+F40)^-(Supuestos!D$24/2)</f>
        <v>0.884682129641181</v>
      </c>
      <c r="T40" s="0" t="n">
        <f aca="false">M40*(1+G40)^-(Supuestos!E$24/2)</f>
        <v>0.782900368697395</v>
      </c>
      <c r="U40" s="0" t="n">
        <f aca="false">N40*(1+H40)^-(Supuestos!F$24/2)</f>
        <v>0.69302787528415</v>
      </c>
      <c r="V40" s="0" t="n">
        <f aca="false">O40*(1+I40)^-(Supuestos!G$24/2)</f>
        <v>0.613639209436898</v>
      </c>
      <c r="W40" s="0" t="n">
        <f aca="false">P40*(1+J40)^-(Supuestos!H$24/2)</f>
        <v>0.543484503456477</v>
      </c>
      <c r="X40" s="0" t="n">
        <f aca="false">Supuestos!C$23*(1-$C40+$C40*((1+Supuestos!$B$4+$B40/10000)/(1+Supuestos!$B$4))^Supuestos!C$25)</f>
        <v>113658.877950589</v>
      </c>
      <c r="Y40" s="0" t="n">
        <f aca="false">Supuestos!D$23*(1-$C40+$C40*((1+Supuestos!$B$4+$B40/10000)/(1+Supuestos!$B$4))^Supuestos!D$25)</f>
        <v>201086.30999602</v>
      </c>
      <c r="Z40" s="0" t="n">
        <f aca="false">Supuestos!E$23*(1-$C40+$C40*((1+Supuestos!$B$4+$B40/10000)/(1+Supuestos!$B$4))^Supuestos!E$25)</f>
        <v>263994.633595593</v>
      </c>
      <c r="AA40" s="0" t="n">
        <f aca="false">Supuestos!F$23*(1-$C40+$C40*((1+Supuestos!$B$4+$B40/10000)/(1+Supuestos!$B$4))^Supuestos!F$25)</f>
        <v>384703.038842644</v>
      </c>
      <c r="AB40" s="0" t="n">
        <f aca="false">Supuestos!G$23*(1-$C40+$C40*((1+Supuestos!$B$4+$B40/10000)/(1+Supuestos!$B$4))^Supuestos!G$25)</f>
        <v>389697.573266547</v>
      </c>
      <c r="AC40" s="0" t="n">
        <f aca="false">Supuestos!H$23*(1-$C40+$C40*((1+Supuestos!$B$4+$B40/10000)/(1+Supuestos!$B$4))^Supuestos!H$25)</f>
        <v>415489.926851194</v>
      </c>
      <c r="AD40" s="0" t="n">
        <f aca="false">Supuestos!I$23*(1-$C40+$C40*((1+Supuestos!$B$4+$B40/10000)/(1+Supuestos!$B$4))^Supuestos!I$25)</f>
        <v>555664.208287311</v>
      </c>
      <c r="AE40" s="0" t="n">
        <f aca="false">SUMPRODUCT(X40:AC40,R40:W40)</f>
        <v>1226360.73100903</v>
      </c>
      <c r="AF40" s="0" t="n">
        <f aca="false">(1+Supuestos!$B$5)/(1+Supuestos!$B$4)*(1+Supuestos!$B$4+$B40/10000)-1</f>
        <v>0.04</v>
      </c>
      <c r="AG40" s="0" t="n">
        <f aca="false">AD40/(K40-AF40)</f>
        <v>6247475.67957088</v>
      </c>
      <c r="AH40" s="0" t="n">
        <f aca="false">AG40*Q40</f>
        <v>3195625.56338195</v>
      </c>
      <c r="AI40" s="0" t="n">
        <f aca="false">(AE40+AH40-Supuestos!$B$7-Supuestos!$B$8)/Supuestos!$B$9</f>
        <v>1408.86086501871</v>
      </c>
      <c r="AJ40" s="0" t="n">
        <f aca="false">AI40/AI$5-1</f>
        <v>-0.241247435304015</v>
      </c>
    </row>
    <row r="41" customFormat="false" ht="15" hidden="false" customHeight="false" outlineLevel="0" collapsed="false">
      <c r="A41" s="0" t="n">
        <v>100</v>
      </c>
      <c r="B41" s="0" t="n">
        <v>0</v>
      </c>
      <c r="C41" s="0" t="n">
        <v>1</v>
      </c>
      <c r="D41" s="0" t="s">
        <v>112</v>
      </c>
      <c r="E41" s="0" t="n">
        <f aca="false">(1-Supuestos!C$28)*((1+((1+Supuestos!C$26)/(1+Supuestos!$B$4)-1+Supuestos!$B$14*$A41/10000))*(1+Supuestos!$B$4+$B41/10000)-1)+Supuestos!C$28*((1+Supuestos!C$27+$A41/10000)*(1+Supuestos!$B$4+$B41/10000)-1)*(1-Supuestos!$B$6)</f>
        <v>0.11519065562777</v>
      </c>
      <c r="F41" s="0" t="n">
        <f aca="false">(1-Supuestos!D$28)*((1+((1+Supuestos!D$26)/(1+Supuestos!$B$4)-1+Supuestos!$B$14*$A41/10000))*(1+Supuestos!$B$4+$B41/10000)-1)+Supuestos!D$28*((1+Supuestos!D$27+$A41/10000)*(1+Supuestos!$B$4+$B41/10000)-1)*(1-Supuestos!$B$6)</f>
        <v>0.11488314617678</v>
      </c>
      <c r="G41" s="0" t="n">
        <f aca="false">(1-Supuestos!E$28)*((1+((1+Supuestos!E$26)/(1+Supuestos!$B$4)-1+Supuestos!$B$14*$A41/10000))*(1+Supuestos!$B$4+$B41/10000)-1)+Supuestos!E$28*((1+Supuestos!E$27+$A41/10000)*(1+Supuestos!$B$4+$B41/10000)-1)*(1-Supuestos!$B$6)</f>
        <v>0.114593130850897</v>
      </c>
      <c r="H41" s="0" t="n">
        <f aca="false">(1-Supuestos!F$28)*((1+((1+Supuestos!F$26)/(1+Supuestos!$B$4)-1+Supuestos!$B$14*$A41/10000))*(1+Supuestos!$B$4+$B41/10000)-1)+Supuestos!F$28*((1+Supuestos!F$27+$A41/10000)*(1+Supuestos!$B$4+$B41/10000)-1)*(1-Supuestos!$B$6)</f>
        <v>0.114319959478321</v>
      </c>
      <c r="I41" s="0" t="n">
        <f aca="false">(1-Supuestos!G$28)*((1+((1+Supuestos!G$26)/(1+Supuestos!$B$4)-1+Supuestos!$B$14*$A41/10000))*(1+Supuestos!$B$4+$B41/10000)-1)+Supuestos!G$28*((1+Supuestos!G$27+$A41/10000)*(1+Supuestos!$B$4+$B41/10000)-1)*(1-Supuestos!$B$6)</f>
        <v>0.11406301371131</v>
      </c>
      <c r="J41" s="0" t="n">
        <f aca="false">(1-Supuestos!H$28)*((1+((1+Supuestos!H$26)/(1+Supuestos!$B$4)-1+Supuestos!$B$14*$A41/10000))*(1+Supuestos!$B$4+$B41/10000)-1)+Supuestos!H$28*((1+Supuestos!H$27+$A41/10000)*(1+Supuestos!$B$4+$B41/10000)-1)*(1-Supuestos!$B$6)</f>
        <v>0.113821705102604</v>
      </c>
      <c r="K41" s="0" t="n">
        <f aca="false">(1-Supuestos!I$28)*((1+((1+Supuestos!I$26)/(1+Supuestos!$B$4)-1+Supuestos!$B$14*$A41/10000))*(1+Supuestos!$B$4+$B41/10000)-1)+Supuestos!I$28*((1+Supuestos!I$27+$A41/10000)*(1+Supuestos!$B$4+$B41/10000)-1)*(1-Supuestos!$B$6)</f>
        <v>0.113821705102604</v>
      </c>
      <c r="L41" s="0" t="n">
        <f aca="false">(1+E41)^-Supuestos!C$24</f>
        <v>0.946946491136157</v>
      </c>
      <c r="M41" s="0" t="n">
        <f aca="false">L41*(1+F41)^-Supuestos!D$24</f>
        <v>0.849368379442706</v>
      </c>
      <c r="N41" s="0" t="n">
        <f aca="false">M41*(1+G41)^-Supuestos!E$24</f>
        <v>0.762043436239631</v>
      </c>
      <c r="O41" s="0" t="n">
        <f aca="false">N41*(1+H41)^-Supuestos!F$24</f>
        <v>0.683864117983122</v>
      </c>
      <c r="P41" s="0" t="n">
        <f aca="false">O41*(1+I41)^-Supuestos!G$24</f>
        <v>0.613846891572987</v>
      </c>
      <c r="Q41" s="0" t="n">
        <f aca="false">P41*(1+J41)^-Supuestos!H$24</f>
        <v>0.551117731644887</v>
      </c>
      <c r="R41" s="0" t="n">
        <f aca="false">(1+E41)^-(Supuestos!C$24/2)</f>
        <v>0.973111756755696</v>
      </c>
      <c r="S41" s="0" t="n">
        <f aca="false">L41*(1+F41)^-(Supuestos!D$24/2)</f>
        <v>0.896831314459567</v>
      </c>
      <c r="T41" s="0" t="n">
        <f aca="false">M41*(1+G41)^-(Supuestos!E$24/2)</f>
        <v>0.804521968937957</v>
      </c>
      <c r="U41" s="0" t="n">
        <f aca="false">N41*(1+H41)^-(Supuestos!F$24/2)</f>
        <v>0.721896226883645</v>
      </c>
      <c r="V41" s="0" t="n">
        <f aca="false">O41*(1+I41)^-(Supuestos!G$24/2)</f>
        <v>0.647910381983683</v>
      </c>
      <c r="W41" s="0" t="n">
        <f aca="false">P41*(1+J41)^-(Supuestos!H$24/2)</f>
        <v>0.581637263645452</v>
      </c>
      <c r="X41" s="0" t="n">
        <f aca="false">Supuestos!C$23*(1-$C41+$C41*((1+Supuestos!$B$4+$B41/10000)/(1+Supuestos!$B$4))^Supuestos!C$25)</f>
        <v>113425.715768245</v>
      </c>
      <c r="Y41" s="0" t="n">
        <f aca="false">Supuestos!D$23*(1-$C41+$C41*((1+Supuestos!$B$4+$B41/10000)/(1+Supuestos!$B$4))^Supuestos!D$25)</f>
        <v>199440.442268561</v>
      </c>
      <c r="Z41" s="0" t="n">
        <f aca="false">Supuestos!E$23*(1-$C41+$C41*((1+Supuestos!$B$4+$B41/10000)/(1+Supuestos!$B$4))^Supuestos!E$25)</f>
        <v>259687.719258378</v>
      </c>
      <c r="AA41" s="0" t="n">
        <f aca="false">Supuestos!F$23*(1-$C41+$C41*((1+Supuestos!$B$4+$B41/10000)/(1+Supuestos!$B$4))^Supuestos!F$25)</f>
        <v>375320.615932717</v>
      </c>
      <c r="AB41" s="0" t="n">
        <f aca="false">Supuestos!G$23*(1-$C41+$C41*((1+Supuestos!$B$4+$B41/10000)/(1+Supuestos!$B$4))^Supuestos!G$25)</f>
        <v>377068.219372121</v>
      </c>
      <c r="AC41" s="0" t="n">
        <f aca="false">Supuestos!H$23*(1-$C41+$C41*((1+Supuestos!$B$4+$B41/10000)/(1+Supuestos!$B$4))^Supuestos!H$25)</f>
        <v>398715.503513791</v>
      </c>
      <c r="AD41" s="0" t="n">
        <f aca="false">Supuestos!I$23*(1-$C41+$C41*((1+Supuestos!$B$4+$B41/10000)/(1+Supuestos!$B$4))^Supuestos!I$25)</f>
        <v>528835.311960595</v>
      </c>
      <c r="AE41" s="0" t="n">
        <f aca="false">SUMPRODUCT(X41:AC41,R41:W41)</f>
        <v>1245321.55173293</v>
      </c>
      <c r="AF41" s="0" t="n">
        <f aca="false">(1+Supuestos!$B$5)/(1+Supuestos!$B$4)*(1+Supuestos!$B$4+$B41/10000)-1</f>
        <v>0.03</v>
      </c>
      <c r="AG41" s="0" t="n">
        <f aca="false">AD41/(K41-AF41)</f>
        <v>6309049.80175791</v>
      </c>
      <c r="AH41" s="0" t="n">
        <f aca="false">AG41*Q41</f>
        <v>3477029.21557944</v>
      </c>
      <c r="AI41" s="0" t="n">
        <f aca="false">(AE41+AH41-Supuestos!$B$7-Supuestos!$B$8)/Supuestos!$B$9</f>
        <v>1546.01359238008</v>
      </c>
      <c r="AJ41" s="0" t="n">
        <f aca="false">AI41/AI$5-1</f>
        <v>-0.167382807345096</v>
      </c>
    </row>
    <row r="42" customFormat="false" ht="15" hidden="false" customHeight="false" outlineLevel="0" collapsed="false">
      <c r="A42" s="0" t="n">
        <v>90</v>
      </c>
      <c r="B42" s="0" t="n">
        <v>10</v>
      </c>
      <c r="C42" s="0" t="n">
        <v>1</v>
      </c>
      <c r="D42" s="0" t="s">
        <v>112</v>
      </c>
      <c r="E42" s="0" t="n">
        <f aca="false">(1-Supuestos!C$28)*((1+((1+Supuestos!C$26)/(1+Supuestos!$B$4)-1+Supuestos!$B$14*$A42/10000))*(1+Supuestos!$B$4+$B42/10000)-1)+Supuestos!C$28*((1+Supuestos!C$27+$A42/10000)*(1+Supuestos!$B$4+$B42/10000)-1)*(1-Supuestos!$B$6)</f>
        <v>0.115245155071247</v>
      </c>
      <c r="F42" s="0" t="n">
        <f aca="false">(1-Supuestos!D$28)*((1+((1+Supuestos!D$26)/(1+Supuestos!$B$4)-1+Supuestos!$B$14*$A42/10000))*(1+Supuestos!$B$4+$B42/10000)-1)+Supuestos!D$28*((1+Supuestos!D$27+$A42/10000)*(1+Supuestos!$B$4+$B42/10000)-1)*(1-Supuestos!$B$6)</f>
        <v>0.114937517848329</v>
      </c>
      <c r="G42" s="0" t="n">
        <f aca="false">(1-Supuestos!E$28)*((1+((1+Supuestos!E$26)/(1+Supuestos!$B$4)-1+Supuestos!$B$14*$A42/10000))*(1+Supuestos!$B$4+$B42/10000)-1)+Supuestos!E$28*((1+Supuestos!E$27+$A42/10000)*(1+Supuestos!$B$4+$B42/10000)-1)*(1-Supuestos!$B$6)</f>
        <v>0.114647387450627</v>
      </c>
      <c r="H42" s="0" t="n">
        <f aca="false">(1-Supuestos!F$28)*((1+((1+Supuestos!F$26)/(1+Supuestos!$B$4)-1+Supuestos!$B$14*$A42/10000))*(1+Supuestos!$B$4+$B42/10000)-1)+Supuestos!F$28*((1+Supuestos!F$27+$A42/10000)*(1+Supuestos!$B$4+$B42/10000)-1)*(1-Supuestos!$B$6)</f>
        <v>0.114374113234341</v>
      </c>
      <c r="I42" s="0" t="n">
        <f aca="false">(1-Supuestos!G$28)*((1+((1+Supuestos!G$26)/(1+Supuestos!$B$4)-1+Supuestos!$B$14*$A42/10000))*(1+Supuestos!$B$4+$B42/10000)-1)+Supuestos!G$28*((1+Supuestos!G$27+$A42/10000)*(1+Supuestos!$B$4+$B42/10000)-1)*(1-Supuestos!$B$6)</f>
        <v>0.114117076402831</v>
      </c>
      <c r="J42" s="0" t="n">
        <f aca="false">(1-Supuestos!H$28)*((1+((1+Supuestos!H$26)/(1+Supuestos!$B$4)-1+Supuestos!$B$14*$A42/10000))*(1+Supuestos!$B$4+$B42/10000)-1)+Supuestos!H$28*((1+Supuestos!H$27+$A42/10000)*(1+Supuestos!$B$4+$B42/10000)-1)*(1-Supuestos!$B$6)</f>
        <v>0.113875688081644</v>
      </c>
      <c r="K42" s="0" t="n">
        <f aca="false">(1-Supuestos!I$28)*((1+((1+Supuestos!I$26)/(1+Supuestos!$B$4)-1+Supuestos!$B$14*$A42/10000))*(1+Supuestos!$B$4+$B42/10000)-1)+Supuestos!I$28*((1+Supuestos!I$27+$A42/10000)*(1+Supuestos!$B$4+$B42/10000)-1)*(1-Supuestos!$B$6)</f>
        <v>0.113875688081644</v>
      </c>
      <c r="L42" s="0" t="n">
        <f aca="false">(1+E42)^-Supuestos!C$24</f>
        <v>0.946923353314378</v>
      </c>
      <c r="M42" s="0" t="n">
        <f aca="false">L42*(1+F42)^-Supuestos!D$24</f>
        <v>0.849306206092881</v>
      </c>
      <c r="N42" s="0" t="n">
        <f aca="false">M42*(1+G42)^-Supuestos!E$24</f>
        <v>0.761950564505764</v>
      </c>
      <c r="O42" s="0" t="n">
        <f aca="false">N42*(1+H42)^-Supuestos!F$24</f>
        <v>0.683747545332233</v>
      </c>
      <c r="P42" s="0" t="n">
        <f aca="false">O42*(1+I42)^-Supuestos!G$24</f>
        <v>0.613712472247405</v>
      </c>
      <c r="Q42" s="0" t="n">
        <f aca="false">P42*(1+J42)^-Supuestos!H$24</f>
        <v>0.550970345087936</v>
      </c>
      <c r="R42" s="0" t="n">
        <f aca="false">(1+E42)^-(Supuestos!C$24/2)</f>
        <v>0.973099868109321</v>
      </c>
      <c r="S42" s="0" t="n">
        <f aca="false">L42*(1+F42)^-(Supuestos!D$24/2)</f>
        <v>0.896787533735936</v>
      </c>
      <c r="T42" s="0" t="n">
        <f aca="false">M42*(1+G42)^-(Supuestos!E$24/2)</f>
        <v>0.804443499054296</v>
      </c>
      <c r="U42" s="0" t="n">
        <f aca="false">N42*(1+H42)^-(Supuestos!F$24/2)</f>
        <v>0.721790709378643</v>
      </c>
      <c r="V42" s="0" t="n">
        <f aca="false">O42*(1+I42)^-(Supuestos!G$24/2)</f>
        <v>0.647784220585018</v>
      </c>
      <c r="W42" s="0" t="n">
        <f aca="false">P42*(1+J42)^-(Supuestos!H$24/2)</f>
        <v>0.581495806192034</v>
      </c>
      <c r="X42" s="0" t="n">
        <f aca="false">Supuestos!C$23*(1-$C42+$C42*((1+Supuestos!$B$4+$B42/10000)/(1+Supuestos!$B$4))^Supuestos!C$25)</f>
        <v>113453.236264209</v>
      </c>
      <c r="Y42" s="0" t="n">
        <f aca="false">Supuestos!D$23*(1-$C42+$C42*((1+Supuestos!$B$4+$B42/10000)/(1+Supuestos!$B$4))^Supuestos!D$25)</f>
        <v>199634.073765909</v>
      </c>
      <c r="Z42" s="0" t="n">
        <f aca="false">Supuestos!E$23*(1-$C42+$C42*((1+Supuestos!$B$4+$B42/10000)/(1+Supuestos!$B$4))^Supuestos!E$25)</f>
        <v>260192.21203752</v>
      </c>
      <c r="AA42" s="0" t="n">
        <f aca="false">Supuestos!F$23*(1-$C42+$C42*((1+Supuestos!$B$4+$B42/10000)/(1+Supuestos!$B$4))^Supuestos!F$25)</f>
        <v>376414.844445742</v>
      </c>
      <c r="AB42" s="0" t="n">
        <f aca="false">Supuestos!G$23*(1-$C42+$C42*((1+Supuestos!$B$4+$B42/10000)/(1+Supuestos!$B$4))^Supuestos!G$25)</f>
        <v>378534.695890009</v>
      </c>
      <c r="AC42" s="0" t="n">
        <f aca="false">Supuestos!H$23*(1-$C42+$C42*((1+Supuestos!$B$4+$B42/10000)/(1+Supuestos!$B$4))^Supuestos!H$25)</f>
        <v>400654.777593379</v>
      </c>
      <c r="AD42" s="0" t="n">
        <f aca="false">Supuestos!I$23*(1-$C42+$C42*((1+Supuestos!$B$4+$B42/10000)/(1+Supuestos!$B$4))^Supuestos!I$25)</f>
        <v>531923.39286711</v>
      </c>
      <c r="AE42" s="0" t="n">
        <f aca="false">SUMPRODUCT(X42:AC42,R42:W42)</f>
        <v>1248621.2248216</v>
      </c>
      <c r="AF42" s="0" t="n">
        <f aca="false">(1+Supuestos!$B$5)/(1+Supuestos!$B$4)*(1+Supuestos!$B$4+$B42/10000)-1</f>
        <v>0.0309999999999999</v>
      </c>
      <c r="AG42" s="0" t="n">
        <f aca="false">AD42/(K42-AF42)</f>
        <v>6418328.52528589</v>
      </c>
      <c r="AH42" s="0" t="n">
        <f aca="false">AG42*Q42</f>
        <v>3536308.68246451</v>
      </c>
      <c r="AI42" s="0" t="n">
        <f aca="false">(AE42+AH42-Supuestos!$B$7-Supuestos!$B$8)/Supuestos!$B$9</f>
        <v>1574.58854213978</v>
      </c>
      <c r="AJ42" s="0" t="n">
        <f aca="false">AI42/AI$5-1</f>
        <v>-0.151993554258035</v>
      </c>
    </row>
    <row r="43" customFormat="false" ht="15" hidden="false" customHeight="false" outlineLevel="0" collapsed="false">
      <c r="A43" s="0" t="n">
        <v>80</v>
      </c>
      <c r="B43" s="0" t="n">
        <v>20</v>
      </c>
      <c r="C43" s="0" t="n">
        <v>1</v>
      </c>
      <c r="D43" s="0" t="s">
        <v>112</v>
      </c>
      <c r="E43" s="0" t="n">
        <f aca="false">(1-Supuestos!C$28)*((1+((1+Supuestos!C$26)/(1+Supuestos!$B$4)-1+Supuestos!$B$14*$A43/10000))*(1+Supuestos!$B$4+$B43/10000)-1)+Supuestos!C$28*((1+Supuestos!C$27+$A43/10000)*(1+Supuestos!$B$4+$B43/10000)-1)*(1-Supuestos!$B$6)</f>
        <v>0.115297747321803</v>
      </c>
      <c r="F43" s="0" t="n">
        <f aca="false">(1-Supuestos!D$28)*((1+((1+Supuestos!D$26)/(1+Supuestos!$B$4)-1+Supuestos!$B$14*$A43/10000))*(1+Supuestos!$B$4+$B43/10000)-1)+Supuestos!D$28*((1+Supuestos!D$27+$A43/10000)*(1+Supuestos!$B$4+$B43/10000)-1)*(1-Supuestos!$B$6)</f>
        <v>0.114989988007703</v>
      </c>
      <c r="G43" s="0" t="n">
        <f aca="false">(1-Supuestos!E$28)*((1+((1+Supuestos!E$26)/(1+Supuestos!$B$4)-1+Supuestos!$B$14*$A43/10000))*(1+Supuestos!$B$4+$B43/10000)-1)+Supuestos!E$28*((1+Supuestos!E$27+$A43/10000)*(1+Supuestos!$B$4+$B43/10000)-1)*(1-Supuestos!$B$6)</f>
        <v>0.114699748076415</v>
      </c>
      <c r="H43" s="0" t="n">
        <f aca="false">(1-Supuestos!F$28)*((1+((1+Supuestos!F$26)/(1+Supuestos!$B$4)-1+Supuestos!$B$14*$A43/10000))*(1+Supuestos!$B$4+$B43/10000)-1)+Supuestos!F$28*((1+Supuestos!F$27+$A43/10000)*(1+Supuestos!$B$4+$B43/10000)-1)*(1-Supuestos!$B$6)</f>
        <v>0.114426376417432</v>
      </c>
      <c r="I43" s="0" t="n">
        <f aca="false">(1-Supuestos!G$28)*((1+((1+Supuestos!G$26)/(1+Supuestos!$B$4)-1+Supuestos!$B$14*$A43/10000))*(1+Supuestos!$B$4+$B43/10000)-1)+Supuestos!G$28*((1+Supuestos!G$27+$A43/10000)*(1+Supuestos!$B$4+$B43/10000)-1)*(1-Supuestos!$B$6)</f>
        <v>0.114169253790252</v>
      </c>
      <c r="J43" s="0" t="n">
        <f aca="false">(1-Supuestos!H$28)*((1+((1+Supuestos!H$26)/(1+Supuestos!$B$4)-1+Supuestos!$B$14*$A43/10000))*(1+Supuestos!$B$4+$B43/10000)-1)+Supuestos!H$28*((1+Supuestos!H$27+$A43/10000)*(1+Supuestos!$B$4+$B43/10000)-1)*(1-Supuestos!$B$6)</f>
        <v>0.113927790898026</v>
      </c>
      <c r="K43" s="0" t="n">
        <f aca="false">(1-Supuestos!I$28)*((1+((1+Supuestos!I$26)/(1+Supuestos!$B$4)-1+Supuestos!$B$14*$A43/10000))*(1+Supuestos!$B$4+$B43/10000)-1)+Supuestos!I$28*((1+Supuestos!I$27+$A43/10000)*(1+Supuestos!$B$4+$B43/10000)-1)*(1-Supuestos!$B$6)</f>
        <v>0.113927790898026</v>
      </c>
      <c r="L43" s="0" t="n">
        <f aca="false">(1+E43)^-Supuestos!C$24</f>
        <v>0.946901026802251</v>
      </c>
      <c r="M43" s="0" t="n">
        <f aca="false">L43*(1+F43)^-Supuestos!D$24</f>
        <v>0.849246214752296</v>
      </c>
      <c r="N43" s="0" t="n">
        <f aca="false">M43*(1+G43)^-Supuestos!E$24</f>
        <v>0.761860955129667</v>
      </c>
      <c r="O43" s="0" t="n">
        <f aca="false">N43*(1+H43)^-Supuestos!F$24</f>
        <v>0.683635071146499</v>
      </c>
      <c r="P43" s="0" t="n">
        <f aca="false">O43*(1+I43)^-Supuestos!G$24</f>
        <v>0.613582782706367</v>
      </c>
      <c r="Q43" s="0" t="n">
        <f aca="false">P43*(1+J43)^-Supuestos!H$24</f>
        <v>0.550828148574791</v>
      </c>
      <c r="R43" s="0" t="n">
        <f aca="false">(1+E43)^-(Supuestos!C$24/2)</f>
        <v>0.973088396191348</v>
      </c>
      <c r="S43" s="0" t="n">
        <f aca="false">L43*(1+F43)^-(Supuestos!D$24/2)</f>
        <v>0.896745288672806</v>
      </c>
      <c r="T43" s="0" t="n">
        <f aca="false">M43*(1+G43)^-(Supuestos!E$24/2)</f>
        <v>0.804367784232709</v>
      </c>
      <c r="U43" s="0" t="n">
        <f aca="false">N43*(1+H43)^-(Supuestos!F$24/2)</f>
        <v>0.721688899917277</v>
      </c>
      <c r="V43" s="0" t="n">
        <f aca="false">O43*(1+I43)^-(Supuestos!G$24/2)</f>
        <v>0.647662496451458</v>
      </c>
      <c r="W43" s="0" t="n">
        <f aca="false">P43*(1+J43)^-(Supuestos!H$24/2)</f>
        <v>0.581359327950895</v>
      </c>
      <c r="X43" s="0" t="n">
        <f aca="false">Supuestos!C$23*(1-$C43+$C43*((1+Supuestos!$B$4+$B43/10000)/(1+Supuestos!$B$4))^Supuestos!C$25)</f>
        <v>113480.736747688</v>
      </c>
      <c r="Y43" s="0" t="n">
        <f aca="false">Supuestos!D$23*(1-$C43+$C43*((1+Supuestos!$B$4+$B43/10000)/(1+Supuestos!$B$4))^Supuestos!D$25)</f>
        <v>199827.705263257</v>
      </c>
      <c r="Z43" s="0" t="n">
        <f aca="false">Supuestos!E$23*(1-$C43+$C43*((1+Supuestos!$B$4+$B43/10000)/(1+Supuestos!$B$4))^Supuestos!E$25)</f>
        <v>260697.194377825</v>
      </c>
      <c r="AA43" s="0" t="n">
        <f aca="false">Supuestos!F$23*(1-$C43+$C43*((1+Supuestos!$B$4+$B43/10000)/(1+Supuestos!$B$4))^Supuestos!F$25)</f>
        <v>377511.197673661</v>
      </c>
      <c r="AB43" s="0" t="n">
        <f aca="false">Supuestos!G$23*(1-$C43+$C43*((1+Supuestos!$B$4+$B43/10000)/(1+Supuestos!$B$4))^Supuestos!G$25)</f>
        <v>380005.44576982</v>
      </c>
      <c r="AC43" s="0" t="n">
        <f aca="false">Supuestos!H$23*(1-$C43+$C43*((1+Supuestos!$B$4+$B43/10000)/(1+Supuestos!$B$4))^Supuestos!H$25)</f>
        <v>402601.590142696</v>
      </c>
      <c r="AD43" s="0" t="n">
        <f aca="false">Supuestos!I$23*(1-$C43+$C43*((1+Supuestos!$B$4+$B43/10000)/(1+Supuestos!$B$4))^Supuestos!I$25)</f>
        <v>535026.486287538</v>
      </c>
      <c r="AE43" s="0" t="n">
        <f aca="false">SUMPRODUCT(X43:AC43,R43:W43)</f>
        <v>1251934.87246423</v>
      </c>
      <c r="AF43" s="0" t="n">
        <f aca="false">(1+Supuestos!$B$5)/(1+Supuestos!$B$4)*(1+Supuestos!$B$4+$B43/10000)-1</f>
        <v>0.032</v>
      </c>
      <c r="AG43" s="0" t="n">
        <f aca="false">AD43/(K43-AF43)</f>
        <v>6530463.96617084</v>
      </c>
      <c r="AH43" s="0" t="n">
        <f aca="false">AG43*Q43</f>
        <v>3597163.37582027</v>
      </c>
      <c r="AI43" s="0" t="n">
        <f aca="false">(AE43+AH43-Supuestos!$B$7-Supuestos!$B$8)/Supuestos!$B$9</f>
        <v>1603.88915446781</v>
      </c>
      <c r="AJ43" s="0" t="n">
        <f aca="false">AI43/AI$5-1</f>
        <v>-0.136213490162946</v>
      </c>
    </row>
    <row r="44" customFormat="false" ht="15" hidden="false" customHeight="false" outlineLevel="0" collapsed="false">
      <c r="A44" s="0" t="n">
        <v>70</v>
      </c>
      <c r="B44" s="0" t="n">
        <v>30</v>
      </c>
      <c r="C44" s="0" t="n">
        <v>1</v>
      </c>
      <c r="D44" s="0" t="s">
        <v>112</v>
      </c>
      <c r="E44" s="0" t="n">
        <f aca="false">(1-Supuestos!C$28)*((1+((1+Supuestos!C$26)/(1+Supuestos!$B$4)-1+Supuestos!$B$14*$A44/10000))*(1+Supuestos!$B$4+$B44/10000)-1)+Supuestos!C$28*((1+Supuestos!C$27+$A44/10000)*(1+Supuestos!$B$4+$B44/10000)-1)*(1-Supuestos!$B$6)</f>
        <v>0.115348432379435</v>
      </c>
      <c r="F44" s="0" t="n">
        <f aca="false">(1-Supuestos!D$28)*((1+((1+Supuestos!D$26)/(1+Supuestos!$B$4)-1+Supuestos!$B$14*$A44/10000))*(1+Supuestos!$B$4+$B44/10000)-1)+Supuestos!D$28*((1+Supuestos!D$27+$A44/10000)*(1+Supuestos!$B$4+$B44/10000)-1)*(1-Supuestos!$B$6)</f>
        <v>0.115040556654903</v>
      </c>
      <c r="G44" s="0" t="n">
        <f aca="false">(1-Supuestos!E$28)*((1+((1+Supuestos!E$26)/(1+Supuestos!$B$4)-1+Supuestos!$B$14*$A44/10000))*(1+Supuestos!$B$4+$B44/10000)-1)+Supuestos!E$28*((1+Supuestos!E$27+$A44/10000)*(1+Supuestos!$B$4+$B44/10000)-1)*(1-Supuestos!$B$6)</f>
        <v>0.114750212728261</v>
      </c>
      <c r="H44" s="0" t="n">
        <f aca="false">(1-Supuestos!F$28)*((1+((1+Supuestos!F$26)/(1+Supuestos!$B$4)-1+Supuestos!$B$14*$A44/10000))*(1+Supuestos!$B$4+$B44/10000)-1)+Supuestos!F$28*((1+Supuestos!F$27+$A44/10000)*(1+Supuestos!$B$4+$B44/10000)-1)*(1-Supuestos!$B$6)</f>
        <v>0.114476749027592</v>
      </c>
      <c r="I44" s="0" t="n">
        <f aca="false">(1-Supuestos!G$28)*((1+((1+Supuestos!G$26)/(1+Supuestos!$B$4)-1+Supuestos!$B$14*$A44/10000))*(1+Supuestos!$B$4+$B44/10000)-1)+Supuestos!G$28*((1+Supuestos!G$27+$A44/10000)*(1+Supuestos!$B$4+$B44/10000)-1)*(1-Supuestos!$B$6)</f>
        <v>0.114219545873573</v>
      </c>
      <c r="J44" s="0" t="n">
        <f aca="false">(1-Supuestos!H$28)*((1+((1+Supuestos!H$26)/(1+Supuestos!$B$4)-1+Supuestos!$B$14*$A44/10000))*(1+Supuestos!$B$4+$B44/10000)-1)+Supuestos!H$28*((1+Supuestos!H$27+$A44/10000)*(1+Supuestos!$B$4+$B44/10000)-1)*(1-Supuestos!$B$6)</f>
        <v>0.113978013551751</v>
      </c>
      <c r="K44" s="0" t="n">
        <f aca="false">(1-Supuestos!I$28)*((1+((1+Supuestos!I$26)/(1+Supuestos!$B$4)-1+Supuestos!$B$14*$A44/10000))*(1+Supuestos!$B$4+$B44/10000)-1)+Supuestos!I$28*((1+Supuestos!I$27+$A44/10000)*(1+Supuestos!$B$4+$B44/10000)-1)*(1-Supuestos!$B$6)</f>
        <v>0.113978013551751</v>
      </c>
      <c r="L44" s="0" t="n">
        <f aca="false">(1+E44)^-Supuestos!C$24</f>
        <v>0.94687951142778</v>
      </c>
      <c r="M44" s="0" t="n">
        <f aca="false">L44*(1+F44)^-Supuestos!D$24</f>
        <v>0.849188404651753</v>
      </c>
      <c r="N44" s="0" t="n">
        <f aca="false">M44*(1+G44)^-Supuestos!E$24</f>
        <v>0.761774606504387</v>
      </c>
      <c r="O44" s="0" t="n">
        <f aca="false">N44*(1+H44)^-Supuestos!F$24</f>
        <v>0.683526692835049</v>
      </c>
      <c r="P44" s="0" t="n">
        <f aca="false">O44*(1+I44)^-Supuestos!G$24</f>
        <v>0.613457819301805</v>
      </c>
      <c r="Q44" s="0" t="n">
        <f aca="false">P44*(1+J44)^-Supuestos!H$24</f>
        <v>0.550691137382404</v>
      </c>
      <c r="R44" s="0" t="n">
        <f aca="false">(1+E44)^-(Supuestos!C$24/2)</f>
        <v>0.97307734092814</v>
      </c>
      <c r="S44" s="0" t="n">
        <f aca="false">L44*(1+F44)^-(Supuestos!D$24/2)</f>
        <v>0.896704578836747</v>
      </c>
      <c r="T44" s="0" t="n">
        <f aca="false">M44*(1+G44)^-(Supuestos!E$24/2)</f>
        <v>0.804294823309014</v>
      </c>
      <c r="U44" s="0" t="n">
        <f aca="false">N44*(1+H44)^-(Supuestos!F$24/2)</f>
        <v>0.72159079641419</v>
      </c>
      <c r="V44" s="0" t="n">
        <f aca="false">O44*(1+I44)^-(Supuestos!G$24/2)</f>
        <v>0.647545206469142</v>
      </c>
      <c r="W44" s="0" t="n">
        <f aca="false">P44*(1+J44)^-(Supuestos!H$24/2)</f>
        <v>0.581227824736084</v>
      </c>
      <c r="X44" s="0" t="n">
        <f aca="false">Supuestos!C$23*(1-$C44+$C44*((1+Supuestos!$B$4+$B44/10000)/(1+Supuestos!$B$4))^Supuestos!C$25)</f>
        <v>113508.217252608</v>
      </c>
      <c r="Y44" s="0" t="n">
        <f aca="false">Supuestos!D$23*(1-$C44+$C44*((1+Supuestos!$B$4+$B44/10000)/(1+Supuestos!$B$4))^Supuestos!D$25)</f>
        <v>200021.336760605</v>
      </c>
      <c r="Z44" s="0" t="n">
        <f aca="false">Supuestos!E$23*(1-$C44+$C44*((1+Supuestos!$B$4+$B44/10000)/(1+Supuestos!$B$4))^Supuestos!E$25)</f>
        <v>261202.666279294</v>
      </c>
      <c r="AA44" s="0" t="n">
        <f aca="false">Supuestos!F$23*(1-$C44+$C44*((1+Supuestos!$B$4+$B44/10000)/(1+Supuestos!$B$4))^Supuestos!F$25)</f>
        <v>378609.6776773</v>
      </c>
      <c r="AB44" s="0" t="n">
        <f aca="false">Supuestos!G$23*(1-$C44+$C44*((1+Supuestos!$B$4+$B44/10000)/(1+Supuestos!$B$4))^Supuestos!G$25)</f>
        <v>381480.477305314</v>
      </c>
      <c r="AC44" s="0" t="n">
        <f aca="false">Supuestos!H$23*(1-$C44+$C44*((1+Supuestos!$B$4+$B44/10000)/(1+Supuestos!$B$4))^Supuestos!H$25)</f>
        <v>404555.963118428</v>
      </c>
      <c r="AD44" s="0" t="n">
        <f aca="false">Supuestos!I$23*(1-$C44+$C44*((1+Supuestos!$B$4+$B44/10000)/(1+Supuestos!$B$4))^Supuestos!I$25)</f>
        <v>538144.650551117</v>
      </c>
      <c r="AE44" s="0" t="n">
        <f aca="false">SUMPRODUCT(X44:AC44,R44:W44)</f>
        <v>1255262.57079213</v>
      </c>
      <c r="AF44" s="0" t="n">
        <f aca="false">(1+Supuestos!$B$5)/(1+Supuestos!$B$4)*(1+Supuestos!$B$4+$B44/10000)-1</f>
        <v>0.0329999999999999</v>
      </c>
      <c r="AG44" s="0" t="n">
        <f aca="false">AD44/(K44-AF44)</f>
        <v>6645564.97433967</v>
      </c>
      <c r="AH44" s="0" t="n">
        <f aca="false">AG44*Q44</f>
        <v>3659653.73426778</v>
      </c>
      <c r="AI44" s="0" t="n">
        <f aca="false">(AE44+AH44-Supuestos!$B$7-Supuestos!$B$8)/Supuestos!$B$9</f>
        <v>1633.94306167119</v>
      </c>
      <c r="AJ44" s="0" t="n">
        <f aca="false">AI44/AI$5-1</f>
        <v>-0.120027733474049</v>
      </c>
    </row>
    <row r="45" customFormat="false" ht="15" hidden="false" customHeight="false" outlineLevel="0" collapsed="false">
      <c r="A45" s="0" t="n">
        <v>60</v>
      </c>
      <c r="B45" s="0" t="n">
        <v>40</v>
      </c>
      <c r="C45" s="0" t="n">
        <v>1</v>
      </c>
      <c r="D45" s="0" t="s">
        <v>112</v>
      </c>
      <c r="E45" s="0" t="n">
        <f aca="false">(1-Supuestos!C$28)*((1+((1+Supuestos!C$26)/(1+Supuestos!$B$4)-1+Supuestos!$B$14*$A45/10000))*(1+Supuestos!$B$4+$B45/10000)-1)+Supuestos!C$28*((1+Supuestos!C$27+$A45/10000)*(1+Supuestos!$B$4+$B45/10000)-1)*(1-Supuestos!$B$6)</f>
        <v>0.115397210244146</v>
      </c>
      <c r="F45" s="0" t="n">
        <f aca="false">(1-Supuestos!D$28)*((1+((1+Supuestos!D$26)/(1+Supuestos!$B$4)-1+Supuestos!$B$14*$A45/10000))*(1+Supuestos!$B$4+$B45/10000)-1)+Supuestos!D$28*((1+Supuestos!D$27+$A45/10000)*(1+Supuestos!$B$4+$B45/10000)-1)*(1-Supuestos!$B$6)</f>
        <v>0.115089223789929</v>
      </c>
      <c r="G45" s="0" t="n">
        <f aca="false">(1-Supuestos!E$28)*((1+((1+Supuestos!E$26)/(1+Supuestos!$B$4)-1+Supuestos!$B$14*$A45/10000))*(1+Supuestos!$B$4+$B45/10000)-1)+Supuestos!E$28*((1+Supuestos!E$27+$A45/10000)*(1+Supuestos!$B$4+$B45/10000)-1)*(1-Supuestos!$B$6)</f>
        <v>0.114798781406164</v>
      </c>
      <c r="H45" s="0" t="n">
        <f aca="false">(1-Supuestos!F$28)*((1+((1+Supuestos!F$26)/(1+Supuestos!$B$4)-1+Supuestos!$B$14*$A45/10000))*(1+Supuestos!$B$4+$B45/10000)-1)+Supuestos!F$28*((1+Supuestos!F$27+$A45/10000)*(1+Supuestos!$B$4+$B45/10000)-1)*(1-Supuestos!$B$6)</f>
        <v>0.114525231064822</v>
      </c>
      <c r="I45" s="0" t="n">
        <f aca="false">(1-Supuestos!G$28)*((1+((1+Supuestos!G$26)/(1+Supuestos!$B$4)-1+Supuestos!$B$14*$A45/10000))*(1+Supuestos!$B$4+$B45/10000)-1)+Supuestos!G$28*((1+Supuestos!G$27+$A45/10000)*(1+Supuestos!$B$4+$B45/10000)-1)*(1-Supuestos!$B$6)</f>
        <v>0.114267952652795</v>
      </c>
      <c r="J45" s="0" t="n">
        <f aca="false">(1-Supuestos!H$28)*((1+((1+Supuestos!H$26)/(1+Supuestos!$B$4)-1+Supuestos!$B$14*$A45/10000))*(1+Supuestos!$B$4+$B45/10000)-1)+Supuestos!H$28*((1+Supuestos!H$27+$A45/10000)*(1+Supuestos!$B$4+$B45/10000)-1)*(1-Supuestos!$B$6)</f>
        <v>0.114026356042818</v>
      </c>
      <c r="K45" s="0" t="n">
        <f aca="false">(1-Supuestos!I$28)*((1+((1+Supuestos!I$26)/(1+Supuestos!$B$4)-1+Supuestos!$B$14*$A45/10000))*(1+Supuestos!$B$4+$B45/10000)-1)+Supuestos!I$28*((1+Supuestos!I$27+$A45/10000)*(1+Supuestos!$B$4+$B45/10000)-1)*(1-Supuestos!$B$6)</f>
        <v>0.114026356042818</v>
      </c>
      <c r="L45" s="0" t="n">
        <f aca="false">(1+E45)^-Supuestos!C$24</f>
        <v>0.946858807025238</v>
      </c>
      <c r="M45" s="0" t="n">
        <f aca="false">L45*(1+F45)^-Supuestos!D$24</f>
        <v>0.84913277505013</v>
      </c>
      <c r="N45" s="0" t="n">
        <f aca="false">M45*(1+G45)^-Supuestos!E$24</f>
        <v>0.761691517081735</v>
      </c>
      <c r="O45" s="0" t="n">
        <f aca="false">N45*(1+H45)^-Supuestos!F$24</f>
        <v>0.683422407901893</v>
      </c>
      <c r="P45" s="0" t="n">
        <f aca="false">O45*(1+I45)^-Supuestos!G$24</f>
        <v>0.613337578519452</v>
      </c>
      <c r="Q45" s="0" t="n">
        <f aca="false">P45*(1+J45)^-Supuestos!H$24</f>
        <v>0.550559306961207</v>
      </c>
      <c r="R45" s="0" t="n">
        <f aca="false">(1+E45)^-(Supuestos!C$24/2)</f>
        <v>0.97306670224874</v>
      </c>
      <c r="S45" s="0" t="n">
        <f aca="false">L45*(1+F45)^-(Supuestos!D$24/2)</f>
        <v>0.896665403810137</v>
      </c>
      <c r="T45" s="0" t="n">
        <f aca="false">M45*(1+G45)^-(Supuestos!E$24/2)</f>
        <v>0.804224615161559</v>
      </c>
      <c r="U45" s="0" t="n">
        <f aca="false">N45*(1+H45)^-(Supuestos!F$24/2)</f>
        <v>0.721496396860335</v>
      </c>
      <c r="V45" s="0" t="n">
        <f aca="false">O45*(1+I45)^-(Supuestos!G$24/2)</f>
        <v>0.647432347638331</v>
      </c>
      <c r="W45" s="0" t="n">
        <f aca="false">P45*(1+J45)^-(Supuestos!H$24/2)</f>
        <v>0.581101292515285</v>
      </c>
      <c r="X45" s="0" t="n">
        <f aca="false">Supuestos!C$23*(1-$C45+$C45*((1+Supuestos!$B$4+$B45/10000)/(1+Supuestos!$B$4))^Supuestos!C$25)</f>
        <v>113535.6778128</v>
      </c>
      <c r="Y45" s="0" t="n">
        <f aca="false">Supuestos!D$23*(1-$C45+$C45*((1+Supuestos!$B$4+$B45/10000)/(1+Supuestos!$B$4))^Supuestos!D$25)</f>
        <v>200214.968257953</v>
      </c>
      <c r="Z45" s="0" t="n">
        <f aca="false">Supuestos!E$23*(1-$C45+$C45*((1+Supuestos!$B$4+$B45/10000)/(1+Supuestos!$B$4))^Supuestos!E$25)</f>
        <v>261708.627741927</v>
      </c>
      <c r="AA45" s="0" t="n">
        <f aca="false">Supuestos!F$23*(1-$C45+$C45*((1+Supuestos!$B$4+$B45/10000)/(1+Supuestos!$B$4))^Supuestos!F$25)</f>
        <v>379710.28651749</v>
      </c>
      <c r="AB45" s="0" t="n">
        <f aca="false">Supuestos!G$23*(1-$C45+$C45*((1+Supuestos!$B$4+$B45/10000)/(1+Supuestos!$B$4))^Supuestos!G$25)</f>
        <v>382959.798798294</v>
      </c>
      <c r="AC45" s="0" t="n">
        <f aca="false">Supuestos!H$23*(1-$C45+$C45*((1+Supuestos!$B$4+$B45/10000)/(1+Supuestos!$B$4))^Supuestos!H$25)</f>
        <v>406517.918519856</v>
      </c>
      <c r="AD45" s="0" t="n">
        <f aca="false">Supuestos!I$23*(1-$C45+$C45*((1+Supuestos!$B$4+$B45/10000)/(1+Supuestos!$B$4))^Supuestos!I$25)</f>
        <v>541277.944156904</v>
      </c>
      <c r="AE45" s="0" t="n">
        <f aca="false">SUMPRODUCT(X45:AC45,R45:W45)</f>
        <v>1258604.39643171</v>
      </c>
      <c r="AF45" s="0" t="n">
        <f aca="false">(1+Supuestos!$B$5)/(1+Supuestos!$B$4)*(1+Supuestos!$B$4+$B45/10000)-1</f>
        <v>0.034</v>
      </c>
      <c r="AG45" s="0" t="n">
        <f aca="false">AD45/(K45-AF45)</f>
        <v>6763745.98222737</v>
      </c>
      <c r="AH45" s="0" t="n">
        <f aca="false">AG45*Q45</f>
        <v>3723843.30043675</v>
      </c>
      <c r="AI45" s="0" t="n">
        <f aca="false">(AE45+AH45-Supuestos!$B$7-Supuestos!$B$8)/Supuestos!$B$9</f>
        <v>1664.77931363856</v>
      </c>
      <c r="AJ45" s="0" t="n">
        <f aca="false">AI45/AI$5-1</f>
        <v>-0.103420639156367</v>
      </c>
    </row>
    <row r="46" customFormat="false" ht="15" hidden="false" customHeight="false" outlineLevel="0" collapsed="false">
      <c r="A46" s="0" t="n">
        <v>50</v>
      </c>
      <c r="B46" s="0" t="n">
        <v>50</v>
      </c>
      <c r="C46" s="0" t="n">
        <v>1</v>
      </c>
      <c r="D46" s="0" t="s">
        <v>112</v>
      </c>
      <c r="E46" s="0" t="n">
        <f aca="false">(1-Supuestos!C$28)*((1+((1+Supuestos!C$26)/(1+Supuestos!$B$4)-1+Supuestos!$B$14*$A46/10000))*(1+Supuestos!$B$4+$B46/10000)-1)+Supuestos!C$28*((1+Supuestos!C$27+$A46/10000)*(1+Supuestos!$B$4+$B46/10000)-1)*(1-Supuestos!$B$6)</f>
        <v>0.115444080915933</v>
      </c>
      <c r="F46" s="0" t="n">
        <f aca="false">(1-Supuestos!D$28)*((1+((1+Supuestos!D$26)/(1+Supuestos!$B$4)-1+Supuestos!$B$14*$A46/10000))*(1+Supuestos!$B$4+$B46/10000)-1)+Supuestos!D$28*((1+Supuestos!D$27+$A46/10000)*(1+Supuestos!$B$4+$B46/10000)-1)*(1-Supuestos!$B$6)</f>
        <v>0.11513598941278</v>
      </c>
      <c r="G46" s="0" t="n">
        <f aca="false">(1-Supuestos!E$28)*((1+((1+Supuestos!E$26)/(1+Supuestos!$B$4)-1+Supuestos!$B$14*$A46/10000))*(1+Supuestos!$B$4+$B46/10000)-1)+Supuestos!E$28*((1+Supuestos!E$27+$A46/10000)*(1+Supuestos!$B$4+$B46/10000)-1)*(1-Supuestos!$B$6)</f>
        <v>0.114845454110124</v>
      </c>
      <c r="H46" s="0" t="n">
        <f aca="false">(1-Supuestos!F$28)*((1+((1+Supuestos!F$26)/(1+Supuestos!$B$4)-1+Supuestos!$B$14*$A46/10000))*(1+Supuestos!$B$4+$B46/10000)-1)+Supuestos!F$28*((1+Supuestos!F$27+$A46/10000)*(1+Supuestos!$B$4+$B46/10000)-1)*(1-Supuestos!$B$6)</f>
        <v>0.114571822529123</v>
      </c>
      <c r="I46" s="0" t="n">
        <f aca="false">(1-Supuestos!G$28)*((1+((1+Supuestos!G$26)/(1+Supuestos!$B$4)-1+Supuestos!$B$14*$A46/10000))*(1+Supuestos!$B$4+$B46/10000)-1)+Supuestos!G$28*((1+Supuestos!G$27+$A46/10000)*(1+Supuestos!$B$4+$B46/10000)-1)*(1-Supuestos!$B$6)</f>
        <v>0.114314474127918</v>
      </c>
      <c r="J46" s="0" t="n">
        <f aca="false">(1-Supuestos!H$28)*((1+((1+Supuestos!H$26)/(1+Supuestos!$B$4)-1+Supuestos!$B$14*$A46/10000))*(1+Supuestos!$B$4+$B46/10000)-1)+Supuestos!H$28*((1+Supuestos!H$27+$A46/10000)*(1+Supuestos!$B$4+$B46/10000)-1)*(1-Supuestos!$B$6)</f>
        <v>0.114072818371227</v>
      </c>
      <c r="K46" s="0" t="n">
        <f aca="false">(1-Supuestos!I$28)*((1+((1+Supuestos!I$26)/(1+Supuestos!$B$4)-1+Supuestos!$B$14*$A46/10000))*(1+Supuestos!$B$4+$B46/10000)-1)+Supuestos!I$28*((1+Supuestos!I$27+$A46/10000)*(1+Supuestos!$B$4+$B46/10000)-1)*(1-Supuestos!$B$6)</f>
        <v>0.114072818371227</v>
      </c>
      <c r="L46" s="0" t="n">
        <f aca="false">(1+E46)^-Supuestos!C$24</f>
        <v>0.946838913435165</v>
      </c>
      <c r="M46" s="0" t="n">
        <f aca="false">L46*(1+F46)^-Supuestos!D$24</f>
        <v>0.84907932523437</v>
      </c>
      <c r="N46" s="0" t="n">
        <f aca="false">M46*(1+G46)^-Supuestos!E$24</f>
        <v>0.76161168537222</v>
      </c>
      <c r="O46" s="0" t="n">
        <f aca="false">N46*(1+H46)^-Supuestos!F$24</f>
        <v>0.683322213945814</v>
      </c>
      <c r="P46" s="0" t="n">
        <f aca="false">O46*(1+I46)^-Supuestos!G$24</f>
        <v>0.613222056978658</v>
      </c>
      <c r="Q46" s="0" t="n">
        <f aca="false">P46*(1+J46)^-Supuestos!H$24</f>
        <v>0.550432652934831</v>
      </c>
      <c r="R46" s="0" t="n">
        <f aca="false">(1+E46)^-(Supuestos!C$24/2)</f>
        <v>0.973056480084874</v>
      </c>
      <c r="S46" s="0" t="n">
        <f aca="false">L46*(1+F46)^-(Supuestos!D$24/2)</f>
        <v>0.896627763191155</v>
      </c>
      <c r="T46" s="0" t="n">
        <f aca="false">M46*(1+G46)^-(Supuestos!E$24/2)</f>
        <v>0.804157158711191</v>
      </c>
      <c r="U46" s="0" t="n">
        <f aca="false">N46*(1+H46)^-(Supuestos!F$24/2)</f>
        <v>0.72140569932289</v>
      </c>
      <c r="V46" s="0" t="n">
        <f aca="false">O46*(1+I46)^-(Supuestos!G$24/2)</f>
        <v>0.647323917073255</v>
      </c>
      <c r="W46" s="0" t="n">
        <f aca="false">P46*(1+J46)^-(Supuestos!H$24/2)</f>
        <v>0.580979727409586</v>
      </c>
      <c r="X46" s="0" t="n">
        <f aca="false">Supuestos!C$23*(1-$C46+$C46*((1+Supuestos!$B$4+$B46/10000)/(1+Supuestos!$B$4))^Supuestos!C$25)</f>
        <v>113563.118462009</v>
      </c>
      <c r="Y46" s="0" t="n">
        <f aca="false">Supuestos!D$23*(1-$C46+$C46*((1+Supuestos!$B$4+$B46/10000)/(1+Supuestos!$B$4))^Supuestos!D$25)</f>
        <v>200408.599755302</v>
      </c>
      <c r="Z46" s="0" t="n">
        <f aca="false">Supuestos!E$23*(1-$C46+$C46*((1+Supuestos!$B$4+$B46/10000)/(1+Supuestos!$B$4))^Supuestos!E$25)</f>
        <v>262215.078765723</v>
      </c>
      <c r="AA46" s="0" t="n">
        <f aca="false">Supuestos!F$23*(1-$C46+$C46*((1+Supuestos!$B$4+$B46/10000)/(1+Supuestos!$B$4))^Supuestos!F$25)</f>
        <v>380813.02625506</v>
      </c>
      <c r="AB46" s="0" t="n">
        <f aca="false">Supuestos!G$23*(1-$C46+$C46*((1+Supuestos!$B$4+$B46/10000)/(1+Supuestos!$B$4))^Supuestos!G$25)</f>
        <v>384443.4185586</v>
      </c>
      <c r="AC46" s="0" t="n">
        <f aca="false">Supuestos!H$23*(1-$C46+$C46*((1+Supuestos!$B$4+$B46/10000)/(1+Supuestos!$B$4))^Supuestos!H$25)</f>
        <v>408487.478388896</v>
      </c>
      <c r="AD46" s="0" t="n">
        <f aca="false">Supuestos!I$23*(1-$C46+$C46*((1+Supuestos!$B$4+$B46/10000)/(1+Supuestos!$B$4))^Supuestos!I$25)</f>
        <v>544426.425774088</v>
      </c>
      <c r="AE46" s="0" t="n">
        <f aca="false">SUMPRODUCT(X46:AC46,R46:W46)</f>
        <v>1261960.42650824</v>
      </c>
      <c r="AF46" s="0" t="n">
        <f aca="false">(1+Supuestos!$B$5)/(1+Supuestos!$B$4)*(1+Supuestos!$B$4+$B46/10000)-1</f>
        <v>0.0349999999999999</v>
      </c>
      <c r="AG46" s="0" t="n">
        <f aca="false">AD46/(K46-AF46)</f>
        <v>6885127.36725968</v>
      </c>
      <c r="AH46" s="0" t="n">
        <f aca="false">AG46*Q46</f>
        <v>3789798.92255495</v>
      </c>
      <c r="AI46" s="0" t="n">
        <f aca="false">(AE46+AH46-Supuestos!$B$7-Supuestos!$B$8)/Supuestos!$B$9</f>
        <v>1696.42846989187</v>
      </c>
      <c r="AJ46" s="0" t="n">
        <f aca="false">AI46/AI$5-1</f>
        <v>-0.0863757491506102</v>
      </c>
    </row>
    <row r="47" customFormat="false" ht="15" hidden="false" customHeight="false" outlineLevel="0" collapsed="false">
      <c r="A47" s="0" t="n">
        <v>40</v>
      </c>
      <c r="B47" s="0" t="n">
        <v>60</v>
      </c>
      <c r="C47" s="0" t="n">
        <v>1</v>
      </c>
      <c r="D47" s="0" t="s">
        <v>112</v>
      </c>
      <c r="E47" s="0" t="n">
        <f aca="false">(1-Supuestos!C$28)*((1+((1+Supuestos!C$26)/(1+Supuestos!$B$4)-1+Supuestos!$B$14*$A47/10000))*(1+Supuestos!$B$4+$B47/10000)-1)+Supuestos!C$28*((1+Supuestos!C$27+$A47/10000)*(1+Supuestos!$B$4+$B47/10000)-1)*(1-Supuestos!$B$6)</f>
        <v>0.115489044394799</v>
      </c>
      <c r="F47" s="0" t="n">
        <f aca="false">(1-Supuestos!D$28)*((1+((1+Supuestos!D$26)/(1+Supuestos!$B$4)-1+Supuestos!$B$14*$A47/10000))*(1+Supuestos!$B$4+$B47/10000)-1)+Supuestos!D$28*((1+Supuestos!D$27+$A47/10000)*(1+Supuestos!$B$4+$B47/10000)-1)*(1-Supuestos!$B$6)</f>
        <v>0.115180853523457</v>
      </c>
      <c r="G47" s="0" t="n">
        <f aca="false">(1-Supuestos!E$28)*((1+((1+Supuestos!E$26)/(1+Supuestos!$B$4)-1+Supuestos!$B$14*$A47/10000))*(1+Supuestos!$B$4+$B47/10000)-1)+Supuestos!E$28*((1+Supuestos!E$27+$A47/10000)*(1+Supuestos!$B$4+$B47/10000)-1)*(1-Supuestos!$B$6)</f>
        <v>0.114890230840142</v>
      </c>
      <c r="H47" s="0" t="n">
        <f aca="false">(1-Supuestos!F$28)*((1+((1+Supuestos!F$26)/(1+Supuestos!$B$4)-1+Supuestos!$B$14*$A47/10000))*(1+Supuestos!$B$4+$B47/10000)-1)+Supuestos!F$28*((1+Supuestos!F$27+$A47/10000)*(1+Supuestos!$B$4+$B47/10000)-1)*(1-Supuestos!$B$6)</f>
        <v>0.114616523420493</v>
      </c>
      <c r="I47" s="0" t="n">
        <f aca="false">(1-Supuestos!G$28)*((1+((1+Supuestos!G$26)/(1+Supuestos!$B$4)-1+Supuestos!$B$14*$A47/10000))*(1+Supuestos!$B$4+$B47/10000)-1)+Supuestos!G$28*((1+Supuestos!G$27+$A47/10000)*(1+Supuestos!$B$4+$B47/10000)-1)*(1-Supuestos!$B$6)</f>
        <v>0.11435911029894</v>
      </c>
      <c r="J47" s="0" t="n">
        <f aca="false">(1-Supuestos!H$28)*((1+((1+Supuestos!H$26)/(1+Supuestos!$B$4)-1+Supuestos!$B$14*$A47/10000))*(1+Supuestos!$B$4+$B47/10000)-1)+Supuestos!H$28*((1+Supuestos!H$27+$A47/10000)*(1+Supuestos!$B$4+$B47/10000)-1)*(1-Supuestos!$B$6)</f>
        <v>0.114117400536979</v>
      </c>
      <c r="K47" s="0" t="n">
        <f aca="false">(1-Supuestos!I$28)*((1+((1+Supuestos!I$26)/(1+Supuestos!$B$4)-1+Supuestos!$B$14*$A47/10000))*(1+Supuestos!$B$4+$B47/10000)-1)+Supuestos!I$28*((1+Supuestos!I$27+$A47/10000)*(1+Supuestos!$B$4+$B47/10000)-1)*(1-Supuestos!$B$6)</f>
        <v>0.114117400536979</v>
      </c>
      <c r="L47" s="0" t="n">
        <f aca="false">(1+E47)^-Supuestos!C$24</f>
        <v>0.94681983050436</v>
      </c>
      <c r="M47" s="0" t="n">
        <f aca="false">L47*(1+F47)^-Supuestos!D$24</f>
        <v>0.84902805451945</v>
      </c>
      <c r="N47" s="0" t="n">
        <f aca="false">M47*(1+G47)^-Supuestos!E$24</f>
        <v>0.761535109944996</v>
      </c>
      <c r="O47" s="0" t="n">
        <f aca="false">N47*(1+H47)^-Supuestos!F$24</f>
        <v>0.683226108660247</v>
      </c>
      <c r="P47" s="0" t="n">
        <f aca="false">O47*(1+I47)^-Supuestos!G$24</f>
        <v>0.613111251432192</v>
      </c>
      <c r="Q47" s="0" t="n">
        <f aca="false">P47*(1+J47)^-Supuestos!H$24</f>
        <v>0.550311171099819</v>
      </c>
      <c r="R47" s="0" t="n">
        <f aca="false">(1+E47)^-(Supuestos!C$24/2)</f>
        <v>0.973046674370947</v>
      </c>
      <c r="S47" s="0" t="n">
        <f aca="false">L47*(1+F47)^-(Supuestos!D$24/2)</f>
        <v>0.896591656593765</v>
      </c>
      <c r="T47" s="0" t="n">
        <f aca="false">M47*(1+G47)^-(Supuestos!E$24/2)</f>
        <v>0.804092452921215</v>
      </c>
      <c r="U47" s="0" t="n">
        <f aca="false">N47*(1+H47)^-(Supuestos!F$24/2)</f>
        <v>0.721318701945176</v>
      </c>
      <c r="V47" s="0" t="n">
        <f aca="false">O47*(1+I47)^-(Supuestos!G$24/2)</f>
        <v>0.647219912001964</v>
      </c>
      <c r="W47" s="0" t="n">
        <f aca="false">P47*(1+J47)^-(Supuestos!H$24/2)</f>
        <v>0.580863125693244</v>
      </c>
      <c r="X47" s="0" t="n">
        <f aca="false">Supuestos!C$23*(1-$C47+$C47*((1+Supuestos!$B$4+$B47/10000)/(1+Supuestos!$B$4))^Supuestos!C$25)</f>
        <v>113590.539233888</v>
      </c>
      <c r="Y47" s="0" t="n">
        <f aca="false">Supuestos!D$23*(1-$C47+$C47*((1+Supuestos!$B$4+$B47/10000)/(1+Supuestos!$B$4))^Supuestos!D$25)</f>
        <v>200602.23125265</v>
      </c>
      <c r="Z47" s="0" t="n">
        <f aca="false">Supuestos!E$23*(1-$C47+$C47*((1+Supuestos!$B$4+$B47/10000)/(1+Supuestos!$B$4))^Supuestos!E$25)</f>
        <v>262722.019350684</v>
      </c>
      <c r="AA47" s="0" t="n">
        <f aca="false">Supuestos!F$23*(1-$C47+$C47*((1+Supuestos!$B$4+$B47/10000)/(1+Supuestos!$B$4))^Supuestos!F$25)</f>
        <v>381917.898950839</v>
      </c>
      <c r="AB47" s="0" t="n">
        <f aca="false">Supuestos!G$23*(1-$C47+$C47*((1+Supuestos!$B$4+$B47/10000)/(1+Supuestos!$B$4))^Supuestos!G$25)</f>
        <v>385931.344904115</v>
      </c>
      <c r="AC47" s="0" t="n">
        <f aca="false">Supuestos!H$23*(1-$C47+$C47*((1+Supuestos!$B$4+$B47/10000)/(1+Supuestos!$B$4))^Supuestos!H$25)</f>
        <v>410464.664810135</v>
      </c>
      <c r="AD47" s="0" t="n">
        <f aca="false">Supuestos!I$23*(1-$C47+$C47*((1+Supuestos!$B$4+$B47/10000)/(1+Supuestos!$B$4))^Supuestos!I$25)</f>
        <v>547590.154242325</v>
      </c>
      <c r="AE47" s="0" t="n">
        <f aca="false">SUMPRODUCT(X47:AC47,R47:W47)</f>
        <v>1265330.7386496</v>
      </c>
      <c r="AF47" s="0" t="n">
        <f aca="false">(1+Supuestos!$B$5)/(1+Supuestos!$B$4)*(1+Supuestos!$B$4+$B47/10000)-1</f>
        <v>0.036</v>
      </c>
      <c r="AG47" s="0" t="n">
        <f aca="false">AD47/(K47-AF47)</f>
        <v>7009835.84295166</v>
      </c>
      <c r="AH47" s="0" t="n">
        <f aca="false">AG47*Q47</f>
        <v>3857590.97195222</v>
      </c>
      <c r="AI47" s="0" t="n">
        <f aca="false">(AE47+AH47-Supuestos!$B$7-Supuestos!$B$8)/Supuestos!$B$9</f>
        <v>1728.92269890494</v>
      </c>
      <c r="AJ47" s="0" t="n">
        <f aca="false">AI47/AI$5-1</f>
        <v>-0.0688757388844042</v>
      </c>
    </row>
    <row r="48" customFormat="false" ht="15" hidden="false" customHeight="false" outlineLevel="0" collapsed="false">
      <c r="A48" s="0" t="n">
        <v>30</v>
      </c>
      <c r="B48" s="0" t="n">
        <v>70</v>
      </c>
      <c r="C48" s="0" t="n">
        <v>1</v>
      </c>
      <c r="D48" s="0" t="s">
        <v>112</v>
      </c>
      <c r="E48" s="0" t="n">
        <f aca="false">(1-Supuestos!C$28)*((1+((1+Supuestos!C$26)/(1+Supuestos!$B$4)-1+Supuestos!$B$14*$A48/10000))*(1+Supuestos!$B$4+$B48/10000)-1)+Supuestos!C$28*((1+Supuestos!C$27+$A48/10000)*(1+Supuestos!$B$4+$B48/10000)-1)*(1-Supuestos!$B$6)</f>
        <v>0.115532100680741</v>
      </c>
      <c r="F48" s="0" t="n">
        <f aca="false">(1-Supuestos!D$28)*((1+((1+Supuestos!D$26)/(1+Supuestos!$B$4)-1+Supuestos!$B$14*$A48/10000))*(1+Supuestos!$B$4+$B48/10000)-1)+Supuestos!D$28*((1+Supuestos!D$27+$A48/10000)*(1+Supuestos!$B$4+$B48/10000)-1)*(1-Supuestos!$B$6)</f>
        <v>0.115223816121959</v>
      </c>
      <c r="G48" s="0" t="n">
        <f aca="false">(1-Supuestos!E$28)*((1+((1+Supuestos!E$26)/(1+Supuestos!$B$4)-1+Supuestos!$B$14*$A48/10000))*(1+Supuestos!$B$4+$B48/10000)-1)+Supuestos!E$28*((1+Supuestos!E$27+$A48/10000)*(1+Supuestos!$B$4+$B48/10000)-1)*(1-Supuestos!$B$6)</f>
        <v>0.114933111596217</v>
      </c>
      <c r="H48" s="0" t="n">
        <f aca="false">(1-Supuestos!F$28)*((1+((1+Supuestos!F$26)/(1+Supuestos!$B$4)-1+Supuestos!$B$14*$A48/10000))*(1+Supuestos!$B$4+$B48/10000)-1)+Supuestos!F$28*((1+Supuestos!F$27+$A48/10000)*(1+Supuestos!$B$4+$B48/10000)-1)*(1-Supuestos!$B$6)</f>
        <v>0.114659333738933</v>
      </c>
      <c r="I48" s="0" t="n">
        <f aca="false">(1-Supuestos!G$28)*((1+((1+Supuestos!G$26)/(1+Supuestos!$B$4)-1+Supuestos!$B$14*$A48/10000))*(1+Supuestos!$B$4+$B48/10000)-1)+Supuestos!G$28*((1+Supuestos!G$27+$A48/10000)*(1+Supuestos!$B$4+$B48/10000)-1)*(1-Supuestos!$B$6)</f>
        <v>0.114401861165863</v>
      </c>
      <c r="J48" s="0" t="n">
        <f aca="false">(1-Supuestos!H$28)*((1+((1+Supuestos!H$26)/(1+Supuestos!$B$4)-1+Supuestos!$B$14*$A48/10000))*(1+Supuestos!$B$4+$B48/10000)-1)+Supuestos!H$28*((1+Supuestos!H$27+$A48/10000)*(1+Supuestos!$B$4+$B48/10000)-1)*(1-Supuestos!$B$6)</f>
        <v>0.114160102540073</v>
      </c>
      <c r="K48" s="0" t="n">
        <f aca="false">(1-Supuestos!I$28)*((1+((1+Supuestos!I$26)/(1+Supuestos!$B$4)-1+Supuestos!$B$14*$A48/10000))*(1+Supuestos!$B$4+$B48/10000)-1)+Supuestos!I$28*((1+Supuestos!I$27+$A48/10000)*(1+Supuestos!$B$4+$B48/10000)-1)*(1-Supuestos!$B$6)</f>
        <v>0.114160102540073</v>
      </c>
      <c r="L48" s="0" t="n">
        <f aca="false">(1+E48)^-Supuestos!C$24</f>
        <v>0.946801558085885</v>
      </c>
      <c r="M48" s="0" t="n">
        <f aca="false">L48*(1+F48)^-Supuestos!D$24</f>
        <v>0.848978962248367</v>
      </c>
      <c r="N48" s="0" t="n">
        <f aca="false">M48*(1+G48)^-Supuestos!E$24</f>
        <v>0.761461789427806</v>
      </c>
      <c r="O48" s="0" t="n">
        <f aca="false">N48*(1+H48)^-Supuestos!F$24</f>
        <v>0.683134089833181</v>
      </c>
      <c r="P48" s="0" t="n">
        <f aca="false">O48*(1+I48)^-Supuestos!G$24</f>
        <v>0.613005158766067</v>
      </c>
      <c r="Q48" s="0" t="n">
        <f aca="false">P48*(1+J48)^-Supuestos!H$24</f>
        <v>0.550194857425366</v>
      </c>
      <c r="R48" s="0" t="n">
        <f aca="false">(1+E48)^-(Supuestos!C$24/2)</f>
        <v>0.973037285044044</v>
      </c>
      <c r="S48" s="0" t="n">
        <f aca="false">L48*(1+F48)^-(Supuestos!D$24/2)</f>
        <v>0.896557083647713</v>
      </c>
      <c r="T48" s="0" t="n">
        <f aca="false">M48*(1+G48)^-(Supuestos!E$24/2)</f>
        <v>0.804030496797356</v>
      </c>
      <c r="U48" s="0" t="n">
        <f aca="false">N48*(1+H48)^-(Supuestos!F$24/2)</f>
        <v>0.721235402946575</v>
      </c>
      <c r="V48" s="0" t="n">
        <f aca="false">O48*(1+I48)^-(Supuestos!G$24/2)</f>
        <v>0.647120329766189</v>
      </c>
      <c r="W48" s="0" t="n">
        <f aca="false">P48*(1+J48)^-(Supuestos!H$24/2)</f>
        <v>0.580751483793464</v>
      </c>
      <c r="X48" s="0" t="n">
        <f aca="false">Supuestos!C$23*(1-$C48+$C48*((1+Supuestos!$B$4+$B48/10000)/(1+Supuestos!$B$4))^Supuestos!C$25)</f>
        <v>113617.940162002</v>
      </c>
      <c r="Y48" s="0" t="n">
        <f aca="false">Supuestos!D$23*(1-$C48+$C48*((1+Supuestos!$B$4+$B48/10000)/(1+Supuestos!$B$4))^Supuestos!D$25)</f>
        <v>200795.862749998</v>
      </c>
      <c r="Z48" s="0" t="n">
        <f aca="false">Supuestos!E$23*(1-$C48+$C48*((1+Supuestos!$B$4+$B48/10000)/(1+Supuestos!$B$4))^Supuestos!E$25)</f>
        <v>263229.449496807</v>
      </c>
      <c r="AA48" s="0" t="n">
        <f aca="false">Supuestos!F$23*(1-$C48+$C48*((1+Supuestos!$B$4+$B48/10000)/(1+Supuestos!$B$4))^Supuestos!F$25)</f>
        <v>383024.906665657</v>
      </c>
      <c r="AB48" s="0" t="n">
        <f aca="false">Supuestos!G$23*(1-$C48+$C48*((1+Supuestos!$B$4+$B48/10000)/(1+Supuestos!$B$4))^Supuestos!G$25)</f>
        <v>387423.586160762</v>
      </c>
      <c r="AC48" s="0" t="n">
        <f aca="false">Supuestos!H$23*(1-$C48+$C48*((1+Supuestos!$B$4+$B48/10000)/(1+Supuestos!$B$4))^Supuestos!H$25)</f>
        <v>412449.499910882</v>
      </c>
      <c r="AD48" s="0" t="n">
        <f aca="false">Supuestos!I$23*(1-$C48+$C48*((1+Supuestos!$B$4+$B48/10000)/(1+Supuestos!$B$4))^Supuestos!I$25)</f>
        <v>550769.18857207</v>
      </c>
      <c r="AE48" s="0" t="n">
        <f aca="false">SUMPRODUCT(X48:AC48,R48:W48)</f>
        <v>1268715.41099006</v>
      </c>
      <c r="AF48" s="0" t="n">
        <f aca="false">(1+Supuestos!$B$5)/(1+Supuestos!$B$4)*(1+Supuestos!$B$4+$B48/10000)-1</f>
        <v>0.0369999999999999</v>
      </c>
      <c r="AG48" s="0" t="n">
        <f aca="false">AD48/(K48-AF48)</f>
        <v>7138004.88129249</v>
      </c>
      <c r="AH48" s="0" t="n">
        <f aca="false">AG48*Q48</f>
        <v>3927293.57796429</v>
      </c>
      <c r="AI48" s="0" t="n">
        <f aca="false">(AE48+AH48-Supuestos!$B$7-Supuestos!$B$8)/Supuestos!$B$9</f>
        <v>1762.29588536728</v>
      </c>
      <c r="AJ48" s="0" t="n">
        <f aca="false">AI48/AI$5-1</f>
        <v>-0.0509023595045717</v>
      </c>
    </row>
    <row r="49" customFormat="false" ht="15" hidden="false" customHeight="false" outlineLevel="0" collapsed="false">
      <c r="A49" s="0" t="n">
        <v>20</v>
      </c>
      <c r="B49" s="0" t="n">
        <v>80</v>
      </c>
      <c r="C49" s="0" t="n">
        <v>1</v>
      </c>
      <c r="D49" s="0" t="s">
        <v>112</v>
      </c>
      <c r="E49" s="0" t="n">
        <f aca="false">(1-Supuestos!C$28)*((1+((1+Supuestos!C$26)/(1+Supuestos!$B$4)-1+Supuestos!$B$14*$A49/10000))*(1+Supuestos!$B$4+$B49/10000)-1)+Supuestos!C$28*((1+Supuestos!C$27+$A49/10000)*(1+Supuestos!$B$4+$B49/10000)-1)*(1-Supuestos!$B$6)</f>
        <v>0.115573249773762</v>
      </c>
      <c r="F49" s="0" t="n">
        <f aca="false">(1-Supuestos!D$28)*((1+((1+Supuestos!D$26)/(1+Supuestos!$B$4)-1+Supuestos!$B$14*$A49/10000))*(1+Supuestos!$B$4+$B49/10000)-1)+Supuestos!D$28*((1+Supuestos!D$27+$A49/10000)*(1+Supuestos!$B$4+$B49/10000)-1)*(1-Supuestos!$B$6)</f>
        <v>0.115264877208287</v>
      </c>
      <c r="G49" s="0" t="n">
        <f aca="false">(1-Supuestos!E$28)*((1+((1+Supuestos!E$26)/(1+Supuestos!$B$4)-1+Supuestos!$B$14*$A49/10000))*(1+Supuestos!$B$4+$B49/10000)-1)+Supuestos!E$28*((1+Supuestos!E$27+$A49/10000)*(1+Supuestos!$B$4+$B49/10000)-1)*(1-Supuestos!$B$6)</f>
        <v>0.11497409637835</v>
      </c>
      <c r="H49" s="0" t="n">
        <f aca="false">(1-Supuestos!F$28)*((1+((1+Supuestos!F$26)/(1+Supuestos!$B$4)-1+Supuestos!$B$14*$A49/10000))*(1+Supuestos!$B$4+$B49/10000)-1)+Supuestos!F$28*((1+Supuestos!F$27+$A49/10000)*(1+Supuestos!$B$4+$B49/10000)-1)*(1-Supuestos!$B$6)</f>
        <v>0.114700253484444</v>
      </c>
      <c r="I49" s="0" t="n">
        <f aca="false">(1-Supuestos!G$28)*((1+((1+Supuestos!G$26)/(1+Supuestos!$B$4)-1+Supuestos!$B$14*$A49/10000))*(1+Supuestos!$B$4+$B49/10000)-1)+Supuestos!G$28*((1+Supuestos!G$27+$A49/10000)*(1+Supuestos!$B$4+$B49/10000)-1)*(1-Supuestos!$B$6)</f>
        <v>0.114442726728687</v>
      </c>
      <c r="J49" s="0" t="n">
        <f aca="false">(1-Supuestos!H$28)*((1+((1+Supuestos!H$26)/(1+Supuestos!$B$4)-1+Supuestos!$B$14*$A49/10000))*(1+Supuestos!$B$4+$B49/10000)-1)+Supuestos!H$28*((1+Supuestos!H$27+$A49/10000)*(1+Supuestos!$B$4+$B49/10000)-1)*(1-Supuestos!$B$6)</f>
        <v>0.11420092438051</v>
      </c>
      <c r="K49" s="0" t="n">
        <f aca="false">(1-Supuestos!I$28)*((1+((1+Supuestos!I$26)/(1+Supuestos!$B$4)-1+Supuestos!$B$14*$A49/10000))*(1+Supuestos!$B$4+$B49/10000)-1)+Supuestos!I$28*((1+Supuestos!I$27+$A49/10000)*(1+Supuestos!$B$4+$B49/10000)-1)*(1-Supuestos!$B$6)</f>
        <v>0.11420092438051</v>
      </c>
      <c r="L49" s="0" t="n">
        <f aca="false">(1+E49)^-Supuestos!C$24</f>
        <v>0.946784096039053</v>
      </c>
      <c r="M49" s="0" t="n">
        <f aca="false">L49*(1+F49)^-Supuestos!D$24</f>
        <v>0.848932047792115</v>
      </c>
      <c r="N49" s="0" t="n">
        <f aca="false">M49*(1+G49)^-Supuestos!E$24</f>
        <v>0.761391722506926</v>
      </c>
      <c r="O49" s="0" t="n">
        <f aca="false">N49*(1+H49)^-Supuestos!F$24</f>
        <v>0.683046155347045</v>
      </c>
      <c r="P49" s="0" t="n">
        <f aca="false">O49*(1+I49)^-Supuestos!G$24</f>
        <v>0.612903775999369</v>
      </c>
      <c r="Q49" s="0" t="n">
        <f aca="false">P49*(1+J49)^-Supuestos!H$24</f>
        <v>0.550083708053052</v>
      </c>
      <c r="R49" s="0" t="n">
        <f aca="false">(1+E49)^-(Supuestos!C$24/2)</f>
        <v>0.973028312043927</v>
      </c>
      <c r="S49" s="0" t="n">
        <f aca="false">L49*(1+F49)^-(Supuestos!D$24/2)</f>
        <v>0.896524043998509</v>
      </c>
      <c r="T49" s="0" t="n">
        <f aca="false">M49*(1+G49)^-(Supuestos!E$24/2)</f>
        <v>0.803971289387731</v>
      </c>
      <c r="U49" s="0" t="n">
        <f aca="false">N49*(1+H49)^-(Supuestos!F$24/2)</f>
        <v>0.721155800622459</v>
      </c>
      <c r="V49" s="0" t="n">
        <f aca="false">O49*(1+I49)^-(Supuestos!G$24/2)</f>
        <v>0.647025167821203</v>
      </c>
      <c r="W49" s="0" t="n">
        <f aca="false">P49*(1+J49)^-(Supuestos!H$24/2)</f>
        <v>0.580644798290185</v>
      </c>
      <c r="X49" s="0" t="n">
        <f aca="false">Supuestos!C$23*(1-$C49+$C49*((1+Supuestos!$B$4+$B49/10000)/(1+Supuestos!$B$4))^Supuestos!C$25)</f>
        <v>113645.321279826</v>
      </c>
      <c r="Y49" s="0" t="n">
        <f aca="false">Supuestos!D$23*(1-$C49+$C49*((1+Supuestos!$B$4+$B49/10000)/(1+Supuestos!$B$4))^Supuestos!D$25)</f>
        <v>200989.494247346</v>
      </c>
      <c r="Z49" s="0" t="n">
        <f aca="false">Supuestos!E$23*(1-$C49+$C49*((1+Supuestos!$B$4+$B49/10000)/(1+Supuestos!$B$4))^Supuestos!E$25)</f>
        <v>263737.369204094</v>
      </c>
      <c r="AA49" s="0" t="n">
        <f aca="false">Supuestos!F$23*(1-$C49+$C49*((1+Supuestos!$B$4+$B49/10000)/(1+Supuestos!$B$4))^Supuestos!F$25)</f>
        <v>384134.051460342</v>
      </c>
      <c r="AB49" s="0" t="n">
        <f aca="false">Supuestos!G$23*(1-$C49+$C49*((1+Supuestos!$B$4+$B49/10000)/(1+Supuestos!$B$4))^Supuestos!G$25)</f>
        <v>388920.150662504</v>
      </c>
      <c r="AC49" s="0" t="n">
        <f aca="false">Supuestos!H$23*(1-$C49+$C49*((1+Supuestos!$B$4+$B49/10000)/(1+Supuestos!$B$4))^Supuestos!H$25)</f>
        <v>414442.005861201</v>
      </c>
      <c r="AD49" s="0" t="n">
        <f aca="false">Supuestos!I$23*(1-$C49+$C49*((1+Supuestos!$B$4+$B49/10000)/(1+Supuestos!$B$4))^Supuestos!I$25)</f>
        <v>553963.587944905</v>
      </c>
      <c r="AE49" s="0" t="n">
        <f aca="false">SUMPRODUCT(X49:AC49,R49:W49)</f>
        <v>1272114.52217413</v>
      </c>
      <c r="AF49" s="0" t="n">
        <f aca="false">(1+Supuestos!$B$5)/(1+Supuestos!$B$4)*(1+Supuestos!$B$4+$B49/10000)-1</f>
        <v>0.038</v>
      </c>
      <c r="AG49" s="0" t="n">
        <f aca="false">AD49/(K49-AF49)</f>
        <v>7269775.16937571</v>
      </c>
      <c r="AH49" s="0" t="n">
        <f aca="false">AG49*Q49</f>
        <v>3998984.88188219</v>
      </c>
      <c r="AI49" s="0" t="n">
        <f aca="false">(AE49+AH49-Supuestos!$B$7-Supuestos!$B$8)/Supuestos!$B$9</f>
        <v>1796.58374614444</v>
      </c>
      <c r="AJ49" s="0" t="n">
        <f aca="false">AI49/AI$5-1</f>
        <v>-0.0324363754258225</v>
      </c>
    </row>
    <row r="50" customFormat="false" ht="15" hidden="false" customHeight="false" outlineLevel="0" collapsed="false">
      <c r="A50" s="0" t="n">
        <v>10</v>
      </c>
      <c r="B50" s="0" t="n">
        <v>90</v>
      </c>
      <c r="C50" s="0" t="n">
        <v>1</v>
      </c>
      <c r="D50" s="0" t="s">
        <v>112</v>
      </c>
      <c r="E50" s="0" t="n">
        <f aca="false">(1-Supuestos!C$28)*((1+((1+Supuestos!C$26)/(1+Supuestos!$B$4)-1+Supuestos!$B$14*$A50/10000))*(1+Supuestos!$B$4+$B50/10000)-1)+Supuestos!C$28*((1+Supuestos!C$27+$A50/10000)*(1+Supuestos!$B$4+$B50/10000)-1)*(1-Supuestos!$B$6)</f>
        <v>0.115612491673859</v>
      </c>
      <c r="F50" s="0" t="n">
        <f aca="false">(1-Supuestos!D$28)*((1+((1+Supuestos!D$26)/(1+Supuestos!$B$4)-1+Supuestos!$B$14*$A50/10000))*(1+Supuestos!$B$4+$B50/10000)-1)+Supuestos!D$28*((1+Supuestos!D$27+$A50/10000)*(1+Supuestos!$B$4+$B50/10000)-1)*(1-Supuestos!$B$6)</f>
        <v>0.115304036782441</v>
      </c>
      <c r="G50" s="0" t="n">
        <f aca="false">(1-Supuestos!E$28)*((1+((1+Supuestos!E$26)/(1+Supuestos!$B$4)-1+Supuestos!$B$14*$A50/10000))*(1+Supuestos!$B$4+$B50/10000)-1)+Supuestos!E$28*((1+Supuestos!E$27+$A50/10000)*(1+Supuestos!$B$4+$B50/10000)-1)*(1-Supuestos!$B$6)</f>
        <v>0.115013185186541</v>
      </c>
      <c r="H50" s="0" t="n">
        <f aca="false">(1-Supuestos!F$28)*((1+((1+Supuestos!F$26)/(1+Supuestos!$B$4)-1+Supuestos!$B$14*$A50/10000))*(1+Supuestos!$B$4+$B50/10000)-1)+Supuestos!F$28*((1+Supuestos!F$27+$A50/10000)*(1+Supuestos!$B$4+$B50/10000)-1)*(1-Supuestos!$B$6)</f>
        <v>0.114739282657024</v>
      </c>
      <c r="I50" s="0" t="n">
        <f aca="false">(1-Supuestos!G$28)*((1+((1+Supuestos!G$26)/(1+Supuestos!$B$4)-1+Supuestos!$B$14*$A50/10000))*(1+Supuestos!$B$4+$B50/10000)-1)+Supuestos!G$28*((1+Supuestos!G$27+$A50/10000)*(1+Supuestos!$B$4+$B50/10000)-1)*(1-Supuestos!$B$6)</f>
        <v>0.11448170698741</v>
      </c>
      <c r="J50" s="0" t="n">
        <f aca="false">(1-Supuestos!H$28)*((1+((1+Supuestos!H$26)/(1+Supuestos!$B$4)-1+Supuestos!$B$14*$A50/10000))*(1+Supuestos!$B$4+$B50/10000)-1)+Supuestos!H$28*((1+Supuestos!H$27+$A50/10000)*(1+Supuestos!$B$4+$B50/10000)-1)*(1-Supuestos!$B$6)</f>
        <v>0.114239866058289</v>
      </c>
      <c r="K50" s="0" t="n">
        <f aca="false">(1-Supuestos!I$28)*((1+((1+Supuestos!I$26)/(1+Supuestos!$B$4)-1+Supuestos!$B$14*$A50/10000))*(1+Supuestos!$B$4+$B50/10000)-1)+Supuestos!I$28*((1+Supuestos!I$27+$A50/10000)*(1+Supuestos!$B$4+$B50/10000)-1)*(1-Supuestos!$B$6)</f>
        <v>0.114239866058289</v>
      </c>
      <c r="L50" s="0" t="n">
        <f aca="false">(1+E50)^-Supuestos!C$24</f>
        <v>0.946767444229435</v>
      </c>
      <c r="M50" s="0" t="n">
        <f aca="false">L50*(1+F50)^-Supuestos!D$24</f>
        <v>0.848887310549669</v>
      </c>
      <c r="N50" s="0" t="n">
        <f aca="false">M50*(1+G50)^-Supuestos!E$24</f>
        <v>0.761324907927121</v>
      </c>
      <c r="O50" s="0" t="n">
        <f aca="false">N50*(1+H50)^-Supuestos!F$24</f>
        <v>0.682962303178617</v>
      </c>
      <c r="P50" s="0" t="n">
        <f aca="false">O50*(1+I50)^-Supuestos!G$24</f>
        <v>0.61280710028409</v>
      </c>
      <c r="Q50" s="0" t="n">
        <f aca="false">P50*(1+J50)^-Supuestos!H$24</f>
        <v>0.549977719296603</v>
      </c>
      <c r="R50" s="0" t="n">
        <f aca="false">(1+E50)^-(Supuestos!C$24/2)</f>
        <v>0.973019755313033</v>
      </c>
      <c r="S50" s="0" t="n">
        <f aca="false">L50*(1+F50)^-(Supuestos!D$24/2)</f>
        <v>0.896492537307427</v>
      </c>
      <c r="T50" s="0" t="n">
        <f aca="false">M50*(1+G50)^-(Supuestos!E$24/2)</f>
        <v>0.803914829782812</v>
      </c>
      <c r="U50" s="0" t="n">
        <f aca="false">N50*(1+H50)^-(Supuestos!F$24/2)</f>
        <v>0.721079893344112</v>
      </c>
      <c r="V50" s="0" t="n">
        <f aca="false">O50*(1+I50)^-(Supuestos!G$24/2)</f>
        <v>0.646934423735692</v>
      </c>
      <c r="W50" s="0" t="n">
        <f aca="false">P50*(1+J50)^-(Supuestos!H$24/2)</f>
        <v>0.580543065915879</v>
      </c>
      <c r="X50" s="0" t="n">
        <f aca="false">Supuestos!C$23*(1-$C50+$C50*((1+Supuestos!$B$4+$B50/10000)/(1+Supuestos!$B$4))^Supuestos!C$25)</f>
        <v>113672.682620746</v>
      </c>
      <c r="Y50" s="0" t="n">
        <f aca="false">Supuestos!D$23*(1-$C50+$C50*((1+Supuestos!$B$4+$B50/10000)/(1+Supuestos!$B$4))^Supuestos!D$25)</f>
        <v>201183.125744694</v>
      </c>
      <c r="Z50" s="0" t="n">
        <f aca="false">Supuestos!E$23*(1-$C50+$C50*((1+Supuestos!$B$4+$B50/10000)/(1+Supuestos!$B$4))^Supuestos!E$25)</f>
        <v>264245.778472545</v>
      </c>
      <c r="AA50" s="0" t="n">
        <f aca="false">Supuestos!F$23*(1-$C50+$C50*((1+Supuestos!$B$4+$B50/10000)/(1+Supuestos!$B$4))^Supuestos!F$25)</f>
        <v>385245.335395723</v>
      </c>
      <c r="AB50" s="0" t="n">
        <f aca="false">Supuestos!G$23*(1-$C50+$C50*((1+Supuestos!$B$4+$B50/10000)/(1+Supuestos!$B$4))^Supuestos!G$25)</f>
        <v>390421.046751344</v>
      </c>
      <c r="AC50" s="0" t="n">
        <f aca="false">Supuestos!H$23*(1-$C50+$C50*((1+Supuestos!$B$4+$B50/10000)/(1+Supuestos!$B$4))^Supuestos!H$25)</f>
        <v>416442.204873957</v>
      </c>
      <c r="AD50" s="0" t="n">
        <f aca="false">Supuestos!I$23*(1-$C50+$C50*((1+Supuestos!$B$4+$B50/10000)/(1+Supuestos!$B$4))^Supuestos!I$25)</f>
        <v>557173.411713869</v>
      </c>
      <c r="AE50" s="0" t="n">
        <f aca="false">SUMPRODUCT(X50:AC50,R50:W50)</f>
        <v>1275528.15136042</v>
      </c>
      <c r="AF50" s="0" t="n">
        <f aca="false">(1+Supuestos!$B$5)/(1+Supuestos!$B$4)*(1+Supuestos!$B$4+$B50/10000)-1</f>
        <v>0.0389999999999999</v>
      </c>
      <c r="AG50" s="0" t="n">
        <f aca="false">AD50/(K50-AF50)</f>
        <v>7405295.10355884</v>
      </c>
      <c r="AH50" s="0" t="n">
        <f aca="false">AG50*Q50</f>
        <v>4072747.31177359</v>
      </c>
      <c r="AI50" s="0" t="n">
        <f aca="false">(AE50+AH50-Supuestos!$B$7-Supuestos!$B$8)/Supuestos!$B$9</f>
        <v>1831.82395576896</v>
      </c>
      <c r="AJ50" s="0" t="n">
        <f aca="false">AI50/AI$5-1</f>
        <v>-0.0134574967466479</v>
      </c>
    </row>
    <row r="51" customFormat="false" ht="15" hidden="false" customHeight="false" outlineLevel="0" collapsed="false">
      <c r="A51" s="0" t="n">
        <v>0</v>
      </c>
      <c r="B51" s="0" t="n">
        <v>100</v>
      </c>
      <c r="C51" s="0" t="n">
        <v>1</v>
      </c>
      <c r="D51" s="0" t="s">
        <v>112</v>
      </c>
      <c r="E51" s="0" t="n">
        <f aca="false">(1-Supuestos!C$28)*((1+((1+Supuestos!C$26)/(1+Supuestos!$B$4)-1+Supuestos!$B$14*$A51/10000))*(1+Supuestos!$B$4+$B51/10000)-1)+Supuestos!C$28*((1+Supuestos!C$27+$A51/10000)*(1+Supuestos!$B$4+$B51/10000)-1)*(1-Supuestos!$B$6)</f>
        <v>0.115649826381034</v>
      </c>
      <c r="F51" s="0" t="n">
        <f aca="false">(1-Supuestos!D$28)*((1+((1+Supuestos!D$26)/(1+Supuestos!$B$4)-1+Supuestos!$B$14*$A51/10000))*(1+Supuestos!$B$4+$B51/10000)-1)+Supuestos!D$28*((1+Supuestos!D$27+$A51/10000)*(1+Supuestos!$B$4+$B51/10000)-1)*(1-Supuestos!$B$6)</f>
        <v>0.11534129484442</v>
      </c>
      <c r="G51" s="0" t="n">
        <f aca="false">(1-Supuestos!E$28)*((1+((1+Supuestos!E$26)/(1+Supuestos!$B$4)-1+Supuestos!$B$14*$A51/10000))*(1+Supuestos!$B$4+$B51/10000)-1)+Supuestos!E$28*((1+Supuestos!E$27+$A51/10000)*(1+Supuestos!$B$4+$B51/10000)-1)*(1-Supuestos!$B$6)</f>
        <v>0.115050378020789</v>
      </c>
      <c r="H51" s="0" t="n">
        <f aca="false">(1-Supuestos!F$28)*((1+((1+Supuestos!F$26)/(1+Supuestos!$B$4)-1+Supuestos!$B$14*$A51/10000))*(1+Supuestos!$B$4+$B51/10000)-1)+Supuestos!F$28*((1+Supuestos!F$27+$A51/10000)*(1+Supuestos!$B$4+$B51/10000)-1)*(1-Supuestos!$B$6)</f>
        <v>0.114776421256675</v>
      </c>
      <c r="I51" s="0" t="n">
        <f aca="false">(1-Supuestos!G$28)*((1+((1+Supuestos!G$26)/(1+Supuestos!$B$4)-1+Supuestos!$B$14*$A51/10000))*(1+Supuestos!$B$4+$B51/10000)-1)+Supuestos!G$28*((1+Supuestos!G$27+$A51/10000)*(1+Supuestos!$B$4+$B51/10000)-1)*(1-Supuestos!$B$6)</f>
        <v>0.114518801942034</v>
      </c>
      <c r="J51" s="0" t="n">
        <f aca="false">(1-Supuestos!H$28)*((1+((1+Supuestos!H$26)/(1+Supuestos!$B$4)-1+Supuestos!$B$14*$A51/10000))*(1+Supuestos!$B$4+$B51/10000)-1)+Supuestos!H$28*((1+Supuestos!H$27+$A51/10000)*(1+Supuestos!$B$4+$B51/10000)-1)*(1-Supuestos!$B$6)</f>
        <v>0.11427692757341</v>
      </c>
      <c r="K51" s="0" t="n">
        <f aca="false">(1-Supuestos!I$28)*((1+((1+Supuestos!I$26)/(1+Supuestos!$B$4)-1+Supuestos!$B$14*$A51/10000))*(1+Supuestos!$B$4+$B51/10000)-1)+Supuestos!I$28*((1+Supuestos!I$27+$A51/10000)*(1+Supuestos!$B$4+$B51/10000)-1)*(1-Supuestos!$B$6)</f>
        <v>0.11427692757341</v>
      </c>
      <c r="L51" s="0" t="n">
        <f aca="false">(1+E51)^-Supuestos!C$24</f>
        <v>0.946751602528848</v>
      </c>
      <c r="M51" s="0" t="n">
        <f aca="false">L51*(1+F51)^-Supuestos!D$24</f>
        <v>0.848844749947963</v>
      </c>
      <c r="N51" s="0" t="n">
        <f aca="false">M51*(1+G51)^-Supuestos!E$24</f>
        <v>0.761261344491591</v>
      </c>
      <c r="O51" s="0" t="n">
        <f aca="false">N51*(1+H51)^-Supuestos!F$24</f>
        <v>0.682882531398924</v>
      </c>
      <c r="P51" s="0" t="n">
        <f aca="false">O51*(1+I51)^-Supuestos!G$24</f>
        <v>0.612715128904968</v>
      </c>
      <c r="Q51" s="0" t="n">
        <f aca="false">P51*(1+J51)^-Supuestos!H$24</f>
        <v>0.549876887641651</v>
      </c>
      <c r="R51" s="0" t="n">
        <f aca="false">(1+E51)^-(Supuestos!C$24/2)</f>
        <v>0.973011614796477</v>
      </c>
      <c r="S51" s="0" t="n">
        <f aca="false">L51*(1+F51)^-(Supuestos!D$24/2)</f>
        <v>0.896462563251491</v>
      </c>
      <c r="T51" s="0" t="n">
        <f aca="false">M51*(1+G51)^-(Supuestos!E$24/2)</f>
        <v>0.803861117115397</v>
      </c>
      <c r="U51" s="0" t="n">
        <f aca="false">N51*(1+H51)^-(Supuestos!F$24/2)</f>
        <v>0.721007679558662</v>
      </c>
      <c r="V51" s="0" t="n">
        <f aca="false">O51*(1+I51)^-(Supuestos!G$24/2)</f>
        <v>0.646848095191632</v>
      </c>
      <c r="W51" s="0" t="n">
        <f aca="false">P51*(1+J51)^-(Supuestos!H$24/2)</f>
        <v>0.580446283555349</v>
      </c>
      <c r="X51" s="0" t="n">
        <f aca="false">Supuestos!C$23*(1-$C51+$C51*((1+Supuestos!$B$4+$B51/10000)/(1+Supuestos!$B$4))^Supuestos!C$25)</f>
        <v>113700.024218062</v>
      </c>
      <c r="Y51" s="0" t="n">
        <f aca="false">Supuestos!D$23*(1-$C51+$C51*((1+Supuestos!$B$4+$B51/10000)/(1+Supuestos!$B$4))^Supuestos!D$25)</f>
        <v>201376.757242042</v>
      </c>
      <c r="Z51" s="0" t="n">
        <f aca="false">Supuestos!E$23*(1-$C51+$C51*((1+Supuestos!$B$4+$B51/10000)/(1+Supuestos!$B$4))^Supuestos!E$25)</f>
        <v>264754.67730216</v>
      </c>
      <c r="AA51" s="0" t="n">
        <f aca="false">Supuestos!F$23*(1-$C51+$C51*((1+Supuestos!$B$4+$B51/10000)/(1+Supuestos!$B$4))^Supuestos!F$25)</f>
        <v>386358.760532631</v>
      </c>
      <c r="AB51" s="0" t="n">
        <f aca="false">Supuestos!G$23*(1-$C51+$C51*((1+Supuestos!$B$4+$B51/10000)/(1+Supuestos!$B$4))^Supuestos!G$25)</f>
        <v>391926.282777328</v>
      </c>
      <c r="AC51" s="0" t="n">
        <f aca="false">Supuestos!H$23*(1-$C51+$C51*((1+Supuestos!$B$4+$B51/10000)/(1+Supuestos!$B$4))^Supuestos!H$25)</f>
        <v>418450.119204854</v>
      </c>
      <c r="AD51" s="0" t="n">
        <f aca="false">Supuestos!I$23*(1-$C51+$C51*((1+Supuestos!$B$4+$B51/10000)/(1+Supuestos!$B$4))^Supuestos!I$25)</f>
        <v>560398.71940379</v>
      </c>
      <c r="AE51" s="0" t="n">
        <f aca="false">SUMPRODUCT(X51:AC51,R51:W51)</f>
        <v>1278956.37822552</v>
      </c>
      <c r="AF51" s="0" t="n">
        <f aca="false">(1+Supuestos!$B$5)/(1+Supuestos!$B$4)*(1+Supuestos!$B$4+$B51/10000)-1</f>
        <v>0.04</v>
      </c>
      <c r="AG51" s="0" t="n">
        <f aca="false">AD51/(K51-AF51)</f>
        <v>7544721.32480075</v>
      </c>
      <c r="AH51" s="0" t="n">
        <f aca="false">AG51*Q51</f>
        <v>4148667.88020502</v>
      </c>
      <c r="AI51" s="0" t="n">
        <f aca="false">(AE51+AH51-Supuestos!$B$7-Supuestos!$B$8)/Supuestos!$B$9</f>
        <v>1868.05628238838</v>
      </c>
      <c r="AJ51" s="0" t="n">
        <f aca="false">AI51/AI$5-1</f>
        <v>0.00605569396649108</v>
      </c>
    </row>
    <row r="52" customFormat="false" ht="15" hidden="false" customHeight="false" outlineLevel="0" collapsed="false">
      <c r="A52" s="0" t="n">
        <v>100</v>
      </c>
      <c r="B52" s="0" t="n">
        <v>0</v>
      </c>
      <c r="C52" s="0" t="n">
        <v>0.85</v>
      </c>
      <c r="D52" s="0" t="s">
        <v>113</v>
      </c>
      <c r="E52" s="0" t="n">
        <f aca="false">(1-Supuestos!C$28)*((1+((1+Supuestos!C$26)/(1+Supuestos!$B$4)-1+Supuestos!$B$14*$A52/10000))*(1+Supuestos!$B$4+$B52/10000)-1)+Supuestos!C$28*((1+Supuestos!C$27+$A52/10000)*(1+Supuestos!$B$4+$B52/10000)-1)*(1-Supuestos!$B$6)</f>
        <v>0.11519065562777</v>
      </c>
      <c r="F52" s="0" t="n">
        <f aca="false">(1-Supuestos!D$28)*((1+((1+Supuestos!D$26)/(1+Supuestos!$B$4)-1+Supuestos!$B$14*$A52/10000))*(1+Supuestos!$B$4+$B52/10000)-1)+Supuestos!D$28*((1+Supuestos!D$27+$A52/10000)*(1+Supuestos!$B$4+$B52/10000)-1)*(1-Supuestos!$B$6)</f>
        <v>0.11488314617678</v>
      </c>
      <c r="G52" s="0" t="n">
        <f aca="false">(1-Supuestos!E$28)*((1+((1+Supuestos!E$26)/(1+Supuestos!$B$4)-1+Supuestos!$B$14*$A52/10000))*(1+Supuestos!$B$4+$B52/10000)-1)+Supuestos!E$28*((1+Supuestos!E$27+$A52/10000)*(1+Supuestos!$B$4+$B52/10000)-1)*(1-Supuestos!$B$6)</f>
        <v>0.114593130850897</v>
      </c>
      <c r="H52" s="0" t="n">
        <f aca="false">(1-Supuestos!F$28)*((1+((1+Supuestos!F$26)/(1+Supuestos!$B$4)-1+Supuestos!$B$14*$A52/10000))*(1+Supuestos!$B$4+$B52/10000)-1)+Supuestos!F$28*((1+Supuestos!F$27+$A52/10000)*(1+Supuestos!$B$4+$B52/10000)-1)*(1-Supuestos!$B$6)</f>
        <v>0.114319959478321</v>
      </c>
      <c r="I52" s="0" t="n">
        <f aca="false">(1-Supuestos!G$28)*((1+((1+Supuestos!G$26)/(1+Supuestos!$B$4)-1+Supuestos!$B$14*$A52/10000))*(1+Supuestos!$B$4+$B52/10000)-1)+Supuestos!G$28*((1+Supuestos!G$27+$A52/10000)*(1+Supuestos!$B$4+$B52/10000)-1)*(1-Supuestos!$B$6)</f>
        <v>0.11406301371131</v>
      </c>
      <c r="J52" s="0" t="n">
        <f aca="false">(1-Supuestos!H$28)*((1+((1+Supuestos!H$26)/(1+Supuestos!$B$4)-1+Supuestos!$B$14*$A52/10000))*(1+Supuestos!$B$4+$B52/10000)-1)+Supuestos!H$28*((1+Supuestos!H$27+$A52/10000)*(1+Supuestos!$B$4+$B52/10000)-1)*(1-Supuestos!$B$6)</f>
        <v>0.113821705102604</v>
      </c>
      <c r="K52" s="0" t="n">
        <f aca="false">(1-Supuestos!I$28)*((1+((1+Supuestos!I$26)/(1+Supuestos!$B$4)-1+Supuestos!$B$14*$A52/10000))*(1+Supuestos!$B$4+$B52/10000)-1)+Supuestos!I$28*((1+Supuestos!I$27+$A52/10000)*(1+Supuestos!$B$4+$B52/10000)-1)*(1-Supuestos!$B$6)</f>
        <v>0.113821705102604</v>
      </c>
      <c r="L52" s="0" t="n">
        <f aca="false">(1+E52)^-Supuestos!C$24</f>
        <v>0.946946491136157</v>
      </c>
      <c r="M52" s="0" t="n">
        <f aca="false">L52*(1+F52)^-Supuestos!D$24</f>
        <v>0.849368379442706</v>
      </c>
      <c r="N52" s="0" t="n">
        <f aca="false">M52*(1+G52)^-Supuestos!E$24</f>
        <v>0.762043436239631</v>
      </c>
      <c r="O52" s="0" t="n">
        <f aca="false">N52*(1+H52)^-Supuestos!F$24</f>
        <v>0.683864117983122</v>
      </c>
      <c r="P52" s="0" t="n">
        <f aca="false">O52*(1+I52)^-Supuestos!G$24</f>
        <v>0.613846891572987</v>
      </c>
      <c r="Q52" s="0" t="n">
        <f aca="false">P52*(1+J52)^-Supuestos!H$24</f>
        <v>0.551117731644887</v>
      </c>
      <c r="R52" s="0" t="n">
        <f aca="false">(1+E52)^-(Supuestos!C$24/2)</f>
        <v>0.973111756755696</v>
      </c>
      <c r="S52" s="0" t="n">
        <f aca="false">L52*(1+F52)^-(Supuestos!D$24/2)</f>
        <v>0.896831314459567</v>
      </c>
      <c r="T52" s="0" t="n">
        <f aca="false">M52*(1+G52)^-(Supuestos!E$24/2)</f>
        <v>0.804521968937957</v>
      </c>
      <c r="U52" s="0" t="n">
        <f aca="false">N52*(1+H52)^-(Supuestos!F$24/2)</f>
        <v>0.721896226883645</v>
      </c>
      <c r="V52" s="0" t="n">
        <f aca="false">O52*(1+I52)^-(Supuestos!G$24/2)</f>
        <v>0.647910381983683</v>
      </c>
      <c r="W52" s="0" t="n">
        <f aca="false">P52*(1+J52)^-(Supuestos!H$24/2)</f>
        <v>0.581637263645452</v>
      </c>
      <c r="X52" s="0" t="n">
        <f aca="false">Supuestos!C$23*(1-$C52+$C52*((1+Supuestos!$B$4+$B52/10000)/(1+Supuestos!$B$4))^Supuestos!C$25)</f>
        <v>113425.715768245</v>
      </c>
      <c r="Y52" s="0" t="n">
        <f aca="false">Supuestos!D$23*(1-$C52+$C52*((1+Supuestos!$B$4+$B52/10000)/(1+Supuestos!$B$4))^Supuestos!D$25)</f>
        <v>199440.442268561</v>
      </c>
      <c r="Z52" s="0" t="n">
        <f aca="false">Supuestos!E$23*(1-$C52+$C52*((1+Supuestos!$B$4+$B52/10000)/(1+Supuestos!$B$4))^Supuestos!E$25)</f>
        <v>259687.719258378</v>
      </c>
      <c r="AA52" s="0" t="n">
        <f aca="false">Supuestos!F$23*(1-$C52+$C52*((1+Supuestos!$B$4+$B52/10000)/(1+Supuestos!$B$4))^Supuestos!F$25)</f>
        <v>375320.615932717</v>
      </c>
      <c r="AB52" s="0" t="n">
        <f aca="false">Supuestos!G$23*(1-$C52+$C52*((1+Supuestos!$B$4+$B52/10000)/(1+Supuestos!$B$4))^Supuestos!G$25)</f>
        <v>377068.219372121</v>
      </c>
      <c r="AC52" s="0" t="n">
        <f aca="false">Supuestos!H$23*(1-$C52+$C52*((1+Supuestos!$B$4+$B52/10000)/(1+Supuestos!$B$4))^Supuestos!H$25)</f>
        <v>398715.503513791</v>
      </c>
      <c r="AD52" s="0" t="n">
        <f aca="false">Supuestos!I$23*(1-$C52+$C52*((1+Supuestos!$B$4+$B52/10000)/(1+Supuestos!$B$4))^Supuestos!I$25)</f>
        <v>528835.311960595</v>
      </c>
      <c r="AE52" s="0" t="n">
        <f aca="false">SUMPRODUCT(X52:AC52,R52:W52)</f>
        <v>1245321.55173293</v>
      </c>
      <c r="AF52" s="0" t="n">
        <f aca="false">(1+Supuestos!$B$5)/(1+Supuestos!$B$4)*(1+Supuestos!$B$4+$B52/10000)-1</f>
        <v>0.03</v>
      </c>
      <c r="AG52" s="0" t="n">
        <f aca="false">AD52/(K52-AF52)</f>
        <v>6309049.80175791</v>
      </c>
      <c r="AH52" s="0" t="n">
        <f aca="false">AG52*Q52</f>
        <v>3477029.21557944</v>
      </c>
      <c r="AI52" s="0" t="n">
        <f aca="false">(AE52+AH52-Supuestos!$B$7-Supuestos!$B$8)/Supuestos!$B$9</f>
        <v>1546.01359238008</v>
      </c>
      <c r="AJ52" s="0" t="n">
        <f aca="false">AI52/AI$5-1</f>
        <v>-0.167382807345096</v>
      </c>
    </row>
    <row r="53" customFormat="false" ht="15" hidden="false" customHeight="false" outlineLevel="0" collapsed="false">
      <c r="A53" s="0" t="n">
        <v>90</v>
      </c>
      <c r="B53" s="0" t="n">
        <v>10</v>
      </c>
      <c r="C53" s="0" t="n">
        <v>0.85</v>
      </c>
      <c r="D53" s="0" t="s">
        <v>113</v>
      </c>
      <c r="E53" s="0" t="n">
        <f aca="false">(1-Supuestos!C$28)*((1+((1+Supuestos!C$26)/(1+Supuestos!$B$4)-1+Supuestos!$B$14*$A53/10000))*(1+Supuestos!$B$4+$B53/10000)-1)+Supuestos!C$28*((1+Supuestos!C$27+$A53/10000)*(1+Supuestos!$B$4+$B53/10000)-1)*(1-Supuestos!$B$6)</f>
        <v>0.115245155071247</v>
      </c>
      <c r="F53" s="0" t="n">
        <f aca="false">(1-Supuestos!D$28)*((1+((1+Supuestos!D$26)/(1+Supuestos!$B$4)-1+Supuestos!$B$14*$A53/10000))*(1+Supuestos!$B$4+$B53/10000)-1)+Supuestos!D$28*((1+Supuestos!D$27+$A53/10000)*(1+Supuestos!$B$4+$B53/10000)-1)*(1-Supuestos!$B$6)</f>
        <v>0.114937517848329</v>
      </c>
      <c r="G53" s="0" t="n">
        <f aca="false">(1-Supuestos!E$28)*((1+((1+Supuestos!E$26)/(1+Supuestos!$B$4)-1+Supuestos!$B$14*$A53/10000))*(1+Supuestos!$B$4+$B53/10000)-1)+Supuestos!E$28*((1+Supuestos!E$27+$A53/10000)*(1+Supuestos!$B$4+$B53/10000)-1)*(1-Supuestos!$B$6)</f>
        <v>0.114647387450627</v>
      </c>
      <c r="H53" s="0" t="n">
        <f aca="false">(1-Supuestos!F$28)*((1+((1+Supuestos!F$26)/(1+Supuestos!$B$4)-1+Supuestos!$B$14*$A53/10000))*(1+Supuestos!$B$4+$B53/10000)-1)+Supuestos!F$28*((1+Supuestos!F$27+$A53/10000)*(1+Supuestos!$B$4+$B53/10000)-1)*(1-Supuestos!$B$6)</f>
        <v>0.114374113234341</v>
      </c>
      <c r="I53" s="0" t="n">
        <f aca="false">(1-Supuestos!G$28)*((1+((1+Supuestos!G$26)/(1+Supuestos!$B$4)-1+Supuestos!$B$14*$A53/10000))*(1+Supuestos!$B$4+$B53/10000)-1)+Supuestos!G$28*((1+Supuestos!G$27+$A53/10000)*(1+Supuestos!$B$4+$B53/10000)-1)*(1-Supuestos!$B$6)</f>
        <v>0.114117076402831</v>
      </c>
      <c r="J53" s="0" t="n">
        <f aca="false">(1-Supuestos!H$28)*((1+((1+Supuestos!H$26)/(1+Supuestos!$B$4)-1+Supuestos!$B$14*$A53/10000))*(1+Supuestos!$B$4+$B53/10000)-1)+Supuestos!H$28*((1+Supuestos!H$27+$A53/10000)*(1+Supuestos!$B$4+$B53/10000)-1)*(1-Supuestos!$B$6)</f>
        <v>0.113875688081644</v>
      </c>
      <c r="K53" s="0" t="n">
        <f aca="false">(1-Supuestos!I$28)*((1+((1+Supuestos!I$26)/(1+Supuestos!$B$4)-1+Supuestos!$B$14*$A53/10000))*(1+Supuestos!$B$4+$B53/10000)-1)+Supuestos!I$28*((1+Supuestos!I$27+$A53/10000)*(1+Supuestos!$B$4+$B53/10000)-1)*(1-Supuestos!$B$6)</f>
        <v>0.113875688081644</v>
      </c>
      <c r="L53" s="0" t="n">
        <f aca="false">(1+E53)^-Supuestos!C$24</f>
        <v>0.946923353314378</v>
      </c>
      <c r="M53" s="0" t="n">
        <f aca="false">L53*(1+F53)^-Supuestos!D$24</f>
        <v>0.849306206092881</v>
      </c>
      <c r="N53" s="0" t="n">
        <f aca="false">M53*(1+G53)^-Supuestos!E$24</f>
        <v>0.761950564505764</v>
      </c>
      <c r="O53" s="0" t="n">
        <f aca="false">N53*(1+H53)^-Supuestos!F$24</f>
        <v>0.683747545332233</v>
      </c>
      <c r="P53" s="0" t="n">
        <f aca="false">O53*(1+I53)^-Supuestos!G$24</f>
        <v>0.613712472247405</v>
      </c>
      <c r="Q53" s="0" t="n">
        <f aca="false">P53*(1+J53)^-Supuestos!H$24</f>
        <v>0.550970345087936</v>
      </c>
      <c r="R53" s="0" t="n">
        <f aca="false">(1+E53)^-(Supuestos!C$24/2)</f>
        <v>0.973099868109321</v>
      </c>
      <c r="S53" s="0" t="n">
        <f aca="false">L53*(1+F53)^-(Supuestos!D$24/2)</f>
        <v>0.896787533735936</v>
      </c>
      <c r="T53" s="0" t="n">
        <f aca="false">M53*(1+G53)^-(Supuestos!E$24/2)</f>
        <v>0.804443499054296</v>
      </c>
      <c r="U53" s="0" t="n">
        <f aca="false">N53*(1+H53)^-(Supuestos!F$24/2)</f>
        <v>0.721790709378643</v>
      </c>
      <c r="V53" s="0" t="n">
        <f aca="false">O53*(1+I53)^-(Supuestos!G$24/2)</f>
        <v>0.647784220585018</v>
      </c>
      <c r="W53" s="0" t="n">
        <f aca="false">P53*(1+J53)^-(Supuestos!H$24/2)</f>
        <v>0.581495806192034</v>
      </c>
      <c r="X53" s="0" t="n">
        <f aca="false">Supuestos!C$23*(1-$C53+$C53*((1+Supuestos!$B$4+$B53/10000)/(1+Supuestos!$B$4))^Supuestos!C$25)</f>
        <v>113449.108189814</v>
      </c>
      <c r="Y53" s="0" t="n">
        <f aca="false">Supuestos!D$23*(1-$C53+$C53*((1+Supuestos!$B$4+$B53/10000)/(1+Supuestos!$B$4))^Supuestos!D$25)</f>
        <v>199605.029041307</v>
      </c>
      <c r="Z53" s="0" t="n">
        <f aca="false">Supuestos!E$23*(1-$C53+$C53*((1+Supuestos!$B$4+$B53/10000)/(1+Supuestos!$B$4))^Supuestos!E$25)</f>
        <v>260116.538120648</v>
      </c>
      <c r="AA53" s="0" t="n">
        <f aca="false">Supuestos!F$23*(1-$C53+$C53*((1+Supuestos!$B$4+$B53/10000)/(1+Supuestos!$B$4))^Supuestos!F$25)</f>
        <v>376250.710168789</v>
      </c>
      <c r="AB53" s="0" t="n">
        <f aca="false">Supuestos!G$23*(1-$C53+$C53*((1+Supuestos!$B$4+$B53/10000)/(1+Supuestos!$B$4))^Supuestos!G$25)</f>
        <v>378314.724412326</v>
      </c>
      <c r="AC53" s="0" t="n">
        <f aca="false">Supuestos!H$23*(1-$C53+$C53*((1+Supuestos!$B$4+$B53/10000)/(1+Supuestos!$B$4))^Supuestos!H$25)</f>
        <v>400363.886481441</v>
      </c>
      <c r="AD53" s="0" t="n">
        <f aca="false">Supuestos!I$23*(1-$C53+$C53*((1+Supuestos!$B$4+$B53/10000)/(1+Supuestos!$B$4))^Supuestos!I$25)</f>
        <v>531460.180731133</v>
      </c>
      <c r="AE53" s="0" t="n">
        <f aca="false">SUMPRODUCT(X53:AC53,R53:W53)</f>
        <v>1248100.16884546</v>
      </c>
      <c r="AF53" s="0" t="n">
        <f aca="false">(1+Supuestos!$B$5)/(1+Supuestos!$B$4)*(1+Supuestos!$B$4+$B53/10000)-1</f>
        <v>0.0309999999999999</v>
      </c>
      <c r="AG53" s="0" t="n">
        <f aca="false">AD53/(K53-AF53)</f>
        <v>6412739.28498274</v>
      </c>
      <c r="AH53" s="0" t="n">
        <f aca="false">AG53*Q53</f>
        <v>3533229.1768059</v>
      </c>
      <c r="AI53" s="0" t="n">
        <f aca="false">(AE53+AH53-Supuestos!$B$7-Supuestos!$B$8)/Supuestos!$B$9</f>
        <v>1572.94445006912</v>
      </c>
      <c r="AJ53" s="0" t="n">
        <f aca="false">AI53/AI$5-1</f>
        <v>-0.15287899234932</v>
      </c>
    </row>
    <row r="54" customFormat="false" ht="15" hidden="false" customHeight="false" outlineLevel="0" collapsed="false">
      <c r="A54" s="0" t="n">
        <v>80</v>
      </c>
      <c r="B54" s="0" t="n">
        <v>20</v>
      </c>
      <c r="C54" s="0" t="n">
        <v>0.85</v>
      </c>
      <c r="D54" s="0" t="s">
        <v>113</v>
      </c>
      <c r="E54" s="0" t="n">
        <f aca="false">(1-Supuestos!C$28)*((1+((1+Supuestos!C$26)/(1+Supuestos!$B$4)-1+Supuestos!$B$14*$A54/10000))*(1+Supuestos!$B$4+$B54/10000)-1)+Supuestos!C$28*((1+Supuestos!C$27+$A54/10000)*(1+Supuestos!$B$4+$B54/10000)-1)*(1-Supuestos!$B$6)</f>
        <v>0.115297747321803</v>
      </c>
      <c r="F54" s="0" t="n">
        <f aca="false">(1-Supuestos!D$28)*((1+((1+Supuestos!D$26)/(1+Supuestos!$B$4)-1+Supuestos!$B$14*$A54/10000))*(1+Supuestos!$B$4+$B54/10000)-1)+Supuestos!D$28*((1+Supuestos!D$27+$A54/10000)*(1+Supuestos!$B$4+$B54/10000)-1)*(1-Supuestos!$B$6)</f>
        <v>0.114989988007703</v>
      </c>
      <c r="G54" s="0" t="n">
        <f aca="false">(1-Supuestos!E$28)*((1+((1+Supuestos!E$26)/(1+Supuestos!$B$4)-1+Supuestos!$B$14*$A54/10000))*(1+Supuestos!$B$4+$B54/10000)-1)+Supuestos!E$28*((1+Supuestos!E$27+$A54/10000)*(1+Supuestos!$B$4+$B54/10000)-1)*(1-Supuestos!$B$6)</f>
        <v>0.114699748076415</v>
      </c>
      <c r="H54" s="0" t="n">
        <f aca="false">(1-Supuestos!F$28)*((1+((1+Supuestos!F$26)/(1+Supuestos!$B$4)-1+Supuestos!$B$14*$A54/10000))*(1+Supuestos!$B$4+$B54/10000)-1)+Supuestos!F$28*((1+Supuestos!F$27+$A54/10000)*(1+Supuestos!$B$4+$B54/10000)-1)*(1-Supuestos!$B$6)</f>
        <v>0.114426376417432</v>
      </c>
      <c r="I54" s="0" t="n">
        <f aca="false">(1-Supuestos!G$28)*((1+((1+Supuestos!G$26)/(1+Supuestos!$B$4)-1+Supuestos!$B$14*$A54/10000))*(1+Supuestos!$B$4+$B54/10000)-1)+Supuestos!G$28*((1+Supuestos!G$27+$A54/10000)*(1+Supuestos!$B$4+$B54/10000)-1)*(1-Supuestos!$B$6)</f>
        <v>0.114169253790252</v>
      </c>
      <c r="J54" s="0" t="n">
        <f aca="false">(1-Supuestos!H$28)*((1+((1+Supuestos!H$26)/(1+Supuestos!$B$4)-1+Supuestos!$B$14*$A54/10000))*(1+Supuestos!$B$4+$B54/10000)-1)+Supuestos!H$28*((1+Supuestos!H$27+$A54/10000)*(1+Supuestos!$B$4+$B54/10000)-1)*(1-Supuestos!$B$6)</f>
        <v>0.113927790898026</v>
      </c>
      <c r="K54" s="0" t="n">
        <f aca="false">(1-Supuestos!I$28)*((1+((1+Supuestos!I$26)/(1+Supuestos!$B$4)-1+Supuestos!$B$14*$A54/10000))*(1+Supuestos!$B$4+$B54/10000)-1)+Supuestos!I$28*((1+Supuestos!I$27+$A54/10000)*(1+Supuestos!$B$4+$B54/10000)-1)*(1-Supuestos!$B$6)</f>
        <v>0.113927790898026</v>
      </c>
      <c r="L54" s="0" t="n">
        <f aca="false">(1+E54)^-Supuestos!C$24</f>
        <v>0.946901026802251</v>
      </c>
      <c r="M54" s="0" t="n">
        <f aca="false">L54*(1+F54)^-Supuestos!D$24</f>
        <v>0.849246214752296</v>
      </c>
      <c r="N54" s="0" t="n">
        <f aca="false">M54*(1+G54)^-Supuestos!E$24</f>
        <v>0.761860955129667</v>
      </c>
      <c r="O54" s="0" t="n">
        <f aca="false">N54*(1+H54)^-Supuestos!F$24</f>
        <v>0.683635071146499</v>
      </c>
      <c r="P54" s="0" t="n">
        <f aca="false">O54*(1+I54)^-Supuestos!G$24</f>
        <v>0.613582782706367</v>
      </c>
      <c r="Q54" s="0" t="n">
        <f aca="false">P54*(1+J54)^-Supuestos!H$24</f>
        <v>0.550828148574791</v>
      </c>
      <c r="R54" s="0" t="n">
        <f aca="false">(1+E54)^-(Supuestos!C$24/2)</f>
        <v>0.973088396191348</v>
      </c>
      <c r="S54" s="0" t="n">
        <f aca="false">L54*(1+F54)^-(Supuestos!D$24/2)</f>
        <v>0.896745288672806</v>
      </c>
      <c r="T54" s="0" t="n">
        <f aca="false">M54*(1+G54)^-(Supuestos!E$24/2)</f>
        <v>0.804367784232709</v>
      </c>
      <c r="U54" s="0" t="n">
        <f aca="false">N54*(1+H54)^-(Supuestos!F$24/2)</f>
        <v>0.721688899917277</v>
      </c>
      <c r="V54" s="0" t="n">
        <f aca="false">O54*(1+I54)^-(Supuestos!G$24/2)</f>
        <v>0.647662496451458</v>
      </c>
      <c r="W54" s="0" t="n">
        <f aca="false">P54*(1+J54)^-(Supuestos!H$24/2)</f>
        <v>0.581359327950895</v>
      </c>
      <c r="X54" s="0" t="n">
        <f aca="false">Supuestos!C$23*(1-$C54+$C54*((1+Supuestos!$B$4+$B54/10000)/(1+Supuestos!$B$4))^Supuestos!C$25)</f>
        <v>113472.483600772</v>
      </c>
      <c r="Y54" s="0" t="n">
        <f aca="false">Supuestos!D$23*(1-$C54+$C54*((1+Supuestos!$B$4+$B54/10000)/(1+Supuestos!$B$4))^Supuestos!D$25)</f>
        <v>199769.615814053</v>
      </c>
      <c r="Z54" s="0" t="n">
        <f aca="false">Supuestos!E$23*(1-$C54+$C54*((1+Supuestos!$B$4+$B54/10000)/(1+Supuestos!$B$4))^Supuestos!E$25)</f>
        <v>260545.773109908</v>
      </c>
      <c r="AA54" s="0" t="n">
        <f aca="false">Supuestos!F$23*(1-$C54+$C54*((1+Supuestos!$B$4+$B54/10000)/(1+Supuestos!$B$4))^Supuestos!F$25)</f>
        <v>377182.610412519</v>
      </c>
      <c r="AB54" s="0" t="n">
        <f aca="false">Supuestos!G$23*(1-$C54+$C54*((1+Supuestos!$B$4+$B54/10000)/(1+Supuestos!$B$4))^Supuestos!G$25)</f>
        <v>379564.861810165</v>
      </c>
      <c r="AC54" s="0" t="n">
        <f aca="false">Supuestos!H$23*(1-$C54+$C54*((1+Supuestos!$B$4+$B54/10000)/(1+Supuestos!$B$4))^Supuestos!H$25)</f>
        <v>402018.67714836</v>
      </c>
      <c r="AD54" s="0" t="n">
        <f aca="false">Supuestos!I$23*(1-$C54+$C54*((1+Supuestos!$B$4+$B54/10000)/(1+Supuestos!$B$4))^Supuestos!I$25)</f>
        <v>534097.810138496</v>
      </c>
      <c r="AE54" s="0" t="n">
        <f aca="false">SUMPRODUCT(X54:AC54,R54:W54)</f>
        <v>1250891.58220021</v>
      </c>
      <c r="AF54" s="0" t="n">
        <f aca="false">(1+Supuestos!$B$5)/(1+Supuestos!$B$4)*(1+Supuestos!$B$4+$B54/10000)-1</f>
        <v>0.032</v>
      </c>
      <c r="AG54" s="0" t="n">
        <f aca="false">AD54/(K54-AF54)</f>
        <v>6519128.6654278</v>
      </c>
      <c r="AH54" s="0" t="n">
        <f aca="false">AG54*Q54</f>
        <v>3590919.57309845</v>
      </c>
      <c r="AI54" s="0" t="n">
        <f aca="false">(AE54+AH54-Supuestos!$B$7-Supuestos!$B$8)/Supuestos!$B$9</f>
        <v>1600.56171474824</v>
      </c>
      <c r="AJ54" s="0" t="n">
        <f aca="false">AI54/AI$5-1</f>
        <v>-0.138005507731023</v>
      </c>
    </row>
    <row r="55" customFormat="false" ht="15" hidden="false" customHeight="false" outlineLevel="0" collapsed="false">
      <c r="A55" s="0" t="n">
        <v>70</v>
      </c>
      <c r="B55" s="0" t="n">
        <v>30</v>
      </c>
      <c r="C55" s="0" t="n">
        <v>0.85</v>
      </c>
      <c r="D55" s="0" t="s">
        <v>113</v>
      </c>
      <c r="E55" s="0" t="n">
        <f aca="false">(1-Supuestos!C$28)*((1+((1+Supuestos!C$26)/(1+Supuestos!$B$4)-1+Supuestos!$B$14*$A55/10000))*(1+Supuestos!$B$4+$B55/10000)-1)+Supuestos!C$28*((1+Supuestos!C$27+$A55/10000)*(1+Supuestos!$B$4+$B55/10000)-1)*(1-Supuestos!$B$6)</f>
        <v>0.115348432379435</v>
      </c>
      <c r="F55" s="0" t="n">
        <f aca="false">(1-Supuestos!D$28)*((1+((1+Supuestos!D$26)/(1+Supuestos!$B$4)-1+Supuestos!$B$14*$A55/10000))*(1+Supuestos!$B$4+$B55/10000)-1)+Supuestos!D$28*((1+Supuestos!D$27+$A55/10000)*(1+Supuestos!$B$4+$B55/10000)-1)*(1-Supuestos!$B$6)</f>
        <v>0.115040556654903</v>
      </c>
      <c r="G55" s="0" t="n">
        <f aca="false">(1-Supuestos!E$28)*((1+((1+Supuestos!E$26)/(1+Supuestos!$B$4)-1+Supuestos!$B$14*$A55/10000))*(1+Supuestos!$B$4+$B55/10000)-1)+Supuestos!E$28*((1+Supuestos!E$27+$A55/10000)*(1+Supuestos!$B$4+$B55/10000)-1)*(1-Supuestos!$B$6)</f>
        <v>0.114750212728261</v>
      </c>
      <c r="H55" s="0" t="n">
        <f aca="false">(1-Supuestos!F$28)*((1+((1+Supuestos!F$26)/(1+Supuestos!$B$4)-1+Supuestos!$B$14*$A55/10000))*(1+Supuestos!$B$4+$B55/10000)-1)+Supuestos!F$28*((1+Supuestos!F$27+$A55/10000)*(1+Supuestos!$B$4+$B55/10000)-1)*(1-Supuestos!$B$6)</f>
        <v>0.114476749027592</v>
      </c>
      <c r="I55" s="0" t="n">
        <f aca="false">(1-Supuestos!G$28)*((1+((1+Supuestos!G$26)/(1+Supuestos!$B$4)-1+Supuestos!$B$14*$A55/10000))*(1+Supuestos!$B$4+$B55/10000)-1)+Supuestos!G$28*((1+Supuestos!G$27+$A55/10000)*(1+Supuestos!$B$4+$B55/10000)-1)*(1-Supuestos!$B$6)</f>
        <v>0.114219545873573</v>
      </c>
      <c r="J55" s="0" t="n">
        <f aca="false">(1-Supuestos!H$28)*((1+((1+Supuestos!H$26)/(1+Supuestos!$B$4)-1+Supuestos!$B$14*$A55/10000))*(1+Supuestos!$B$4+$B55/10000)-1)+Supuestos!H$28*((1+Supuestos!H$27+$A55/10000)*(1+Supuestos!$B$4+$B55/10000)-1)*(1-Supuestos!$B$6)</f>
        <v>0.113978013551751</v>
      </c>
      <c r="K55" s="0" t="n">
        <f aca="false">(1-Supuestos!I$28)*((1+((1+Supuestos!I$26)/(1+Supuestos!$B$4)-1+Supuestos!$B$14*$A55/10000))*(1+Supuestos!$B$4+$B55/10000)-1)+Supuestos!I$28*((1+Supuestos!I$27+$A55/10000)*(1+Supuestos!$B$4+$B55/10000)-1)*(1-Supuestos!$B$6)</f>
        <v>0.113978013551751</v>
      </c>
      <c r="L55" s="0" t="n">
        <f aca="false">(1+E55)^-Supuestos!C$24</f>
        <v>0.94687951142778</v>
      </c>
      <c r="M55" s="0" t="n">
        <f aca="false">L55*(1+F55)^-Supuestos!D$24</f>
        <v>0.849188404651753</v>
      </c>
      <c r="N55" s="0" t="n">
        <f aca="false">M55*(1+G55)^-Supuestos!E$24</f>
        <v>0.761774606504387</v>
      </c>
      <c r="O55" s="0" t="n">
        <f aca="false">N55*(1+H55)^-Supuestos!F$24</f>
        <v>0.683526692835049</v>
      </c>
      <c r="P55" s="0" t="n">
        <f aca="false">O55*(1+I55)^-Supuestos!G$24</f>
        <v>0.613457819301805</v>
      </c>
      <c r="Q55" s="0" t="n">
        <f aca="false">P55*(1+J55)^-Supuestos!H$24</f>
        <v>0.550691137382404</v>
      </c>
      <c r="R55" s="0" t="n">
        <f aca="false">(1+E55)^-(Supuestos!C$24/2)</f>
        <v>0.97307734092814</v>
      </c>
      <c r="S55" s="0" t="n">
        <f aca="false">L55*(1+F55)^-(Supuestos!D$24/2)</f>
        <v>0.896704578836747</v>
      </c>
      <c r="T55" s="0" t="n">
        <f aca="false">M55*(1+G55)^-(Supuestos!E$24/2)</f>
        <v>0.804294823309014</v>
      </c>
      <c r="U55" s="0" t="n">
        <f aca="false">N55*(1+H55)^-(Supuestos!F$24/2)</f>
        <v>0.72159079641419</v>
      </c>
      <c r="V55" s="0" t="n">
        <f aca="false">O55*(1+I55)^-(Supuestos!G$24/2)</f>
        <v>0.647545206469142</v>
      </c>
      <c r="W55" s="0" t="n">
        <f aca="false">P55*(1+J55)^-(Supuestos!H$24/2)</f>
        <v>0.581227824736084</v>
      </c>
      <c r="X55" s="0" t="n">
        <f aca="false">Supuestos!C$23*(1-$C55+$C55*((1+Supuestos!$B$4+$B55/10000)/(1+Supuestos!$B$4))^Supuestos!C$25)</f>
        <v>113495.842029953</v>
      </c>
      <c r="Y55" s="0" t="n">
        <f aca="false">Supuestos!D$23*(1-$C55+$C55*((1+Supuestos!$B$4+$B55/10000)/(1+Supuestos!$B$4))^Supuestos!D$25)</f>
        <v>199934.202586799</v>
      </c>
      <c r="Z55" s="0" t="n">
        <f aca="false">Supuestos!E$23*(1-$C55+$C55*((1+Supuestos!$B$4+$B55/10000)/(1+Supuestos!$B$4))^Supuestos!E$25)</f>
        <v>260975.424226157</v>
      </c>
      <c r="AA55" s="0" t="n">
        <f aca="false">Supuestos!F$23*(1-$C55+$C55*((1+Supuestos!$B$4+$B55/10000)/(1+Supuestos!$B$4))^Supuestos!F$25)</f>
        <v>378116.318415612</v>
      </c>
      <c r="AB55" s="0" t="n">
        <f aca="false">Supuestos!G$23*(1-$C55+$C55*((1+Supuestos!$B$4+$B55/10000)/(1+Supuestos!$B$4))^Supuestos!G$25)</f>
        <v>380818.638615335</v>
      </c>
      <c r="AC55" s="0" t="n">
        <f aca="false">Supuestos!H$23*(1-$C55+$C55*((1+Supuestos!$B$4+$B55/10000)/(1+Supuestos!$B$4))^Supuestos!H$25)</f>
        <v>403679.894177732</v>
      </c>
      <c r="AD55" s="0" t="n">
        <f aca="false">Supuestos!I$23*(1-$C55+$C55*((1+Supuestos!$B$4+$B55/10000)/(1+Supuestos!$B$4))^Supuestos!I$25)</f>
        <v>536748.249762539</v>
      </c>
      <c r="AE55" s="0" t="n">
        <f aca="false">SUMPRODUCT(X55:AC55,R55:W55)</f>
        <v>1253695.85590534</v>
      </c>
      <c r="AF55" s="0" t="n">
        <f aca="false">(1+Supuestos!$B$5)/(1+Supuestos!$B$4)*(1+Supuestos!$B$4+$B55/10000)-1</f>
        <v>0.0329999999999999</v>
      </c>
      <c r="AG55" s="0" t="n">
        <f aca="false">AD55/(K55-AF55)</f>
        <v>6628320.77770739</v>
      </c>
      <c r="AH55" s="0" t="n">
        <f aca="false">AG55*Q55</f>
        <v>3650157.5080111</v>
      </c>
      <c r="AI55" s="0" t="n">
        <f aca="false">(AE55+AH55-Supuestos!$B$7-Supuestos!$B$8)/Supuestos!$B$9</f>
        <v>1628.8914903728</v>
      </c>
      <c r="AJ55" s="0" t="n">
        <f aca="false">AI55/AI$5-1</f>
        <v>-0.122748295009658</v>
      </c>
    </row>
    <row r="56" customFormat="false" ht="15" hidden="false" customHeight="false" outlineLevel="0" collapsed="false">
      <c r="A56" s="0" t="n">
        <v>60</v>
      </c>
      <c r="B56" s="0" t="n">
        <v>40</v>
      </c>
      <c r="C56" s="0" t="n">
        <v>0.85</v>
      </c>
      <c r="D56" s="0" t="s">
        <v>113</v>
      </c>
      <c r="E56" s="0" t="n">
        <f aca="false">(1-Supuestos!C$28)*((1+((1+Supuestos!C$26)/(1+Supuestos!$B$4)-1+Supuestos!$B$14*$A56/10000))*(1+Supuestos!$B$4+$B56/10000)-1)+Supuestos!C$28*((1+Supuestos!C$27+$A56/10000)*(1+Supuestos!$B$4+$B56/10000)-1)*(1-Supuestos!$B$6)</f>
        <v>0.115397210244146</v>
      </c>
      <c r="F56" s="0" t="n">
        <f aca="false">(1-Supuestos!D$28)*((1+((1+Supuestos!D$26)/(1+Supuestos!$B$4)-1+Supuestos!$B$14*$A56/10000))*(1+Supuestos!$B$4+$B56/10000)-1)+Supuestos!D$28*((1+Supuestos!D$27+$A56/10000)*(1+Supuestos!$B$4+$B56/10000)-1)*(1-Supuestos!$B$6)</f>
        <v>0.115089223789929</v>
      </c>
      <c r="G56" s="0" t="n">
        <f aca="false">(1-Supuestos!E$28)*((1+((1+Supuestos!E$26)/(1+Supuestos!$B$4)-1+Supuestos!$B$14*$A56/10000))*(1+Supuestos!$B$4+$B56/10000)-1)+Supuestos!E$28*((1+Supuestos!E$27+$A56/10000)*(1+Supuestos!$B$4+$B56/10000)-1)*(1-Supuestos!$B$6)</f>
        <v>0.114798781406164</v>
      </c>
      <c r="H56" s="0" t="n">
        <f aca="false">(1-Supuestos!F$28)*((1+((1+Supuestos!F$26)/(1+Supuestos!$B$4)-1+Supuestos!$B$14*$A56/10000))*(1+Supuestos!$B$4+$B56/10000)-1)+Supuestos!F$28*((1+Supuestos!F$27+$A56/10000)*(1+Supuestos!$B$4+$B56/10000)-1)*(1-Supuestos!$B$6)</f>
        <v>0.114525231064822</v>
      </c>
      <c r="I56" s="0" t="n">
        <f aca="false">(1-Supuestos!G$28)*((1+((1+Supuestos!G$26)/(1+Supuestos!$B$4)-1+Supuestos!$B$14*$A56/10000))*(1+Supuestos!$B$4+$B56/10000)-1)+Supuestos!G$28*((1+Supuestos!G$27+$A56/10000)*(1+Supuestos!$B$4+$B56/10000)-1)*(1-Supuestos!$B$6)</f>
        <v>0.114267952652795</v>
      </c>
      <c r="J56" s="0" t="n">
        <f aca="false">(1-Supuestos!H$28)*((1+((1+Supuestos!H$26)/(1+Supuestos!$B$4)-1+Supuestos!$B$14*$A56/10000))*(1+Supuestos!$B$4+$B56/10000)-1)+Supuestos!H$28*((1+Supuestos!H$27+$A56/10000)*(1+Supuestos!$B$4+$B56/10000)-1)*(1-Supuestos!$B$6)</f>
        <v>0.114026356042818</v>
      </c>
      <c r="K56" s="0" t="n">
        <f aca="false">(1-Supuestos!I$28)*((1+((1+Supuestos!I$26)/(1+Supuestos!$B$4)-1+Supuestos!$B$14*$A56/10000))*(1+Supuestos!$B$4+$B56/10000)-1)+Supuestos!I$28*((1+Supuestos!I$27+$A56/10000)*(1+Supuestos!$B$4+$B56/10000)-1)*(1-Supuestos!$B$6)</f>
        <v>0.114026356042818</v>
      </c>
      <c r="L56" s="0" t="n">
        <f aca="false">(1+E56)^-Supuestos!C$24</f>
        <v>0.946858807025238</v>
      </c>
      <c r="M56" s="0" t="n">
        <f aca="false">L56*(1+F56)^-Supuestos!D$24</f>
        <v>0.84913277505013</v>
      </c>
      <c r="N56" s="0" t="n">
        <f aca="false">M56*(1+G56)^-Supuestos!E$24</f>
        <v>0.761691517081735</v>
      </c>
      <c r="O56" s="0" t="n">
        <f aca="false">N56*(1+H56)^-Supuestos!F$24</f>
        <v>0.683422407901893</v>
      </c>
      <c r="P56" s="0" t="n">
        <f aca="false">O56*(1+I56)^-Supuestos!G$24</f>
        <v>0.613337578519452</v>
      </c>
      <c r="Q56" s="0" t="n">
        <f aca="false">P56*(1+J56)^-Supuestos!H$24</f>
        <v>0.550559306961207</v>
      </c>
      <c r="R56" s="0" t="n">
        <f aca="false">(1+E56)^-(Supuestos!C$24/2)</f>
        <v>0.97306670224874</v>
      </c>
      <c r="S56" s="0" t="n">
        <f aca="false">L56*(1+F56)^-(Supuestos!D$24/2)</f>
        <v>0.896665403810137</v>
      </c>
      <c r="T56" s="0" t="n">
        <f aca="false">M56*(1+G56)^-(Supuestos!E$24/2)</f>
        <v>0.804224615161559</v>
      </c>
      <c r="U56" s="0" t="n">
        <f aca="false">N56*(1+H56)^-(Supuestos!F$24/2)</f>
        <v>0.721496396860335</v>
      </c>
      <c r="V56" s="0" t="n">
        <f aca="false">O56*(1+I56)^-(Supuestos!G$24/2)</f>
        <v>0.647432347638331</v>
      </c>
      <c r="W56" s="0" t="n">
        <f aca="false">P56*(1+J56)^-(Supuestos!H$24/2)</f>
        <v>0.581101292515285</v>
      </c>
      <c r="X56" s="0" t="n">
        <f aca="false">Supuestos!C$23*(1-$C56+$C56*((1+Supuestos!$B$4+$B56/10000)/(1+Supuestos!$B$4))^Supuestos!C$25)</f>
        <v>113519.183506117</v>
      </c>
      <c r="Y56" s="0" t="n">
        <f aca="false">Supuestos!D$23*(1-$C56+$C56*((1+Supuestos!$B$4+$B56/10000)/(1+Supuestos!$B$4))^Supuestos!D$25)</f>
        <v>200098.789359545</v>
      </c>
      <c r="Z56" s="0" t="n">
        <f aca="false">Supuestos!E$23*(1-$C56+$C56*((1+Supuestos!$B$4+$B56/10000)/(1+Supuestos!$B$4))^Supuestos!E$25)</f>
        <v>261405.491469395</v>
      </c>
      <c r="AA56" s="0" t="n">
        <f aca="false">Supuestos!F$23*(1-$C56+$C56*((1+Supuestos!$B$4+$B56/10000)/(1+Supuestos!$B$4))^Supuestos!F$25)</f>
        <v>379051.835929774</v>
      </c>
      <c r="AB56" s="0" t="n">
        <f aca="false">Supuestos!G$23*(1-$C56+$C56*((1+Supuestos!$B$4+$B56/10000)/(1+Supuestos!$B$4))^Supuestos!G$25)</f>
        <v>382076.061884368</v>
      </c>
      <c r="AC56" s="0" t="n">
        <f aca="false">Supuestos!H$23*(1-$C56+$C56*((1+Supuestos!$B$4+$B56/10000)/(1+Supuestos!$B$4))^Supuestos!H$25)</f>
        <v>405347.556268947</v>
      </c>
      <c r="AD56" s="0" t="n">
        <f aca="false">Supuestos!I$23*(1-$C56+$C56*((1+Supuestos!$B$4+$B56/10000)/(1+Supuestos!$B$4))^Supuestos!I$25)</f>
        <v>539411.549327458</v>
      </c>
      <c r="AE56" s="0" t="n">
        <f aca="false">SUMPRODUCT(X56:AC56,R56:W56)</f>
        <v>1256513.05451198</v>
      </c>
      <c r="AF56" s="0" t="n">
        <f aca="false">(1+Supuestos!$B$5)/(1+Supuestos!$B$4)*(1+Supuestos!$B$4+$B56/10000)-1</f>
        <v>0.034</v>
      </c>
      <c r="AG56" s="0" t="n">
        <f aca="false">AD56/(K56-AF56)</f>
        <v>6740423.73038764</v>
      </c>
      <c r="AH56" s="0" t="n">
        <f aca="false">AG56*Q56</f>
        <v>3711003.01762709</v>
      </c>
      <c r="AI56" s="0" t="n">
        <f aca="false">(AE56+AH56-Supuestos!$B$7-Supuestos!$B$8)/Supuestos!$B$9</f>
        <v>1657.96122015483</v>
      </c>
      <c r="AJ56" s="0" t="n">
        <f aca="false">AI56/AI$5-1</f>
        <v>-0.107092574437963</v>
      </c>
    </row>
    <row r="57" customFormat="false" ht="15" hidden="false" customHeight="false" outlineLevel="0" collapsed="false">
      <c r="A57" s="0" t="n">
        <v>50</v>
      </c>
      <c r="B57" s="0" t="n">
        <v>50</v>
      </c>
      <c r="C57" s="0" t="n">
        <v>0.85</v>
      </c>
      <c r="D57" s="0" t="s">
        <v>113</v>
      </c>
      <c r="E57" s="0" t="n">
        <f aca="false">(1-Supuestos!C$28)*((1+((1+Supuestos!C$26)/(1+Supuestos!$B$4)-1+Supuestos!$B$14*$A57/10000))*(1+Supuestos!$B$4+$B57/10000)-1)+Supuestos!C$28*((1+Supuestos!C$27+$A57/10000)*(1+Supuestos!$B$4+$B57/10000)-1)*(1-Supuestos!$B$6)</f>
        <v>0.115444080915933</v>
      </c>
      <c r="F57" s="0" t="n">
        <f aca="false">(1-Supuestos!D$28)*((1+((1+Supuestos!D$26)/(1+Supuestos!$B$4)-1+Supuestos!$B$14*$A57/10000))*(1+Supuestos!$B$4+$B57/10000)-1)+Supuestos!D$28*((1+Supuestos!D$27+$A57/10000)*(1+Supuestos!$B$4+$B57/10000)-1)*(1-Supuestos!$B$6)</f>
        <v>0.11513598941278</v>
      </c>
      <c r="G57" s="0" t="n">
        <f aca="false">(1-Supuestos!E$28)*((1+((1+Supuestos!E$26)/(1+Supuestos!$B$4)-1+Supuestos!$B$14*$A57/10000))*(1+Supuestos!$B$4+$B57/10000)-1)+Supuestos!E$28*((1+Supuestos!E$27+$A57/10000)*(1+Supuestos!$B$4+$B57/10000)-1)*(1-Supuestos!$B$6)</f>
        <v>0.114845454110124</v>
      </c>
      <c r="H57" s="0" t="n">
        <f aca="false">(1-Supuestos!F$28)*((1+((1+Supuestos!F$26)/(1+Supuestos!$B$4)-1+Supuestos!$B$14*$A57/10000))*(1+Supuestos!$B$4+$B57/10000)-1)+Supuestos!F$28*((1+Supuestos!F$27+$A57/10000)*(1+Supuestos!$B$4+$B57/10000)-1)*(1-Supuestos!$B$6)</f>
        <v>0.114571822529123</v>
      </c>
      <c r="I57" s="0" t="n">
        <f aca="false">(1-Supuestos!G$28)*((1+((1+Supuestos!G$26)/(1+Supuestos!$B$4)-1+Supuestos!$B$14*$A57/10000))*(1+Supuestos!$B$4+$B57/10000)-1)+Supuestos!G$28*((1+Supuestos!G$27+$A57/10000)*(1+Supuestos!$B$4+$B57/10000)-1)*(1-Supuestos!$B$6)</f>
        <v>0.114314474127918</v>
      </c>
      <c r="J57" s="0" t="n">
        <f aca="false">(1-Supuestos!H$28)*((1+((1+Supuestos!H$26)/(1+Supuestos!$B$4)-1+Supuestos!$B$14*$A57/10000))*(1+Supuestos!$B$4+$B57/10000)-1)+Supuestos!H$28*((1+Supuestos!H$27+$A57/10000)*(1+Supuestos!$B$4+$B57/10000)-1)*(1-Supuestos!$B$6)</f>
        <v>0.114072818371227</v>
      </c>
      <c r="K57" s="0" t="n">
        <f aca="false">(1-Supuestos!I$28)*((1+((1+Supuestos!I$26)/(1+Supuestos!$B$4)-1+Supuestos!$B$14*$A57/10000))*(1+Supuestos!$B$4+$B57/10000)-1)+Supuestos!I$28*((1+Supuestos!I$27+$A57/10000)*(1+Supuestos!$B$4+$B57/10000)-1)*(1-Supuestos!$B$6)</f>
        <v>0.114072818371227</v>
      </c>
      <c r="L57" s="0" t="n">
        <f aca="false">(1+E57)^-Supuestos!C$24</f>
        <v>0.946838913435165</v>
      </c>
      <c r="M57" s="0" t="n">
        <f aca="false">L57*(1+F57)^-Supuestos!D$24</f>
        <v>0.84907932523437</v>
      </c>
      <c r="N57" s="0" t="n">
        <f aca="false">M57*(1+G57)^-Supuestos!E$24</f>
        <v>0.76161168537222</v>
      </c>
      <c r="O57" s="0" t="n">
        <f aca="false">N57*(1+H57)^-Supuestos!F$24</f>
        <v>0.683322213945814</v>
      </c>
      <c r="P57" s="0" t="n">
        <f aca="false">O57*(1+I57)^-Supuestos!G$24</f>
        <v>0.613222056978658</v>
      </c>
      <c r="Q57" s="0" t="n">
        <f aca="false">P57*(1+J57)^-Supuestos!H$24</f>
        <v>0.550432652934831</v>
      </c>
      <c r="R57" s="0" t="n">
        <f aca="false">(1+E57)^-(Supuestos!C$24/2)</f>
        <v>0.973056480084874</v>
      </c>
      <c r="S57" s="0" t="n">
        <f aca="false">L57*(1+F57)^-(Supuestos!D$24/2)</f>
        <v>0.896627763191155</v>
      </c>
      <c r="T57" s="0" t="n">
        <f aca="false">M57*(1+G57)^-(Supuestos!E$24/2)</f>
        <v>0.804157158711191</v>
      </c>
      <c r="U57" s="0" t="n">
        <f aca="false">N57*(1+H57)^-(Supuestos!F$24/2)</f>
        <v>0.72140569932289</v>
      </c>
      <c r="V57" s="0" t="n">
        <f aca="false">O57*(1+I57)^-(Supuestos!G$24/2)</f>
        <v>0.647323917073255</v>
      </c>
      <c r="W57" s="0" t="n">
        <f aca="false">P57*(1+J57)^-(Supuestos!H$24/2)</f>
        <v>0.580979727409586</v>
      </c>
      <c r="X57" s="0" t="n">
        <f aca="false">Supuestos!C$23*(1-$C57+$C57*((1+Supuestos!$B$4+$B57/10000)/(1+Supuestos!$B$4))^Supuestos!C$25)</f>
        <v>113542.508057945</v>
      </c>
      <c r="Y57" s="0" t="n">
        <f aca="false">Supuestos!D$23*(1-$C57+$C57*((1+Supuestos!$B$4+$B57/10000)/(1+Supuestos!$B$4))^Supuestos!D$25)</f>
        <v>200263.376132291</v>
      </c>
      <c r="Z57" s="0" t="n">
        <f aca="false">Supuestos!E$23*(1-$C57+$C57*((1+Supuestos!$B$4+$B57/10000)/(1+Supuestos!$B$4))^Supuestos!E$25)</f>
        <v>261835.974839622</v>
      </c>
      <c r="AA57" s="0" t="n">
        <f aca="false">Supuestos!F$23*(1-$C57+$C57*((1+Supuestos!$B$4+$B57/10000)/(1+Supuestos!$B$4))^Supuestos!F$25)</f>
        <v>379989.164706709</v>
      </c>
      <c r="AB57" s="0" t="n">
        <f aca="false">Supuestos!G$23*(1-$C57+$C57*((1+Supuestos!$B$4+$B57/10000)/(1+Supuestos!$B$4))^Supuestos!G$25)</f>
        <v>383337.138680628</v>
      </c>
      <c r="AC57" s="0" t="n">
        <f aca="false">Supuestos!H$23*(1-$C57+$C57*((1+Supuestos!$B$4+$B57/10000)/(1+Supuestos!$B$4))^Supuestos!H$25)</f>
        <v>407021.68215763</v>
      </c>
      <c r="AD57" s="0" t="n">
        <f aca="false">Supuestos!I$23*(1-$C57+$C57*((1+Supuestos!$B$4+$B57/10000)/(1+Supuestos!$B$4))^Supuestos!I$25)</f>
        <v>542087.758702064</v>
      </c>
      <c r="AE57" s="0" t="n">
        <f aca="false">SUMPRODUCT(X57:AC57,R57:W57)</f>
        <v>1259343.24301737</v>
      </c>
      <c r="AF57" s="0" t="n">
        <f aca="false">(1+Supuestos!$B$5)/(1+Supuestos!$B$4)*(1+Supuestos!$B$4+$B57/10000)-1</f>
        <v>0.0349999999999999</v>
      </c>
      <c r="AG57" s="0" t="n">
        <f aca="false">AD57/(K57-AF57)</f>
        <v>6855551.24843406</v>
      </c>
      <c r="AH57" s="0" t="n">
        <f aca="false">AG57*Q57</f>
        <v>3773519.26100625</v>
      </c>
      <c r="AI57" s="0" t="n">
        <f aca="false">(AE57+AH57-Supuestos!$B$7-Supuestos!$B$8)/Supuestos!$B$9</f>
        <v>1687.79977352677</v>
      </c>
      <c r="AJ57" s="0" t="n">
        <f aca="false">AI57/AI$5-1</f>
        <v>-0.0910227981669906</v>
      </c>
    </row>
    <row r="58" customFormat="false" ht="15" hidden="false" customHeight="false" outlineLevel="0" collapsed="false">
      <c r="A58" s="0" t="n">
        <v>40</v>
      </c>
      <c r="B58" s="0" t="n">
        <v>60</v>
      </c>
      <c r="C58" s="0" t="n">
        <v>0.85</v>
      </c>
      <c r="D58" s="0" t="s">
        <v>113</v>
      </c>
      <c r="E58" s="0" t="n">
        <f aca="false">(1-Supuestos!C$28)*((1+((1+Supuestos!C$26)/(1+Supuestos!$B$4)-1+Supuestos!$B$14*$A58/10000))*(1+Supuestos!$B$4+$B58/10000)-1)+Supuestos!C$28*((1+Supuestos!C$27+$A58/10000)*(1+Supuestos!$B$4+$B58/10000)-1)*(1-Supuestos!$B$6)</f>
        <v>0.115489044394799</v>
      </c>
      <c r="F58" s="0" t="n">
        <f aca="false">(1-Supuestos!D$28)*((1+((1+Supuestos!D$26)/(1+Supuestos!$B$4)-1+Supuestos!$B$14*$A58/10000))*(1+Supuestos!$B$4+$B58/10000)-1)+Supuestos!D$28*((1+Supuestos!D$27+$A58/10000)*(1+Supuestos!$B$4+$B58/10000)-1)*(1-Supuestos!$B$6)</f>
        <v>0.115180853523457</v>
      </c>
      <c r="G58" s="0" t="n">
        <f aca="false">(1-Supuestos!E$28)*((1+((1+Supuestos!E$26)/(1+Supuestos!$B$4)-1+Supuestos!$B$14*$A58/10000))*(1+Supuestos!$B$4+$B58/10000)-1)+Supuestos!E$28*((1+Supuestos!E$27+$A58/10000)*(1+Supuestos!$B$4+$B58/10000)-1)*(1-Supuestos!$B$6)</f>
        <v>0.114890230840142</v>
      </c>
      <c r="H58" s="0" t="n">
        <f aca="false">(1-Supuestos!F$28)*((1+((1+Supuestos!F$26)/(1+Supuestos!$B$4)-1+Supuestos!$B$14*$A58/10000))*(1+Supuestos!$B$4+$B58/10000)-1)+Supuestos!F$28*((1+Supuestos!F$27+$A58/10000)*(1+Supuestos!$B$4+$B58/10000)-1)*(1-Supuestos!$B$6)</f>
        <v>0.114616523420493</v>
      </c>
      <c r="I58" s="0" t="n">
        <f aca="false">(1-Supuestos!G$28)*((1+((1+Supuestos!G$26)/(1+Supuestos!$B$4)-1+Supuestos!$B$14*$A58/10000))*(1+Supuestos!$B$4+$B58/10000)-1)+Supuestos!G$28*((1+Supuestos!G$27+$A58/10000)*(1+Supuestos!$B$4+$B58/10000)-1)*(1-Supuestos!$B$6)</f>
        <v>0.11435911029894</v>
      </c>
      <c r="J58" s="0" t="n">
        <f aca="false">(1-Supuestos!H$28)*((1+((1+Supuestos!H$26)/(1+Supuestos!$B$4)-1+Supuestos!$B$14*$A58/10000))*(1+Supuestos!$B$4+$B58/10000)-1)+Supuestos!H$28*((1+Supuestos!H$27+$A58/10000)*(1+Supuestos!$B$4+$B58/10000)-1)*(1-Supuestos!$B$6)</f>
        <v>0.114117400536979</v>
      </c>
      <c r="K58" s="0" t="n">
        <f aca="false">(1-Supuestos!I$28)*((1+((1+Supuestos!I$26)/(1+Supuestos!$B$4)-1+Supuestos!$B$14*$A58/10000))*(1+Supuestos!$B$4+$B58/10000)-1)+Supuestos!I$28*((1+Supuestos!I$27+$A58/10000)*(1+Supuestos!$B$4+$B58/10000)-1)*(1-Supuestos!$B$6)</f>
        <v>0.114117400536979</v>
      </c>
      <c r="L58" s="0" t="n">
        <f aca="false">(1+E58)^-Supuestos!C$24</f>
        <v>0.94681983050436</v>
      </c>
      <c r="M58" s="0" t="n">
        <f aca="false">L58*(1+F58)^-Supuestos!D$24</f>
        <v>0.84902805451945</v>
      </c>
      <c r="N58" s="0" t="n">
        <f aca="false">M58*(1+G58)^-Supuestos!E$24</f>
        <v>0.761535109944996</v>
      </c>
      <c r="O58" s="0" t="n">
        <f aca="false">N58*(1+H58)^-Supuestos!F$24</f>
        <v>0.683226108660247</v>
      </c>
      <c r="P58" s="0" t="n">
        <f aca="false">O58*(1+I58)^-Supuestos!G$24</f>
        <v>0.613111251432192</v>
      </c>
      <c r="Q58" s="0" t="n">
        <f aca="false">P58*(1+J58)^-Supuestos!H$24</f>
        <v>0.550311171099819</v>
      </c>
      <c r="R58" s="0" t="n">
        <f aca="false">(1+E58)^-(Supuestos!C$24/2)</f>
        <v>0.973046674370947</v>
      </c>
      <c r="S58" s="0" t="n">
        <f aca="false">L58*(1+F58)^-(Supuestos!D$24/2)</f>
        <v>0.896591656593765</v>
      </c>
      <c r="T58" s="0" t="n">
        <f aca="false">M58*(1+G58)^-(Supuestos!E$24/2)</f>
        <v>0.804092452921215</v>
      </c>
      <c r="U58" s="0" t="n">
        <f aca="false">N58*(1+H58)^-(Supuestos!F$24/2)</f>
        <v>0.721318701945176</v>
      </c>
      <c r="V58" s="0" t="n">
        <f aca="false">O58*(1+I58)^-(Supuestos!G$24/2)</f>
        <v>0.647219912001964</v>
      </c>
      <c r="W58" s="0" t="n">
        <f aca="false">P58*(1+J58)^-(Supuestos!H$24/2)</f>
        <v>0.580863125693244</v>
      </c>
      <c r="X58" s="0" t="n">
        <f aca="false">Supuestos!C$23*(1-$C58+$C58*((1+Supuestos!$B$4+$B58/10000)/(1+Supuestos!$B$4))^Supuestos!C$25)</f>
        <v>113565.815714042</v>
      </c>
      <c r="Y58" s="0" t="n">
        <f aca="false">Supuestos!D$23*(1-$C58+$C58*((1+Supuestos!$B$4+$B58/10000)/(1+Supuestos!$B$4))^Supuestos!D$25)</f>
        <v>200427.962905036</v>
      </c>
      <c r="Z58" s="0" t="n">
        <f aca="false">Supuestos!E$23*(1-$C58+$C58*((1+Supuestos!$B$4+$B58/10000)/(1+Supuestos!$B$4))^Supuestos!E$25)</f>
        <v>262266.874336838</v>
      </c>
      <c r="AA58" s="0" t="n">
        <f aca="false">Supuestos!F$23*(1-$C58+$C58*((1+Supuestos!$B$4+$B58/10000)/(1+Supuestos!$B$4))^Supuestos!F$25)</f>
        <v>380928.306498121</v>
      </c>
      <c r="AB58" s="0" t="n">
        <f aca="false">Supuestos!G$23*(1-$C58+$C58*((1+Supuestos!$B$4+$B58/10000)/(1+Supuestos!$B$4))^Supuestos!G$25)</f>
        <v>384601.876074316</v>
      </c>
      <c r="AC58" s="0" t="n">
        <f aca="false">Supuestos!H$23*(1-$C58+$C58*((1+Supuestos!$B$4+$B58/10000)/(1+Supuestos!$B$4))^Supuestos!H$25)</f>
        <v>408702.290615684</v>
      </c>
      <c r="AD58" s="0" t="n">
        <f aca="false">Supuestos!I$23*(1-$C58+$C58*((1+Supuestos!$B$4+$B58/10000)/(1+Supuestos!$B$4))^Supuestos!I$25)</f>
        <v>544776.927900066</v>
      </c>
      <c r="AE58" s="0" t="n">
        <f aca="false">SUMPRODUCT(X58:AC58,R58:W58)</f>
        <v>1262186.48686802</v>
      </c>
      <c r="AF58" s="0" t="n">
        <f aca="false">(1+Supuestos!$B$5)/(1+Supuestos!$B$4)*(1+Supuestos!$B$4+$B58/10000)-1</f>
        <v>0.036</v>
      </c>
      <c r="AG58" s="0" t="n">
        <f aca="false">AD58/(K58-AF58)</f>
        <v>6973823.04269305</v>
      </c>
      <c r="AH58" s="0" t="n">
        <f aca="false">AG58*Q58</f>
        <v>3837772.72566732</v>
      </c>
      <c r="AI58" s="0" t="n">
        <f aca="false">(AE58+AH58-Supuestos!$B$7-Supuestos!$B$8)/Supuestos!$B$9</f>
        <v>1718.43753997048</v>
      </c>
      <c r="AJ58" s="0" t="n">
        <f aca="false">AI58/AI$5-1</f>
        <v>-0.0745225997138173</v>
      </c>
    </row>
    <row r="59" customFormat="false" ht="15" hidden="false" customHeight="false" outlineLevel="0" collapsed="false">
      <c r="A59" s="0" t="n">
        <v>30</v>
      </c>
      <c r="B59" s="0" t="n">
        <v>70</v>
      </c>
      <c r="C59" s="0" t="n">
        <v>0.85</v>
      </c>
      <c r="D59" s="0" t="s">
        <v>113</v>
      </c>
      <c r="E59" s="0" t="n">
        <f aca="false">(1-Supuestos!C$28)*((1+((1+Supuestos!C$26)/(1+Supuestos!$B$4)-1+Supuestos!$B$14*$A59/10000))*(1+Supuestos!$B$4+$B59/10000)-1)+Supuestos!C$28*((1+Supuestos!C$27+$A59/10000)*(1+Supuestos!$B$4+$B59/10000)-1)*(1-Supuestos!$B$6)</f>
        <v>0.115532100680741</v>
      </c>
      <c r="F59" s="0" t="n">
        <f aca="false">(1-Supuestos!D$28)*((1+((1+Supuestos!D$26)/(1+Supuestos!$B$4)-1+Supuestos!$B$14*$A59/10000))*(1+Supuestos!$B$4+$B59/10000)-1)+Supuestos!D$28*((1+Supuestos!D$27+$A59/10000)*(1+Supuestos!$B$4+$B59/10000)-1)*(1-Supuestos!$B$6)</f>
        <v>0.115223816121959</v>
      </c>
      <c r="G59" s="0" t="n">
        <f aca="false">(1-Supuestos!E$28)*((1+((1+Supuestos!E$26)/(1+Supuestos!$B$4)-1+Supuestos!$B$14*$A59/10000))*(1+Supuestos!$B$4+$B59/10000)-1)+Supuestos!E$28*((1+Supuestos!E$27+$A59/10000)*(1+Supuestos!$B$4+$B59/10000)-1)*(1-Supuestos!$B$6)</f>
        <v>0.114933111596217</v>
      </c>
      <c r="H59" s="0" t="n">
        <f aca="false">(1-Supuestos!F$28)*((1+((1+Supuestos!F$26)/(1+Supuestos!$B$4)-1+Supuestos!$B$14*$A59/10000))*(1+Supuestos!$B$4+$B59/10000)-1)+Supuestos!F$28*((1+Supuestos!F$27+$A59/10000)*(1+Supuestos!$B$4+$B59/10000)-1)*(1-Supuestos!$B$6)</f>
        <v>0.114659333738933</v>
      </c>
      <c r="I59" s="0" t="n">
        <f aca="false">(1-Supuestos!G$28)*((1+((1+Supuestos!G$26)/(1+Supuestos!$B$4)-1+Supuestos!$B$14*$A59/10000))*(1+Supuestos!$B$4+$B59/10000)-1)+Supuestos!G$28*((1+Supuestos!G$27+$A59/10000)*(1+Supuestos!$B$4+$B59/10000)-1)*(1-Supuestos!$B$6)</f>
        <v>0.114401861165863</v>
      </c>
      <c r="J59" s="0" t="n">
        <f aca="false">(1-Supuestos!H$28)*((1+((1+Supuestos!H$26)/(1+Supuestos!$B$4)-1+Supuestos!$B$14*$A59/10000))*(1+Supuestos!$B$4+$B59/10000)-1)+Supuestos!H$28*((1+Supuestos!H$27+$A59/10000)*(1+Supuestos!$B$4+$B59/10000)-1)*(1-Supuestos!$B$6)</f>
        <v>0.114160102540073</v>
      </c>
      <c r="K59" s="0" t="n">
        <f aca="false">(1-Supuestos!I$28)*((1+((1+Supuestos!I$26)/(1+Supuestos!$B$4)-1+Supuestos!$B$14*$A59/10000))*(1+Supuestos!$B$4+$B59/10000)-1)+Supuestos!I$28*((1+Supuestos!I$27+$A59/10000)*(1+Supuestos!$B$4+$B59/10000)-1)*(1-Supuestos!$B$6)</f>
        <v>0.114160102540073</v>
      </c>
      <c r="L59" s="0" t="n">
        <f aca="false">(1+E59)^-Supuestos!C$24</f>
        <v>0.946801558085885</v>
      </c>
      <c r="M59" s="0" t="n">
        <f aca="false">L59*(1+F59)^-Supuestos!D$24</f>
        <v>0.848978962248367</v>
      </c>
      <c r="N59" s="0" t="n">
        <f aca="false">M59*(1+G59)^-Supuestos!E$24</f>
        <v>0.761461789427806</v>
      </c>
      <c r="O59" s="0" t="n">
        <f aca="false">N59*(1+H59)^-Supuestos!F$24</f>
        <v>0.683134089833181</v>
      </c>
      <c r="P59" s="0" t="n">
        <f aca="false">O59*(1+I59)^-Supuestos!G$24</f>
        <v>0.613005158766067</v>
      </c>
      <c r="Q59" s="0" t="n">
        <f aca="false">P59*(1+J59)^-Supuestos!H$24</f>
        <v>0.550194857425366</v>
      </c>
      <c r="R59" s="0" t="n">
        <f aca="false">(1+E59)^-(Supuestos!C$24/2)</f>
        <v>0.973037285044044</v>
      </c>
      <c r="S59" s="0" t="n">
        <f aca="false">L59*(1+F59)^-(Supuestos!D$24/2)</f>
        <v>0.896557083647713</v>
      </c>
      <c r="T59" s="0" t="n">
        <f aca="false">M59*(1+G59)^-(Supuestos!E$24/2)</f>
        <v>0.804030496797356</v>
      </c>
      <c r="U59" s="0" t="n">
        <f aca="false">N59*(1+H59)^-(Supuestos!F$24/2)</f>
        <v>0.721235402946575</v>
      </c>
      <c r="V59" s="0" t="n">
        <f aca="false">O59*(1+I59)^-(Supuestos!G$24/2)</f>
        <v>0.647120329766189</v>
      </c>
      <c r="W59" s="0" t="n">
        <f aca="false">P59*(1+J59)^-(Supuestos!H$24/2)</f>
        <v>0.580751483793464</v>
      </c>
      <c r="X59" s="0" t="n">
        <f aca="false">Supuestos!C$23*(1-$C59+$C59*((1+Supuestos!$B$4+$B59/10000)/(1+Supuestos!$B$4))^Supuestos!C$25)</f>
        <v>113589.106502938</v>
      </c>
      <c r="Y59" s="0" t="n">
        <f aca="false">Supuestos!D$23*(1-$C59+$C59*((1+Supuestos!$B$4+$B59/10000)/(1+Supuestos!$B$4))^Supuestos!D$25)</f>
        <v>200592.549677782</v>
      </c>
      <c r="Z59" s="0" t="n">
        <f aca="false">Supuestos!E$23*(1-$C59+$C59*((1+Supuestos!$B$4+$B59/10000)/(1+Supuestos!$B$4))^Supuestos!E$25)</f>
        <v>262698.189961043</v>
      </c>
      <c r="AA59" s="0" t="n">
        <f aca="false">Supuestos!F$23*(1-$C59+$C59*((1+Supuestos!$B$4+$B59/10000)/(1+Supuestos!$B$4))^Supuestos!F$25)</f>
        <v>381869.263055716</v>
      </c>
      <c r="AB59" s="0" t="n">
        <f aca="false">Supuestos!G$23*(1-$C59+$C59*((1+Supuestos!$B$4+$B59/10000)/(1+Supuestos!$B$4))^Supuestos!G$25)</f>
        <v>385870.281142466</v>
      </c>
      <c r="AC59" s="0" t="n">
        <f aca="false">Supuestos!H$23*(1-$C59+$C59*((1+Supuestos!$B$4+$B59/10000)/(1+Supuestos!$B$4))^Supuestos!H$25)</f>
        <v>410389.400451318</v>
      </c>
      <c r="AD59" s="0" t="n">
        <f aca="false">Supuestos!I$23*(1-$C59+$C59*((1+Supuestos!$B$4+$B59/10000)/(1+Supuestos!$B$4))^Supuestos!I$25)</f>
        <v>547479.107080349</v>
      </c>
      <c r="AE59" s="0" t="n">
        <f aca="false">SUMPRODUCT(X59:AC59,R59:W59)</f>
        <v>1265042.85196291</v>
      </c>
      <c r="AF59" s="0" t="n">
        <f aca="false">(1+Supuestos!$B$5)/(1+Supuestos!$B$4)*(1+Supuestos!$B$4+$B59/10000)-1</f>
        <v>0.0369999999999999</v>
      </c>
      <c r="AG59" s="0" t="n">
        <f aca="false">AD59/(K59-AF59)</f>
        <v>7095365.20893056</v>
      </c>
      <c r="AH59" s="0" t="n">
        <f aca="false">AG59*Q59</f>
        <v>3903833.44950846</v>
      </c>
      <c r="AI59" s="0" t="n">
        <f aca="false">(AE59+AH59-Supuestos!$B$7-Supuestos!$B$8)/Supuestos!$B$9</f>
        <v>1749.90653035222</v>
      </c>
      <c r="AJ59" s="0" t="n">
        <f aca="false">AI59/AI$5-1</f>
        <v>-0.0575747393867963</v>
      </c>
    </row>
    <row r="60" customFormat="false" ht="15" hidden="false" customHeight="false" outlineLevel="0" collapsed="false">
      <c r="A60" s="0" t="n">
        <v>20</v>
      </c>
      <c r="B60" s="0" t="n">
        <v>80</v>
      </c>
      <c r="C60" s="0" t="n">
        <v>0.85</v>
      </c>
      <c r="D60" s="0" t="s">
        <v>113</v>
      </c>
      <c r="E60" s="0" t="n">
        <f aca="false">(1-Supuestos!C$28)*((1+((1+Supuestos!C$26)/(1+Supuestos!$B$4)-1+Supuestos!$B$14*$A60/10000))*(1+Supuestos!$B$4+$B60/10000)-1)+Supuestos!C$28*((1+Supuestos!C$27+$A60/10000)*(1+Supuestos!$B$4+$B60/10000)-1)*(1-Supuestos!$B$6)</f>
        <v>0.115573249773762</v>
      </c>
      <c r="F60" s="0" t="n">
        <f aca="false">(1-Supuestos!D$28)*((1+((1+Supuestos!D$26)/(1+Supuestos!$B$4)-1+Supuestos!$B$14*$A60/10000))*(1+Supuestos!$B$4+$B60/10000)-1)+Supuestos!D$28*((1+Supuestos!D$27+$A60/10000)*(1+Supuestos!$B$4+$B60/10000)-1)*(1-Supuestos!$B$6)</f>
        <v>0.115264877208287</v>
      </c>
      <c r="G60" s="0" t="n">
        <f aca="false">(1-Supuestos!E$28)*((1+((1+Supuestos!E$26)/(1+Supuestos!$B$4)-1+Supuestos!$B$14*$A60/10000))*(1+Supuestos!$B$4+$B60/10000)-1)+Supuestos!E$28*((1+Supuestos!E$27+$A60/10000)*(1+Supuestos!$B$4+$B60/10000)-1)*(1-Supuestos!$B$6)</f>
        <v>0.11497409637835</v>
      </c>
      <c r="H60" s="0" t="n">
        <f aca="false">(1-Supuestos!F$28)*((1+((1+Supuestos!F$26)/(1+Supuestos!$B$4)-1+Supuestos!$B$14*$A60/10000))*(1+Supuestos!$B$4+$B60/10000)-1)+Supuestos!F$28*((1+Supuestos!F$27+$A60/10000)*(1+Supuestos!$B$4+$B60/10000)-1)*(1-Supuestos!$B$6)</f>
        <v>0.114700253484444</v>
      </c>
      <c r="I60" s="0" t="n">
        <f aca="false">(1-Supuestos!G$28)*((1+((1+Supuestos!G$26)/(1+Supuestos!$B$4)-1+Supuestos!$B$14*$A60/10000))*(1+Supuestos!$B$4+$B60/10000)-1)+Supuestos!G$28*((1+Supuestos!G$27+$A60/10000)*(1+Supuestos!$B$4+$B60/10000)-1)*(1-Supuestos!$B$6)</f>
        <v>0.114442726728687</v>
      </c>
      <c r="J60" s="0" t="n">
        <f aca="false">(1-Supuestos!H$28)*((1+((1+Supuestos!H$26)/(1+Supuestos!$B$4)-1+Supuestos!$B$14*$A60/10000))*(1+Supuestos!$B$4+$B60/10000)-1)+Supuestos!H$28*((1+Supuestos!H$27+$A60/10000)*(1+Supuestos!$B$4+$B60/10000)-1)*(1-Supuestos!$B$6)</f>
        <v>0.11420092438051</v>
      </c>
      <c r="K60" s="0" t="n">
        <f aca="false">(1-Supuestos!I$28)*((1+((1+Supuestos!I$26)/(1+Supuestos!$B$4)-1+Supuestos!$B$14*$A60/10000))*(1+Supuestos!$B$4+$B60/10000)-1)+Supuestos!I$28*((1+Supuestos!I$27+$A60/10000)*(1+Supuestos!$B$4+$B60/10000)-1)*(1-Supuestos!$B$6)</f>
        <v>0.11420092438051</v>
      </c>
      <c r="L60" s="0" t="n">
        <f aca="false">(1+E60)^-Supuestos!C$24</f>
        <v>0.946784096039053</v>
      </c>
      <c r="M60" s="0" t="n">
        <f aca="false">L60*(1+F60)^-Supuestos!D$24</f>
        <v>0.848932047792115</v>
      </c>
      <c r="N60" s="0" t="n">
        <f aca="false">M60*(1+G60)^-Supuestos!E$24</f>
        <v>0.761391722506926</v>
      </c>
      <c r="O60" s="0" t="n">
        <f aca="false">N60*(1+H60)^-Supuestos!F$24</f>
        <v>0.683046155347045</v>
      </c>
      <c r="P60" s="0" t="n">
        <f aca="false">O60*(1+I60)^-Supuestos!G$24</f>
        <v>0.612903775999369</v>
      </c>
      <c r="Q60" s="0" t="n">
        <f aca="false">P60*(1+J60)^-Supuestos!H$24</f>
        <v>0.550083708053052</v>
      </c>
      <c r="R60" s="0" t="n">
        <f aca="false">(1+E60)^-(Supuestos!C$24/2)</f>
        <v>0.973028312043927</v>
      </c>
      <c r="S60" s="0" t="n">
        <f aca="false">L60*(1+F60)^-(Supuestos!D$24/2)</f>
        <v>0.896524043998509</v>
      </c>
      <c r="T60" s="0" t="n">
        <f aca="false">M60*(1+G60)^-(Supuestos!E$24/2)</f>
        <v>0.803971289387731</v>
      </c>
      <c r="U60" s="0" t="n">
        <f aca="false">N60*(1+H60)^-(Supuestos!F$24/2)</f>
        <v>0.721155800622459</v>
      </c>
      <c r="V60" s="0" t="n">
        <f aca="false">O60*(1+I60)^-(Supuestos!G$24/2)</f>
        <v>0.647025167821203</v>
      </c>
      <c r="W60" s="0" t="n">
        <f aca="false">P60*(1+J60)^-(Supuestos!H$24/2)</f>
        <v>0.580644798290185</v>
      </c>
      <c r="X60" s="0" t="n">
        <f aca="false">Supuestos!C$23*(1-$C60+$C60*((1+Supuestos!$B$4+$B60/10000)/(1+Supuestos!$B$4))^Supuestos!C$25)</f>
        <v>113612.380453089</v>
      </c>
      <c r="Y60" s="0" t="n">
        <f aca="false">Supuestos!D$23*(1-$C60+$C60*((1+Supuestos!$B$4+$B60/10000)/(1+Supuestos!$B$4))^Supuestos!D$25)</f>
        <v>200757.136450528</v>
      </c>
      <c r="Z60" s="0" t="n">
        <f aca="false">Supuestos!E$23*(1-$C60+$C60*((1+Supuestos!$B$4+$B60/10000)/(1+Supuestos!$B$4))^Supuestos!E$25)</f>
        <v>263129.921712237</v>
      </c>
      <c r="AA60" s="0" t="n">
        <f aca="false">Supuestos!F$23*(1-$C60+$C60*((1+Supuestos!$B$4+$B60/10000)/(1+Supuestos!$B$4))^Supuestos!F$25)</f>
        <v>382812.036131198</v>
      </c>
      <c r="AB60" s="0" t="n">
        <f aca="false">Supuestos!G$23*(1-$C60+$C60*((1+Supuestos!$B$4+$B60/10000)/(1+Supuestos!$B$4))^Supuestos!G$25)</f>
        <v>387142.360968947</v>
      </c>
      <c r="AC60" s="0" t="n">
        <f aca="false">Supuestos!H$23*(1-$C60+$C60*((1+Supuestos!$B$4+$B60/10000)/(1+Supuestos!$B$4))^Supuestos!H$25)</f>
        <v>412083.03050909</v>
      </c>
      <c r="AD60" s="0" t="n">
        <f aca="false">Supuestos!I$23*(1-$C60+$C60*((1+Supuestos!$B$4+$B60/10000)/(1+Supuestos!$B$4))^Supuestos!I$25)</f>
        <v>550194.346547259</v>
      </c>
      <c r="AE60" s="0" t="n">
        <f aca="false">SUMPRODUCT(X60:AC60,R60:W60)</f>
        <v>1267912.40465672</v>
      </c>
      <c r="AF60" s="0" t="n">
        <f aca="false">(1+Supuestos!$B$5)/(1+Supuestos!$B$4)*(1+Supuestos!$B$4+$B60/10000)-1</f>
        <v>0.038</v>
      </c>
      <c r="AG60" s="0" t="n">
        <f aca="false">AD60/(K60-AF60)</f>
        <v>7220310.65922325</v>
      </c>
      <c r="AH60" s="0" t="n">
        <f aca="false">AG60*Q60</f>
        <v>3971775.2607205</v>
      </c>
      <c r="AI60" s="0" t="n">
        <f aca="false">(AE60+AH60-Supuestos!$B$7-Supuestos!$B$8)/Supuestos!$B$9</f>
        <v>1782.24048647362</v>
      </c>
      <c r="AJ60" s="0" t="n">
        <f aca="false">AI60/AI$5-1</f>
        <v>-0.0401610452861012</v>
      </c>
    </row>
    <row r="61" customFormat="false" ht="15" hidden="false" customHeight="false" outlineLevel="0" collapsed="false">
      <c r="A61" s="0" t="n">
        <v>10</v>
      </c>
      <c r="B61" s="0" t="n">
        <v>90</v>
      </c>
      <c r="C61" s="0" t="n">
        <v>0.85</v>
      </c>
      <c r="D61" s="0" t="s">
        <v>113</v>
      </c>
      <c r="E61" s="0" t="n">
        <f aca="false">(1-Supuestos!C$28)*((1+((1+Supuestos!C$26)/(1+Supuestos!$B$4)-1+Supuestos!$B$14*$A61/10000))*(1+Supuestos!$B$4+$B61/10000)-1)+Supuestos!C$28*((1+Supuestos!C$27+$A61/10000)*(1+Supuestos!$B$4+$B61/10000)-1)*(1-Supuestos!$B$6)</f>
        <v>0.115612491673859</v>
      </c>
      <c r="F61" s="0" t="n">
        <f aca="false">(1-Supuestos!D$28)*((1+((1+Supuestos!D$26)/(1+Supuestos!$B$4)-1+Supuestos!$B$14*$A61/10000))*(1+Supuestos!$B$4+$B61/10000)-1)+Supuestos!D$28*((1+Supuestos!D$27+$A61/10000)*(1+Supuestos!$B$4+$B61/10000)-1)*(1-Supuestos!$B$6)</f>
        <v>0.115304036782441</v>
      </c>
      <c r="G61" s="0" t="n">
        <f aca="false">(1-Supuestos!E$28)*((1+((1+Supuestos!E$26)/(1+Supuestos!$B$4)-1+Supuestos!$B$14*$A61/10000))*(1+Supuestos!$B$4+$B61/10000)-1)+Supuestos!E$28*((1+Supuestos!E$27+$A61/10000)*(1+Supuestos!$B$4+$B61/10000)-1)*(1-Supuestos!$B$6)</f>
        <v>0.115013185186541</v>
      </c>
      <c r="H61" s="0" t="n">
        <f aca="false">(1-Supuestos!F$28)*((1+((1+Supuestos!F$26)/(1+Supuestos!$B$4)-1+Supuestos!$B$14*$A61/10000))*(1+Supuestos!$B$4+$B61/10000)-1)+Supuestos!F$28*((1+Supuestos!F$27+$A61/10000)*(1+Supuestos!$B$4+$B61/10000)-1)*(1-Supuestos!$B$6)</f>
        <v>0.114739282657024</v>
      </c>
      <c r="I61" s="0" t="n">
        <f aca="false">(1-Supuestos!G$28)*((1+((1+Supuestos!G$26)/(1+Supuestos!$B$4)-1+Supuestos!$B$14*$A61/10000))*(1+Supuestos!$B$4+$B61/10000)-1)+Supuestos!G$28*((1+Supuestos!G$27+$A61/10000)*(1+Supuestos!$B$4+$B61/10000)-1)*(1-Supuestos!$B$6)</f>
        <v>0.11448170698741</v>
      </c>
      <c r="J61" s="0" t="n">
        <f aca="false">(1-Supuestos!H$28)*((1+((1+Supuestos!H$26)/(1+Supuestos!$B$4)-1+Supuestos!$B$14*$A61/10000))*(1+Supuestos!$B$4+$B61/10000)-1)+Supuestos!H$28*((1+Supuestos!H$27+$A61/10000)*(1+Supuestos!$B$4+$B61/10000)-1)*(1-Supuestos!$B$6)</f>
        <v>0.114239866058289</v>
      </c>
      <c r="K61" s="0" t="n">
        <f aca="false">(1-Supuestos!I$28)*((1+((1+Supuestos!I$26)/(1+Supuestos!$B$4)-1+Supuestos!$B$14*$A61/10000))*(1+Supuestos!$B$4+$B61/10000)-1)+Supuestos!I$28*((1+Supuestos!I$27+$A61/10000)*(1+Supuestos!$B$4+$B61/10000)-1)*(1-Supuestos!$B$6)</f>
        <v>0.114239866058289</v>
      </c>
      <c r="L61" s="0" t="n">
        <f aca="false">(1+E61)^-Supuestos!C$24</f>
        <v>0.946767444229435</v>
      </c>
      <c r="M61" s="0" t="n">
        <f aca="false">L61*(1+F61)^-Supuestos!D$24</f>
        <v>0.848887310549669</v>
      </c>
      <c r="N61" s="0" t="n">
        <f aca="false">M61*(1+G61)^-Supuestos!E$24</f>
        <v>0.761324907927121</v>
      </c>
      <c r="O61" s="0" t="n">
        <f aca="false">N61*(1+H61)^-Supuestos!F$24</f>
        <v>0.682962303178617</v>
      </c>
      <c r="P61" s="0" t="n">
        <f aca="false">O61*(1+I61)^-Supuestos!G$24</f>
        <v>0.61280710028409</v>
      </c>
      <c r="Q61" s="0" t="n">
        <f aca="false">P61*(1+J61)^-Supuestos!H$24</f>
        <v>0.549977719296603</v>
      </c>
      <c r="R61" s="0" t="n">
        <f aca="false">(1+E61)^-(Supuestos!C$24/2)</f>
        <v>0.973019755313033</v>
      </c>
      <c r="S61" s="0" t="n">
        <f aca="false">L61*(1+F61)^-(Supuestos!D$24/2)</f>
        <v>0.896492537307427</v>
      </c>
      <c r="T61" s="0" t="n">
        <f aca="false">M61*(1+G61)^-(Supuestos!E$24/2)</f>
        <v>0.803914829782812</v>
      </c>
      <c r="U61" s="0" t="n">
        <f aca="false">N61*(1+H61)^-(Supuestos!F$24/2)</f>
        <v>0.721079893344112</v>
      </c>
      <c r="V61" s="0" t="n">
        <f aca="false">O61*(1+I61)^-(Supuestos!G$24/2)</f>
        <v>0.646934423735692</v>
      </c>
      <c r="W61" s="0" t="n">
        <f aca="false">P61*(1+J61)^-(Supuestos!H$24/2)</f>
        <v>0.580543065915879</v>
      </c>
      <c r="X61" s="0" t="n">
        <f aca="false">Supuestos!C$23*(1-$C61+$C61*((1+Supuestos!$B$4+$B61/10000)/(1+Supuestos!$B$4))^Supuestos!C$25)</f>
        <v>113635.637592871</v>
      </c>
      <c r="Y61" s="0" t="n">
        <f aca="false">Supuestos!D$23*(1-$C61+$C61*((1+Supuestos!$B$4+$B61/10000)/(1+Supuestos!$B$4))^Supuestos!D$25)</f>
        <v>200921.723223274</v>
      </c>
      <c r="Z61" s="0" t="n">
        <f aca="false">Supuestos!E$23*(1-$C61+$C61*((1+Supuestos!$B$4+$B61/10000)/(1+Supuestos!$B$4))^Supuestos!E$25)</f>
        <v>263562.06959042</v>
      </c>
      <c r="AA61" s="0" t="n">
        <f aca="false">Supuestos!F$23*(1-$C61+$C61*((1+Supuestos!$B$4+$B61/10000)/(1+Supuestos!$B$4))^Supuestos!F$25)</f>
        <v>383756.627476272</v>
      </c>
      <c r="AB61" s="0" t="n">
        <f aca="false">Supuestos!G$23*(1-$C61+$C61*((1+Supuestos!$B$4+$B61/10000)/(1+Supuestos!$B$4))^Supuestos!G$25)</f>
        <v>388418.122644461</v>
      </c>
      <c r="AC61" s="0" t="n">
        <f aca="false">Supuestos!H$23*(1-$C61+$C61*((1+Supuestos!$B$4+$B61/10000)/(1+Supuestos!$B$4))^Supuestos!H$25)</f>
        <v>413783.199669932</v>
      </c>
      <c r="AD61" s="0" t="n">
        <f aca="false">Supuestos!I$23*(1-$C61+$C61*((1+Supuestos!$B$4+$B61/10000)/(1+Supuestos!$B$4))^Supuestos!I$25)</f>
        <v>552922.696750878</v>
      </c>
      <c r="AE61" s="0" t="n">
        <f aca="false">SUMPRODUCT(X61:AC61,R61:W61)</f>
        <v>1270795.2117631</v>
      </c>
      <c r="AF61" s="0" t="n">
        <f aca="false">(1+Supuestos!$B$5)/(1+Supuestos!$B$4)*(1+Supuestos!$B$4+$B61/10000)-1</f>
        <v>0.0389999999999999</v>
      </c>
      <c r="AG61" s="0" t="n">
        <f aca="false">AD61/(K61-AF61)</f>
        <v>7348799.58880476</v>
      </c>
      <c r="AH61" s="0" t="n">
        <f aca="false">AG61*Q61</f>
        <v>4041676.03741865</v>
      </c>
      <c r="AI61" s="0" t="n">
        <f aca="false">(AE61+AH61-Supuestos!$B$7-Supuestos!$B$8)/Supuestos!$B$9</f>
        <v>1815.47499962637</v>
      </c>
      <c r="AJ61" s="0" t="n">
        <f aca="false">AI61/AI$5-1</f>
        <v>-0.0222623494551681</v>
      </c>
    </row>
    <row r="62" customFormat="false" ht="15" hidden="false" customHeight="false" outlineLevel="0" collapsed="false">
      <c r="A62" s="0" t="n">
        <v>0</v>
      </c>
      <c r="B62" s="0" t="n">
        <v>100</v>
      </c>
      <c r="C62" s="0" t="n">
        <v>0.85</v>
      </c>
      <c r="D62" s="0" t="s">
        <v>113</v>
      </c>
      <c r="E62" s="0" t="n">
        <f aca="false">(1-Supuestos!C$28)*((1+((1+Supuestos!C$26)/(1+Supuestos!$B$4)-1+Supuestos!$B$14*$A62/10000))*(1+Supuestos!$B$4+$B62/10000)-1)+Supuestos!C$28*((1+Supuestos!C$27+$A62/10000)*(1+Supuestos!$B$4+$B62/10000)-1)*(1-Supuestos!$B$6)</f>
        <v>0.115649826381034</v>
      </c>
      <c r="F62" s="0" t="n">
        <f aca="false">(1-Supuestos!D$28)*((1+((1+Supuestos!D$26)/(1+Supuestos!$B$4)-1+Supuestos!$B$14*$A62/10000))*(1+Supuestos!$B$4+$B62/10000)-1)+Supuestos!D$28*((1+Supuestos!D$27+$A62/10000)*(1+Supuestos!$B$4+$B62/10000)-1)*(1-Supuestos!$B$6)</f>
        <v>0.11534129484442</v>
      </c>
      <c r="G62" s="0" t="n">
        <f aca="false">(1-Supuestos!E$28)*((1+((1+Supuestos!E$26)/(1+Supuestos!$B$4)-1+Supuestos!$B$14*$A62/10000))*(1+Supuestos!$B$4+$B62/10000)-1)+Supuestos!E$28*((1+Supuestos!E$27+$A62/10000)*(1+Supuestos!$B$4+$B62/10000)-1)*(1-Supuestos!$B$6)</f>
        <v>0.115050378020789</v>
      </c>
      <c r="H62" s="0" t="n">
        <f aca="false">(1-Supuestos!F$28)*((1+((1+Supuestos!F$26)/(1+Supuestos!$B$4)-1+Supuestos!$B$14*$A62/10000))*(1+Supuestos!$B$4+$B62/10000)-1)+Supuestos!F$28*((1+Supuestos!F$27+$A62/10000)*(1+Supuestos!$B$4+$B62/10000)-1)*(1-Supuestos!$B$6)</f>
        <v>0.114776421256675</v>
      </c>
      <c r="I62" s="0" t="n">
        <f aca="false">(1-Supuestos!G$28)*((1+((1+Supuestos!G$26)/(1+Supuestos!$B$4)-1+Supuestos!$B$14*$A62/10000))*(1+Supuestos!$B$4+$B62/10000)-1)+Supuestos!G$28*((1+Supuestos!G$27+$A62/10000)*(1+Supuestos!$B$4+$B62/10000)-1)*(1-Supuestos!$B$6)</f>
        <v>0.114518801942034</v>
      </c>
      <c r="J62" s="0" t="n">
        <f aca="false">(1-Supuestos!H$28)*((1+((1+Supuestos!H$26)/(1+Supuestos!$B$4)-1+Supuestos!$B$14*$A62/10000))*(1+Supuestos!$B$4+$B62/10000)-1)+Supuestos!H$28*((1+Supuestos!H$27+$A62/10000)*(1+Supuestos!$B$4+$B62/10000)-1)*(1-Supuestos!$B$6)</f>
        <v>0.11427692757341</v>
      </c>
      <c r="K62" s="0" t="n">
        <f aca="false">(1-Supuestos!I$28)*((1+((1+Supuestos!I$26)/(1+Supuestos!$B$4)-1+Supuestos!$B$14*$A62/10000))*(1+Supuestos!$B$4+$B62/10000)-1)+Supuestos!I$28*((1+Supuestos!I$27+$A62/10000)*(1+Supuestos!$B$4+$B62/10000)-1)*(1-Supuestos!$B$6)</f>
        <v>0.11427692757341</v>
      </c>
      <c r="L62" s="0" t="n">
        <f aca="false">(1+E62)^-Supuestos!C$24</f>
        <v>0.946751602528848</v>
      </c>
      <c r="M62" s="0" t="n">
        <f aca="false">L62*(1+F62)^-Supuestos!D$24</f>
        <v>0.848844749947963</v>
      </c>
      <c r="N62" s="0" t="n">
        <f aca="false">M62*(1+G62)^-Supuestos!E$24</f>
        <v>0.761261344491591</v>
      </c>
      <c r="O62" s="0" t="n">
        <f aca="false">N62*(1+H62)^-Supuestos!F$24</f>
        <v>0.682882531398924</v>
      </c>
      <c r="P62" s="0" t="n">
        <f aca="false">O62*(1+I62)^-Supuestos!G$24</f>
        <v>0.612715128904968</v>
      </c>
      <c r="Q62" s="0" t="n">
        <f aca="false">P62*(1+J62)^-Supuestos!H$24</f>
        <v>0.549876887641651</v>
      </c>
      <c r="R62" s="0" t="n">
        <f aca="false">(1+E62)^-(Supuestos!C$24/2)</f>
        <v>0.973011614796477</v>
      </c>
      <c r="S62" s="0" t="n">
        <f aca="false">L62*(1+F62)^-(Supuestos!D$24/2)</f>
        <v>0.896462563251491</v>
      </c>
      <c r="T62" s="0" t="n">
        <f aca="false">M62*(1+G62)^-(Supuestos!E$24/2)</f>
        <v>0.803861117115397</v>
      </c>
      <c r="U62" s="0" t="n">
        <f aca="false">N62*(1+H62)^-(Supuestos!F$24/2)</f>
        <v>0.721007679558662</v>
      </c>
      <c r="V62" s="0" t="n">
        <f aca="false">O62*(1+I62)^-(Supuestos!G$24/2)</f>
        <v>0.646848095191632</v>
      </c>
      <c r="W62" s="0" t="n">
        <f aca="false">P62*(1+J62)^-(Supuestos!H$24/2)</f>
        <v>0.580446283555349</v>
      </c>
      <c r="X62" s="0" t="n">
        <f aca="false">Supuestos!C$23*(1-$C62+$C62*((1+Supuestos!$B$4+$B62/10000)/(1+Supuestos!$B$4))^Supuestos!C$25)</f>
        <v>113658.877950589</v>
      </c>
      <c r="Y62" s="0" t="n">
        <f aca="false">Supuestos!D$23*(1-$C62+$C62*((1+Supuestos!$B$4+$B62/10000)/(1+Supuestos!$B$4))^Supuestos!D$25)</f>
        <v>201086.30999602</v>
      </c>
      <c r="Z62" s="0" t="n">
        <f aca="false">Supuestos!E$23*(1-$C62+$C62*((1+Supuestos!$B$4+$B62/10000)/(1+Supuestos!$B$4))^Supuestos!E$25)</f>
        <v>263994.633595593</v>
      </c>
      <c r="AA62" s="0" t="n">
        <f aca="false">Supuestos!F$23*(1-$C62+$C62*((1+Supuestos!$B$4+$B62/10000)/(1+Supuestos!$B$4))^Supuestos!F$25)</f>
        <v>384703.038842644</v>
      </c>
      <c r="AB62" s="0" t="n">
        <f aca="false">Supuestos!G$23*(1-$C62+$C62*((1+Supuestos!$B$4+$B62/10000)/(1+Supuestos!$B$4))^Supuestos!G$25)</f>
        <v>389697.573266547</v>
      </c>
      <c r="AC62" s="0" t="n">
        <f aca="false">Supuestos!H$23*(1-$C62+$C62*((1+Supuestos!$B$4+$B62/10000)/(1+Supuestos!$B$4))^Supuestos!H$25)</f>
        <v>415489.926851194</v>
      </c>
      <c r="AD62" s="0" t="n">
        <f aca="false">Supuestos!I$23*(1-$C62+$C62*((1+Supuestos!$B$4+$B62/10000)/(1+Supuestos!$B$4))^Supuestos!I$25)</f>
        <v>555664.208287311</v>
      </c>
      <c r="AE62" s="0" t="n">
        <f aca="false">SUMPRODUCT(X62:AC62,R62:W62)</f>
        <v>1273691.34055792</v>
      </c>
      <c r="AF62" s="0" t="n">
        <f aca="false">(1+Supuestos!$B$5)/(1+Supuestos!$B$4)*(1+Supuestos!$B$4+$B62/10000)-1</f>
        <v>0.04</v>
      </c>
      <c r="AG62" s="0" t="n">
        <f aca="false">AD62/(K62-AF62)</f>
        <v>7480979.98181372</v>
      </c>
      <c r="AH62" s="0" t="n">
        <f aca="false">AG62*Q62</f>
        <v>4113617.98890922</v>
      </c>
      <c r="AI62" s="0" t="n">
        <f aca="false">(AE62+AH62-Supuestos!$B$7-Supuestos!$B$8)/Supuestos!$B$9</f>
        <v>1849.64763902609</v>
      </c>
      <c r="AJ62" s="0" t="n">
        <f aca="false">AI62/AI$5-1</f>
        <v>-0.00385841871171311</v>
      </c>
    </row>
    <row r="63" customFormat="false" ht="15" hidden="false" customHeight="false" outlineLevel="0" collapsed="false">
      <c r="A63" s="0" t="n">
        <v>100</v>
      </c>
      <c r="B63" s="0" t="n">
        <v>0</v>
      </c>
      <c r="C63" s="0" t="n">
        <v>0.7</v>
      </c>
      <c r="D63" s="0" t="s">
        <v>114</v>
      </c>
      <c r="E63" s="0" t="n">
        <f aca="false">(1-Supuestos!C$28)*((1+((1+Supuestos!C$26)/(1+Supuestos!$B$4)-1+Supuestos!$B$14*$A63/10000))*(1+Supuestos!$B$4+$B63/10000)-1)+Supuestos!C$28*((1+Supuestos!C$27+$A63/10000)*(1+Supuestos!$B$4+$B63/10000)-1)*(1-Supuestos!$B$6)</f>
        <v>0.11519065562777</v>
      </c>
      <c r="F63" s="0" t="n">
        <f aca="false">(1-Supuestos!D$28)*((1+((1+Supuestos!D$26)/(1+Supuestos!$B$4)-1+Supuestos!$B$14*$A63/10000))*(1+Supuestos!$B$4+$B63/10000)-1)+Supuestos!D$28*((1+Supuestos!D$27+$A63/10000)*(1+Supuestos!$B$4+$B63/10000)-1)*(1-Supuestos!$B$6)</f>
        <v>0.11488314617678</v>
      </c>
      <c r="G63" s="0" t="n">
        <f aca="false">(1-Supuestos!E$28)*((1+((1+Supuestos!E$26)/(1+Supuestos!$B$4)-1+Supuestos!$B$14*$A63/10000))*(1+Supuestos!$B$4+$B63/10000)-1)+Supuestos!E$28*((1+Supuestos!E$27+$A63/10000)*(1+Supuestos!$B$4+$B63/10000)-1)*(1-Supuestos!$B$6)</f>
        <v>0.114593130850897</v>
      </c>
      <c r="H63" s="0" t="n">
        <f aca="false">(1-Supuestos!F$28)*((1+((1+Supuestos!F$26)/(1+Supuestos!$B$4)-1+Supuestos!$B$14*$A63/10000))*(1+Supuestos!$B$4+$B63/10000)-1)+Supuestos!F$28*((1+Supuestos!F$27+$A63/10000)*(1+Supuestos!$B$4+$B63/10000)-1)*(1-Supuestos!$B$6)</f>
        <v>0.114319959478321</v>
      </c>
      <c r="I63" s="0" t="n">
        <f aca="false">(1-Supuestos!G$28)*((1+((1+Supuestos!G$26)/(1+Supuestos!$B$4)-1+Supuestos!$B$14*$A63/10000))*(1+Supuestos!$B$4+$B63/10000)-1)+Supuestos!G$28*((1+Supuestos!G$27+$A63/10000)*(1+Supuestos!$B$4+$B63/10000)-1)*(1-Supuestos!$B$6)</f>
        <v>0.11406301371131</v>
      </c>
      <c r="J63" s="0" t="n">
        <f aca="false">(1-Supuestos!H$28)*((1+((1+Supuestos!H$26)/(1+Supuestos!$B$4)-1+Supuestos!$B$14*$A63/10000))*(1+Supuestos!$B$4+$B63/10000)-1)+Supuestos!H$28*((1+Supuestos!H$27+$A63/10000)*(1+Supuestos!$B$4+$B63/10000)-1)*(1-Supuestos!$B$6)</f>
        <v>0.113821705102604</v>
      </c>
      <c r="K63" s="0" t="n">
        <f aca="false">(1-Supuestos!I$28)*((1+((1+Supuestos!I$26)/(1+Supuestos!$B$4)-1+Supuestos!$B$14*$A63/10000))*(1+Supuestos!$B$4+$B63/10000)-1)+Supuestos!I$28*((1+Supuestos!I$27+$A63/10000)*(1+Supuestos!$B$4+$B63/10000)-1)*(1-Supuestos!$B$6)</f>
        <v>0.113821705102604</v>
      </c>
      <c r="L63" s="0" t="n">
        <f aca="false">(1+E63)^-Supuestos!C$24</f>
        <v>0.946946491136157</v>
      </c>
      <c r="M63" s="0" t="n">
        <f aca="false">L63*(1+F63)^-Supuestos!D$24</f>
        <v>0.849368379442706</v>
      </c>
      <c r="N63" s="0" t="n">
        <f aca="false">M63*(1+G63)^-Supuestos!E$24</f>
        <v>0.762043436239631</v>
      </c>
      <c r="O63" s="0" t="n">
        <f aca="false">N63*(1+H63)^-Supuestos!F$24</f>
        <v>0.683864117983122</v>
      </c>
      <c r="P63" s="0" t="n">
        <f aca="false">O63*(1+I63)^-Supuestos!G$24</f>
        <v>0.613846891572987</v>
      </c>
      <c r="Q63" s="0" t="n">
        <f aca="false">P63*(1+J63)^-Supuestos!H$24</f>
        <v>0.551117731644887</v>
      </c>
      <c r="R63" s="0" t="n">
        <f aca="false">(1+E63)^-(Supuestos!C$24/2)</f>
        <v>0.973111756755696</v>
      </c>
      <c r="S63" s="0" t="n">
        <f aca="false">L63*(1+F63)^-(Supuestos!D$24/2)</f>
        <v>0.896831314459567</v>
      </c>
      <c r="T63" s="0" t="n">
        <f aca="false">M63*(1+G63)^-(Supuestos!E$24/2)</f>
        <v>0.804521968937957</v>
      </c>
      <c r="U63" s="0" t="n">
        <f aca="false">N63*(1+H63)^-(Supuestos!F$24/2)</f>
        <v>0.721896226883645</v>
      </c>
      <c r="V63" s="0" t="n">
        <f aca="false">O63*(1+I63)^-(Supuestos!G$24/2)</f>
        <v>0.647910381983683</v>
      </c>
      <c r="W63" s="0" t="n">
        <f aca="false">P63*(1+J63)^-(Supuestos!H$24/2)</f>
        <v>0.581637263645452</v>
      </c>
      <c r="X63" s="0" t="n">
        <f aca="false">Supuestos!C$23*(1-$C63+$C63*((1+Supuestos!$B$4+$B63/10000)/(1+Supuestos!$B$4))^Supuestos!C$25)</f>
        <v>113425.715768245</v>
      </c>
      <c r="Y63" s="0" t="n">
        <f aca="false">Supuestos!D$23*(1-$C63+$C63*((1+Supuestos!$B$4+$B63/10000)/(1+Supuestos!$B$4))^Supuestos!D$25)</f>
        <v>199440.442268561</v>
      </c>
      <c r="Z63" s="0" t="n">
        <f aca="false">Supuestos!E$23*(1-$C63+$C63*((1+Supuestos!$B$4+$B63/10000)/(1+Supuestos!$B$4))^Supuestos!E$25)</f>
        <v>259687.719258378</v>
      </c>
      <c r="AA63" s="0" t="n">
        <f aca="false">Supuestos!F$23*(1-$C63+$C63*((1+Supuestos!$B$4+$B63/10000)/(1+Supuestos!$B$4))^Supuestos!F$25)</f>
        <v>375320.615932717</v>
      </c>
      <c r="AB63" s="0" t="n">
        <f aca="false">Supuestos!G$23*(1-$C63+$C63*((1+Supuestos!$B$4+$B63/10000)/(1+Supuestos!$B$4))^Supuestos!G$25)</f>
        <v>377068.219372121</v>
      </c>
      <c r="AC63" s="0" t="n">
        <f aca="false">Supuestos!H$23*(1-$C63+$C63*((1+Supuestos!$B$4+$B63/10000)/(1+Supuestos!$B$4))^Supuestos!H$25)</f>
        <v>398715.503513791</v>
      </c>
      <c r="AD63" s="0" t="n">
        <f aca="false">Supuestos!I$23*(1-$C63+$C63*((1+Supuestos!$B$4+$B63/10000)/(1+Supuestos!$B$4))^Supuestos!I$25)</f>
        <v>528835.311960595</v>
      </c>
      <c r="AE63" s="0" t="n">
        <f aca="false">SUMPRODUCT(X63:AC63,R63:W63)</f>
        <v>1245321.55173293</v>
      </c>
      <c r="AF63" s="0" t="n">
        <f aca="false">(1+Supuestos!$B$5)/(1+Supuestos!$B$4)*(1+Supuestos!$B$4+$B63/10000)-1</f>
        <v>0.03</v>
      </c>
      <c r="AG63" s="0" t="n">
        <f aca="false">AD63/(K63-AF63)</f>
        <v>6309049.80175791</v>
      </c>
      <c r="AH63" s="0" t="n">
        <f aca="false">AG63*Q63</f>
        <v>3477029.21557944</v>
      </c>
      <c r="AI63" s="0" t="n">
        <f aca="false">(AE63+AH63-Supuestos!$B$7-Supuestos!$B$8)/Supuestos!$B$9</f>
        <v>1546.01359238008</v>
      </c>
      <c r="AJ63" s="0" t="n">
        <f aca="false">AI63/AI$5-1</f>
        <v>-0.167382807345096</v>
      </c>
    </row>
    <row r="64" customFormat="false" ht="15" hidden="false" customHeight="false" outlineLevel="0" collapsed="false">
      <c r="A64" s="0" t="n">
        <v>90</v>
      </c>
      <c r="B64" s="0" t="n">
        <v>10</v>
      </c>
      <c r="C64" s="0" t="n">
        <v>0.7</v>
      </c>
      <c r="D64" s="0" t="s">
        <v>114</v>
      </c>
      <c r="E64" s="0" t="n">
        <f aca="false">(1-Supuestos!C$28)*((1+((1+Supuestos!C$26)/(1+Supuestos!$B$4)-1+Supuestos!$B$14*$A64/10000))*(1+Supuestos!$B$4+$B64/10000)-1)+Supuestos!C$28*((1+Supuestos!C$27+$A64/10000)*(1+Supuestos!$B$4+$B64/10000)-1)*(1-Supuestos!$B$6)</f>
        <v>0.115245155071247</v>
      </c>
      <c r="F64" s="0" t="n">
        <f aca="false">(1-Supuestos!D$28)*((1+((1+Supuestos!D$26)/(1+Supuestos!$B$4)-1+Supuestos!$B$14*$A64/10000))*(1+Supuestos!$B$4+$B64/10000)-1)+Supuestos!D$28*((1+Supuestos!D$27+$A64/10000)*(1+Supuestos!$B$4+$B64/10000)-1)*(1-Supuestos!$B$6)</f>
        <v>0.114937517848329</v>
      </c>
      <c r="G64" s="0" t="n">
        <f aca="false">(1-Supuestos!E$28)*((1+((1+Supuestos!E$26)/(1+Supuestos!$B$4)-1+Supuestos!$B$14*$A64/10000))*(1+Supuestos!$B$4+$B64/10000)-1)+Supuestos!E$28*((1+Supuestos!E$27+$A64/10000)*(1+Supuestos!$B$4+$B64/10000)-1)*(1-Supuestos!$B$6)</f>
        <v>0.114647387450627</v>
      </c>
      <c r="H64" s="0" t="n">
        <f aca="false">(1-Supuestos!F$28)*((1+((1+Supuestos!F$26)/(1+Supuestos!$B$4)-1+Supuestos!$B$14*$A64/10000))*(1+Supuestos!$B$4+$B64/10000)-1)+Supuestos!F$28*((1+Supuestos!F$27+$A64/10000)*(1+Supuestos!$B$4+$B64/10000)-1)*(1-Supuestos!$B$6)</f>
        <v>0.114374113234341</v>
      </c>
      <c r="I64" s="0" t="n">
        <f aca="false">(1-Supuestos!G$28)*((1+((1+Supuestos!G$26)/(1+Supuestos!$B$4)-1+Supuestos!$B$14*$A64/10000))*(1+Supuestos!$B$4+$B64/10000)-1)+Supuestos!G$28*((1+Supuestos!G$27+$A64/10000)*(1+Supuestos!$B$4+$B64/10000)-1)*(1-Supuestos!$B$6)</f>
        <v>0.114117076402831</v>
      </c>
      <c r="J64" s="0" t="n">
        <f aca="false">(1-Supuestos!H$28)*((1+((1+Supuestos!H$26)/(1+Supuestos!$B$4)-1+Supuestos!$B$14*$A64/10000))*(1+Supuestos!$B$4+$B64/10000)-1)+Supuestos!H$28*((1+Supuestos!H$27+$A64/10000)*(1+Supuestos!$B$4+$B64/10000)-1)*(1-Supuestos!$B$6)</f>
        <v>0.113875688081644</v>
      </c>
      <c r="K64" s="0" t="n">
        <f aca="false">(1-Supuestos!I$28)*((1+((1+Supuestos!I$26)/(1+Supuestos!$B$4)-1+Supuestos!$B$14*$A64/10000))*(1+Supuestos!$B$4+$B64/10000)-1)+Supuestos!I$28*((1+Supuestos!I$27+$A64/10000)*(1+Supuestos!$B$4+$B64/10000)-1)*(1-Supuestos!$B$6)</f>
        <v>0.113875688081644</v>
      </c>
      <c r="L64" s="0" t="n">
        <f aca="false">(1+E64)^-Supuestos!C$24</f>
        <v>0.946923353314378</v>
      </c>
      <c r="M64" s="0" t="n">
        <f aca="false">L64*(1+F64)^-Supuestos!D$24</f>
        <v>0.849306206092881</v>
      </c>
      <c r="N64" s="0" t="n">
        <f aca="false">M64*(1+G64)^-Supuestos!E$24</f>
        <v>0.761950564505764</v>
      </c>
      <c r="O64" s="0" t="n">
        <f aca="false">N64*(1+H64)^-Supuestos!F$24</f>
        <v>0.683747545332233</v>
      </c>
      <c r="P64" s="0" t="n">
        <f aca="false">O64*(1+I64)^-Supuestos!G$24</f>
        <v>0.613712472247405</v>
      </c>
      <c r="Q64" s="0" t="n">
        <f aca="false">P64*(1+J64)^-Supuestos!H$24</f>
        <v>0.550970345087936</v>
      </c>
      <c r="R64" s="0" t="n">
        <f aca="false">(1+E64)^-(Supuestos!C$24/2)</f>
        <v>0.973099868109321</v>
      </c>
      <c r="S64" s="0" t="n">
        <f aca="false">L64*(1+F64)^-(Supuestos!D$24/2)</f>
        <v>0.896787533735936</v>
      </c>
      <c r="T64" s="0" t="n">
        <f aca="false">M64*(1+G64)^-(Supuestos!E$24/2)</f>
        <v>0.804443499054296</v>
      </c>
      <c r="U64" s="0" t="n">
        <f aca="false">N64*(1+H64)^-(Supuestos!F$24/2)</f>
        <v>0.721790709378643</v>
      </c>
      <c r="V64" s="0" t="n">
        <f aca="false">O64*(1+I64)^-(Supuestos!G$24/2)</f>
        <v>0.647784220585018</v>
      </c>
      <c r="W64" s="0" t="n">
        <f aca="false">P64*(1+J64)^-(Supuestos!H$24/2)</f>
        <v>0.581495806192034</v>
      </c>
      <c r="X64" s="0" t="n">
        <f aca="false">Supuestos!C$23*(1-$C64+$C64*((1+Supuestos!$B$4+$B64/10000)/(1+Supuestos!$B$4))^Supuestos!C$25)</f>
        <v>113444.98011542</v>
      </c>
      <c r="Y64" s="0" t="n">
        <f aca="false">Supuestos!D$23*(1-$C64+$C64*((1+Supuestos!$B$4+$B64/10000)/(1+Supuestos!$B$4))^Supuestos!D$25)</f>
        <v>199575.984316705</v>
      </c>
      <c r="Z64" s="0" t="n">
        <f aca="false">Supuestos!E$23*(1-$C64+$C64*((1+Supuestos!$B$4+$B64/10000)/(1+Supuestos!$B$4))^Supuestos!E$25)</f>
        <v>260040.864203777</v>
      </c>
      <c r="AA64" s="0" t="n">
        <f aca="false">Supuestos!F$23*(1-$C64+$C64*((1+Supuestos!$B$4+$B64/10000)/(1+Supuestos!$B$4))^Supuestos!F$25)</f>
        <v>376086.575891835</v>
      </c>
      <c r="AB64" s="0" t="n">
        <f aca="false">Supuestos!G$23*(1-$C64+$C64*((1+Supuestos!$B$4+$B64/10000)/(1+Supuestos!$B$4))^Supuestos!G$25)</f>
        <v>378094.752934642</v>
      </c>
      <c r="AC64" s="0" t="n">
        <f aca="false">Supuestos!H$23*(1-$C64+$C64*((1+Supuestos!$B$4+$B64/10000)/(1+Supuestos!$B$4))^Supuestos!H$25)</f>
        <v>400072.995369502</v>
      </c>
      <c r="AD64" s="0" t="n">
        <f aca="false">Supuestos!I$23*(1-$C64+$C64*((1+Supuestos!$B$4+$B64/10000)/(1+Supuestos!$B$4))^Supuestos!I$25)</f>
        <v>530996.968595156</v>
      </c>
      <c r="AE64" s="0" t="n">
        <f aca="false">SUMPRODUCT(X64:AC64,R64:W64)</f>
        <v>1247579.11286932</v>
      </c>
      <c r="AF64" s="0" t="n">
        <f aca="false">(1+Supuestos!$B$5)/(1+Supuestos!$B$4)*(1+Supuestos!$B$4+$B64/10000)-1</f>
        <v>0.0309999999999999</v>
      </c>
      <c r="AG64" s="0" t="n">
        <f aca="false">AD64/(K64-AF64)</f>
        <v>6407150.04467959</v>
      </c>
      <c r="AH64" s="0" t="n">
        <f aca="false">AG64*Q64</f>
        <v>3530149.6711473</v>
      </c>
      <c r="AI64" s="0" t="n">
        <f aca="false">(AE64+AH64-Supuestos!$B$7-Supuestos!$B$8)/Supuestos!$B$9</f>
        <v>1571.30035799846</v>
      </c>
      <c r="AJ64" s="0" t="n">
        <f aca="false">AI64/AI$5-1</f>
        <v>-0.153764430440606</v>
      </c>
    </row>
    <row r="65" customFormat="false" ht="15" hidden="false" customHeight="false" outlineLevel="0" collapsed="false">
      <c r="A65" s="0" t="n">
        <v>80</v>
      </c>
      <c r="B65" s="0" t="n">
        <v>20</v>
      </c>
      <c r="C65" s="0" t="n">
        <v>0.7</v>
      </c>
      <c r="D65" s="0" t="s">
        <v>114</v>
      </c>
      <c r="E65" s="0" t="n">
        <f aca="false">(1-Supuestos!C$28)*((1+((1+Supuestos!C$26)/(1+Supuestos!$B$4)-1+Supuestos!$B$14*$A65/10000))*(1+Supuestos!$B$4+$B65/10000)-1)+Supuestos!C$28*((1+Supuestos!C$27+$A65/10000)*(1+Supuestos!$B$4+$B65/10000)-1)*(1-Supuestos!$B$6)</f>
        <v>0.115297747321803</v>
      </c>
      <c r="F65" s="0" t="n">
        <f aca="false">(1-Supuestos!D$28)*((1+((1+Supuestos!D$26)/(1+Supuestos!$B$4)-1+Supuestos!$B$14*$A65/10000))*(1+Supuestos!$B$4+$B65/10000)-1)+Supuestos!D$28*((1+Supuestos!D$27+$A65/10000)*(1+Supuestos!$B$4+$B65/10000)-1)*(1-Supuestos!$B$6)</f>
        <v>0.114989988007703</v>
      </c>
      <c r="G65" s="0" t="n">
        <f aca="false">(1-Supuestos!E$28)*((1+((1+Supuestos!E$26)/(1+Supuestos!$B$4)-1+Supuestos!$B$14*$A65/10000))*(1+Supuestos!$B$4+$B65/10000)-1)+Supuestos!E$28*((1+Supuestos!E$27+$A65/10000)*(1+Supuestos!$B$4+$B65/10000)-1)*(1-Supuestos!$B$6)</f>
        <v>0.114699748076415</v>
      </c>
      <c r="H65" s="0" t="n">
        <f aca="false">(1-Supuestos!F$28)*((1+((1+Supuestos!F$26)/(1+Supuestos!$B$4)-1+Supuestos!$B$14*$A65/10000))*(1+Supuestos!$B$4+$B65/10000)-1)+Supuestos!F$28*((1+Supuestos!F$27+$A65/10000)*(1+Supuestos!$B$4+$B65/10000)-1)*(1-Supuestos!$B$6)</f>
        <v>0.114426376417432</v>
      </c>
      <c r="I65" s="0" t="n">
        <f aca="false">(1-Supuestos!G$28)*((1+((1+Supuestos!G$26)/(1+Supuestos!$B$4)-1+Supuestos!$B$14*$A65/10000))*(1+Supuestos!$B$4+$B65/10000)-1)+Supuestos!G$28*((1+Supuestos!G$27+$A65/10000)*(1+Supuestos!$B$4+$B65/10000)-1)*(1-Supuestos!$B$6)</f>
        <v>0.114169253790252</v>
      </c>
      <c r="J65" s="0" t="n">
        <f aca="false">(1-Supuestos!H$28)*((1+((1+Supuestos!H$26)/(1+Supuestos!$B$4)-1+Supuestos!$B$14*$A65/10000))*(1+Supuestos!$B$4+$B65/10000)-1)+Supuestos!H$28*((1+Supuestos!H$27+$A65/10000)*(1+Supuestos!$B$4+$B65/10000)-1)*(1-Supuestos!$B$6)</f>
        <v>0.113927790898026</v>
      </c>
      <c r="K65" s="0" t="n">
        <f aca="false">(1-Supuestos!I$28)*((1+((1+Supuestos!I$26)/(1+Supuestos!$B$4)-1+Supuestos!$B$14*$A65/10000))*(1+Supuestos!$B$4+$B65/10000)-1)+Supuestos!I$28*((1+Supuestos!I$27+$A65/10000)*(1+Supuestos!$B$4+$B65/10000)-1)*(1-Supuestos!$B$6)</f>
        <v>0.113927790898026</v>
      </c>
      <c r="L65" s="0" t="n">
        <f aca="false">(1+E65)^-Supuestos!C$24</f>
        <v>0.946901026802251</v>
      </c>
      <c r="M65" s="0" t="n">
        <f aca="false">L65*(1+F65)^-Supuestos!D$24</f>
        <v>0.849246214752296</v>
      </c>
      <c r="N65" s="0" t="n">
        <f aca="false">M65*(1+G65)^-Supuestos!E$24</f>
        <v>0.761860955129667</v>
      </c>
      <c r="O65" s="0" t="n">
        <f aca="false">N65*(1+H65)^-Supuestos!F$24</f>
        <v>0.683635071146499</v>
      </c>
      <c r="P65" s="0" t="n">
        <f aca="false">O65*(1+I65)^-Supuestos!G$24</f>
        <v>0.613582782706367</v>
      </c>
      <c r="Q65" s="0" t="n">
        <f aca="false">P65*(1+J65)^-Supuestos!H$24</f>
        <v>0.550828148574791</v>
      </c>
      <c r="R65" s="0" t="n">
        <f aca="false">(1+E65)^-(Supuestos!C$24/2)</f>
        <v>0.973088396191348</v>
      </c>
      <c r="S65" s="0" t="n">
        <f aca="false">L65*(1+F65)^-(Supuestos!D$24/2)</f>
        <v>0.896745288672806</v>
      </c>
      <c r="T65" s="0" t="n">
        <f aca="false">M65*(1+G65)^-(Supuestos!E$24/2)</f>
        <v>0.804367784232709</v>
      </c>
      <c r="U65" s="0" t="n">
        <f aca="false">N65*(1+H65)^-(Supuestos!F$24/2)</f>
        <v>0.721688899917277</v>
      </c>
      <c r="V65" s="0" t="n">
        <f aca="false">O65*(1+I65)^-(Supuestos!G$24/2)</f>
        <v>0.647662496451458</v>
      </c>
      <c r="W65" s="0" t="n">
        <f aca="false">P65*(1+J65)^-(Supuestos!H$24/2)</f>
        <v>0.581359327950895</v>
      </c>
      <c r="X65" s="0" t="n">
        <f aca="false">Supuestos!C$23*(1-$C65+$C65*((1+Supuestos!$B$4+$B65/10000)/(1+Supuestos!$B$4))^Supuestos!C$25)</f>
        <v>113464.230453855</v>
      </c>
      <c r="Y65" s="0" t="n">
        <f aca="false">Supuestos!D$23*(1-$C65+$C65*((1+Supuestos!$B$4+$B65/10000)/(1+Supuestos!$B$4))^Supuestos!D$25)</f>
        <v>199711.526364848</v>
      </c>
      <c r="Z65" s="0" t="n">
        <f aca="false">Supuestos!E$23*(1-$C65+$C65*((1+Supuestos!$B$4+$B65/10000)/(1+Supuestos!$B$4))^Supuestos!E$25)</f>
        <v>260394.351841991</v>
      </c>
      <c r="AA65" s="0" t="n">
        <f aca="false">Supuestos!F$23*(1-$C65+$C65*((1+Supuestos!$B$4+$B65/10000)/(1+Supuestos!$B$4))^Supuestos!F$25)</f>
        <v>376854.023151378</v>
      </c>
      <c r="AB65" s="0" t="n">
        <f aca="false">Supuestos!G$23*(1-$C65+$C65*((1+Supuestos!$B$4+$B65/10000)/(1+Supuestos!$B$4))^Supuestos!G$25)</f>
        <v>379124.27785051</v>
      </c>
      <c r="AC65" s="0" t="n">
        <f aca="false">Supuestos!H$23*(1-$C65+$C65*((1+Supuestos!$B$4+$B65/10000)/(1+Supuestos!$B$4))^Supuestos!H$25)</f>
        <v>401435.764154024</v>
      </c>
      <c r="AD65" s="0" t="n">
        <f aca="false">Supuestos!I$23*(1-$C65+$C65*((1+Supuestos!$B$4+$B65/10000)/(1+Supuestos!$B$4))^Supuestos!I$25)</f>
        <v>533169.133989455</v>
      </c>
      <c r="AE65" s="0" t="n">
        <f aca="false">SUMPRODUCT(X65:AC65,R65:W65)</f>
        <v>1249848.29193619</v>
      </c>
      <c r="AF65" s="0" t="n">
        <f aca="false">(1+Supuestos!$B$5)/(1+Supuestos!$B$4)*(1+Supuestos!$B$4+$B65/10000)-1</f>
        <v>0.032</v>
      </c>
      <c r="AG65" s="0" t="n">
        <f aca="false">AD65/(K65-AF65)</f>
        <v>6507793.36468477</v>
      </c>
      <c r="AH65" s="0" t="n">
        <f aca="false">AG65*Q65</f>
        <v>3584675.77037663</v>
      </c>
      <c r="AI65" s="0" t="n">
        <f aca="false">(AE65+AH65-Supuestos!$B$7-Supuestos!$B$8)/Supuestos!$B$9</f>
        <v>1597.23427502868</v>
      </c>
      <c r="AJ65" s="0" t="n">
        <f aca="false">AI65/AI$5-1</f>
        <v>-0.1397975252991</v>
      </c>
    </row>
    <row r="66" customFormat="false" ht="15" hidden="false" customHeight="false" outlineLevel="0" collapsed="false">
      <c r="A66" s="0" t="n">
        <v>70</v>
      </c>
      <c r="B66" s="0" t="n">
        <v>30</v>
      </c>
      <c r="C66" s="0" t="n">
        <v>0.7</v>
      </c>
      <c r="D66" s="0" t="s">
        <v>114</v>
      </c>
      <c r="E66" s="0" t="n">
        <f aca="false">(1-Supuestos!C$28)*((1+((1+Supuestos!C$26)/(1+Supuestos!$B$4)-1+Supuestos!$B$14*$A66/10000))*(1+Supuestos!$B$4+$B66/10000)-1)+Supuestos!C$28*((1+Supuestos!C$27+$A66/10000)*(1+Supuestos!$B$4+$B66/10000)-1)*(1-Supuestos!$B$6)</f>
        <v>0.115348432379435</v>
      </c>
      <c r="F66" s="0" t="n">
        <f aca="false">(1-Supuestos!D$28)*((1+((1+Supuestos!D$26)/(1+Supuestos!$B$4)-1+Supuestos!$B$14*$A66/10000))*(1+Supuestos!$B$4+$B66/10000)-1)+Supuestos!D$28*((1+Supuestos!D$27+$A66/10000)*(1+Supuestos!$B$4+$B66/10000)-1)*(1-Supuestos!$B$6)</f>
        <v>0.115040556654903</v>
      </c>
      <c r="G66" s="0" t="n">
        <f aca="false">(1-Supuestos!E$28)*((1+((1+Supuestos!E$26)/(1+Supuestos!$B$4)-1+Supuestos!$B$14*$A66/10000))*(1+Supuestos!$B$4+$B66/10000)-1)+Supuestos!E$28*((1+Supuestos!E$27+$A66/10000)*(1+Supuestos!$B$4+$B66/10000)-1)*(1-Supuestos!$B$6)</f>
        <v>0.114750212728261</v>
      </c>
      <c r="H66" s="0" t="n">
        <f aca="false">(1-Supuestos!F$28)*((1+((1+Supuestos!F$26)/(1+Supuestos!$B$4)-1+Supuestos!$B$14*$A66/10000))*(1+Supuestos!$B$4+$B66/10000)-1)+Supuestos!F$28*((1+Supuestos!F$27+$A66/10000)*(1+Supuestos!$B$4+$B66/10000)-1)*(1-Supuestos!$B$6)</f>
        <v>0.114476749027592</v>
      </c>
      <c r="I66" s="0" t="n">
        <f aca="false">(1-Supuestos!G$28)*((1+((1+Supuestos!G$26)/(1+Supuestos!$B$4)-1+Supuestos!$B$14*$A66/10000))*(1+Supuestos!$B$4+$B66/10000)-1)+Supuestos!G$28*((1+Supuestos!G$27+$A66/10000)*(1+Supuestos!$B$4+$B66/10000)-1)*(1-Supuestos!$B$6)</f>
        <v>0.114219545873573</v>
      </c>
      <c r="J66" s="0" t="n">
        <f aca="false">(1-Supuestos!H$28)*((1+((1+Supuestos!H$26)/(1+Supuestos!$B$4)-1+Supuestos!$B$14*$A66/10000))*(1+Supuestos!$B$4+$B66/10000)-1)+Supuestos!H$28*((1+Supuestos!H$27+$A66/10000)*(1+Supuestos!$B$4+$B66/10000)-1)*(1-Supuestos!$B$6)</f>
        <v>0.113978013551751</v>
      </c>
      <c r="K66" s="0" t="n">
        <f aca="false">(1-Supuestos!I$28)*((1+((1+Supuestos!I$26)/(1+Supuestos!$B$4)-1+Supuestos!$B$14*$A66/10000))*(1+Supuestos!$B$4+$B66/10000)-1)+Supuestos!I$28*((1+Supuestos!I$27+$A66/10000)*(1+Supuestos!$B$4+$B66/10000)-1)*(1-Supuestos!$B$6)</f>
        <v>0.113978013551751</v>
      </c>
      <c r="L66" s="0" t="n">
        <f aca="false">(1+E66)^-Supuestos!C$24</f>
        <v>0.94687951142778</v>
      </c>
      <c r="M66" s="0" t="n">
        <f aca="false">L66*(1+F66)^-Supuestos!D$24</f>
        <v>0.849188404651753</v>
      </c>
      <c r="N66" s="0" t="n">
        <f aca="false">M66*(1+G66)^-Supuestos!E$24</f>
        <v>0.761774606504387</v>
      </c>
      <c r="O66" s="0" t="n">
        <f aca="false">N66*(1+H66)^-Supuestos!F$24</f>
        <v>0.683526692835049</v>
      </c>
      <c r="P66" s="0" t="n">
        <f aca="false">O66*(1+I66)^-Supuestos!G$24</f>
        <v>0.613457819301805</v>
      </c>
      <c r="Q66" s="0" t="n">
        <f aca="false">P66*(1+J66)^-Supuestos!H$24</f>
        <v>0.550691137382404</v>
      </c>
      <c r="R66" s="0" t="n">
        <f aca="false">(1+E66)^-(Supuestos!C$24/2)</f>
        <v>0.97307734092814</v>
      </c>
      <c r="S66" s="0" t="n">
        <f aca="false">L66*(1+F66)^-(Supuestos!D$24/2)</f>
        <v>0.896704578836747</v>
      </c>
      <c r="T66" s="0" t="n">
        <f aca="false">M66*(1+G66)^-(Supuestos!E$24/2)</f>
        <v>0.804294823309014</v>
      </c>
      <c r="U66" s="0" t="n">
        <f aca="false">N66*(1+H66)^-(Supuestos!F$24/2)</f>
        <v>0.72159079641419</v>
      </c>
      <c r="V66" s="0" t="n">
        <f aca="false">O66*(1+I66)^-(Supuestos!G$24/2)</f>
        <v>0.647545206469142</v>
      </c>
      <c r="W66" s="0" t="n">
        <f aca="false">P66*(1+J66)^-(Supuestos!H$24/2)</f>
        <v>0.581227824736084</v>
      </c>
      <c r="X66" s="0" t="n">
        <f aca="false">Supuestos!C$23*(1-$C66+$C66*((1+Supuestos!$B$4+$B66/10000)/(1+Supuestos!$B$4))^Supuestos!C$25)</f>
        <v>113483.466807299</v>
      </c>
      <c r="Y66" s="0" t="n">
        <f aca="false">Supuestos!D$23*(1-$C66+$C66*((1+Supuestos!$B$4+$B66/10000)/(1+Supuestos!$B$4))^Supuestos!D$25)</f>
        <v>199847.068412992</v>
      </c>
      <c r="Z66" s="0" t="n">
        <f aca="false">Supuestos!E$23*(1-$C66+$C66*((1+Supuestos!$B$4+$B66/10000)/(1+Supuestos!$B$4))^Supuestos!E$25)</f>
        <v>260748.182173019</v>
      </c>
      <c r="AA66" s="0" t="n">
        <f aca="false">Supuestos!F$23*(1-$C66+$C66*((1+Supuestos!$B$4+$B66/10000)/(1+Supuestos!$B$4))^Supuestos!F$25)</f>
        <v>377622.959153925</v>
      </c>
      <c r="AB66" s="0" t="n">
        <f aca="false">Supuestos!G$23*(1-$C66+$C66*((1+Supuestos!$B$4+$B66/10000)/(1+Supuestos!$B$4))^Supuestos!G$25)</f>
        <v>380156.799925356</v>
      </c>
      <c r="AC66" s="0" t="n">
        <f aca="false">Supuestos!H$23*(1-$C66+$C66*((1+Supuestos!$B$4+$B66/10000)/(1+Supuestos!$B$4))^Supuestos!H$25)</f>
        <v>402803.825237037</v>
      </c>
      <c r="AD66" s="0" t="n">
        <f aca="false">Supuestos!I$23*(1-$C66+$C66*((1+Supuestos!$B$4+$B66/10000)/(1+Supuestos!$B$4))^Supuestos!I$25)</f>
        <v>535351.848973961</v>
      </c>
      <c r="AE66" s="0" t="n">
        <f aca="false">SUMPRODUCT(X66:AC66,R66:W66)</f>
        <v>1252129.14101855</v>
      </c>
      <c r="AF66" s="0" t="n">
        <f aca="false">(1+Supuestos!$B$5)/(1+Supuestos!$B$4)*(1+Supuestos!$B$4+$B66/10000)-1</f>
        <v>0.0329999999999999</v>
      </c>
      <c r="AG66" s="0" t="n">
        <f aca="false">AD66/(K66-AF66)</f>
        <v>6611076.5810751</v>
      </c>
      <c r="AH66" s="0" t="n">
        <f aca="false">AG66*Q66</f>
        <v>3640661.28175442</v>
      </c>
      <c r="AI66" s="0" t="n">
        <f aca="false">(AE66+AH66-Supuestos!$B$7-Supuestos!$B$8)/Supuestos!$B$9</f>
        <v>1623.83991907442</v>
      </c>
      <c r="AJ66" s="0" t="n">
        <f aca="false">AI66/AI$5-1</f>
        <v>-0.125468856545268</v>
      </c>
    </row>
    <row r="67" customFormat="false" ht="15" hidden="false" customHeight="false" outlineLevel="0" collapsed="false">
      <c r="A67" s="0" t="n">
        <v>60</v>
      </c>
      <c r="B67" s="0" t="n">
        <v>40</v>
      </c>
      <c r="C67" s="0" t="n">
        <v>0.7</v>
      </c>
      <c r="D67" s="0" t="s">
        <v>114</v>
      </c>
      <c r="E67" s="0" t="n">
        <f aca="false">(1-Supuestos!C$28)*((1+((1+Supuestos!C$26)/(1+Supuestos!$B$4)-1+Supuestos!$B$14*$A67/10000))*(1+Supuestos!$B$4+$B67/10000)-1)+Supuestos!C$28*((1+Supuestos!C$27+$A67/10000)*(1+Supuestos!$B$4+$B67/10000)-1)*(1-Supuestos!$B$6)</f>
        <v>0.115397210244146</v>
      </c>
      <c r="F67" s="0" t="n">
        <f aca="false">(1-Supuestos!D$28)*((1+((1+Supuestos!D$26)/(1+Supuestos!$B$4)-1+Supuestos!$B$14*$A67/10000))*(1+Supuestos!$B$4+$B67/10000)-1)+Supuestos!D$28*((1+Supuestos!D$27+$A67/10000)*(1+Supuestos!$B$4+$B67/10000)-1)*(1-Supuestos!$B$6)</f>
        <v>0.115089223789929</v>
      </c>
      <c r="G67" s="0" t="n">
        <f aca="false">(1-Supuestos!E$28)*((1+((1+Supuestos!E$26)/(1+Supuestos!$B$4)-1+Supuestos!$B$14*$A67/10000))*(1+Supuestos!$B$4+$B67/10000)-1)+Supuestos!E$28*((1+Supuestos!E$27+$A67/10000)*(1+Supuestos!$B$4+$B67/10000)-1)*(1-Supuestos!$B$6)</f>
        <v>0.114798781406164</v>
      </c>
      <c r="H67" s="0" t="n">
        <f aca="false">(1-Supuestos!F$28)*((1+((1+Supuestos!F$26)/(1+Supuestos!$B$4)-1+Supuestos!$B$14*$A67/10000))*(1+Supuestos!$B$4+$B67/10000)-1)+Supuestos!F$28*((1+Supuestos!F$27+$A67/10000)*(1+Supuestos!$B$4+$B67/10000)-1)*(1-Supuestos!$B$6)</f>
        <v>0.114525231064822</v>
      </c>
      <c r="I67" s="0" t="n">
        <f aca="false">(1-Supuestos!G$28)*((1+((1+Supuestos!G$26)/(1+Supuestos!$B$4)-1+Supuestos!$B$14*$A67/10000))*(1+Supuestos!$B$4+$B67/10000)-1)+Supuestos!G$28*((1+Supuestos!G$27+$A67/10000)*(1+Supuestos!$B$4+$B67/10000)-1)*(1-Supuestos!$B$6)</f>
        <v>0.114267952652795</v>
      </c>
      <c r="J67" s="0" t="n">
        <f aca="false">(1-Supuestos!H$28)*((1+((1+Supuestos!H$26)/(1+Supuestos!$B$4)-1+Supuestos!$B$14*$A67/10000))*(1+Supuestos!$B$4+$B67/10000)-1)+Supuestos!H$28*((1+Supuestos!H$27+$A67/10000)*(1+Supuestos!$B$4+$B67/10000)-1)*(1-Supuestos!$B$6)</f>
        <v>0.114026356042818</v>
      </c>
      <c r="K67" s="0" t="n">
        <f aca="false">(1-Supuestos!I$28)*((1+((1+Supuestos!I$26)/(1+Supuestos!$B$4)-1+Supuestos!$B$14*$A67/10000))*(1+Supuestos!$B$4+$B67/10000)-1)+Supuestos!I$28*((1+Supuestos!I$27+$A67/10000)*(1+Supuestos!$B$4+$B67/10000)-1)*(1-Supuestos!$B$6)</f>
        <v>0.114026356042818</v>
      </c>
      <c r="L67" s="0" t="n">
        <f aca="false">(1+E67)^-Supuestos!C$24</f>
        <v>0.946858807025238</v>
      </c>
      <c r="M67" s="0" t="n">
        <f aca="false">L67*(1+F67)^-Supuestos!D$24</f>
        <v>0.84913277505013</v>
      </c>
      <c r="N67" s="0" t="n">
        <f aca="false">M67*(1+G67)^-Supuestos!E$24</f>
        <v>0.761691517081735</v>
      </c>
      <c r="O67" s="0" t="n">
        <f aca="false">N67*(1+H67)^-Supuestos!F$24</f>
        <v>0.683422407901893</v>
      </c>
      <c r="P67" s="0" t="n">
        <f aca="false">O67*(1+I67)^-Supuestos!G$24</f>
        <v>0.613337578519452</v>
      </c>
      <c r="Q67" s="0" t="n">
        <f aca="false">P67*(1+J67)^-Supuestos!H$24</f>
        <v>0.550559306961207</v>
      </c>
      <c r="R67" s="0" t="n">
        <f aca="false">(1+E67)^-(Supuestos!C$24/2)</f>
        <v>0.97306670224874</v>
      </c>
      <c r="S67" s="0" t="n">
        <f aca="false">L67*(1+F67)^-(Supuestos!D$24/2)</f>
        <v>0.896665403810137</v>
      </c>
      <c r="T67" s="0" t="n">
        <f aca="false">M67*(1+G67)^-(Supuestos!E$24/2)</f>
        <v>0.804224615161559</v>
      </c>
      <c r="U67" s="0" t="n">
        <f aca="false">N67*(1+H67)^-(Supuestos!F$24/2)</f>
        <v>0.721496396860335</v>
      </c>
      <c r="V67" s="0" t="n">
        <f aca="false">O67*(1+I67)^-(Supuestos!G$24/2)</f>
        <v>0.647432347638331</v>
      </c>
      <c r="W67" s="0" t="n">
        <f aca="false">P67*(1+J67)^-(Supuestos!H$24/2)</f>
        <v>0.581101292515285</v>
      </c>
      <c r="X67" s="0" t="n">
        <f aca="false">Supuestos!C$23*(1-$C67+$C67*((1+Supuestos!$B$4+$B67/10000)/(1+Supuestos!$B$4))^Supuestos!C$25)</f>
        <v>113502.689199434</v>
      </c>
      <c r="Y67" s="0" t="n">
        <f aca="false">Supuestos!D$23*(1-$C67+$C67*((1+Supuestos!$B$4+$B67/10000)/(1+Supuestos!$B$4))^Supuestos!D$25)</f>
        <v>199982.610461136</v>
      </c>
      <c r="Z67" s="0" t="n">
        <f aca="false">Supuestos!E$23*(1-$C67+$C67*((1+Supuestos!$B$4+$B67/10000)/(1+Supuestos!$B$4))^Supuestos!E$25)</f>
        <v>261102.355196862</v>
      </c>
      <c r="AA67" s="0" t="n">
        <f aca="false">Supuestos!F$23*(1-$C67+$C67*((1+Supuestos!$B$4+$B67/10000)/(1+Supuestos!$B$4))^Supuestos!F$25)</f>
        <v>378393.385342058</v>
      </c>
      <c r="AB67" s="0" t="n">
        <f aca="false">Supuestos!G$23*(1-$C67+$C67*((1+Supuestos!$B$4+$B67/10000)/(1+Supuestos!$B$4))^Supuestos!G$25)</f>
        <v>381192.324970442</v>
      </c>
      <c r="AC67" s="0" t="n">
        <f aca="false">Supuestos!H$23*(1-$C67+$C67*((1+Supuestos!$B$4+$B67/10000)/(1+Supuestos!$B$4))^Supuestos!H$25)</f>
        <v>404177.194018037</v>
      </c>
      <c r="AD67" s="0" t="n">
        <f aca="false">Supuestos!I$23*(1-$C67+$C67*((1+Supuestos!$B$4+$B67/10000)/(1+Supuestos!$B$4))^Supuestos!I$25)</f>
        <v>537545.154498012</v>
      </c>
      <c r="AE67" s="0" t="n">
        <f aca="false">SUMPRODUCT(X67:AC67,R67:W67)</f>
        <v>1254421.71259226</v>
      </c>
      <c r="AF67" s="0" t="n">
        <f aca="false">(1+Supuestos!$B$5)/(1+Supuestos!$B$4)*(1+Supuestos!$B$4+$B67/10000)-1</f>
        <v>0.034</v>
      </c>
      <c r="AG67" s="0" t="n">
        <f aca="false">AD67/(K67-AF67)</f>
        <v>6717101.47854792</v>
      </c>
      <c r="AH67" s="0" t="n">
        <f aca="false">AG67*Q67</f>
        <v>3698162.73481744</v>
      </c>
      <c r="AI67" s="0" t="n">
        <f aca="false">(AE67+AH67-Supuestos!$B$7-Supuestos!$B$8)/Supuestos!$B$9</f>
        <v>1651.14312667109</v>
      </c>
      <c r="AJ67" s="0" t="n">
        <f aca="false">AI67/AI$5-1</f>
        <v>-0.110764509719558</v>
      </c>
    </row>
    <row r="68" customFormat="false" ht="15" hidden="false" customHeight="false" outlineLevel="0" collapsed="false">
      <c r="A68" s="0" t="n">
        <v>50</v>
      </c>
      <c r="B68" s="0" t="n">
        <v>50</v>
      </c>
      <c r="C68" s="0" t="n">
        <v>0.7</v>
      </c>
      <c r="D68" s="0" t="s">
        <v>114</v>
      </c>
      <c r="E68" s="0" t="n">
        <f aca="false">(1-Supuestos!C$28)*((1+((1+Supuestos!C$26)/(1+Supuestos!$B$4)-1+Supuestos!$B$14*$A68/10000))*(1+Supuestos!$B$4+$B68/10000)-1)+Supuestos!C$28*((1+Supuestos!C$27+$A68/10000)*(1+Supuestos!$B$4+$B68/10000)-1)*(1-Supuestos!$B$6)</f>
        <v>0.115444080915933</v>
      </c>
      <c r="F68" s="0" t="n">
        <f aca="false">(1-Supuestos!D$28)*((1+((1+Supuestos!D$26)/(1+Supuestos!$B$4)-1+Supuestos!$B$14*$A68/10000))*(1+Supuestos!$B$4+$B68/10000)-1)+Supuestos!D$28*((1+Supuestos!D$27+$A68/10000)*(1+Supuestos!$B$4+$B68/10000)-1)*(1-Supuestos!$B$6)</f>
        <v>0.11513598941278</v>
      </c>
      <c r="G68" s="0" t="n">
        <f aca="false">(1-Supuestos!E$28)*((1+((1+Supuestos!E$26)/(1+Supuestos!$B$4)-1+Supuestos!$B$14*$A68/10000))*(1+Supuestos!$B$4+$B68/10000)-1)+Supuestos!E$28*((1+Supuestos!E$27+$A68/10000)*(1+Supuestos!$B$4+$B68/10000)-1)*(1-Supuestos!$B$6)</f>
        <v>0.114845454110124</v>
      </c>
      <c r="H68" s="0" t="n">
        <f aca="false">(1-Supuestos!F$28)*((1+((1+Supuestos!F$26)/(1+Supuestos!$B$4)-1+Supuestos!$B$14*$A68/10000))*(1+Supuestos!$B$4+$B68/10000)-1)+Supuestos!F$28*((1+Supuestos!F$27+$A68/10000)*(1+Supuestos!$B$4+$B68/10000)-1)*(1-Supuestos!$B$6)</f>
        <v>0.114571822529123</v>
      </c>
      <c r="I68" s="0" t="n">
        <f aca="false">(1-Supuestos!G$28)*((1+((1+Supuestos!G$26)/(1+Supuestos!$B$4)-1+Supuestos!$B$14*$A68/10000))*(1+Supuestos!$B$4+$B68/10000)-1)+Supuestos!G$28*((1+Supuestos!G$27+$A68/10000)*(1+Supuestos!$B$4+$B68/10000)-1)*(1-Supuestos!$B$6)</f>
        <v>0.114314474127918</v>
      </c>
      <c r="J68" s="0" t="n">
        <f aca="false">(1-Supuestos!H$28)*((1+((1+Supuestos!H$26)/(1+Supuestos!$B$4)-1+Supuestos!$B$14*$A68/10000))*(1+Supuestos!$B$4+$B68/10000)-1)+Supuestos!H$28*((1+Supuestos!H$27+$A68/10000)*(1+Supuestos!$B$4+$B68/10000)-1)*(1-Supuestos!$B$6)</f>
        <v>0.114072818371227</v>
      </c>
      <c r="K68" s="0" t="n">
        <f aca="false">(1-Supuestos!I$28)*((1+((1+Supuestos!I$26)/(1+Supuestos!$B$4)-1+Supuestos!$B$14*$A68/10000))*(1+Supuestos!$B$4+$B68/10000)-1)+Supuestos!I$28*((1+Supuestos!I$27+$A68/10000)*(1+Supuestos!$B$4+$B68/10000)-1)*(1-Supuestos!$B$6)</f>
        <v>0.114072818371227</v>
      </c>
      <c r="L68" s="0" t="n">
        <f aca="false">(1+E68)^-Supuestos!C$24</f>
        <v>0.946838913435165</v>
      </c>
      <c r="M68" s="0" t="n">
        <f aca="false">L68*(1+F68)^-Supuestos!D$24</f>
        <v>0.84907932523437</v>
      </c>
      <c r="N68" s="0" t="n">
        <f aca="false">M68*(1+G68)^-Supuestos!E$24</f>
        <v>0.76161168537222</v>
      </c>
      <c r="O68" s="0" t="n">
        <f aca="false">N68*(1+H68)^-Supuestos!F$24</f>
        <v>0.683322213945814</v>
      </c>
      <c r="P68" s="0" t="n">
        <f aca="false">O68*(1+I68)^-Supuestos!G$24</f>
        <v>0.613222056978658</v>
      </c>
      <c r="Q68" s="0" t="n">
        <f aca="false">P68*(1+J68)^-Supuestos!H$24</f>
        <v>0.550432652934831</v>
      </c>
      <c r="R68" s="0" t="n">
        <f aca="false">(1+E68)^-(Supuestos!C$24/2)</f>
        <v>0.973056480084874</v>
      </c>
      <c r="S68" s="0" t="n">
        <f aca="false">L68*(1+F68)^-(Supuestos!D$24/2)</f>
        <v>0.896627763191155</v>
      </c>
      <c r="T68" s="0" t="n">
        <f aca="false">M68*(1+G68)^-(Supuestos!E$24/2)</f>
        <v>0.804157158711191</v>
      </c>
      <c r="U68" s="0" t="n">
        <f aca="false">N68*(1+H68)^-(Supuestos!F$24/2)</f>
        <v>0.72140569932289</v>
      </c>
      <c r="V68" s="0" t="n">
        <f aca="false">O68*(1+I68)^-(Supuestos!G$24/2)</f>
        <v>0.647323917073255</v>
      </c>
      <c r="W68" s="0" t="n">
        <f aca="false">P68*(1+J68)^-(Supuestos!H$24/2)</f>
        <v>0.580979727409586</v>
      </c>
      <c r="X68" s="0" t="n">
        <f aca="false">Supuestos!C$23*(1-$C68+$C68*((1+Supuestos!$B$4+$B68/10000)/(1+Supuestos!$B$4))^Supuestos!C$25)</f>
        <v>113521.89765388</v>
      </c>
      <c r="Y68" s="0" t="n">
        <f aca="false">Supuestos!D$23*(1-$C68+$C68*((1+Supuestos!$B$4+$B68/10000)/(1+Supuestos!$B$4))^Supuestos!D$25)</f>
        <v>200118.152509279</v>
      </c>
      <c r="Z68" s="0" t="n">
        <f aca="false">Supuestos!E$23*(1-$C68+$C68*((1+Supuestos!$B$4+$B68/10000)/(1+Supuestos!$B$4))^Supuestos!E$25)</f>
        <v>261456.87091352</v>
      </c>
      <c r="AA68" s="0" t="n">
        <f aca="false">Supuestos!F$23*(1-$C68+$C68*((1+Supuestos!$B$4+$B68/10000)/(1+Supuestos!$B$4))^Supuestos!F$25)</f>
        <v>379165.303158357</v>
      </c>
      <c r="AB68" s="0" t="n">
        <f aca="false">Supuestos!G$23*(1-$C68+$C68*((1+Supuestos!$B$4+$B68/10000)/(1+Supuestos!$B$4))^Supuestos!G$25)</f>
        <v>382230.858802656</v>
      </c>
      <c r="AC68" s="0" t="n">
        <f aca="false">Supuestos!H$23*(1-$C68+$C68*((1+Supuestos!$B$4+$B68/10000)/(1+Supuestos!$B$4))^Supuestos!H$25)</f>
        <v>405555.885926364</v>
      </c>
      <c r="AD68" s="0" t="n">
        <f aca="false">Supuestos!I$23*(1-$C68+$C68*((1+Supuestos!$B$4+$B68/10000)/(1+Supuestos!$B$4))^Supuestos!I$25)</f>
        <v>539749.09163004</v>
      </c>
      <c r="AE68" s="0" t="n">
        <f aca="false">SUMPRODUCT(X68:AC68,R68:W68)</f>
        <v>1256726.05952651</v>
      </c>
      <c r="AF68" s="0" t="n">
        <f aca="false">(1+Supuestos!$B$5)/(1+Supuestos!$B$4)*(1+Supuestos!$B$4+$B68/10000)-1</f>
        <v>0.0349999999999999</v>
      </c>
      <c r="AG68" s="0" t="n">
        <f aca="false">AD68/(K68-AF68)</f>
        <v>6825975.12960845</v>
      </c>
      <c r="AH68" s="0" t="n">
        <f aca="false">AG68*Q68</f>
        <v>3757239.59945755</v>
      </c>
      <c r="AI68" s="0" t="n">
        <f aca="false">(AE68+AH68-Supuestos!$B$7-Supuestos!$B$8)/Supuestos!$B$9</f>
        <v>1679.17107716167</v>
      </c>
      <c r="AJ68" s="0" t="n">
        <f aca="false">AI68/AI$5-1</f>
        <v>-0.0956698471833708</v>
      </c>
    </row>
    <row r="69" customFormat="false" ht="15" hidden="false" customHeight="false" outlineLevel="0" collapsed="false">
      <c r="A69" s="0" t="n">
        <v>40</v>
      </c>
      <c r="B69" s="0" t="n">
        <v>60</v>
      </c>
      <c r="C69" s="0" t="n">
        <v>0.7</v>
      </c>
      <c r="D69" s="0" t="s">
        <v>114</v>
      </c>
      <c r="E69" s="0" t="n">
        <f aca="false">(1-Supuestos!C$28)*((1+((1+Supuestos!C$26)/(1+Supuestos!$B$4)-1+Supuestos!$B$14*$A69/10000))*(1+Supuestos!$B$4+$B69/10000)-1)+Supuestos!C$28*((1+Supuestos!C$27+$A69/10000)*(1+Supuestos!$B$4+$B69/10000)-1)*(1-Supuestos!$B$6)</f>
        <v>0.115489044394799</v>
      </c>
      <c r="F69" s="0" t="n">
        <f aca="false">(1-Supuestos!D$28)*((1+((1+Supuestos!D$26)/(1+Supuestos!$B$4)-1+Supuestos!$B$14*$A69/10000))*(1+Supuestos!$B$4+$B69/10000)-1)+Supuestos!D$28*((1+Supuestos!D$27+$A69/10000)*(1+Supuestos!$B$4+$B69/10000)-1)*(1-Supuestos!$B$6)</f>
        <v>0.115180853523457</v>
      </c>
      <c r="G69" s="0" t="n">
        <f aca="false">(1-Supuestos!E$28)*((1+((1+Supuestos!E$26)/(1+Supuestos!$B$4)-1+Supuestos!$B$14*$A69/10000))*(1+Supuestos!$B$4+$B69/10000)-1)+Supuestos!E$28*((1+Supuestos!E$27+$A69/10000)*(1+Supuestos!$B$4+$B69/10000)-1)*(1-Supuestos!$B$6)</f>
        <v>0.114890230840142</v>
      </c>
      <c r="H69" s="0" t="n">
        <f aca="false">(1-Supuestos!F$28)*((1+((1+Supuestos!F$26)/(1+Supuestos!$B$4)-1+Supuestos!$B$14*$A69/10000))*(1+Supuestos!$B$4+$B69/10000)-1)+Supuestos!F$28*((1+Supuestos!F$27+$A69/10000)*(1+Supuestos!$B$4+$B69/10000)-1)*(1-Supuestos!$B$6)</f>
        <v>0.114616523420493</v>
      </c>
      <c r="I69" s="0" t="n">
        <f aca="false">(1-Supuestos!G$28)*((1+((1+Supuestos!G$26)/(1+Supuestos!$B$4)-1+Supuestos!$B$14*$A69/10000))*(1+Supuestos!$B$4+$B69/10000)-1)+Supuestos!G$28*((1+Supuestos!G$27+$A69/10000)*(1+Supuestos!$B$4+$B69/10000)-1)*(1-Supuestos!$B$6)</f>
        <v>0.11435911029894</v>
      </c>
      <c r="J69" s="0" t="n">
        <f aca="false">(1-Supuestos!H$28)*((1+((1+Supuestos!H$26)/(1+Supuestos!$B$4)-1+Supuestos!$B$14*$A69/10000))*(1+Supuestos!$B$4+$B69/10000)-1)+Supuestos!H$28*((1+Supuestos!H$27+$A69/10000)*(1+Supuestos!$B$4+$B69/10000)-1)*(1-Supuestos!$B$6)</f>
        <v>0.114117400536979</v>
      </c>
      <c r="K69" s="0" t="n">
        <f aca="false">(1-Supuestos!I$28)*((1+((1+Supuestos!I$26)/(1+Supuestos!$B$4)-1+Supuestos!$B$14*$A69/10000))*(1+Supuestos!$B$4+$B69/10000)-1)+Supuestos!I$28*((1+Supuestos!I$27+$A69/10000)*(1+Supuestos!$B$4+$B69/10000)-1)*(1-Supuestos!$B$6)</f>
        <v>0.114117400536979</v>
      </c>
      <c r="L69" s="0" t="n">
        <f aca="false">(1+E69)^-Supuestos!C$24</f>
        <v>0.94681983050436</v>
      </c>
      <c r="M69" s="0" t="n">
        <f aca="false">L69*(1+F69)^-Supuestos!D$24</f>
        <v>0.84902805451945</v>
      </c>
      <c r="N69" s="0" t="n">
        <f aca="false">M69*(1+G69)^-Supuestos!E$24</f>
        <v>0.761535109944996</v>
      </c>
      <c r="O69" s="0" t="n">
        <f aca="false">N69*(1+H69)^-Supuestos!F$24</f>
        <v>0.683226108660247</v>
      </c>
      <c r="P69" s="0" t="n">
        <f aca="false">O69*(1+I69)^-Supuestos!G$24</f>
        <v>0.613111251432192</v>
      </c>
      <c r="Q69" s="0" t="n">
        <f aca="false">P69*(1+J69)^-Supuestos!H$24</f>
        <v>0.550311171099819</v>
      </c>
      <c r="R69" s="0" t="n">
        <f aca="false">(1+E69)^-(Supuestos!C$24/2)</f>
        <v>0.973046674370947</v>
      </c>
      <c r="S69" s="0" t="n">
        <f aca="false">L69*(1+F69)^-(Supuestos!D$24/2)</f>
        <v>0.896591656593765</v>
      </c>
      <c r="T69" s="0" t="n">
        <f aca="false">M69*(1+G69)^-(Supuestos!E$24/2)</f>
        <v>0.804092452921215</v>
      </c>
      <c r="U69" s="0" t="n">
        <f aca="false">N69*(1+H69)^-(Supuestos!F$24/2)</f>
        <v>0.721318701945176</v>
      </c>
      <c r="V69" s="0" t="n">
        <f aca="false">O69*(1+I69)^-(Supuestos!G$24/2)</f>
        <v>0.647219912001964</v>
      </c>
      <c r="W69" s="0" t="n">
        <f aca="false">P69*(1+J69)^-(Supuestos!H$24/2)</f>
        <v>0.580863125693244</v>
      </c>
      <c r="X69" s="0" t="n">
        <f aca="false">Supuestos!C$23*(1-$C69+$C69*((1+Supuestos!$B$4+$B69/10000)/(1+Supuestos!$B$4))^Supuestos!C$25)</f>
        <v>113541.092194195</v>
      </c>
      <c r="Y69" s="0" t="n">
        <f aca="false">Supuestos!D$23*(1-$C69+$C69*((1+Supuestos!$B$4+$B69/10000)/(1+Supuestos!$B$4))^Supuestos!D$25)</f>
        <v>200253.694557423</v>
      </c>
      <c r="Z69" s="0" t="n">
        <f aca="false">Supuestos!E$23*(1-$C69+$C69*((1+Supuestos!$B$4+$B69/10000)/(1+Supuestos!$B$4))^Supuestos!E$25)</f>
        <v>261811.729322992</v>
      </c>
      <c r="AA69" s="0" t="n">
        <f aca="false">Supuestos!F$23*(1-$C69+$C69*((1+Supuestos!$B$4+$B69/10000)/(1+Supuestos!$B$4))^Supuestos!F$25)</f>
        <v>379938.714045403</v>
      </c>
      <c r="AB69" s="0" t="n">
        <f aca="false">Supuestos!G$23*(1-$C69+$C69*((1+Supuestos!$B$4+$B69/10000)/(1+Supuestos!$B$4))^Supuestos!G$25)</f>
        <v>383272.407244517</v>
      </c>
      <c r="AC69" s="0" t="n">
        <f aca="false">Supuestos!H$23*(1-$C69+$C69*((1+Supuestos!$B$4+$B69/10000)/(1+Supuestos!$B$4))^Supuestos!H$25)</f>
        <v>406939.916421232</v>
      </c>
      <c r="AD69" s="0" t="n">
        <f aca="false">Supuestos!I$23*(1-$C69+$C69*((1+Supuestos!$B$4+$B69/10000)/(1+Supuestos!$B$4))^Supuestos!I$25)</f>
        <v>541963.701557806</v>
      </c>
      <c r="AE69" s="0" t="n">
        <f aca="false">SUMPRODUCT(X69:AC69,R69:W69)</f>
        <v>1259042.23508645</v>
      </c>
      <c r="AF69" s="0" t="n">
        <f aca="false">(1+Supuestos!$B$5)/(1+Supuestos!$B$4)*(1+Supuestos!$B$4+$B69/10000)-1</f>
        <v>0.036</v>
      </c>
      <c r="AG69" s="0" t="n">
        <f aca="false">AD69/(K69-AF69)</f>
        <v>6937810.24243445</v>
      </c>
      <c r="AH69" s="0" t="n">
        <f aca="false">AG69*Q69</f>
        <v>3817954.47938242</v>
      </c>
      <c r="AI69" s="0" t="n">
        <f aca="false">(AE69+AH69-Supuestos!$B$7-Supuestos!$B$8)/Supuestos!$B$9</f>
        <v>1707.95238103602</v>
      </c>
      <c r="AJ69" s="0" t="n">
        <f aca="false">AI69/AI$5-1</f>
        <v>-0.0801694605432303</v>
      </c>
    </row>
    <row r="70" customFormat="false" ht="15" hidden="false" customHeight="false" outlineLevel="0" collapsed="false">
      <c r="A70" s="0" t="n">
        <v>30</v>
      </c>
      <c r="B70" s="0" t="n">
        <v>70</v>
      </c>
      <c r="C70" s="0" t="n">
        <v>0.7</v>
      </c>
      <c r="D70" s="0" t="s">
        <v>114</v>
      </c>
      <c r="E70" s="0" t="n">
        <f aca="false">(1-Supuestos!C$28)*((1+((1+Supuestos!C$26)/(1+Supuestos!$B$4)-1+Supuestos!$B$14*$A70/10000))*(1+Supuestos!$B$4+$B70/10000)-1)+Supuestos!C$28*((1+Supuestos!C$27+$A70/10000)*(1+Supuestos!$B$4+$B70/10000)-1)*(1-Supuestos!$B$6)</f>
        <v>0.115532100680741</v>
      </c>
      <c r="F70" s="0" t="n">
        <f aca="false">(1-Supuestos!D$28)*((1+((1+Supuestos!D$26)/(1+Supuestos!$B$4)-1+Supuestos!$B$14*$A70/10000))*(1+Supuestos!$B$4+$B70/10000)-1)+Supuestos!D$28*((1+Supuestos!D$27+$A70/10000)*(1+Supuestos!$B$4+$B70/10000)-1)*(1-Supuestos!$B$6)</f>
        <v>0.115223816121959</v>
      </c>
      <c r="G70" s="0" t="n">
        <f aca="false">(1-Supuestos!E$28)*((1+((1+Supuestos!E$26)/(1+Supuestos!$B$4)-1+Supuestos!$B$14*$A70/10000))*(1+Supuestos!$B$4+$B70/10000)-1)+Supuestos!E$28*((1+Supuestos!E$27+$A70/10000)*(1+Supuestos!$B$4+$B70/10000)-1)*(1-Supuestos!$B$6)</f>
        <v>0.114933111596217</v>
      </c>
      <c r="H70" s="0" t="n">
        <f aca="false">(1-Supuestos!F$28)*((1+((1+Supuestos!F$26)/(1+Supuestos!$B$4)-1+Supuestos!$B$14*$A70/10000))*(1+Supuestos!$B$4+$B70/10000)-1)+Supuestos!F$28*((1+Supuestos!F$27+$A70/10000)*(1+Supuestos!$B$4+$B70/10000)-1)*(1-Supuestos!$B$6)</f>
        <v>0.114659333738933</v>
      </c>
      <c r="I70" s="0" t="n">
        <f aca="false">(1-Supuestos!G$28)*((1+((1+Supuestos!G$26)/(1+Supuestos!$B$4)-1+Supuestos!$B$14*$A70/10000))*(1+Supuestos!$B$4+$B70/10000)-1)+Supuestos!G$28*((1+Supuestos!G$27+$A70/10000)*(1+Supuestos!$B$4+$B70/10000)-1)*(1-Supuestos!$B$6)</f>
        <v>0.114401861165863</v>
      </c>
      <c r="J70" s="0" t="n">
        <f aca="false">(1-Supuestos!H$28)*((1+((1+Supuestos!H$26)/(1+Supuestos!$B$4)-1+Supuestos!$B$14*$A70/10000))*(1+Supuestos!$B$4+$B70/10000)-1)+Supuestos!H$28*((1+Supuestos!H$27+$A70/10000)*(1+Supuestos!$B$4+$B70/10000)-1)*(1-Supuestos!$B$6)</f>
        <v>0.114160102540073</v>
      </c>
      <c r="K70" s="0" t="n">
        <f aca="false">(1-Supuestos!I$28)*((1+((1+Supuestos!I$26)/(1+Supuestos!$B$4)-1+Supuestos!$B$14*$A70/10000))*(1+Supuestos!$B$4+$B70/10000)-1)+Supuestos!I$28*((1+Supuestos!I$27+$A70/10000)*(1+Supuestos!$B$4+$B70/10000)-1)*(1-Supuestos!$B$6)</f>
        <v>0.114160102540073</v>
      </c>
      <c r="L70" s="0" t="n">
        <f aca="false">(1+E70)^-Supuestos!C$24</f>
        <v>0.946801558085885</v>
      </c>
      <c r="M70" s="0" t="n">
        <f aca="false">L70*(1+F70)^-Supuestos!D$24</f>
        <v>0.848978962248367</v>
      </c>
      <c r="N70" s="0" t="n">
        <f aca="false">M70*(1+G70)^-Supuestos!E$24</f>
        <v>0.761461789427806</v>
      </c>
      <c r="O70" s="0" t="n">
        <f aca="false">N70*(1+H70)^-Supuestos!F$24</f>
        <v>0.683134089833181</v>
      </c>
      <c r="P70" s="0" t="n">
        <f aca="false">O70*(1+I70)^-Supuestos!G$24</f>
        <v>0.613005158766067</v>
      </c>
      <c r="Q70" s="0" t="n">
        <f aca="false">P70*(1+J70)^-Supuestos!H$24</f>
        <v>0.550194857425366</v>
      </c>
      <c r="R70" s="0" t="n">
        <f aca="false">(1+E70)^-(Supuestos!C$24/2)</f>
        <v>0.973037285044044</v>
      </c>
      <c r="S70" s="0" t="n">
        <f aca="false">L70*(1+F70)^-(Supuestos!D$24/2)</f>
        <v>0.896557083647713</v>
      </c>
      <c r="T70" s="0" t="n">
        <f aca="false">M70*(1+G70)^-(Supuestos!E$24/2)</f>
        <v>0.804030496797356</v>
      </c>
      <c r="U70" s="0" t="n">
        <f aca="false">N70*(1+H70)^-(Supuestos!F$24/2)</f>
        <v>0.721235402946575</v>
      </c>
      <c r="V70" s="0" t="n">
        <f aca="false">O70*(1+I70)^-(Supuestos!G$24/2)</f>
        <v>0.647120329766189</v>
      </c>
      <c r="W70" s="0" t="n">
        <f aca="false">P70*(1+J70)^-(Supuestos!H$24/2)</f>
        <v>0.580751483793464</v>
      </c>
      <c r="X70" s="0" t="n">
        <f aca="false">Supuestos!C$23*(1-$C70+$C70*((1+Supuestos!$B$4+$B70/10000)/(1+Supuestos!$B$4))^Supuestos!C$25)</f>
        <v>113560.272843875</v>
      </c>
      <c r="Y70" s="0" t="n">
        <f aca="false">Supuestos!D$23*(1-$C70+$C70*((1+Supuestos!$B$4+$B70/10000)/(1+Supuestos!$B$4))^Supuestos!D$25)</f>
        <v>200389.236605567</v>
      </c>
      <c r="Z70" s="0" t="n">
        <f aca="false">Supuestos!E$23*(1-$C70+$C70*((1+Supuestos!$B$4+$B70/10000)/(1+Supuestos!$B$4))^Supuestos!E$25)</f>
        <v>262166.930425278</v>
      </c>
      <c r="AA70" s="0" t="n">
        <f aca="false">Supuestos!F$23*(1-$C70+$C70*((1+Supuestos!$B$4+$B70/10000)/(1+Supuestos!$B$4))^Supuestos!F$25)</f>
        <v>380713.619445775</v>
      </c>
      <c r="AB70" s="0" t="n">
        <f aca="false">Supuestos!G$23*(1-$C70+$C70*((1+Supuestos!$B$4+$B70/10000)/(1+Supuestos!$B$4))^Supuestos!G$25)</f>
        <v>384316.97612417</v>
      </c>
      <c r="AC70" s="0" t="n">
        <f aca="false">Supuestos!H$23*(1-$C70+$C70*((1+Supuestos!$B$4+$B70/10000)/(1+Supuestos!$B$4))^Supuestos!H$25)</f>
        <v>408329.300991755</v>
      </c>
      <c r="AD70" s="0" t="n">
        <f aca="false">Supuestos!I$23*(1-$C70+$C70*((1+Supuestos!$B$4+$B70/10000)/(1+Supuestos!$B$4))^Supuestos!I$25)</f>
        <v>544189.025588628</v>
      </c>
      <c r="AE70" s="0" t="n">
        <f aca="false">SUMPRODUCT(X70:AC70,R70:W70)</f>
        <v>1261370.29293577</v>
      </c>
      <c r="AF70" s="0" t="n">
        <f aca="false">(1+Supuestos!$B$5)/(1+Supuestos!$B$4)*(1+Supuestos!$B$4+$B70/10000)-1</f>
        <v>0.0369999999999999</v>
      </c>
      <c r="AG70" s="0" t="n">
        <f aca="false">AD70/(K70-AF70)</f>
        <v>7052725.53656863</v>
      </c>
      <c r="AH70" s="0" t="n">
        <f aca="false">AG70*Q70</f>
        <v>3880373.32105262</v>
      </c>
      <c r="AI70" s="0" t="n">
        <f aca="false">(AE70+AH70-Supuestos!$B$7-Supuestos!$B$8)/Supuestos!$B$9</f>
        <v>1737.51717533716</v>
      </c>
      <c r="AJ70" s="0" t="n">
        <f aca="false">AI70/AI$5-1</f>
        <v>-0.0642471192690213</v>
      </c>
    </row>
    <row r="71" customFormat="false" ht="15" hidden="false" customHeight="false" outlineLevel="0" collapsed="false">
      <c r="A71" s="0" t="n">
        <v>20</v>
      </c>
      <c r="B71" s="0" t="n">
        <v>80</v>
      </c>
      <c r="C71" s="0" t="n">
        <v>0.7</v>
      </c>
      <c r="D71" s="0" t="s">
        <v>114</v>
      </c>
      <c r="E71" s="0" t="n">
        <f aca="false">(1-Supuestos!C$28)*((1+((1+Supuestos!C$26)/(1+Supuestos!$B$4)-1+Supuestos!$B$14*$A71/10000))*(1+Supuestos!$B$4+$B71/10000)-1)+Supuestos!C$28*((1+Supuestos!C$27+$A71/10000)*(1+Supuestos!$B$4+$B71/10000)-1)*(1-Supuestos!$B$6)</f>
        <v>0.115573249773762</v>
      </c>
      <c r="F71" s="0" t="n">
        <f aca="false">(1-Supuestos!D$28)*((1+((1+Supuestos!D$26)/(1+Supuestos!$B$4)-1+Supuestos!$B$14*$A71/10000))*(1+Supuestos!$B$4+$B71/10000)-1)+Supuestos!D$28*((1+Supuestos!D$27+$A71/10000)*(1+Supuestos!$B$4+$B71/10000)-1)*(1-Supuestos!$B$6)</f>
        <v>0.115264877208287</v>
      </c>
      <c r="G71" s="0" t="n">
        <f aca="false">(1-Supuestos!E$28)*((1+((1+Supuestos!E$26)/(1+Supuestos!$B$4)-1+Supuestos!$B$14*$A71/10000))*(1+Supuestos!$B$4+$B71/10000)-1)+Supuestos!E$28*((1+Supuestos!E$27+$A71/10000)*(1+Supuestos!$B$4+$B71/10000)-1)*(1-Supuestos!$B$6)</f>
        <v>0.11497409637835</v>
      </c>
      <c r="H71" s="0" t="n">
        <f aca="false">(1-Supuestos!F$28)*((1+((1+Supuestos!F$26)/(1+Supuestos!$B$4)-1+Supuestos!$B$14*$A71/10000))*(1+Supuestos!$B$4+$B71/10000)-1)+Supuestos!F$28*((1+Supuestos!F$27+$A71/10000)*(1+Supuestos!$B$4+$B71/10000)-1)*(1-Supuestos!$B$6)</f>
        <v>0.114700253484444</v>
      </c>
      <c r="I71" s="0" t="n">
        <f aca="false">(1-Supuestos!G$28)*((1+((1+Supuestos!G$26)/(1+Supuestos!$B$4)-1+Supuestos!$B$14*$A71/10000))*(1+Supuestos!$B$4+$B71/10000)-1)+Supuestos!G$28*((1+Supuestos!G$27+$A71/10000)*(1+Supuestos!$B$4+$B71/10000)-1)*(1-Supuestos!$B$6)</f>
        <v>0.114442726728687</v>
      </c>
      <c r="J71" s="0" t="n">
        <f aca="false">(1-Supuestos!H$28)*((1+((1+Supuestos!H$26)/(1+Supuestos!$B$4)-1+Supuestos!$B$14*$A71/10000))*(1+Supuestos!$B$4+$B71/10000)-1)+Supuestos!H$28*((1+Supuestos!H$27+$A71/10000)*(1+Supuestos!$B$4+$B71/10000)-1)*(1-Supuestos!$B$6)</f>
        <v>0.11420092438051</v>
      </c>
      <c r="K71" s="0" t="n">
        <f aca="false">(1-Supuestos!I$28)*((1+((1+Supuestos!I$26)/(1+Supuestos!$B$4)-1+Supuestos!$B$14*$A71/10000))*(1+Supuestos!$B$4+$B71/10000)-1)+Supuestos!I$28*((1+Supuestos!I$27+$A71/10000)*(1+Supuestos!$B$4+$B71/10000)-1)*(1-Supuestos!$B$6)</f>
        <v>0.11420092438051</v>
      </c>
      <c r="L71" s="0" t="n">
        <f aca="false">(1+E71)^-Supuestos!C$24</f>
        <v>0.946784096039053</v>
      </c>
      <c r="M71" s="0" t="n">
        <f aca="false">L71*(1+F71)^-Supuestos!D$24</f>
        <v>0.848932047792115</v>
      </c>
      <c r="N71" s="0" t="n">
        <f aca="false">M71*(1+G71)^-Supuestos!E$24</f>
        <v>0.761391722506926</v>
      </c>
      <c r="O71" s="0" t="n">
        <f aca="false">N71*(1+H71)^-Supuestos!F$24</f>
        <v>0.683046155347045</v>
      </c>
      <c r="P71" s="0" t="n">
        <f aca="false">O71*(1+I71)^-Supuestos!G$24</f>
        <v>0.612903775999369</v>
      </c>
      <c r="Q71" s="0" t="n">
        <f aca="false">P71*(1+J71)^-Supuestos!H$24</f>
        <v>0.550083708053052</v>
      </c>
      <c r="R71" s="0" t="n">
        <f aca="false">(1+E71)^-(Supuestos!C$24/2)</f>
        <v>0.973028312043927</v>
      </c>
      <c r="S71" s="0" t="n">
        <f aca="false">L71*(1+F71)^-(Supuestos!D$24/2)</f>
        <v>0.896524043998509</v>
      </c>
      <c r="T71" s="0" t="n">
        <f aca="false">M71*(1+G71)^-(Supuestos!E$24/2)</f>
        <v>0.803971289387731</v>
      </c>
      <c r="U71" s="0" t="n">
        <f aca="false">N71*(1+H71)^-(Supuestos!F$24/2)</f>
        <v>0.721155800622459</v>
      </c>
      <c r="V71" s="0" t="n">
        <f aca="false">O71*(1+I71)^-(Supuestos!G$24/2)</f>
        <v>0.647025167821203</v>
      </c>
      <c r="W71" s="0" t="n">
        <f aca="false">P71*(1+J71)^-(Supuestos!H$24/2)</f>
        <v>0.580644798290185</v>
      </c>
      <c r="X71" s="0" t="n">
        <f aca="false">Supuestos!C$23*(1-$C71+$C71*((1+Supuestos!$B$4+$B71/10000)/(1+Supuestos!$B$4))^Supuestos!C$25)</f>
        <v>113579.439626352</v>
      </c>
      <c r="Y71" s="0" t="n">
        <f aca="false">Supuestos!D$23*(1-$C71+$C71*((1+Supuestos!$B$4+$B71/10000)/(1+Supuestos!$B$4))^Supuestos!D$25)</f>
        <v>200524.77865371</v>
      </c>
      <c r="Z71" s="0" t="n">
        <f aca="false">Supuestos!E$23*(1-$C71+$C71*((1+Supuestos!$B$4+$B71/10000)/(1+Supuestos!$B$4))^Supuestos!E$25)</f>
        <v>262522.47422038</v>
      </c>
      <c r="AA71" s="0" t="n">
        <f aca="false">Supuestos!F$23*(1-$C71+$C71*((1+Supuestos!$B$4+$B71/10000)/(1+Supuestos!$B$4))^Supuestos!F$25)</f>
        <v>381490.020802054</v>
      </c>
      <c r="AB71" s="0" t="n">
        <f aca="false">Supuestos!G$23*(1-$C71+$C71*((1+Supuestos!$B$4+$B71/10000)/(1+Supuestos!$B$4))^Supuestos!G$25)</f>
        <v>385364.571275389</v>
      </c>
      <c r="AC71" s="0" t="n">
        <f aca="false">Supuestos!H$23*(1-$C71+$C71*((1+Supuestos!$B$4+$B71/10000)/(1+Supuestos!$B$4))^Supuestos!H$25)</f>
        <v>409724.055156978</v>
      </c>
      <c r="AD71" s="0" t="n">
        <f aca="false">Supuestos!I$23*(1-$C71+$C71*((1+Supuestos!$B$4+$B71/10000)/(1+Supuestos!$B$4))^Supuestos!I$25)</f>
        <v>546425.105149612</v>
      </c>
      <c r="AE71" s="0" t="n">
        <f aca="false">SUMPRODUCT(X71:AC71,R71:W71)</f>
        <v>1263710.28713932</v>
      </c>
      <c r="AF71" s="0" t="n">
        <f aca="false">(1+Supuestos!$B$5)/(1+Supuestos!$B$4)*(1+Supuestos!$B$4+$B71/10000)-1</f>
        <v>0.038</v>
      </c>
      <c r="AG71" s="0" t="n">
        <f aca="false">AD71/(K71-AF71)</f>
        <v>7170846.14907079</v>
      </c>
      <c r="AH71" s="0" t="n">
        <f aca="false">AG71*Q71</f>
        <v>3944565.63955881</v>
      </c>
      <c r="AI71" s="0" t="n">
        <f aca="false">(AE71+AH71-Supuestos!$B$7-Supuestos!$B$8)/Supuestos!$B$9</f>
        <v>1767.8972268028</v>
      </c>
      <c r="AJ71" s="0" t="n">
        <f aca="false">AI71/AI$5-1</f>
        <v>-0.0478857151463799</v>
      </c>
    </row>
    <row r="72" customFormat="false" ht="15" hidden="false" customHeight="false" outlineLevel="0" collapsed="false">
      <c r="A72" s="0" t="n">
        <v>10</v>
      </c>
      <c r="B72" s="0" t="n">
        <v>90</v>
      </c>
      <c r="C72" s="0" t="n">
        <v>0.7</v>
      </c>
      <c r="D72" s="0" t="s">
        <v>114</v>
      </c>
      <c r="E72" s="0" t="n">
        <f aca="false">(1-Supuestos!C$28)*((1+((1+Supuestos!C$26)/(1+Supuestos!$B$4)-1+Supuestos!$B$14*$A72/10000))*(1+Supuestos!$B$4+$B72/10000)-1)+Supuestos!C$28*((1+Supuestos!C$27+$A72/10000)*(1+Supuestos!$B$4+$B72/10000)-1)*(1-Supuestos!$B$6)</f>
        <v>0.115612491673859</v>
      </c>
      <c r="F72" s="0" t="n">
        <f aca="false">(1-Supuestos!D$28)*((1+((1+Supuestos!D$26)/(1+Supuestos!$B$4)-1+Supuestos!$B$14*$A72/10000))*(1+Supuestos!$B$4+$B72/10000)-1)+Supuestos!D$28*((1+Supuestos!D$27+$A72/10000)*(1+Supuestos!$B$4+$B72/10000)-1)*(1-Supuestos!$B$6)</f>
        <v>0.115304036782441</v>
      </c>
      <c r="G72" s="0" t="n">
        <f aca="false">(1-Supuestos!E$28)*((1+((1+Supuestos!E$26)/(1+Supuestos!$B$4)-1+Supuestos!$B$14*$A72/10000))*(1+Supuestos!$B$4+$B72/10000)-1)+Supuestos!E$28*((1+Supuestos!E$27+$A72/10000)*(1+Supuestos!$B$4+$B72/10000)-1)*(1-Supuestos!$B$6)</f>
        <v>0.115013185186541</v>
      </c>
      <c r="H72" s="0" t="n">
        <f aca="false">(1-Supuestos!F$28)*((1+((1+Supuestos!F$26)/(1+Supuestos!$B$4)-1+Supuestos!$B$14*$A72/10000))*(1+Supuestos!$B$4+$B72/10000)-1)+Supuestos!F$28*((1+Supuestos!F$27+$A72/10000)*(1+Supuestos!$B$4+$B72/10000)-1)*(1-Supuestos!$B$6)</f>
        <v>0.114739282657024</v>
      </c>
      <c r="I72" s="0" t="n">
        <f aca="false">(1-Supuestos!G$28)*((1+((1+Supuestos!G$26)/(1+Supuestos!$B$4)-1+Supuestos!$B$14*$A72/10000))*(1+Supuestos!$B$4+$B72/10000)-1)+Supuestos!G$28*((1+Supuestos!G$27+$A72/10000)*(1+Supuestos!$B$4+$B72/10000)-1)*(1-Supuestos!$B$6)</f>
        <v>0.11448170698741</v>
      </c>
      <c r="J72" s="0" t="n">
        <f aca="false">(1-Supuestos!H$28)*((1+((1+Supuestos!H$26)/(1+Supuestos!$B$4)-1+Supuestos!$B$14*$A72/10000))*(1+Supuestos!$B$4+$B72/10000)-1)+Supuestos!H$28*((1+Supuestos!H$27+$A72/10000)*(1+Supuestos!$B$4+$B72/10000)-1)*(1-Supuestos!$B$6)</f>
        <v>0.114239866058289</v>
      </c>
      <c r="K72" s="0" t="n">
        <f aca="false">(1-Supuestos!I$28)*((1+((1+Supuestos!I$26)/(1+Supuestos!$B$4)-1+Supuestos!$B$14*$A72/10000))*(1+Supuestos!$B$4+$B72/10000)-1)+Supuestos!I$28*((1+Supuestos!I$27+$A72/10000)*(1+Supuestos!$B$4+$B72/10000)-1)*(1-Supuestos!$B$6)</f>
        <v>0.114239866058289</v>
      </c>
      <c r="L72" s="0" t="n">
        <f aca="false">(1+E72)^-Supuestos!C$24</f>
        <v>0.946767444229435</v>
      </c>
      <c r="M72" s="0" t="n">
        <f aca="false">L72*(1+F72)^-Supuestos!D$24</f>
        <v>0.848887310549669</v>
      </c>
      <c r="N72" s="0" t="n">
        <f aca="false">M72*(1+G72)^-Supuestos!E$24</f>
        <v>0.761324907927121</v>
      </c>
      <c r="O72" s="0" t="n">
        <f aca="false">N72*(1+H72)^-Supuestos!F$24</f>
        <v>0.682962303178617</v>
      </c>
      <c r="P72" s="0" t="n">
        <f aca="false">O72*(1+I72)^-Supuestos!G$24</f>
        <v>0.61280710028409</v>
      </c>
      <c r="Q72" s="0" t="n">
        <f aca="false">P72*(1+J72)^-Supuestos!H$24</f>
        <v>0.549977719296603</v>
      </c>
      <c r="R72" s="0" t="n">
        <f aca="false">(1+E72)^-(Supuestos!C$24/2)</f>
        <v>0.973019755313033</v>
      </c>
      <c r="S72" s="0" t="n">
        <f aca="false">L72*(1+F72)^-(Supuestos!D$24/2)</f>
        <v>0.896492537307427</v>
      </c>
      <c r="T72" s="0" t="n">
        <f aca="false">M72*(1+G72)^-(Supuestos!E$24/2)</f>
        <v>0.803914829782812</v>
      </c>
      <c r="U72" s="0" t="n">
        <f aca="false">N72*(1+H72)^-(Supuestos!F$24/2)</f>
        <v>0.721079893344112</v>
      </c>
      <c r="V72" s="0" t="n">
        <f aca="false">O72*(1+I72)^-(Supuestos!G$24/2)</f>
        <v>0.646934423735692</v>
      </c>
      <c r="W72" s="0" t="n">
        <f aca="false">P72*(1+J72)^-(Supuestos!H$24/2)</f>
        <v>0.580543065915879</v>
      </c>
      <c r="X72" s="0" t="n">
        <f aca="false">Supuestos!C$23*(1-$C72+$C72*((1+Supuestos!$B$4+$B72/10000)/(1+Supuestos!$B$4))^Supuestos!C$25)</f>
        <v>113598.592564996</v>
      </c>
      <c r="Y72" s="0" t="n">
        <f aca="false">Supuestos!D$23*(1-$C72+$C72*((1+Supuestos!$B$4+$B72/10000)/(1+Supuestos!$B$4))^Supuestos!D$25)</f>
        <v>200660.320701854</v>
      </c>
      <c r="Z72" s="0" t="n">
        <f aca="false">Supuestos!E$23*(1-$C72+$C72*((1+Supuestos!$B$4+$B72/10000)/(1+Supuestos!$B$4))^Supuestos!E$25)</f>
        <v>262878.360708295</v>
      </c>
      <c r="AA72" s="0" t="n">
        <f aca="false">Supuestos!F$23*(1-$C72+$C72*((1+Supuestos!$B$4+$B72/10000)/(1+Supuestos!$B$4))^Supuestos!F$25)</f>
        <v>382267.919556821</v>
      </c>
      <c r="AB72" s="0" t="n">
        <f aca="false">Supuestos!G$23*(1-$C72+$C72*((1+Supuestos!$B$4+$B72/10000)/(1+Supuestos!$B$4))^Supuestos!G$25)</f>
        <v>386415.198537577</v>
      </c>
      <c r="AC72" s="0" t="n">
        <f aca="false">Supuestos!H$23*(1-$C72+$C72*((1+Supuestos!$B$4+$B72/10000)/(1+Supuestos!$B$4))^Supuestos!H$25)</f>
        <v>411124.194465907</v>
      </c>
      <c r="AD72" s="0" t="n">
        <f aca="false">Supuestos!I$23*(1-$C72+$C72*((1+Supuestos!$B$4+$B72/10000)/(1+Supuestos!$B$4))^Supuestos!I$25)</f>
        <v>548671.981787887</v>
      </c>
      <c r="AE72" s="0" t="n">
        <f aca="false">SUMPRODUCT(X72:AC72,R72:W72)</f>
        <v>1266062.27216578</v>
      </c>
      <c r="AF72" s="0" t="n">
        <f aca="false">(1+Supuestos!$B$5)/(1+Supuestos!$B$4)*(1+Supuestos!$B$4+$B72/10000)-1</f>
        <v>0.0389999999999999</v>
      </c>
      <c r="AG72" s="0" t="n">
        <f aca="false">AD72/(K72-AF72)</f>
        <v>7292304.07405068</v>
      </c>
      <c r="AH72" s="0" t="n">
        <f aca="false">AG72*Q72</f>
        <v>4010604.76306372</v>
      </c>
      <c r="AI72" s="0" t="n">
        <f aca="false">(AE72+AH72-Supuestos!$B$7-Supuestos!$B$8)/Supuestos!$B$9</f>
        <v>1799.12604348379</v>
      </c>
      <c r="AJ72" s="0" t="n">
        <f aca="false">AI72/AI$5-1</f>
        <v>-0.0310672021636879</v>
      </c>
    </row>
    <row r="73" customFormat="false" ht="15" hidden="false" customHeight="false" outlineLevel="0" collapsed="false">
      <c r="A73" s="0" t="n">
        <v>0</v>
      </c>
      <c r="B73" s="0" t="n">
        <v>100</v>
      </c>
      <c r="C73" s="0" t="n">
        <v>0.7</v>
      </c>
      <c r="D73" s="0" t="s">
        <v>114</v>
      </c>
      <c r="E73" s="0" t="n">
        <f aca="false">(1-Supuestos!C$28)*((1+((1+Supuestos!C$26)/(1+Supuestos!$B$4)-1+Supuestos!$B$14*$A73/10000))*(1+Supuestos!$B$4+$B73/10000)-1)+Supuestos!C$28*((1+Supuestos!C$27+$A73/10000)*(1+Supuestos!$B$4+$B73/10000)-1)*(1-Supuestos!$B$6)</f>
        <v>0.115649826381034</v>
      </c>
      <c r="F73" s="0" t="n">
        <f aca="false">(1-Supuestos!D$28)*((1+((1+Supuestos!D$26)/(1+Supuestos!$B$4)-1+Supuestos!$B$14*$A73/10000))*(1+Supuestos!$B$4+$B73/10000)-1)+Supuestos!D$28*((1+Supuestos!D$27+$A73/10000)*(1+Supuestos!$B$4+$B73/10000)-1)*(1-Supuestos!$B$6)</f>
        <v>0.11534129484442</v>
      </c>
      <c r="G73" s="0" t="n">
        <f aca="false">(1-Supuestos!E$28)*((1+((1+Supuestos!E$26)/(1+Supuestos!$B$4)-1+Supuestos!$B$14*$A73/10000))*(1+Supuestos!$B$4+$B73/10000)-1)+Supuestos!E$28*((1+Supuestos!E$27+$A73/10000)*(1+Supuestos!$B$4+$B73/10000)-1)*(1-Supuestos!$B$6)</f>
        <v>0.115050378020789</v>
      </c>
      <c r="H73" s="0" t="n">
        <f aca="false">(1-Supuestos!F$28)*((1+((1+Supuestos!F$26)/(1+Supuestos!$B$4)-1+Supuestos!$B$14*$A73/10000))*(1+Supuestos!$B$4+$B73/10000)-1)+Supuestos!F$28*((1+Supuestos!F$27+$A73/10000)*(1+Supuestos!$B$4+$B73/10000)-1)*(1-Supuestos!$B$6)</f>
        <v>0.114776421256675</v>
      </c>
      <c r="I73" s="0" t="n">
        <f aca="false">(1-Supuestos!G$28)*((1+((1+Supuestos!G$26)/(1+Supuestos!$B$4)-1+Supuestos!$B$14*$A73/10000))*(1+Supuestos!$B$4+$B73/10000)-1)+Supuestos!G$28*((1+Supuestos!G$27+$A73/10000)*(1+Supuestos!$B$4+$B73/10000)-1)*(1-Supuestos!$B$6)</f>
        <v>0.114518801942034</v>
      </c>
      <c r="J73" s="0" t="n">
        <f aca="false">(1-Supuestos!H$28)*((1+((1+Supuestos!H$26)/(1+Supuestos!$B$4)-1+Supuestos!$B$14*$A73/10000))*(1+Supuestos!$B$4+$B73/10000)-1)+Supuestos!H$28*((1+Supuestos!H$27+$A73/10000)*(1+Supuestos!$B$4+$B73/10000)-1)*(1-Supuestos!$B$6)</f>
        <v>0.11427692757341</v>
      </c>
      <c r="K73" s="0" t="n">
        <f aca="false">(1-Supuestos!I$28)*((1+((1+Supuestos!I$26)/(1+Supuestos!$B$4)-1+Supuestos!$B$14*$A73/10000))*(1+Supuestos!$B$4+$B73/10000)-1)+Supuestos!I$28*((1+Supuestos!I$27+$A73/10000)*(1+Supuestos!$B$4+$B73/10000)-1)*(1-Supuestos!$B$6)</f>
        <v>0.11427692757341</v>
      </c>
      <c r="L73" s="0" t="n">
        <f aca="false">(1+E73)^-Supuestos!C$24</f>
        <v>0.946751602528848</v>
      </c>
      <c r="M73" s="0" t="n">
        <f aca="false">L73*(1+F73)^-Supuestos!D$24</f>
        <v>0.848844749947963</v>
      </c>
      <c r="N73" s="0" t="n">
        <f aca="false">M73*(1+G73)^-Supuestos!E$24</f>
        <v>0.761261344491591</v>
      </c>
      <c r="O73" s="0" t="n">
        <f aca="false">N73*(1+H73)^-Supuestos!F$24</f>
        <v>0.682882531398924</v>
      </c>
      <c r="P73" s="0" t="n">
        <f aca="false">O73*(1+I73)^-Supuestos!G$24</f>
        <v>0.612715128904968</v>
      </c>
      <c r="Q73" s="0" t="n">
        <f aca="false">P73*(1+J73)^-Supuestos!H$24</f>
        <v>0.549876887641651</v>
      </c>
      <c r="R73" s="0" t="n">
        <f aca="false">(1+E73)^-(Supuestos!C$24/2)</f>
        <v>0.973011614796477</v>
      </c>
      <c r="S73" s="0" t="n">
        <f aca="false">L73*(1+F73)^-(Supuestos!D$24/2)</f>
        <v>0.896462563251491</v>
      </c>
      <c r="T73" s="0" t="n">
        <f aca="false">M73*(1+G73)^-(Supuestos!E$24/2)</f>
        <v>0.803861117115397</v>
      </c>
      <c r="U73" s="0" t="n">
        <f aca="false">N73*(1+H73)^-(Supuestos!F$24/2)</f>
        <v>0.721007679558662</v>
      </c>
      <c r="V73" s="0" t="n">
        <f aca="false">O73*(1+I73)^-(Supuestos!G$24/2)</f>
        <v>0.646848095191632</v>
      </c>
      <c r="W73" s="0" t="n">
        <f aca="false">P73*(1+J73)^-(Supuestos!H$24/2)</f>
        <v>0.580446283555349</v>
      </c>
      <c r="X73" s="0" t="n">
        <f aca="false">Supuestos!C$23*(1-$C73+$C73*((1+Supuestos!$B$4+$B73/10000)/(1+Supuestos!$B$4))^Supuestos!C$25)</f>
        <v>113617.731683117</v>
      </c>
      <c r="Y73" s="0" t="n">
        <f aca="false">Supuestos!D$23*(1-$C73+$C73*((1+Supuestos!$B$4+$B73/10000)/(1+Supuestos!$B$4))^Supuestos!D$25)</f>
        <v>200795.862749998</v>
      </c>
      <c r="Z73" s="0" t="n">
        <f aca="false">Supuestos!E$23*(1-$C73+$C73*((1+Supuestos!$B$4+$B73/10000)/(1+Supuestos!$B$4))^Supuestos!E$25)</f>
        <v>263234.589889026</v>
      </c>
      <c r="AA73" s="0" t="n">
        <f aca="false">Supuestos!F$23*(1-$C73+$C73*((1+Supuestos!$B$4+$B73/10000)/(1+Supuestos!$B$4))^Supuestos!F$25)</f>
        <v>383047.317152657</v>
      </c>
      <c r="AB73" s="0" t="n">
        <f aca="false">Supuestos!G$23*(1-$C73+$C73*((1+Supuestos!$B$4+$B73/10000)/(1+Supuestos!$B$4))^Supuestos!G$25)</f>
        <v>387468.863755766</v>
      </c>
      <c r="AC73" s="0" t="n">
        <f aca="false">Supuestos!H$23*(1-$C73+$C73*((1+Supuestos!$B$4+$B73/10000)/(1+Supuestos!$B$4))^Supuestos!H$25)</f>
        <v>412529.734497535</v>
      </c>
      <c r="AD73" s="0" t="n">
        <f aca="false">Supuestos!I$23*(1-$C73+$C73*((1+Supuestos!$B$4+$B73/10000)/(1+Supuestos!$B$4))^Supuestos!I$25)</f>
        <v>550929.697170832</v>
      </c>
      <c r="AE73" s="0" t="n">
        <f aca="false">SUMPRODUCT(X73:AC73,R73:W73)</f>
        <v>1268426.30289032</v>
      </c>
      <c r="AF73" s="0" t="n">
        <f aca="false">(1+Supuestos!$B$5)/(1+Supuestos!$B$4)*(1+Supuestos!$B$4+$B73/10000)-1</f>
        <v>0.04</v>
      </c>
      <c r="AG73" s="0" t="n">
        <f aca="false">AD73/(K73-AF73)</f>
        <v>7417238.63882669</v>
      </c>
      <c r="AH73" s="0" t="n">
        <f aca="false">AG73*Q73</f>
        <v>4078568.09761342</v>
      </c>
      <c r="AI73" s="0" t="n">
        <f aca="false">(AE73+AH73-Supuestos!$B$7-Supuestos!$B$8)/Supuestos!$B$9</f>
        <v>1831.23899566381</v>
      </c>
      <c r="AJ73" s="0" t="n">
        <f aca="false">AI73/AI$5-1</f>
        <v>-0.0137725313899169</v>
      </c>
    </row>
    <row r="74" customFormat="false" ht="15" hidden="false" customHeight="false" outlineLevel="0" collapsed="false">
      <c r="A74" s="0" t="n">
        <v>-100</v>
      </c>
      <c r="B74" s="0" t="n">
        <v>0</v>
      </c>
      <c r="C74" s="0" t="n">
        <v>1</v>
      </c>
      <c r="D74" s="0" t="s">
        <v>115</v>
      </c>
      <c r="E74" s="0" t="n">
        <f aca="false">(1-Supuestos!C$28)*((1+((1+Supuestos!C$26)/(1+Supuestos!$B$4)-1+Supuestos!$B$14*$A74/10000))*(1+Supuestos!$B$4+$B74/10000)-1)+Supuestos!C$28*((1+Supuestos!C$27+$A74/10000)*(1+Supuestos!$B$4+$B74/10000)-1)*(1-Supuestos!$B$6)</f>
        <v>0.0955465685258706</v>
      </c>
      <c r="F74" s="0" t="n">
        <f aca="false">(1-Supuestos!D$28)*((1+((1+Supuestos!D$26)/(1+Supuestos!$B$4)-1+Supuestos!$B$14*$A74/10000))*(1+Supuestos!$B$4+$B74/10000)-1)+Supuestos!D$28*((1+Supuestos!D$27+$A74/10000)*(1+Supuestos!$B$4+$B74/10000)-1)*(1-Supuestos!$B$6)</f>
        <v>0.0952975707800994</v>
      </c>
      <c r="G74" s="0" t="n">
        <f aca="false">(1-Supuestos!E$28)*((1+((1+Supuestos!E$26)/(1+Supuestos!$B$4)-1+Supuestos!$B$14*$A74/10000))*(1+Supuestos!$B$4+$B74/10000)-1)+Supuestos!E$28*((1+Supuestos!E$27+$A74/10000)*(1+Supuestos!$B$4+$B74/10000)-1)*(1-Supuestos!$B$6)</f>
        <v>0.0950645992434195</v>
      </c>
      <c r="H74" s="0" t="n">
        <f aca="false">(1-Supuestos!F$28)*((1+((1+Supuestos!F$26)/(1+Supuestos!$B$4)-1+Supuestos!$B$14*$A74/10000))*(1+Supuestos!$B$4+$B74/10000)-1)+Supuestos!F$28*((1+Supuestos!F$27+$A74/10000)*(1+Supuestos!$B$4+$B74/10000)-1)*(1-Supuestos!$B$6)</f>
        <v>0.094847058299351</v>
      </c>
      <c r="I74" s="0" t="n">
        <f aca="false">(1-Supuestos!G$28)*((1+((1+Supuestos!G$26)/(1+Supuestos!$B$4)-1+Supuestos!$B$14*$A74/10000))*(1+Supuestos!$B$4+$B74/10000)-1)+Supuestos!G$28*((1+Supuestos!G$27+$A74/10000)*(1+Supuestos!$B$4+$B74/10000)-1)*(1-Supuestos!$B$6)</f>
        <v>0.0946443814851456</v>
      </c>
      <c r="J74" s="0" t="n">
        <f aca="false">(1-Supuestos!H$28)*((1+((1+Supuestos!H$26)/(1+Supuestos!$B$4)-1+Supuestos!$B$14*$A74/10000))*(1+Supuestos!$B$4+$B74/10000)-1)+Supuestos!H$28*((1+Supuestos!H$27+$A74/10000)*(1+Supuestos!$B$4+$B74/10000)-1)*(1-Supuestos!$B$6)</f>
        <v>0.0944560297296128</v>
      </c>
      <c r="K74" s="0" t="n">
        <f aca="false">(1-Supuestos!I$28)*((1+((1+Supuestos!I$26)/(1+Supuestos!$B$4)-1+Supuestos!$B$14*$A74/10000))*(1+Supuestos!$B$4+$B74/10000)-1)+Supuestos!I$28*((1+Supuestos!I$27+$A74/10000)*(1+Supuestos!$B$4+$B74/10000)-1)*(1-Supuestos!$B$6)</f>
        <v>0.0944560297296128</v>
      </c>
      <c r="L74" s="0" t="n">
        <f aca="false">(1+E74)^-Supuestos!C$24</f>
        <v>0.955398551604659</v>
      </c>
      <c r="M74" s="0" t="n">
        <f aca="false">L74*(1+F74)^-Supuestos!D$24</f>
        <v>0.872273048979922</v>
      </c>
      <c r="N74" s="0" t="n">
        <f aca="false">M74*(1+G74)^-Supuestos!E$24</f>
        <v>0.796549399535494</v>
      </c>
      <c r="O74" s="0" t="n">
        <f aca="false">N74*(1+H74)^-Supuestos!F$24</f>
        <v>0.727543992101317</v>
      </c>
      <c r="P74" s="0" t="n">
        <f aca="false">O74*(1+I74)^-Supuestos!G$24</f>
        <v>0.664639589264808</v>
      </c>
      <c r="Q74" s="0" t="n">
        <f aca="false">P74*(1+J74)^-Supuestos!H$24</f>
        <v>0.607278475526339</v>
      </c>
      <c r="R74" s="0" t="n">
        <f aca="false">(1+E74)^-(Supuestos!C$24/2)</f>
        <v>0.977444909754334</v>
      </c>
      <c r="S74" s="0" t="n">
        <f aca="false">L74*(1+F74)^-(Supuestos!D$24/2)</f>
        <v>0.912890139939739</v>
      </c>
      <c r="T74" s="0" t="n">
        <f aca="false">M74*(1+G74)^-(Supuestos!E$24/2)</f>
        <v>0.833551782072326</v>
      </c>
      <c r="U74" s="0" t="n">
        <f aca="false">N74*(1+H74)^-(Supuestos!F$24/2)</f>
        <v>0.76126521662556</v>
      </c>
      <c r="V74" s="0" t="n">
        <f aca="false">O74*(1+I74)^-(Supuestos!G$24/2)</f>
        <v>0.695380859732491</v>
      </c>
      <c r="W74" s="0" t="n">
        <f aca="false">P74*(1+J74)^-(Supuestos!H$24/2)</f>
        <v>0.635311983629448</v>
      </c>
      <c r="X74" s="0" t="n">
        <f aca="false">Supuestos!C$23*(1-$C74+$C74*((1+Supuestos!$B$4+$B74/10000)/(1+Supuestos!$B$4))^Supuestos!C$25)</f>
        <v>113425.715768245</v>
      </c>
      <c r="Y74" s="0" t="n">
        <f aca="false">Supuestos!D$23*(1-$C74+$C74*((1+Supuestos!$B$4+$B74/10000)/(1+Supuestos!$B$4))^Supuestos!D$25)</f>
        <v>199440.442268561</v>
      </c>
      <c r="Z74" s="0" t="n">
        <f aca="false">Supuestos!E$23*(1-$C74+$C74*((1+Supuestos!$B$4+$B74/10000)/(1+Supuestos!$B$4))^Supuestos!E$25)</f>
        <v>259687.719258378</v>
      </c>
      <c r="AA74" s="0" t="n">
        <f aca="false">Supuestos!F$23*(1-$C74+$C74*((1+Supuestos!$B$4+$B74/10000)/(1+Supuestos!$B$4))^Supuestos!F$25)</f>
        <v>375320.615932717</v>
      </c>
      <c r="AB74" s="0" t="n">
        <f aca="false">Supuestos!G$23*(1-$C74+$C74*((1+Supuestos!$B$4+$B74/10000)/(1+Supuestos!$B$4))^Supuestos!G$25)</f>
        <v>377068.219372121</v>
      </c>
      <c r="AC74" s="0" t="n">
        <f aca="false">Supuestos!H$23*(1-$C74+$C74*((1+Supuestos!$B$4+$B74/10000)/(1+Supuestos!$B$4))^Supuestos!H$25)</f>
        <v>398715.503513791</v>
      </c>
      <c r="AD74" s="0" t="n">
        <f aca="false">Supuestos!I$23*(1-$C74+$C74*((1+Supuestos!$B$4+$B74/10000)/(1+Supuestos!$B$4))^Supuestos!I$25)</f>
        <v>528835.311960595</v>
      </c>
      <c r="AE74" s="0" t="n">
        <f aca="false">SUMPRODUCT(X74:AC74,R74:W74)</f>
        <v>1310631.05293323</v>
      </c>
      <c r="AF74" s="0" t="n">
        <f aca="false">(1+Supuestos!$B$5)/(1+Supuestos!$B$4)*(1+Supuestos!$B$4+$B74/10000)-1</f>
        <v>0.03</v>
      </c>
      <c r="AG74" s="0" t="n">
        <f aca="false">AD74/(K74-AF74)</f>
        <v>8204590.23273713</v>
      </c>
      <c r="AH74" s="0" t="n">
        <f aca="false">AG74*Q74</f>
        <v>4982471.04885489</v>
      </c>
      <c r="AI74" s="0" t="n">
        <f aca="false">(AE74+AH74-Supuestos!$B$7-Supuestos!$B$8)/Supuestos!$B$9</f>
        <v>2263.25164465211</v>
      </c>
      <c r="AJ74" s="0" t="n">
        <f aca="false">AI74/AI$5-1</f>
        <v>0.218891114495815</v>
      </c>
    </row>
    <row r="75" customFormat="false" ht="15" hidden="false" customHeight="false" outlineLevel="0" collapsed="false">
      <c r="A75" s="0" t="n">
        <v>-90</v>
      </c>
      <c r="B75" s="0" t="n">
        <v>-10</v>
      </c>
      <c r="C75" s="0" t="n">
        <v>1</v>
      </c>
      <c r="D75" s="0" t="s">
        <v>115</v>
      </c>
      <c r="E75" s="0" t="n">
        <f aca="false">(1-Supuestos!C$28)*((1+((1+Supuestos!C$26)/(1+Supuestos!$B$4)-1+Supuestos!$B$14*$A75/10000))*(1+Supuestos!$B$4+$B75/10000)-1)+Supuestos!C$28*((1+Supuestos!C$27+$A75/10000)*(1+Supuestos!$B$4+$B75/10000)-1)*(1-Supuestos!$B$6)</f>
        <v>0.0955092338186956</v>
      </c>
      <c r="F75" s="0" t="n">
        <f aca="false">(1-Supuestos!D$28)*((1+((1+Supuestos!D$26)/(1+Supuestos!$B$4)-1+Supuestos!$B$14*$A75/10000))*(1+Supuestos!$B$4+$B75/10000)-1)+Supuestos!D$28*((1+Supuestos!D$27+$A75/10000)*(1+Supuestos!$B$4+$B75/10000)-1)*(1-Supuestos!$B$6)</f>
        <v>0.0952603127181205</v>
      </c>
      <c r="G75" s="0" t="n">
        <f aca="false">(1-Supuestos!E$28)*((1+((1+Supuestos!E$26)/(1+Supuestos!$B$4)-1+Supuestos!$B$14*$A75/10000))*(1+Supuestos!$B$4+$B75/10000)-1)+Supuestos!E$28*((1+Supuestos!E$27+$A75/10000)*(1+Supuestos!$B$4+$B75/10000)-1)*(1-Supuestos!$B$6)</f>
        <v>0.0950274064091717</v>
      </c>
      <c r="H75" s="0" t="n">
        <f aca="false">(1-Supuestos!F$28)*((1+((1+Supuestos!F$26)/(1+Supuestos!$B$4)-1+Supuestos!$B$14*$A75/10000))*(1+Supuestos!$B$4+$B75/10000)-1)+Supuestos!F$28*((1+Supuestos!F$27+$A75/10000)*(1+Supuestos!$B$4+$B75/10000)-1)*(1-Supuestos!$B$6)</f>
        <v>0.0948099196997009</v>
      </c>
      <c r="I75" s="0" t="n">
        <f aca="false">(1-Supuestos!G$28)*((1+((1+Supuestos!G$26)/(1+Supuestos!$B$4)-1+Supuestos!$B$14*$A75/10000))*(1+Supuestos!$B$4+$B75/10000)-1)+Supuestos!G$28*((1+Supuestos!G$27+$A75/10000)*(1+Supuestos!$B$4+$B75/10000)-1)*(1-Supuestos!$B$6)</f>
        <v>0.0946072865305218</v>
      </c>
      <c r="J75" s="0" t="n">
        <f aca="false">(1-Supuestos!H$28)*((1+((1+Supuestos!H$26)/(1+Supuestos!$B$4)-1+Supuestos!$B$14*$A75/10000))*(1+Supuestos!$B$4+$B75/10000)-1)+Supuestos!H$28*((1+Supuestos!H$27+$A75/10000)*(1+Supuestos!$B$4+$B75/10000)-1)*(1-Supuestos!$B$6)</f>
        <v>0.0944189682144916</v>
      </c>
      <c r="K75" s="0" t="n">
        <f aca="false">(1-Supuestos!I$28)*((1+((1+Supuestos!I$26)/(1+Supuestos!$B$4)-1+Supuestos!$B$14*$A75/10000))*(1+Supuestos!$B$4+$B75/10000)-1)+Supuestos!I$28*((1+Supuestos!I$27+$A75/10000)*(1+Supuestos!$B$4+$B75/10000)-1)*(1-Supuestos!$B$6)</f>
        <v>0.0944189682144916</v>
      </c>
      <c r="L75" s="0" t="n">
        <f aca="false">(1+E75)^-Supuestos!C$24</f>
        <v>0.955414831349348</v>
      </c>
      <c r="M75" s="0" t="n">
        <f aca="false">L75*(1+F75)^-Supuestos!D$24</f>
        <v>0.872317585376835</v>
      </c>
      <c r="N75" s="0" t="n">
        <f aca="false">M75*(1+G75)^-Supuestos!E$24</f>
        <v>0.796617125992628</v>
      </c>
      <c r="O75" s="0" t="n">
        <f aca="false">N75*(1+H75)^-Supuestos!F$24</f>
        <v>0.72763053353694</v>
      </c>
      <c r="P75" s="0" t="n">
        <f aca="false">O75*(1+I75)^-Supuestos!G$24</f>
        <v>0.664741174748841</v>
      </c>
      <c r="Q75" s="0" t="n">
        <f aca="false">P75*(1+J75)^-Supuestos!H$24</f>
        <v>0.607391861850991</v>
      </c>
      <c r="R75" s="0" t="n">
        <f aca="false">(1+E75)^-(Supuestos!C$24/2)</f>
        <v>0.97745323742333</v>
      </c>
      <c r="S75" s="0" t="n">
        <f aca="false">L75*(1+F75)^-(Supuestos!D$24/2)</f>
        <v>0.912921222623223</v>
      </c>
      <c r="T75" s="0" t="n">
        <f aca="false">M75*(1+G75)^-(Supuestos!E$24/2)</f>
        <v>0.833608497926768</v>
      </c>
      <c r="U75" s="0" t="n">
        <f aca="false">N75*(1+H75)^-(Supuestos!F$24/2)</f>
        <v>0.761342856018679</v>
      </c>
      <c r="V75" s="0" t="n">
        <f aca="false">O75*(1+I75)^-(Supuestos!G$24/2)</f>
        <v>0.695475359481895</v>
      </c>
      <c r="W75" s="0" t="n">
        <f aca="false">P75*(1+J75)^-(Supuestos!H$24/2)</f>
        <v>0.63541984528319</v>
      </c>
      <c r="X75" s="0" t="n">
        <f aca="false">Supuestos!C$23*(1-$C75+$C75*((1+Supuestos!$B$4+$B75/10000)/(1+Supuestos!$B$4))^Supuestos!C$25)</f>
        <v>113398.175225783</v>
      </c>
      <c r="Y75" s="0" t="n">
        <f aca="false">Supuestos!D$23*(1-$C75+$C75*((1+Supuestos!$B$4+$B75/10000)/(1+Supuestos!$B$4))^Supuestos!D$25)</f>
        <v>199246.810771213</v>
      </c>
      <c r="Z75" s="0" t="n">
        <f aca="false">Supuestos!E$23*(1-$C75+$C75*((1+Supuestos!$B$4+$B75/10000)/(1+Supuestos!$B$4))^Supuestos!E$25)</f>
        <v>259183.7160404</v>
      </c>
      <c r="AA75" s="0" t="n">
        <f aca="false">Supuestos!F$23*(1-$C75+$C75*((1+Supuestos!$B$4+$B75/10000)/(1+Supuestos!$B$4))^Supuestos!F$25)</f>
        <v>374228.510073755</v>
      </c>
      <c r="AB75" s="0" t="n">
        <f aca="false">Supuestos!G$23*(1-$C75+$C75*((1+Supuestos!$B$4+$B75/10000)/(1+Supuestos!$B$4))^Supuestos!G$25)</f>
        <v>375606.007930436</v>
      </c>
      <c r="AC75" s="0" t="n">
        <f aca="false">Supuestos!H$23*(1-$C75+$C75*((1+Supuestos!$B$4+$B75/10000)/(1+Supuestos!$B$4))^Supuestos!H$25)</f>
        <v>396783.745989796</v>
      </c>
      <c r="AD75" s="0" t="n">
        <f aca="false">Supuestos!I$23*(1-$C75+$C75*((1+Supuestos!$B$4+$B75/10000)/(1+Supuestos!$B$4))^Supuestos!I$25)</f>
        <v>525762.185408225</v>
      </c>
      <c r="AE75" s="0" t="n">
        <f aca="false">SUMPRODUCT(X75:AC75,R75:W75)</f>
        <v>1307060.99634076</v>
      </c>
      <c r="AF75" s="0" t="n">
        <f aca="false">(1+Supuestos!$B$5)/(1+Supuestos!$B$4)*(1+Supuestos!$B$4+$B75/10000)-1</f>
        <v>0.0290000000000001</v>
      </c>
      <c r="AG75" s="0" t="n">
        <f aca="false">AD75/(K75-AF75)</f>
        <v>8036846.18938639</v>
      </c>
      <c r="AH75" s="0" t="n">
        <f aca="false">AG75*Q75</f>
        <v>4881514.97038144</v>
      </c>
      <c r="AI75" s="0" t="n">
        <f aca="false">(AE75+AH75-Supuestos!$B$7-Supuestos!$B$8)/Supuestos!$B$9</f>
        <v>2215.52281585489</v>
      </c>
      <c r="AJ75" s="0" t="n">
        <f aca="false">AI75/AI$5-1</f>
        <v>0.193186396479287</v>
      </c>
    </row>
    <row r="76" customFormat="false" ht="15" hidden="false" customHeight="false" outlineLevel="0" collapsed="false">
      <c r="A76" s="0" t="n">
        <v>-80</v>
      </c>
      <c r="B76" s="0" t="n">
        <v>-20</v>
      </c>
      <c r="C76" s="0" t="n">
        <v>1</v>
      </c>
      <c r="D76" s="0" t="s">
        <v>115</v>
      </c>
      <c r="E76" s="0" t="n">
        <f aca="false">(1-Supuestos!C$28)*((1+((1+Supuestos!C$26)/(1+Supuestos!$B$4)-1+Supuestos!$B$14*$A76/10000))*(1+Supuestos!$B$4+$B76/10000)-1)+Supuestos!C$28*((1+Supuestos!C$27+$A76/10000)*(1+Supuestos!$B$4+$B76/10000)-1)*(1-Supuestos!$B$6)</f>
        <v>0.0954699919185978</v>
      </c>
      <c r="F76" s="0" t="n">
        <f aca="false">(1-Supuestos!D$28)*((1+((1+Supuestos!D$26)/(1+Supuestos!$B$4)-1+Supuestos!$B$14*$A76/10000))*(1+Supuestos!$B$4+$B76/10000)-1)+Supuestos!D$28*((1+Supuestos!D$27+$A76/10000)*(1+Supuestos!$B$4+$B76/10000)-1)*(1-Supuestos!$B$6)</f>
        <v>0.0952211531439668</v>
      </c>
      <c r="G76" s="0" t="n">
        <f aca="false">(1-Supuestos!E$28)*((1+((1+Supuestos!E$26)/(1+Supuestos!$B$4)-1+Supuestos!$B$14*$A76/10000))*(1+Supuestos!$B$4+$B76/10000)-1)+Supuestos!E$28*((1+Supuestos!E$27+$A76/10000)*(1+Supuestos!$B$4+$B76/10000)-1)*(1-Supuestos!$B$6)</f>
        <v>0.094988317600981</v>
      </c>
      <c r="H76" s="0" t="n">
        <f aca="false">(1-Supuestos!F$28)*((1+((1+Supuestos!F$26)/(1+Supuestos!$B$4)-1+Supuestos!$B$14*$A76/10000))*(1+Supuestos!$B$4+$B76/10000)-1)+Supuestos!F$28*((1+Supuestos!F$27+$A76/10000)*(1+Supuestos!$B$4+$B76/10000)-1)*(1-Supuestos!$B$6)</f>
        <v>0.0947708905271202</v>
      </c>
      <c r="I76" s="0" t="n">
        <f aca="false">(1-Supuestos!G$28)*((1+((1+Supuestos!G$26)/(1+Supuestos!$B$4)-1+Supuestos!$B$14*$A76/10000))*(1+Supuestos!$B$4+$B76/10000)-1)+Supuestos!G$28*((1+Supuestos!G$27+$A76/10000)*(1+Supuestos!$B$4+$B76/10000)-1)*(1-Supuestos!$B$6)</f>
        <v>0.0945683062717978</v>
      </c>
      <c r="J76" s="0" t="n">
        <f aca="false">(1-Supuestos!H$28)*((1+((1+Supuestos!H$26)/(1+Supuestos!$B$4)-1+Supuestos!$B$14*$A76/10000))*(1+Supuestos!$B$4+$B76/10000)-1)+Supuestos!H$28*((1+Supuestos!H$27+$A76/10000)*(1+Supuestos!$B$4+$B76/10000)-1)*(1-Supuestos!$B$6)</f>
        <v>0.0943800265367123</v>
      </c>
      <c r="K76" s="0" t="n">
        <f aca="false">(1-Supuestos!I$28)*((1+((1+Supuestos!I$26)/(1+Supuestos!$B$4)-1+Supuestos!$B$14*$A76/10000))*(1+Supuestos!$B$4+$B76/10000)-1)+Supuestos!I$28*((1+Supuestos!I$27+$A76/10000)*(1+Supuestos!$B$4+$B76/10000)-1)*(1-Supuestos!$B$6)</f>
        <v>0.0943800265367123</v>
      </c>
      <c r="L76" s="0" t="n">
        <f aca="false">(1+E76)^-Supuestos!C$24</f>
        <v>0.955431943619828</v>
      </c>
      <c r="M76" s="0" t="n">
        <f aca="false">L76*(1+F76)^-Supuestos!D$24</f>
        <v>0.872364399534416</v>
      </c>
      <c r="N76" s="0" t="n">
        <f aca="false">M76*(1+G76)^-Supuestos!E$24</f>
        <v>0.796688316680571</v>
      </c>
      <c r="O76" s="0" t="n">
        <f aca="false">N76*(1+H76)^-Supuestos!F$24</f>
        <v>0.72772150189066</v>
      </c>
      <c r="P76" s="0" t="n">
        <f aca="false">O76*(1+I76)^-Supuestos!G$24</f>
        <v>0.664847956697511</v>
      </c>
      <c r="Q76" s="0" t="n">
        <f aca="false">P76*(1+J76)^-Supuestos!H$24</f>
        <v>0.607511047877488</v>
      </c>
      <c r="R76" s="0" t="n">
        <f aca="false">(1+E76)^-(Supuestos!C$24/2)</f>
        <v>0.977461990882422</v>
      </c>
      <c r="S76" s="0" t="n">
        <f aca="false">L76*(1+F76)^-(Supuestos!D$24/2)</f>
        <v>0.912953894669337</v>
      </c>
      <c r="T76" s="0" t="n">
        <f aca="false">M76*(1+G76)^-(Supuestos!E$24/2)</f>
        <v>0.833668114417921</v>
      </c>
      <c r="U76" s="0" t="n">
        <f aca="false">N76*(1+H76)^-(Supuestos!F$24/2)</f>
        <v>0.761424466610791</v>
      </c>
      <c r="V76" s="0" t="n">
        <f aca="false">O76*(1+I76)^-(Supuestos!G$24/2)</f>
        <v>0.695574693025019</v>
      </c>
      <c r="W76" s="0" t="n">
        <f aca="false">P76*(1+J76)^-(Supuestos!H$24/2)</f>
        <v>0.635533224035149</v>
      </c>
      <c r="X76" s="0" t="n">
        <f aca="false">Supuestos!C$23*(1-$C76+$C76*((1+Supuestos!$B$4+$B76/10000)/(1+Supuestos!$B$4))^Supuestos!C$25)</f>
        <v>113370.614602719</v>
      </c>
      <c r="Y76" s="0" t="n">
        <f aca="false">Supuestos!D$23*(1-$C76+$C76*((1+Supuestos!$B$4+$B76/10000)/(1+Supuestos!$B$4))^Supuestos!D$25)</f>
        <v>199053.179273865</v>
      </c>
      <c r="Z76" s="0" t="n">
        <f aca="false">Supuestos!E$23*(1-$C76+$C76*((1+Supuestos!$B$4+$B76/10000)/(1+Supuestos!$B$4))^Supuestos!E$25)</f>
        <v>258680.202383585</v>
      </c>
      <c r="AA76" s="0" t="n">
        <f aca="false">Supuestos!F$23*(1-$C76+$C76*((1+Supuestos!$B$4+$B76/10000)/(1+Supuestos!$B$4))^Supuestos!F$25)</f>
        <v>373138.524808026</v>
      </c>
      <c r="AB76" s="0" t="n">
        <f aca="false">Supuestos!G$23*(1-$C76+$C76*((1+Supuestos!$B$4+$B76/10000)/(1+Supuestos!$B$4))^Supuestos!G$25)</f>
        <v>374148.053287273</v>
      </c>
      <c r="AC76" s="0" t="n">
        <f aca="false">Supuestos!H$23*(1-$C76+$C76*((1+Supuestos!$B$4+$B76/10000)/(1+Supuestos!$B$4))^Supuestos!H$25)</f>
        <v>394859.483149769</v>
      </c>
      <c r="AD76" s="0" t="n">
        <f aca="false">Supuestos!I$23*(1-$C76+$C76*((1+Supuestos!$B$4+$B76/10000)/(1+Supuestos!$B$4))^Supuestos!I$25)</f>
        <v>522703.955219387</v>
      </c>
      <c r="AE76" s="0" t="n">
        <f aca="false">SUMPRODUCT(X76:AC76,R76:W76)</f>
        <v>1303506.31838201</v>
      </c>
      <c r="AF76" s="0" t="n">
        <f aca="false">(1+Supuestos!$B$5)/(1+Supuestos!$B$4)*(1+Supuestos!$B$4+$B76/10000)-1</f>
        <v>0.028</v>
      </c>
      <c r="AG76" s="0" t="n">
        <f aca="false">AD76/(K76-AF76)</f>
        <v>7874416.18346294</v>
      </c>
      <c r="AH76" s="0" t="n">
        <f aca="false">AG76*Q76</f>
        <v>4783794.82703902</v>
      </c>
      <c r="AI76" s="0" t="n">
        <f aca="false">(AE76+AH76-Supuestos!$B$7-Supuestos!$B$8)/Supuestos!$B$9</f>
        <v>2169.27860521508</v>
      </c>
      <c r="AJ76" s="0" t="n">
        <f aca="false">AI76/AI$5-1</f>
        <v>0.168281230684348</v>
      </c>
    </row>
    <row r="77" customFormat="false" ht="15" hidden="false" customHeight="false" outlineLevel="0" collapsed="false">
      <c r="A77" s="0" t="n">
        <v>-70</v>
      </c>
      <c r="B77" s="0" t="n">
        <v>-30</v>
      </c>
      <c r="C77" s="0" t="n">
        <v>1</v>
      </c>
      <c r="D77" s="0" t="s">
        <v>115</v>
      </c>
      <c r="E77" s="0" t="n">
        <f aca="false">(1-Supuestos!C$28)*((1+((1+Supuestos!C$26)/(1+Supuestos!$B$4)-1+Supuestos!$B$14*$A77/10000))*(1+Supuestos!$B$4+$B77/10000)-1)+Supuestos!C$28*((1+Supuestos!C$27+$A77/10000)*(1+Supuestos!$B$4+$B77/10000)-1)*(1-Supuestos!$B$6)</f>
        <v>0.0954288428255777</v>
      </c>
      <c r="F77" s="0" t="n">
        <f aca="false">(1-Supuestos!D$28)*((1+((1+Supuestos!D$26)/(1+Supuestos!$B$4)-1+Supuestos!$B$14*$A77/10000))*(1+Supuestos!$B$4+$B77/10000)-1)+Supuestos!D$28*((1+Supuestos!D$27+$A77/10000)*(1+Supuestos!$B$4+$B77/10000)-1)*(1-Supuestos!$B$6)</f>
        <v>0.0951800920576392</v>
      </c>
      <c r="G77" s="0" t="n">
        <f aca="false">(1-Supuestos!E$28)*((1+((1+Supuestos!E$26)/(1+Supuestos!$B$4)-1+Supuestos!$B$14*$A77/10000))*(1+Supuestos!$B$4+$B77/10000)-1)+Supuestos!E$28*((1+Supuestos!E$27+$A77/10000)*(1+Supuestos!$B$4+$B77/10000)-1)*(1-Supuestos!$B$6)</f>
        <v>0.094947332818848</v>
      </c>
      <c r="H77" s="0" t="n">
        <f aca="false">(1-Supuestos!F$28)*((1+((1+Supuestos!F$26)/(1+Supuestos!$B$4)-1+Supuestos!$B$14*$A77/10000))*(1+Supuestos!$B$4+$B77/10000)-1)+Supuestos!F$28*((1+Supuestos!F$27+$A77/10000)*(1+Supuestos!$B$4+$B77/10000)-1)*(1-Supuestos!$B$6)</f>
        <v>0.09472997078161</v>
      </c>
      <c r="I77" s="0" t="n">
        <f aca="false">(1-Supuestos!G$28)*((1+((1+Supuestos!G$26)/(1+Supuestos!$B$4)-1+Supuestos!$B$14*$A77/10000))*(1+Supuestos!$B$4+$B77/10000)-1)+Supuestos!G$28*((1+Supuestos!G$27+$A77/10000)*(1+Supuestos!$B$4+$B77/10000)-1)*(1-Supuestos!$B$6)</f>
        <v>0.0945274407089747</v>
      </c>
      <c r="J77" s="0" t="n">
        <f aca="false">(1-Supuestos!H$28)*((1+((1+Supuestos!H$26)/(1+Supuestos!$B$4)-1+Supuestos!$B$14*$A77/10000))*(1+Supuestos!$B$4+$B77/10000)-1)+Supuestos!H$28*((1+Supuestos!H$27+$A77/10000)*(1+Supuestos!$B$4+$B77/10000)-1)*(1-Supuestos!$B$6)</f>
        <v>0.0943392046962756</v>
      </c>
      <c r="K77" s="0" t="n">
        <f aca="false">(1-Supuestos!I$28)*((1+((1+Supuestos!I$26)/(1+Supuestos!$B$4)-1+Supuestos!$B$14*$A77/10000))*(1+Supuestos!$B$4+$B77/10000)-1)+Supuestos!I$28*((1+Supuestos!I$27+$A77/10000)*(1+Supuestos!$B$4+$B77/10000)-1)*(1-Supuestos!$B$6)</f>
        <v>0.0943392046962756</v>
      </c>
      <c r="L77" s="0" t="n">
        <f aca="false">(1+E77)^-Supuestos!C$24</f>
        <v>0.955449888550242</v>
      </c>
      <c r="M77" s="0" t="n">
        <f aca="false">L77*(1+F77)^-Supuestos!D$24</f>
        <v>0.872413492063328</v>
      </c>
      <c r="N77" s="0" t="n">
        <f aca="false">M77*(1+G77)^-Supuestos!E$24</f>
        <v>0.79676297289786</v>
      </c>
      <c r="O77" s="0" t="n">
        <f aca="false">N77*(1+H77)^-Supuestos!F$24</f>
        <v>0.727816899293432</v>
      </c>
      <c r="P77" s="0" t="n">
        <f aca="false">O77*(1+I77)^-Supuestos!G$24</f>
        <v>0.664959938164722</v>
      </c>
      <c r="Q77" s="0" t="n">
        <f aca="false">P77*(1+J77)^-Supuestos!H$24</f>
        <v>0.60763603762992</v>
      </c>
      <c r="R77" s="0" t="n">
        <f aca="false">(1+E77)^-(Supuestos!C$24/2)</f>
        <v>0.97747117018879</v>
      </c>
      <c r="S77" s="0" t="n">
        <f aca="false">L77*(1+F77)^-(Supuestos!D$24/2)</f>
        <v>0.912988156419148</v>
      </c>
      <c r="T77" s="0" t="n">
        <f aca="false">M77*(1+G77)^-(Supuestos!E$24/2)</f>
        <v>0.833730632478249</v>
      </c>
      <c r="U77" s="0" t="n">
        <f aca="false">N77*(1+H77)^-(Supuestos!F$24/2)</f>
        <v>0.761510050101991</v>
      </c>
      <c r="V77" s="0" t="n">
        <f aca="false">O77*(1+I77)^-(Supuestos!G$24/2)</f>
        <v>0.695678862945684</v>
      </c>
      <c r="W77" s="0" t="n">
        <f aca="false">P77*(1+J77)^-(Supuestos!H$24/2)</f>
        <v>0.635652123420545</v>
      </c>
      <c r="X77" s="0" t="n">
        <f aca="false">Supuestos!C$23*(1-$C77+$C77*((1+Supuestos!$B$4+$B77/10000)/(1+Supuestos!$B$4))^Supuestos!C$25)</f>
        <v>113343.033864854</v>
      </c>
      <c r="Y77" s="0" t="n">
        <f aca="false">Supuestos!D$23*(1-$C77+$C77*((1+Supuestos!$B$4+$B77/10000)/(1+Supuestos!$B$4))^Supuestos!D$25)</f>
        <v>198859.547776517</v>
      </c>
      <c r="Z77" s="0" t="n">
        <f aca="false">Supuestos!E$23*(1-$C77+$C77*((1+Supuestos!$B$4+$B77/10000)/(1+Supuestos!$B$4))^Supuestos!E$25)</f>
        <v>258177.178287935</v>
      </c>
      <c r="AA77" s="0" t="n">
        <f aca="false">Supuestos!F$23*(1-$C77+$C77*((1+Supuestos!$B$4+$B77/10000)/(1+Supuestos!$B$4))^Supuestos!F$25)</f>
        <v>372050.658074703</v>
      </c>
      <c r="AB77" s="0" t="n">
        <f aca="false">Supuestos!G$23*(1-$C77+$C77*((1+Supuestos!$B$4+$B77/10000)/(1+Supuestos!$B$4))^Supuestos!G$25)</f>
        <v>372694.347172994</v>
      </c>
      <c r="AC77" s="0" t="n">
        <f aca="false">Supuestos!H$23*(1-$C77+$C77*((1+Supuestos!$B$4+$B77/10000)/(1+Supuestos!$B$4))^Supuestos!H$25)</f>
        <v>392942.693164553</v>
      </c>
      <c r="AD77" s="0" t="n">
        <f aca="false">Supuestos!I$23*(1-$C77+$C77*((1+Supuestos!$B$4+$B77/10000)/(1+Supuestos!$B$4))^Supuestos!I$25)</f>
        <v>519660.563572289</v>
      </c>
      <c r="AE77" s="0" t="n">
        <f aca="false">SUMPRODUCT(X77:AC77,R77:W77)</f>
        <v>1299966.93423208</v>
      </c>
      <c r="AF77" s="0" t="n">
        <f aca="false">(1+Supuestos!$B$5)/(1+Supuestos!$B$4)*(1+Supuestos!$B$4+$B77/10000)-1</f>
        <v>0.0270000000000001</v>
      </c>
      <c r="AG77" s="0" t="n">
        <f aca="false">AD77/(K77-AF77)</f>
        <v>7717058.2265732</v>
      </c>
      <c r="AH77" s="0" t="n">
        <f aca="false">AG77*Q77</f>
        <v>4689162.68295431</v>
      </c>
      <c r="AI77" s="0" t="n">
        <f aca="false">(AE77+AH77-Supuestos!$B$7-Supuestos!$B$8)/Supuestos!$B$9</f>
        <v>2124.45142337278</v>
      </c>
      <c r="AJ77" s="0" t="n">
        <f aca="false">AI77/AI$5-1</f>
        <v>0.144139216355283</v>
      </c>
    </row>
    <row r="78" customFormat="false" ht="15" hidden="false" customHeight="false" outlineLevel="0" collapsed="false">
      <c r="A78" s="0" t="n">
        <v>-60</v>
      </c>
      <c r="B78" s="0" t="n">
        <v>-40</v>
      </c>
      <c r="C78" s="0" t="n">
        <v>1</v>
      </c>
      <c r="D78" s="0" t="s">
        <v>115</v>
      </c>
      <c r="E78" s="0" t="n">
        <f aca="false">(1-Supuestos!C$28)*((1+((1+Supuestos!C$26)/(1+Supuestos!$B$4)-1+Supuestos!$B$14*$A78/10000))*(1+Supuestos!$B$4+$B78/10000)-1)+Supuestos!C$28*((1+Supuestos!C$27+$A78/10000)*(1+Supuestos!$B$4+$B78/10000)-1)*(1-Supuestos!$B$6)</f>
        <v>0.0953857865396349</v>
      </c>
      <c r="F78" s="0" t="n">
        <f aca="false">(1-Supuestos!D$28)*((1+((1+Supuestos!D$26)/(1+Supuestos!$B$4)-1+Supuestos!$B$14*$A78/10000))*(1+Supuestos!$B$4+$B78/10000)-1)+Supuestos!D$28*((1+Supuestos!D$27+$A78/10000)*(1+Supuestos!$B$4+$B78/10000)-1)*(1-Supuestos!$B$6)</f>
        <v>0.0951371294591367</v>
      </c>
      <c r="G78" s="0" t="n">
        <f aca="false">(1-Supuestos!E$28)*((1+((1+Supuestos!E$26)/(1+Supuestos!$B$4)-1+Supuestos!$B$14*$A78/10000))*(1+Supuestos!$B$4+$B78/10000)-1)+Supuestos!E$28*((1+Supuestos!E$27+$A78/10000)*(1+Supuestos!$B$4+$B78/10000)-1)*(1-Supuestos!$B$6)</f>
        <v>0.0949044520627725</v>
      </c>
      <c r="H78" s="0" t="n">
        <f aca="false">(1-Supuestos!F$28)*((1+((1+Supuestos!F$26)/(1+Supuestos!$B$4)-1+Supuestos!$B$14*$A78/10000))*(1+Supuestos!$B$4+$B78/10000)-1)+Supuestos!F$28*((1+Supuestos!F$27+$A78/10000)*(1+Supuestos!$B$4+$B78/10000)-1)*(1-Supuestos!$B$6)</f>
        <v>0.0946871604631696</v>
      </c>
      <c r="I78" s="0" t="n">
        <f aca="false">(1-Supuestos!G$28)*((1+((1+Supuestos!G$26)/(1+Supuestos!$B$4)-1+Supuestos!$B$14*$A78/10000))*(1+Supuestos!$B$4+$B78/10000)-1)+Supuestos!G$28*((1+Supuestos!G$27+$A78/10000)*(1+Supuestos!$B$4+$B78/10000)-1)*(1-Supuestos!$B$6)</f>
        <v>0.0944846898420516</v>
      </c>
      <c r="J78" s="0" t="n">
        <f aca="false">(1-Supuestos!H$28)*((1+((1+Supuestos!H$26)/(1+Supuestos!$B$4)-1+Supuestos!$B$14*$A78/10000))*(1+Supuestos!$B$4+$B78/10000)-1)+Supuestos!H$28*((1+Supuestos!H$27+$A78/10000)*(1+Supuestos!$B$4+$B78/10000)-1)*(1-Supuestos!$B$6)</f>
        <v>0.0942965026931813</v>
      </c>
      <c r="K78" s="0" t="n">
        <f aca="false">(1-Supuestos!I$28)*((1+((1+Supuestos!I$26)/(1+Supuestos!$B$4)-1+Supuestos!$B$14*$A78/10000))*(1+Supuestos!$B$4+$B78/10000)-1)+Supuestos!I$28*((1+Supuestos!I$27+$A78/10000)*(1+Supuestos!$B$4+$B78/10000)-1)*(1-Supuestos!$B$6)</f>
        <v>0.0942965026931813</v>
      </c>
      <c r="L78" s="0" t="n">
        <f aca="false">(1+E78)^-Supuestos!C$24</f>
        <v>0.955468666281278</v>
      </c>
      <c r="M78" s="0" t="n">
        <f aca="false">L78*(1+F78)^-Supuestos!D$24</f>
        <v>0.872464863604033</v>
      </c>
      <c r="N78" s="0" t="n">
        <f aca="false">M78*(1+G78)^-Supuestos!E$24</f>
        <v>0.796841096006442</v>
      </c>
      <c r="O78" s="0" t="n">
        <f aca="false">N78*(1+H78)^-Supuestos!F$24</f>
        <v>0.727916727980342</v>
      </c>
      <c r="P78" s="0" t="n">
        <f aca="false">O78*(1+I78)^-Supuestos!G$24</f>
        <v>0.665077122353708</v>
      </c>
      <c r="Q78" s="0" t="n">
        <f aca="false">P78*(1+J78)^-Supuestos!H$24</f>
        <v>0.607766835329256</v>
      </c>
      <c r="R78" s="0" t="n">
        <f aca="false">(1+E78)^-(Supuestos!C$24/2)</f>
        <v>0.9774807754024</v>
      </c>
      <c r="S78" s="0" t="n">
        <f aca="false">L78*(1+F78)^-(Supuestos!D$24/2)</f>
        <v>0.913024008230354</v>
      </c>
      <c r="T78" s="0" t="n">
        <f aca="false">M78*(1+G78)^-(Supuestos!E$24/2)</f>
        <v>0.833796053085734</v>
      </c>
      <c r="U78" s="0" t="n">
        <f aca="false">N78*(1+H78)^-(Supuestos!F$24/2)</f>
        <v>0.761599608275424</v>
      </c>
      <c r="V78" s="0" t="n">
        <f aca="false">O78*(1+I78)^-(Supuestos!G$24/2)</f>
        <v>0.695787871954012</v>
      </c>
      <c r="W78" s="0" t="n">
        <f aca="false">P78*(1+J78)^-(Supuestos!H$24/2)</f>
        <v>0.635776547147503</v>
      </c>
      <c r="X78" s="0" t="n">
        <f aca="false">Supuestos!C$23*(1-$C78+$C78*((1+Supuestos!$B$4+$B78/10000)/(1+Supuestos!$B$4))^Supuestos!C$25)</f>
        <v>113315.432977903</v>
      </c>
      <c r="Y78" s="0" t="n">
        <f aca="false">Supuestos!D$23*(1-$C78+$C78*((1+Supuestos!$B$4+$B78/10000)/(1+Supuestos!$B$4))^Supuestos!D$25)</f>
        <v>198665.916279169</v>
      </c>
      <c r="Z78" s="0" t="n">
        <f aca="false">Supuestos!E$23*(1-$C78+$C78*((1+Supuestos!$B$4+$B78/10000)/(1+Supuestos!$B$4))^Supuestos!E$25)</f>
        <v>257674.643753447</v>
      </c>
      <c r="AA78" s="0" t="n">
        <f aca="false">Supuestos!F$23*(1-$C78+$C78*((1+Supuestos!$B$4+$B78/10000)/(1+Supuestos!$B$4))^Supuestos!F$25)</f>
        <v>370964.907812954</v>
      </c>
      <c r="AB78" s="0" t="n">
        <f aca="false">Supuestos!G$23*(1-$C78+$C78*((1+Supuestos!$B$4+$B78/10000)/(1+Supuestos!$B$4))^Supuestos!G$25)</f>
        <v>371244.881325999</v>
      </c>
      <c r="AC78" s="0" t="n">
        <f aca="false">Supuestos!H$23*(1-$C78+$C78*((1+Supuestos!$B$4+$B78/10000)/(1+Supuestos!$B$4))^Supuestos!H$25)</f>
        <v>391033.354247421</v>
      </c>
      <c r="AD78" s="0" t="n">
        <f aca="false">Supuestos!I$23*(1-$C78+$C78*((1+Supuestos!$B$4+$B78/10000)/(1+Supuestos!$B$4))^Supuestos!I$25)</f>
        <v>516631.952813636</v>
      </c>
      <c r="AE78" s="0" t="n">
        <f aca="false">SUMPRODUCT(X78:AC78,R78:W78)</f>
        <v>1296442.759623</v>
      </c>
      <c r="AF78" s="0" t="n">
        <f aca="false">(1+Supuestos!$B$5)/(1+Supuestos!$B$4)*(1+Supuestos!$B$4+$B78/10000)-1</f>
        <v>0.026</v>
      </c>
      <c r="AG78" s="0" t="n">
        <f aca="false">AD78/(K78-AF78)</f>
        <v>7564544.77815036</v>
      </c>
      <c r="AH78" s="0" t="n">
        <f aca="false">AG78*Q78</f>
        <v>4597479.4405229</v>
      </c>
      <c r="AI78" s="0" t="n">
        <f aca="false">(AE78+AH78-Supuestos!$B$7-Supuestos!$B$8)/Supuestos!$B$9</f>
        <v>2080.9777169616</v>
      </c>
      <c r="AJ78" s="0" t="n">
        <f aca="false">AI78/AI$5-1</f>
        <v>0.120726126350907</v>
      </c>
    </row>
    <row r="79" customFormat="false" ht="15" hidden="false" customHeight="false" outlineLevel="0" collapsed="false">
      <c r="A79" s="0" t="n">
        <v>-50</v>
      </c>
      <c r="B79" s="0" t="n">
        <v>-50</v>
      </c>
      <c r="C79" s="0" t="n">
        <v>1</v>
      </c>
      <c r="D79" s="0" t="s">
        <v>115</v>
      </c>
      <c r="E79" s="0" t="n">
        <f aca="false">(1-Supuestos!C$28)*((1+((1+Supuestos!C$26)/(1+Supuestos!$B$4)-1+Supuestos!$B$14*$A79/10000))*(1+Supuestos!$B$4+$B79/10000)-1)+Supuestos!C$28*((1+Supuestos!C$27+$A79/10000)*(1+Supuestos!$B$4+$B79/10000)-1)*(1-Supuestos!$B$6)</f>
        <v>0.0953408230607697</v>
      </c>
      <c r="F79" s="0" t="n">
        <f aca="false">(1-Supuestos!D$28)*((1+((1+Supuestos!D$26)/(1+Supuestos!$B$4)-1+Supuestos!$B$14*$A79/10000))*(1+Supuestos!$B$4+$B79/10000)-1)+Supuestos!D$28*((1+Supuestos!D$27+$A79/10000)*(1+Supuestos!$B$4+$B79/10000)-1)*(1-Supuestos!$B$6)</f>
        <v>0.0950922653484599</v>
      </c>
      <c r="G79" s="0" t="n">
        <f aca="false">(1-Supuestos!E$28)*((1+((1+Supuestos!E$26)/(1+Supuestos!$B$4)-1+Supuestos!$B$14*$A79/10000))*(1+Supuestos!$B$4+$B79/10000)-1)+Supuestos!E$28*((1+Supuestos!E$27+$A79/10000)*(1+Supuestos!$B$4+$B79/10000)-1)*(1-Supuestos!$B$6)</f>
        <v>0.0948596753327548</v>
      </c>
      <c r="H79" s="0" t="n">
        <f aca="false">(1-Supuestos!F$28)*((1+((1+Supuestos!F$26)/(1+Supuestos!$B$4)-1+Supuestos!$B$14*$A79/10000))*(1+Supuestos!$B$4+$B79/10000)-1)+Supuestos!F$28*((1+Supuestos!F$27+$A79/10000)*(1+Supuestos!$B$4+$B79/10000)-1)*(1-Supuestos!$B$6)</f>
        <v>0.0946424595717994</v>
      </c>
      <c r="I79" s="0" t="n">
        <f aca="false">(1-Supuestos!G$28)*((1+((1+Supuestos!G$26)/(1+Supuestos!$B$4)-1+Supuestos!$B$14*$A79/10000))*(1+Supuestos!$B$4+$B79/10000)-1)+Supuestos!G$28*((1+Supuestos!G$27+$A79/10000)*(1+Supuestos!$B$4+$B79/10000)-1)*(1-Supuestos!$B$6)</f>
        <v>0.094440053671029</v>
      </c>
      <c r="J79" s="0" t="n">
        <f aca="false">(1-Supuestos!H$28)*((1+((1+Supuestos!H$26)/(1+Supuestos!$B$4)-1+Supuestos!$B$14*$A79/10000))*(1+Supuestos!$B$4+$B79/10000)-1)+Supuestos!H$28*((1+Supuestos!H$27+$A79/10000)*(1+Supuestos!$B$4+$B79/10000)-1)*(1-Supuestos!$B$6)</f>
        <v>0.0942519205274297</v>
      </c>
      <c r="K79" s="0" t="n">
        <f aca="false">(1-Supuestos!I$28)*((1+((1+Supuestos!I$26)/(1+Supuestos!$B$4)-1+Supuestos!$B$14*$A79/10000))*(1+Supuestos!$B$4+$B79/10000)-1)+Supuestos!I$28*((1+Supuestos!I$27+$A79/10000)*(1+Supuestos!$B$4+$B79/10000)-1)*(1-Supuestos!$B$6)</f>
        <v>0.0942519205274297</v>
      </c>
      <c r="L79" s="0" t="n">
        <f aca="false">(1+E79)^-Supuestos!C$24</f>
        <v>0.955488276960164</v>
      </c>
      <c r="M79" s="0" t="n">
        <f aca="false">L79*(1+F79)^-Supuestos!D$24</f>
        <v>0.872518514826809</v>
      </c>
      <c r="N79" s="0" t="n">
        <f aca="false">M79*(1+G79)^-Supuestos!E$24</f>
        <v>0.796922687431729</v>
      </c>
      <c r="O79" s="0" t="n">
        <f aca="false">N79*(1+H79)^-Supuestos!F$24</f>
        <v>0.728020990290718</v>
      </c>
      <c r="P79" s="0" t="n">
        <f aca="false">O79*(1+I79)^-Supuestos!G$24</f>
        <v>0.665199512617207</v>
      </c>
      <c r="Q79" s="0" t="n">
        <f aca="false">P79*(1+J79)^-Supuestos!H$24</f>
        <v>0.607903445393617</v>
      </c>
      <c r="R79" s="0" t="n">
        <f aca="false">(1+E79)^-(Supuestos!C$24/2)</f>
        <v>0.977490806586008</v>
      </c>
      <c r="S79" s="0" t="n">
        <f aca="false">L79*(1+F79)^-(Supuestos!D$24/2)</f>
        <v>0.913061450477299</v>
      </c>
      <c r="T79" s="0" t="n">
        <f aca="false">M79*(1+G79)^-(Supuestos!E$24/2)</f>
        <v>0.833864377263906</v>
      </c>
      <c r="U79" s="0" t="n">
        <f aca="false">N79*(1+H79)^-(Supuestos!F$24/2)</f>
        <v>0.761693142997354</v>
      </c>
      <c r="V79" s="0" t="n">
        <f aca="false">O79*(1+I79)^-(Supuestos!G$24/2)</f>
        <v>0.69590172288656</v>
      </c>
      <c r="W79" s="0" t="n">
        <f aca="false">P79*(1+J79)^-(Supuestos!H$24/2)</f>
        <v>0.635906499097277</v>
      </c>
      <c r="X79" s="0" t="n">
        <f aca="false">Supuestos!C$23*(1-$C79+$C79*((1+Supuestos!$B$4+$B79/10000)/(1+Supuestos!$B$4))^Supuestos!C$25)</f>
        <v>113287.811907483</v>
      </c>
      <c r="Y79" s="0" t="n">
        <f aca="false">Supuestos!D$23*(1-$C79+$C79*((1+Supuestos!$B$4+$B79/10000)/(1+Supuestos!$B$4))^Supuestos!D$25)</f>
        <v>198472.28478182</v>
      </c>
      <c r="Z79" s="0" t="n">
        <f aca="false">Supuestos!E$23*(1-$C79+$C79*((1+Supuestos!$B$4+$B79/10000)/(1+Supuestos!$B$4))^Supuestos!E$25)</f>
        <v>257172.598780124</v>
      </c>
      <c r="AA79" s="0" t="n">
        <f aca="false">Supuestos!F$23*(1-$C79+$C79*((1+Supuestos!$B$4+$B79/10000)/(1+Supuestos!$B$4))^Supuestos!F$25)</f>
        <v>369881.271961953</v>
      </c>
      <c r="AB79" s="0" t="n">
        <f aca="false">Supuestos!G$23*(1-$C79+$C79*((1+Supuestos!$B$4+$B79/10000)/(1+Supuestos!$B$4))^Supuestos!G$25)</f>
        <v>369799.647492731</v>
      </c>
      <c r="AC79" s="0" t="n">
        <f aca="false">Supuestos!H$23*(1-$C79+$C79*((1+Supuestos!$B$4+$B79/10000)/(1+Supuestos!$B$4))^Supuestos!H$25)</f>
        <v>389131.444654032</v>
      </c>
      <c r="AD79" s="0" t="n">
        <f aca="false">Supuestos!I$23*(1-$C79+$C79*((1+Supuestos!$B$4+$B79/10000)/(1+Supuestos!$B$4))^Supuestos!I$25)</f>
        <v>513618.065458298</v>
      </c>
      <c r="AE79" s="0" t="n">
        <f aca="false">SUMPRODUCT(X79:AC79,R79:W79)</f>
        <v>1292933.71083957</v>
      </c>
      <c r="AF79" s="0" t="n">
        <f aca="false">(1+Supuestos!$B$5)/(1+Supuestos!$B$4)*(1+Supuestos!$B$4+$B79/10000)-1</f>
        <v>0.0250000000000001</v>
      </c>
      <c r="AG79" s="0" t="n">
        <f aca="false">AD79/(K79-AF79)</f>
        <v>7416661.68312057</v>
      </c>
      <c r="AH79" s="0" t="n">
        <f aca="false">AG79*Q79</f>
        <v>4508614.19048782</v>
      </c>
      <c r="AI79" s="0" t="n">
        <f aca="false">(AE79+AH79-Supuestos!$B$7-Supuestos!$B$8)/Supuestos!$B$9</f>
        <v>2038.79767183899</v>
      </c>
      <c r="AJ79" s="0" t="n">
        <f aca="false">AI79/AI$5-1</f>
        <v>0.0980097473170249</v>
      </c>
    </row>
    <row r="80" customFormat="false" ht="15" hidden="false" customHeight="false" outlineLevel="0" collapsed="false">
      <c r="A80" s="0" t="n">
        <v>-40</v>
      </c>
      <c r="B80" s="0" t="n">
        <v>-60</v>
      </c>
      <c r="C80" s="0" t="n">
        <v>1</v>
      </c>
      <c r="D80" s="0" t="s">
        <v>115</v>
      </c>
      <c r="E80" s="0" t="n">
        <f aca="false">(1-Supuestos!C$28)*((1+((1+Supuestos!C$26)/(1+Supuestos!$B$4)-1+Supuestos!$B$14*$A80/10000))*(1+Supuestos!$B$4+$B80/10000)-1)+Supuestos!C$28*((1+Supuestos!C$27+$A80/10000)*(1+Supuestos!$B$4+$B80/10000)-1)*(1-Supuestos!$B$6)</f>
        <v>0.095293952388982</v>
      </c>
      <c r="F80" s="0" t="n">
        <f aca="false">(1-Supuestos!D$28)*((1+((1+Supuestos!D$26)/(1+Supuestos!$B$4)-1+Supuestos!$B$14*$A80/10000))*(1+Supuestos!$B$4+$B80/10000)-1)+Supuestos!D$28*((1+Supuestos!D$27+$A80/10000)*(1+Supuestos!$B$4+$B80/10000)-1)*(1-Supuestos!$B$6)</f>
        <v>0.0950454997256087</v>
      </c>
      <c r="G80" s="0" t="n">
        <f aca="false">(1-Supuestos!E$28)*((1+((1+Supuestos!E$26)/(1+Supuestos!$B$4)-1+Supuestos!$B$14*$A80/10000))*(1+Supuestos!$B$4+$B80/10000)-1)+Supuestos!E$28*((1+Supuestos!E$27+$A80/10000)*(1+Supuestos!$B$4+$B80/10000)-1)*(1-Supuestos!$B$6)</f>
        <v>0.0948130026287943</v>
      </c>
      <c r="H80" s="0" t="n">
        <f aca="false">(1-Supuestos!F$28)*((1+((1+Supuestos!F$26)/(1+Supuestos!$B$4)-1+Supuestos!$B$14*$A80/10000))*(1+Supuestos!$B$4+$B80/10000)-1)+Supuestos!F$28*((1+Supuestos!F$27+$A80/10000)*(1+Supuestos!$B$4+$B80/10000)-1)*(1-Supuestos!$B$6)</f>
        <v>0.0945958681074988</v>
      </c>
      <c r="I80" s="0" t="n">
        <f aca="false">(1-Supuestos!G$28)*((1+((1+Supuestos!G$26)/(1+Supuestos!$B$4)-1+Supuestos!$B$14*$A80/10000))*(1+Supuestos!$B$4+$B80/10000)-1)+Supuestos!G$28*((1+Supuestos!G$27+$A80/10000)*(1+Supuestos!$B$4+$B80/10000)-1)*(1-Supuestos!$B$6)</f>
        <v>0.0943935321959068</v>
      </c>
      <c r="J80" s="0" t="n">
        <f aca="false">(1-Supuestos!H$28)*((1+((1+Supuestos!H$26)/(1+Supuestos!$B$4)-1+Supuestos!$B$14*$A80/10000))*(1+Supuestos!$B$4+$B80/10000)-1)+Supuestos!H$28*((1+Supuestos!H$27+$A80/10000)*(1+Supuestos!$B$4+$B80/10000)-1)*(1-Supuestos!$B$6)</f>
        <v>0.09420545819902</v>
      </c>
      <c r="K80" s="0" t="n">
        <f aca="false">(1-Supuestos!I$28)*((1+((1+Supuestos!I$26)/(1+Supuestos!$B$4)-1+Supuestos!$B$14*$A80/10000))*(1+Supuestos!$B$4+$B80/10000)-1)+Supuestos!I$28*((1+Supuestos!I$27+$A80/10000)*(1+Supuestos!$B$4+$B80/10000)-1)*(1-Supuestos!$B$6)</f>
        <v>0.09420545819902</v>
      </c>
      <c r="L80" s="0" t="n">
        <f aca="false">(1+E80)^-Supuestos!C$24</f>
        <v>0.95550872074068</v>
      </c>
      <c r="M80" s="0" t="n">
        <f aca="false">L80*(1+F80)^-Supuestos!D$24</f>
        <v>0.872574446431775</v>
      </c>
      <c r="N80" s="0" t="n">
        <f aca="false">M80*(1+G80)^-Supuestos!E$24</f>
        <v>0.797007748662654</v>
      </c>
      <c r="O80" s="0" t="n">
        <f aca="false">N80*(1+H80)^-Supuestos!F$24</f>
        <v>0.728129688668239</v>
      </c>
      <c r="P80" s="0" t="n">
        <f aca="false">O80*(1+I80)^-Supuestos!G$24</f>
        <v>0.665327112457657</v>
      </c>
      <c r="Q80" s="0" t="n">
        <f aca="false">P80*(1+J80)^-Supuestos!H$24</f>
        <v>0.60804587243856</v>
      </c>
      <c r="R80" s="0" t="n">
        <f aca="false">(1+E80)^-(Supuestos!C$24/2)</f>
        <v>0.977501263805157</v>
      </c>
      <c r="S80" s="0" t="n">
        <f aca="false">L80*(1+F80)^-(Supuestos!D$24/2)</f>
        <v>0.913100483550979</v>
      </c>
      <c r="T80" s="0" t="n">
        <f aca="false">M80*(1+G80)^-(Supuestos!E$24/2)</f>
        <v>0.833935606081879</v>
      </c>
      <c r="U80" s="0" t="n">
        <f aca="false">N80*(1+H80)^-(Supuestos!F$24/2)</f>
        <v>0.761790656217252</v>
      </c>
      <c r="V80" s="0" t="n">
        <f aca="false">O80*(1+I80)^-(Supuestos!G$24/2)</f>
        <v>0.696020418706472</v>
      </c>
      <c r="W80" s="0" t="n">
        <f aca="false">P80*(1+J80)^-(Supuestos!H$24/2)</f>
        <v>0.636041983324485</v>
      </c>
      <c r="X80" s="0" t="n">
        <f aca="false">Supuestos!C$23*(1-$C80+$C80*((1+Supuestos!$B$4+$B80/10000)/(1+Supuestos!$B$4))^Supuestos!C$25)</f>
        <v>113260.170619125</v>
      </c>
      <c r="Y80" s="0" t="n">
        <f aca="false">Supuestos!D$23*(1-$C80+$C80*((1+Supuestos!$B$4+$B80/10000)/(1+Supuestos!$B$4))^Supuestos!D$25)</f>
        <v>198278.653284472</v>
      </c>
      <c r="Z80" s="0" t="n">
        <f aca="false">Supuestos!E$23*(1-$C80+$C80*((1+Supuestos!$B$4+$B80/10000)/(1+Supuestos!$B$4))^Supuestos!E$25)</f>
        <v>256671.043367964</v>
      </c>
      <c r="AA80" s="0" t="n">
        <f aca="false">Supuestos!F$23*(1-$C80+$C80*((1+Supuestos!$B$4+$B80/10000)/(1+Supuestos!$B$4))^Supuestos!F$25)</f>
        <v>368799.748460868</v>
      </c>
      <c r="AB80" s="0" t="n">
        <f aca="false">Supuestos!G$23*(1-$C80+$C80*((1+Supuestos!$B$4+$B80/10000)/(1+Supuestos!$B$4))^Supuestos!G$25)</f>
        <v>368358.63742767</v>
      </c>
      <c r="AC80" s="0" t="n">
        <f aca="false">Supuestos!H$23*(1-$C80+$C80*((1+Supuestos!$B$4+$B80/10000)/(1+Supuestos!$B$4))^Supuestos!H$25)</f>
        <v>387236.942682388</v>
      </c>
      <c r="AD80" s="0" t="n">
        <f aca="false">Supuestos!I$23*(1-$C80+$C80*((1+Supuestos!$B$4+$B80/10000)/(1+Supuestos!$B$4))^Supuestos!I$25)</f>
        <v>510618.844188984</v>
      </c>
      <c r="AE80" s="0" t="n">
        <f aca="false">SUMPRODUCT(X80:AC80,R80:W80)</f>
        <v>1289439.70471513</v>
      </c>
      <c r="AF80" s="0" t="n">
        <f aca="false">(1+Supuestos!$B$5)/(1+Supuestos!$B$4)*(1+Supuestos!$B$4+$B80/10000)-1</f>
        <v>0.024</v>
      </c>
      <c r="AG80" s="0" t="n">
        <f aca="false">AD80/(K80-AF80)</f>
        <v>7273207.20194534</v>
      </c>
      <c r="AH80" s="0" t="n">
        <f aca="false">AG80*Q80</f>
        <v>4422443.61853327</v>
      </c>
      <c r="AI80" s="0" t="n">
        <f aca="false">(AE80+AH80-Supuestos!$B$7-Supuestos!$B$8)/Supuestos!$B$9</f>
        <v>1997.85494212256</v>
      </c>
      <c r="AJ80" s="0" t="n">
        <f aca="false">AI80/AI$5-1</f>
        <v>0.0759597337568947</v>
      </c>
    </row>
    <row r="81" customFormat="false" ht="15" hidden="false" customHeight="false" outlineLevel="0" collapsed="false">
      <c r="A81" s="0" t="n">
        <v>-30</v>
      </c>
      <c r="B81" s="0" t="n">
        <v>-70</v>
      </c>
      <c r="C81" s="0" t="n">
        <v>1</v>
      </c>
      <c r="D81" s="0" t="s">
        <v>115</v>
      </c>
      <c r="E81" s="0" t="n">
        <f aca="false">(1-Supuestos!C$28)*((1+((1+Supuestos!C$26)/(1+Supuestos!$B$4)-1+Supuestos!$B$14*$A81/10000))*(1+Supuestos!$B$4+$B81/10000)-1)+Supuestos!C$28*((1+Supuestos!C$27+$A81/10000)*(1+Supuestos!$B$4+$B81/10000)-1)*(1-Supuestos!$B$6)</f>
        <v>0.095245174524272</v>
      </c>
      <c r="F81" s="0" t="n">
        <f aca="false">(1-Supuestos!D$28)*((1+((1+Supuestos!D$26)/(1+Supuestos!$B$4)-1+Supuestos!$B$14*$A81/10000))*(1+Supuestos!$B$4+$B81/10000)-1)+Supuestos!D$28*((1+Supuestos!D$27+$A81/10000)*(1+Supuestos!$B$4+$B81/10000)-1)*(1-Supuestos!$B$6)</f>
        <v>0.0949968325905833</v>
      </c>
      <c r="G81" s="0" t="n">
        <f aca="false">(1-Supuestos!E$28)*((1+((1+Supuestos!E$26)/(1+Supuestos!$B$4)-1+Supuestos!$B$14*$A81/10000))*(1+Supuestos!$B$4+$B81/10000)-1)+Supuestos!E$28*((1+Supuestos!E$27+$A81/10000)*(1+Supuestos!$B$4+$B81/10000)-1)*(1-Supuestos!$B$6)</f>
        <v>0.0947644339508913</v>
      </c>
      <c r="H81" s="0" t="n">
        <f aca="false">(1-Supuestos!F$28)*((1+((1+Supuestos!F$26)/(1+Supuestos!$B$4)-1+Supuestos!$B$14*$A81/10000))*(1+Supuestos!$B$4+$B81/10000)-1)+Supuestos!F$28*((1+Supuestos!F$27+$A81/10000)*(1+Supuestos!$B$4+$B81/10000)-1)*(1-Supuestos!$B$6)</f>
        <v>0.0945473860702685</v>
      </c>
      <c r="I81" s="0" t="n">
        <f aca="false">(1-Supuestos!G$28)*((1+((1+Supuestos!G$26)/(1+Supuestos!$B$4)-1+Supuestos!$B$14*$A81/10000))*(1+Supuestos!$B$4+$B81/10000)-1)+Supuestos!G$28*((1+Supuestos!G$27+$A81/10000)*(1+Supuestos!$B$4+$B81/10000)-1)*(1-Supuestos!$B$6)</f>
        <v>0.0943451254166852</v>
      </c>
      <c r="J81" s="0" t="n">
        <f aca="false">(1-Supuestos!H$28)*((1+((1+Supuestos!H$26)/(1+Supuestos!$B$4)-1+Supuestos!$B$14*$A81/10000))*(1+Supuestos!$B$4+$B81/10000)-1)+Supuestos!H$28*((1+Supuestos!H$27+$A81/10000)*(1+Supuestos!$B$4+$B81/10000)-1)*(1-Supuestos!$B$6)</f>
        <v>0.094157115707953</v>
      </c>
      <c r="K81" s="0" t="n">
        <f aca="false">(1-Supuestos!I$28)*((1+((1+Supuestos!I$26)/(1+Supuestos!$B$4)-1+Supuestos!$B$14*$A81/10000))*(1+Supuestos!$B$4+$B81/10000)-1)+Supuestos!I$28*((1+Supuestos!I$27+$A81/10000)*(1+Supuestos!$B$4+$B81/10000)-1)*(1-Supuestos!$B$6)</f>
        <v>0.094157115707953</v>
      </c>
      <c r="L81" s="0" t="n">
        <f aca="false">(1+E81)^-Supuestos!C$24</f>
        <v>0.955529997783152</v>
      </c>
      <c r="M81" s="0" t="n">
        <f aca="false">L81*(1+F81)^-Supuestos!D$24</f>
        <v>0.872632659148907</v>
      </c>
      <c r="N81" s="0" t="n">
        <f aca="false">M81*(1+G81)^-Supuestos!E$24</f>
        <v>0.797096281251727</v>
      </c>
      <c r="O81" s="0" t="n">
        <f aca="false">N81*(1+H81)^-Supuestos!F$24</f>
        <v>0.728242825661049</v>
      </c>
      <c r="P81" s="0" t="n">
        <f aca="false">O81*(1+I81)^-Supuestos!G$24</f>
        <v>0.665459925527389</v>
      </c>
      <c r="Q81" s="0" t="n">
        <f aca="false">P81*(1+J81)^-Supuestos!H$24</f>
        <v>0.608194121277378</v>
      </c>
      <c r="R81" s="0" t="n">
        <f aca="false">(1+E81)^-(Supuestos!C$24/2)</f>
        <v>0.977512147128184</v>
      </c>
      <c r="S81" s="0" t="n">
        <f aca="false">L81*(1+F81)^-(Supuestos!D$24/2)</f>
        <v>0.913141107859054</v>
      </c>
      <c r="T81" s="0" t="n">
        <f aca="false">M81*(1+G81)^-(Supuestos!E$24/2)</f>
        <v>0.834009740654388</v>
      </c>
      <c r="U81" s="0" t="n">
        <f aca="false">N81*(1+H81)^-(Supuestos!F$24/2)</f>
        <v>0.761892149967876</v>
      </c>
      <c r="V81" s="0" t="n">
        <f aca="false">O81*(1+I81)^-(Supuestos!G$24/2)</f>
        <v>0.696143962503631</v>
      </c>
      <c r="W81" s="0" t="n">
        <f aca="false">P81*(1+J81)^-(Supuestos!H$24/2)</f>
        <v>0.636183004057355</v>
      </c>
      <c r="X81" s="0" t="n">
        <f aca="false">Supuestos!C$23*(1-$C81+$C81*((1+Supuestos!$B$4+$B81/10000)/(1+Supuestos!$B$4))^Supuestos!C$25)</f>
        <v>113232.509078261</v>
      </c>
      <c r="Y81" s="0" t="n">
        <f aca="false">Supuestos!D$23*(1-$C81+$C81*((1+Supuestos!$B$4+$B81/10000)/(1+Supuestos!$B$4))^Supuestos!D$25)</f>
        <v>198085.021787124</v>
      </c>
      <c r="Z81" s="0" t="n">
        <f aca="false">Supuestos!E$23*(1-$C81+$C81*((1+Supuestos!$B$4+$B81/10000)/(1+Supuestos!$B$4))^Supuestos!E$25)</f>
        <v>256169.977516968</v>
      </c>
      <c r="AA81" s="0" t="n">
        <f aca="false">Supuestos!F$23*(1-$C81+$C81*((1+Supuestos!$B$4+$B81/10000)/(1+Supuestos!$B$4))^Supuestos!F$25)</f>
        <v>367720.335248872</v>
      </c>
      <c r="AB81" s="0" t="n">
        <f aca="false">Supuestos!G$23*(1-$C81+$C81*((1+Supuestos!$B$4+$B81/10000)/(1+Supuestos!$B$4))^Supuestos!G$25)</f>
        <v>366921.842893341</v>
      </c>
      <c r="AC81" s="0" t="n">
        <f aca="false">Supuestos!H$23*(1-$C81+$C81*((1+Supuestos!$B$4+$B81/10000)/(1+Supuestos!$B$4))^Supuestos!H$25)</f>
        <v>385349.826672798</v>
      </c>
      <c r="AD81" s="0" t="n">
        <f aca="false">Supuestos!I$23*(1-$C81+$C81*((1+Supuestos!$B$4+$B81/10000)/(1+Supuestos!$B$4))^Supuestos!I$25)</f>
        <v>507634.231855919</v>
      </c>
      <c r="AE81" s="0" t="n">
        <f aca="false">SUMPRODUCT(X81:AC81,R81:W81)</f>
        <v>1285960.65862741</v>
      </c>
      <c r="AF81" s="0" t="n">
        <f aca="false">(1+Supuestos!$B$5)/(1+Supuestos!$B$4)*(1+Supuestos!$B$4+$B81/10000)-1</f>
        <v>0.0230000000000001</v>
      </c>
      <c r="AG81" s="0" t="n">
        <f aca="false">AD81/(K81-AF81)</f>
        <v>7133991.12380244</v>
      </c>
      <c r="AH81" s="0" t="n">
        <f aca="false">AG81*Q81</f>
        <v>4338851.46274164</v>
      </c>
      <c r="AI81" s="0" t="n">
        <f aca="false">(AE81+AH81-Supuestos!$B$7-Supuestos!$B$8)/Supuestos!$B$9</f>
        <v>1958.09640245162</v>
      </c>
      <c r="AJ81" s="0" t="n">
        <f aca="false">AI81/AI$5-1</f>
        <v>0.0545474746098629</v>
      </c>
    </row>
    <row r="82" customFormat="false" ht="15" hidden="false" customHeight="false" outlineLevel="0" collapsed="false">
      <c r="A82" s="0" t="n">
        <v>-20</v>
      </c>
      <c r="B82" s="0" t="n">
        <v>-80</v>
      </c>
      <c r="C82" s="0" t="n">
        <v>1</v>
      </c>
      <c r="D82" s="0" t="s">
        <v>115</v>
      </c>
      <c r="E82" s="0" t="n">
        <f aca="false">(1-Supuestos!C$28)*((1+((1+Supuestos!C$26)/(1+Supuestos!$B$4)-1+Supuestos!$B$14*$A82/10000))*(1+Supuestos!$B$4+$B82/10000)-1)+Supuestos!C$28*((1+Supuestos!C$27+$A82/10000)*(1+Supuestos!$B$4+$B82/10000)-1)*(1-Supuestos!$B$6)</f>
        <v>0.095194489466639</v>
      </c>
      <c r="F82" s="0" t="n">
        <f aca="false">(1-Supuestos!D$28)*((1+((1+Supuestos!D$26)/(1+Supuestos!$B$4)-1+Supuestos!$B$14*$A82/10000))*(1+Supuestos!$B$4+$B82/10000)-1)+Supuestos!D$28*((1+Supuestos!D$27+$A82/10000)*(1+Supuestos!$B$4+$B82/10000)-1)*(1-Supuestos!$B$6)</f>
        <v>0.0949462639433831</v>
      </c>
      <c r="G82" s="0" t="n">
        <f aca="false">(1-Supuestos!E$28)*((1+((1+Supuestos!E$26)/(1+Supuestos!$B$4)-1+Supuestos!$B$14*$A82/10000))*(1+Supuestos!$B$4+$B82/10000)-1)+Supuestos!E$28*((1+Supuestos!E$27+$A82/10000)*(1+Supuestos!$B$4+$B82/10000)-1)*(1-Supuestos!$B$6)</f>
        <v>0.094713969299046</v>
      </c>
      <c r="H82" s="0" t="n">
        <f aca="false">(1-Supuestos!F$28)*((1+((1+Supuestos!F$26)/(1+Supuestos!$B$4)-1+Supuestos!$B$14*$A82/10000))*(1+Supuestos!$B$4+$B82/10000)-1)+Supuestos!F$28*((1+Supuestos!F$27+$A82/10000)*(1+Supuestos!$B$4+$B82/10000)-1)*(1-Supuestos!$B$6)</f>
        <v>0.0944970134601082</v>
      </c>
      <c r="I82" s="0" t="n">
        <f aca="false">(1-Supuestos!G$28)*((1+((1+Supuestos!G$26)/(1+Supuestos!$B$4)-1+Supuestos!$B$14*$A82/10000))*(1+Supuestos!$B$4+$B82/10000)-1)+Supuestos!G$28*((1+Supuestos!G$27+$A82/10000)*(1+Supuestos!$B$4+$B82/10000)-1)*(1-Supuestos!$B$6)</f>
        <v>0.0942948333333635</v>
      </c>
      <c r="J82" s="0" t="n">
        <f aca="false">(1-Supuestos!H$28)*((1+((1+Supuestos!H$26)/(1+Supuestos!$B$4)-1+Supuestos!$B$14*$A82/10000))*(1+Supuestos!$B$4+$B82/10000)-1)+Supuestos!H$28*((1+Supuestos!H$27+$A82/10000)*(1+Supuestos!$B$4+$B82/10000)-1)*(1-Supuestos!$B$6)</f>
        <v>0.0941068930542286</v>
      </c>
      <c r="K82" s="0" t="n">
        <f aca="false">(1-Supuestos!I$28)*((1+((1+Supuestos!I$26)/(1+Supuestos!$B$4)-1+Supuestos!$B$14*$A82/10000))*(1+Supuestos!$B$4+$B82/10000)-1)+Supuestos!I$28*((1+Supuestos!I$27+$A82/10000)*(1+Supuestos!$B$4+$B82/10000)-1)*(1-Supuestos!$B$6)</f>
        <v>0.0941068930542286</v>
      </c>
      <c r="L82" s="0" t="n">
        <f aca="false">(1+E82)^-Supuestos!C$24</f>
        <v>0.955552108254463</v>
      </c>
      <c r="M82" s="0" t="n">
        <f aca="false">L82*(1+F82)^-Supuestos!D$24</f>
        <v>0.872693153738065</v>
      </c>
      <c r="N82" s="0" t="n">
        <f aca="false">M82*(1+G82)^-Supuestos!E$24</f>
        <v>0.7971882868151</v>
      </c>
      <c r="O82" s="0" t="n">
        <f aca="false">N82*(1+H82)^-Supuestos!F$24</f>
        <v>0.728360403921884</v>
      </c>
      <c r="P82" s="0" t="n">
        <f aca="false">O82*(1+I82)^-Supuestos!G$24</f>
        <v>0.665597955628836</v>
      </c>
      <c r="Q82" s="0" t="n">
        <f aca="false">P82*(1+J82)^-Supuestos!H$24</f>
        <v>0.608348196921419</v>
      </c>
      <c r="R82" s="0" t="n">
        <f aca="false">(1+E82)^-(Supuestos!C$24/2)</f>
        <v>0.977523456626214</v>
      </c>
      <c r="S82" s="0" t="n">
        <f aca="false">L82*(1+F82)^-(Supuestos!D$24/2)</f>
        <v>0.913183323825859</v>
      </c>
      <c r="T82" s="0" t="n">
        <f aca="false">M82*(1+G82)^-(Supuestos!E$24/2)</f>
        <v>0.834086782141831</v>
      </c>
      <c r="U82" s="0" t="n">
        <f aca="false">N82*(1+H82)^-(Supuestos!F$24/2)</f>
        <v>0.761997626365359</v>
      </c>
      <c r="V82" s="0" t="n">
        <f aca="false">O82*(1+I82)^-(Supuestos!G$24/2)</f>
        <v>0.696272357494823</v>
      </c>
      <c r="W82" s="0" t="n">
        <f aca="false">P82*(1+J82)^-(Supuestos!H$24/2)</f>
        <v>0.636329565697984</v>
      </c>
      <c r="X82" s="0" t="n">
        <f aca="false">Supuestos!C$23*(1-$C82+$C82*((1+Supuestos!$B$4+$B82/10000)/(1+Supuestos!$B$4))^Supuestos!C$25)</f>
        <v>113204.827250236</v>
      </c>
      <c r="Y82" s="0" t="n">
        <f aca="false">Supuestos!D$23*(1-$C82+$C82*((1+Supuestos!$B$4+$B82/10000)/(1+Supuestos!$B$4))^Supuestos!D$25)</f>
        <v>197891.390289776</v>
      </c>
      <c r="Z82" s="0" t="n">
        <f aca="false">Supuestos!E$23*(1-$C82+$C82*((1+Supuestos!$B$4+$B82/10000)/(1+Supuestos!$B$4))^Supuestos!E$25)</f>
        <v>255669.401227135</v>
      </c>
      <c r="AA82" s="0" t="n">
        <f aca="false">Supuestos!F$23*(1-$C82+$C82*((1+Supuestos!$B$4+$B82/10000)/(1+Supuestos!$B$4))^Supuestos!F$25)</f>
        <v>366643.030265134</v>
      </c>
      <c r="AB82" s="0" t="n">
        <f aca="false">Supuestos!G$23*(1-$C82+$C82*((1+Supuestos!$B$4+$B82/10000)/(1+Supuestos!$B$4))^Supuestos!G$25)</f>
        <v>365489.255660306</v>
      </c>
      <c r="AC82" s="0" t="n">
        <f aca="false">Supuestos!H$23*(1-$C82+$C82*((1+Supuestos!$B$4+$B82/10000)/(1+Supuestos!$B$4))^Supuestos!H$25)</f>
        <v>383470.075007833</v>
      </c>
      <c r="AD82" s="0" t="n">
        <f aca="false">Supuestos!I$23*(1-$C82+$C82*((1+Supuestos!$B$4+$B82/10000)/(1+Supuestos!$B$4))^Supuestos!I$25)</f>
        <v>504664.171476508</v>
      </c>
      <c r="AE82" s="0" t="n">
        <f aca="false">SUMPRODUCT(X82:AC82,R82:W82)</f>
        <v>1282496.4904944</v>
      </c>
      <c r="AF82" s="0" t="n">
        <f aca="false">(1+Supuestos!$B$5)/(1+Supuestos!$B$4)*(1+Supuestos!$B$4+$B82/10000)-1</f>
        <v>0.022</v>
      </c>
      <c r="AG82" s="0" t="n">
        <f aca="false">AD82/(K82-AF82)</f>
        <v>6998833.95470904</v>
      </c>
      <c r="AH82" s="0" t="n">
        <f aca="false">AG82*Q82</f>
        <v>4257728.01689965</v>
      </c>
      <c r="AI82" s="0" t="n">
        <f aca="false">(AE82+AH82-Supuestos!$B$7-Supuestos!$B$8)/Supuestos!$B$9</f>
        <v>1919.4719211845</v>
      </c>
      <c r="AJ82" s="0" t="n">
        <f aca="false">AI82/AI$5-1</f>
        <v>0.0337459711050507</v>
      </c>
    </row>
    <row r="83" customFormat="false" ht="15" hidden="false" customHeight="false" outlineLevel="0" collapsed="false">
      <c r="A83" s="0" t="n">
        <v>-10</v>
      </c>
      <c r="B83" s="0" t="n">
        <v>-90</v>
      </c>
      <c r="C83" s="0" t="n">
        <v>1</v>
      </c>
      <c r="D83" s="0" t="s">
        <v>115</v>
      </c>
      <c r="E83" s="0" t="n">
        <f aca="false">(1-Supuestos!C$28)*((1+((1+Supuestos!C$26)/(1+Supuestos!$B$4)-1+Supuestos!$B$14*$A83/10000))*(1+Supuestos!$B$4+$B83/10000)-1)+Supuestos!C$28*((1+Supuestos!C$27+$A83/10000)*(1+Supuestos!$B$4+$B83/10000)-1)*(1-Supuestos!$B$6)</f>
        <v>0.0951418972160837</v>
      </c>
      <c r="F83" s="0" t="n">
        <f aca="false">(1-Supuestos!D$28)*((1+((1+Supuestos!D$26)/(1+Supuestos!$B$4)-1+Supuestos!$B$14*$A83/10000))*(1+Supuestos!$B$4+$B83/10000)-1)+Supuestos!D$28*((1+Supuestos!D$27+$A83/10000)*(1+Supuestos!$B$4+$B83/10000)-1)*(1-Supuestos!$B$6)</f>
        <v>0.0948937937840085</v>
      </c>
      <c r="G83" s="0" t="n">
        <f aca="false">(1-Supuestos!E$28)*((1+((1+Supuestos!E$26)/(1+Supuestos!$B$4)-1+Supuestos!$B$14*$A83/10000))*(1+Supuestos!$B$4+$B83/10000)-1)+Supuestos!E$28*((1+Supuestos!E$27+$A83/10000)*(1+Supuestos!$B$4+$B83/10000)-1)*(1-Supuestos!$B$6)</f>
        <v>0.0946616086732584</v>
      </c>
      <c r="H83" s="0" t="n">
        <f aca="false">(1-Supuestos!F$28)*((1+((1+Supuestos!F$26)/(1+Supuestos!$B$4)-1+Supuestos!$B$14*$A83/10000))*(1+Supuestos!$B$4+$B83/10000)-1)+Supuestos!F$28*((1+Supuestos!F$27+$A83/10000)*(1+Supuestos!$B$4+$B83/10000)-1)*(1-Supuestos!$B$6)</f>
        <v>0.094444750277018</v>
      </c>
      <c r="I83" s="0" t="n">
        <f aca="false">(1-Supuestos!G$28)*((1+((1+Supuestos!G$26)/(1+Supuestos!$B$4)-1+Supuestos!$B$14*$A83/10000))*(1+Supuestos!$B$4+$B83/10000)-1)+Supuestos!G$28*((1+Supuestos!G$27+$A83/10000)*(1+Supuestos!$B$4+$B83/10000)-1)*(1-Supuestos!$B$6)</f>
        <v>0.0942426559459424</v>
      </c>
      <c r="J83" s="0" t="n">
        <f aca="false">(1-Supuestos!H$28)*((1+((1+Supuestos!H$26)/(1+Supuestos!$B$4)-1+Supuestos!$B$14*$A83/10000))*(1+Supuestos!$B$4+$B83/10000)-1)+Supuestos!H$28*((1+Supuestos!H$27+$A83/10000)*(1+Supuestos!$B$4+$B83/10000)-1)*(1-Supuestos!$B$6)</f>
        <v>0.0940547902378466</v>
      </c>
      <c r="K83" s="0" t="n">
        <f aca="false">(1-Supuestos!I$28)*((1+((1+Supuestos!I$26)/(1+Supuestos!$B$4)-1+Supuestos!$B$14*$A83/10000))*(1+Supuestos!$B$4+$B83/10000)-1)+Supuestos!I$28*((1+Supuestos!I$27+$A83/10000)*(1+Supuestos!$B$4+$B83/10000)-1)*(1-Supuestos!$B$6)</f>
        <v>0.0940547902378466</v>
      </c>
      <c r="L83" s="0" t="n">
        <f aca="false">(1+E83)^-Supuestos!C$24</f>
        <v>0.955575052328053</v>
      </c>
      <c r="M83" s="0" t="n">
        <f aca="false">L83*(1+F83)^-Supuestos!D$24</f>
        <v>0.872755930989011</v>
      </c>
      <c r="N83" s="0" t="n">
        <f aca="false">M83*(1+G83)^-Supuestos!E$24</f>
        <v>0.797283767032627</v>
      </c>
      <c r="O83" s="0" t="n">
        <f aca="false">N83*(1+H83)^-Supuestos!F$24</f>
        <v>0.728482426208198</v>
      </c>
      <c r="P83" s="0" t="n">
        <f aca="false">O83*(1+I83)^-Supuestos!G$24</f>
        <v>0.665741206714744</v>
      </c>
      <c r="Q83" s="0" t="n">
        <f aca="false">P83*(1+J83)^-Supuestos!H$24</f>
        <v>0.608508104580404</v>
      </c>
      <c r="R83" s="0" t="n">
        <f aca="false">(1+E83)^-(Supuestos!C$24/2)</f>
        <v>0.977535192373171</v>
      </c>
      <c r="S83" s="0" t="n">
        <f aca="false">L83*(1+F83)^-(Supuestos!D$24/2)</f>
        <v>0.913227131892413</v>
      </c>
      <c r="T83" s="0" t="n">
        <f aca="false">M83*(1+G83)^-(Supuestos!E$24/2)</f>
        <v>0.834166731750306</v>
      </c>
      <c r="U83" s="0" t="n">
        <f aca="false">N83*(1+H83)^-(Supuestos!F$24/2)</f>
        <v>0.762107087609307</v>
      </c>
      <c r="V83" s="0" t="n">
        <f aca="false">O83*(1+I83)^-(Supuestos!G$24/2)</f>
        <v>0.696405607023902</v>
      </c>
      <c r="W83" s="0" t="n">
        <f aca="false">P83*(1+J83)^-(Supuestos!H$24/2)</f>
        <v>0.636481672822604</v>
      </c>
      <c r="X83" s="0" t="n">
        <f aca="false">Supuestos!C$23*(1-$C83+$C83*((1+Supuestos!$B$4+$B83/10000)/(1+Supuestos!$B$4))^Supuestos!C$25)</f>
        <v>113177.125100297</v>
      </c>
      <c r="Y83" s="0" t="n">
        <f aca="false">Supuestos!D$23*(1-$C83+$C83*((1+Supuestos!$B$4+$B83/10000)/(1+Supuestos!$B$4))^Supuestos!D$25)</f>
        <v>197697.758792428</v>
      </c>
      <c r="Z83" s="0" t="n">
        <f aca="false">Supuestos!E$23*(1-$C83+$C83*((1+Supuestos!$B$4+$B83/10000)/(1+Supuestos!$B$4))^Supuestos!E$25)</f>
        <v>255169.314498466</v>
      </c>
      <c r="AA83" s="0" t="n">
        <f aca="false">Supuestos!F$23*(1-$C83+$C83*((1+Supuestos!$B$4+$B83/10000)/(1+Supuestos!$B$4))^Supuestos!F$25)</f>
        <v>365567.831448826</v>
      </c>
      <c r="AB83" s="0" t="n">
        <f aca="false">Supuestos!G$23*(1-$C83+$C83*((1+Supuestos!$B$4+$B83/10000)/(1+Supuestos!$B$4))^Supuestos!G$25)</f>
        <v>364060.867507168</v>
      </c>
      <c r="AC83" s="0" t="n">
        <f aca="false">Supuestos!H$23*(1-$C83+$C83*((1+Supuestos!$B$4+$B83/10000)/(1+Supuestos!$B$4))^Supuestos!H$25)</f>
        <v>381597.666112284</v>
      </c>
      <c r="AD83" s="0" t="n">
        <f aca="false">Supuestos!I$23*(1-$C83+$C83*((1+Supuestos!$B$4+$B83/10000)/(1+Supuestos!$B$4))^Supuestos!I$25)</f>
        <v>501708.606235023</v>
      </c>
      <c r="AE83" s="0" t="n">
        <f aca="false">SUMPRODUCT(X83:AC83,R83:W83)</f>
        <v>1279047.11877032</v>
      </c>
      <c r="AF83" s="0" t="n">
        <f aca="false">(1+Supuestos!$B$5)/(1+Supuestos!$B$4)*(1+Supuestos!$B$4+$B83/10000)-1</f>
        <v>0.0210000000000001</v>
      </c>
      <c r="AG83" s="0" t="n">
        <f aca="false">AD83/(K83-AF83)</f>
        <v>6867566.17330084</v>
      </c>
      <c r="AH83" s="0" t="n">
        <f aca="false">AG83*Q83</f>
        <v>4178969.6751958</v>
      </c>
      <c r="AI83" s="0" t="n">
        <f aca="false">(AE83+AH83-Supuestos!$B$7-Supuestos!$B$8)/Supuestos!$B$9</f>
        <v>1881.93415249594</v>
      </c>
      <c r="AJ83" s="0" t="n">
        <f aca="false">AI83/AI$5-1</f>
        <v>0.0135297247938668</v>
      </c>
    </row>
    <row r="84" customFormat="false" ht="15" hidden="false" customHeight="false" outlineLevel="0" collapsed="false">
      <c r="A84" s="0" t="n">
        <v>0</v>
      </c>
      <c r="B84" s="0" t="n">
        <v>-100</v>
      </c>
      <c r="C84" s="0" t="n">
        <v>1</v>
      </c>
      <c r="D84" s="0" t="s">
        <v>115</v>
      </c>
      <c r="E84" s="0" t="n">
        <f aca="false">(1-Supuestos!C$28)*((1+((1+Supuestos!C$26)/(1+Supuestos!$B$4)-1+Supuestos!$B$14*$A84/10000))*(1+Supuestos!$B$4+$B84/10000)-1)+Supuestos!C$28*((1+Supuestos!C$27+$A84/10000)*(1+Supuestos!$B$4+$B84/10000)-1)*(1-Supuestos!$B$6)</f>
        <v>0.0950873977726059</v>
      </c>
      <c r="F84" s="0" t="n">
        <f aca="false">(1-Supuestos!D$28)*((1+((1+Supuestos!D$26)/(1+Supuestos!$B$4)-1+Supuestos!$B$14*$A84/10000))*(1+Supuestos!$B$4+$B84/10000)-1)+Supuestos!D$28*((1+Supuestos!D$27+$A84/10000)*(1+Supuestos!$B$4+$B84/10000)-1)*(1-Supuestos!$B$6)</f>
        <v>0.0948394221124596</v>
      </c>
      <c r="G84" s="0" t="n">
        <f aca="false">(1-Supuestos!E$28)*((1+((1+Supuestos!E$26)/(1+Supuestos!$B$4)-1+Supuestos!$B$14*$A84/10000))*(1+Supuestos!$B$4+$B84/10000)-1)+Supuestos!E$28*((1+Supuestos!E$27+$A84/10000)*(1+Supuestos!$B$4+$B84/10000)-1)*(1-Supuestos!$B$6)</f>
        <v>0.0946073520735279</v>
      </c>
      <c r="H84" s="0" t="n">
        <f aca="false">(1-Supuestos!F$28)*((1+((1+Supuestos!F$26)/(1+Supuestos!$B$4)-1+Supuestos!$B$14*$A84/10000))*(1+Supuestos!$B$4+$B84/10000)-1)+Supuestos!F$28*((1+Supuestos!F$27+$A84/10000)*(1+Supuestos!$B$4+$B84/10000)-1)*(1-Supuestos!$B$6)</f>
        <v>0.0943905965209974</v>
      </c>
      <c r="I84" s="0" t="n">
        <f aca="false">(1-Supuestos!G$28)*((1+((1+Supuestos!G$26)/(1+Supuestos!$B$4)-1+Supuestos!$B$14*$A84/10000))*(1+Supuestos!$B$4+$B84/10000)-1)+Supuestos!G$28*((1+Supuestos!G$27+$A84/10000)*(1+Supuestos!$B$4+$B84/10000)-1)*(1-Supuestos!$B$6)</f>
        <v>0.0941885932544217</v>
      </c>
      <c r="J84" s="0" t="n">
        <f aca="false">(1-Supuestos!H$28)*((1+((1+Supuestos!H$26)/(1+Supuestos!$B$4)-1+Supuestos!$B$14*$A84/10000))*(1+Supuestos!$B$4+$B84/10000)-1)+Supuestos!H$28*((1+Supuestos!H$27+$A84/10000)*(1+Supuestos!$B$4+$B84/10000)-1)*(1-Supuestos!$B$6)</f>
        <v>0.0940008072588067</v>
      </c>
      <c r="K84" s="0" t="n">
        <f aca="false">(1-Supuestos!I$28)*((1+((1+Supuestos!I$26)/(1+Supuestos!$B$4)-1+Supuestos!$B$14*$A84/10000))*(1+Supuestos!$B$4+$B84/10000)-1)+Supuestos!I$28*((1+Supuestos!I$27+$A84/10000)*(1+Supuestos!$B$4+$B84/10000)-1)*(1-Supuestos!$B$6)</f>
        <v>0.0940008072588067</v>
      </c>
      <c r="L84" s="0" t="n">
        <f aca="false">(1+E84)^-Supuestos!C$24</f>
        <v>0.955598830183924</v>
      </c>
      <c r="M84" s="0" t="n">
        <f aca="false">L84*(1+F84)^-Supuestos!D$24</f>
        <v>0.872820991721439</v>
      </c>
      <c r="N84" s="0" t="n">
        <f aca="false">M84*(1+G84)^-Supuestos!E$24</f>
        <v>0.797382723647931</v>
      </c>
      <c r="O84" s="0" t="n">
        <f aca="false">N84*(1+H84)^-Supuestos!F$24</f>
        <v>0.728608895382291</v>
      </c>
      <c r="P84" s="0" t="n">
        <f aca="false">O84*(1+I84)^-Supuestos!G$24</f>
        <v>0.6658896828884</v>
      </c>
      <c r="Q84" s="0" t="n">
        <f aca="false">P84*(1+J84)^-Supuestos!H$24</f>
        <v>0.608673849662774</v>
      </c>
      <c r="R84" s="0" t="n">
        <f aca="false">(1+E84)^-(Supuestos!C$24/2)</f>
        <v>0.97754735444577</v>
      </c>
      <c r="S84" s="0" t="n">
        <f aca="false">L84*(1+F84)^-(Supuestos!D$24/2)</f>
        <v>0.913272532516433</v>
      </c>
      <c r="T84" s="0" t="n">
        <f aca="false">M84*(1+G84)^-(Supuestos!E$24/2)</f>
        <v>0.834249590731652</v>
      </c>
      <c r="U84" s="0" t="n">
        <f aca="false">N84*(1+H84)^-(Supuestos!F$24/2)</f>
        <v>0.762220535982888</v>
      </c>
      <c r="V84" s="0" t="n">
        <f aca="false">O84*(1+I84)^-(Supuestos!G$24/2)</f>
        <v>0.696543714561966</v>
      </c>
      <c r="W84" s="0" t="n">
        <f aca="false">P84*(1+J84)^-(Supuestos!H$24/2)</f>
        <v>0.636639330181859</v>
      </c>
      <c r="X84" s="0" t="n">
        <f aca="false">Supuestos!C$23*(1-$C84+$C84*((1+Supuestos!$B$4+$B84/10000)/(1+Supuestos!$B$4))^Supuestos!C$25)</f>
        <v>113149.4025936</v>
      </c>
      <c r="Y84" s="0" t="n">
        <f aca="false">Supuestos!D$23*(1-$C84+$C84*((1+Supuestos!$B$4+$B84/10000)/(1+Supuestos!$B$4))^Supuestos!D$25)</f>
        <v>197504.12729508</v>
      </c>
      <c r="Z84" s="0" t="n">
        <f aca="false">Supuestos!E$23*(1-$C84+$C84*((1+Supuestos!$B$4+$B84/10000)/(1+Supuestos!$B$4))^Supuestos!E$25)</f>
        <v>254669.717330961</v>
      </c>
      <c r="AA84" s="0" t="n">
        <f aca="false">Supuestos!F$23*(1-$C84+$C84*((1+Supuestos!$B$4+$B84/10000)/(1+Supuestos!$B$4))^Supuestos!F$25)</f>
        <v>364494.736739118</v>
      </c>
      <c r="AB84" s="0" t="n">
        <f aca="false">Supuestos!G$23*(1-$C84+$C84*((1+Supuestos!$B$4+$B84/10000)/(1+Supuestos!$B$4))^Supuestos!G$25)</f>
        <v>362636.670220572</v>
      </c>
      <c r="AC84" s="0" t="n">
        <f aca="false">Supuestos!H$23*(1-$C84+$C84*((1+Supuestos!$B$4+$B84/10000)/(1+Supuestos!$B$4))^Supuestos!H$25)</f>
        <v>379732.578453125</v>
      </c>
      <c r="AD84" s="0" t="n">
        <f aca="false">Supuestos!I$23*(1-$C84+$C84*((1+Supuestos!$B$4+$B84/10000)/(1+Supuestos!$B$4))^Supuestos!I$25)</f>
        <v>498767.479482262</v>
      </c>
      <c r="AE84" s="0" t="n">
        <f aca="false">SUMPRODUCT(X84:AC84,R84:W84)</f>
        <v>1275612.4624415</v>
      </c>
      <c r="AF84" s="0" t="n">
        <f aca="false">(1+Supuestos!$B$5)/(1+Supuestos!$B$4)*(1+Supuestos!$B$4+$B84/10000)-1</f>
        <v>0.02</v>
      </c>
      <c r="AG84" s="0" t="n">
        <f aca="false">AD84/(K84-AF84)</f>
        <v>6740027.54777928</v>
      </c>
      <c r="AH84" s="0" t="n">
        <f aca="false">AG84*Q84</f>
        <v>4102478.51433996</v>
      </c>
      <c r="AI84" s="0" t="n">
        <f aca="false">(AE84+AH84-Supuestos!$B$7-Supuestos!$B$8)/Supuestos!$B$9</f>
        <v>1845.43834556231</v>
      </c>
      <c r="AJ84" s="0" t="n">
        <f aca="false">AI84/AI$5-1</f>
        <v>-0.00612536521473805</v>
      </c>
    </row>
    <row r="85" customFormat="false" ht="15" hidden="false" customHeight="false" outlineLevel="0" collapsed="false">
      <c r="A85" s="0" t="n">
        <v>-100</v>
      </c>
      <c r="B85" s="0" t="n">
        <v>0</v>
      </c>
      <c r="C85" s="0" t="n">
        <v>0.85</v>
      </c>
      <c r="D85" s="0" t="s">
        <v>116</v>
      </c>
      <c r="E85" s="0" t="n">
        <f aca="false">(1-Supuestos!C$28)*((1+((1+Supuestos!C$26)/(1+Supuestos!$B$4)-1+Supuestos!$B$14*$A85/10000))*(1+Supuestos!$B$4+$B85/10000)-1)+Supuestos!C$28*((1+Supuestos!C$27+$A85/10000)*(1+Supuestos!$B$4+$B85/10000)-1)*(1-Supuestos!$B$6)</f>
        <v>0.0955465685258706</v>
      </c>
      <c r="F85" s="0" t="n">
        <f aca="false">(1-Supuestos!D$28)*((1+((1+Supuestos!D$26)/(1+Supuestos!$B$4)-1+Supuestos!$B$14*$A85/10000))*(1+Supuestos!$B$4+$B85/10000)-1)+Supuestos!D$28*((1+Supuestos!D$27+$A85/10000)*(1+Supuestos!$B$4+$B85/10000)-1)*(1-Supuestos!$B$6)</f>
        <v>0.0952975707800994</v>
      </c>
      <c r="G85" s="0" t="n">
        <f aca="false">(1-Supuestos!E$28)*((1+((1+Supuestos!E$26)/(1+Supuestos!$B$4)-1+Supuestos!$B$14*$A85/10000))*(1+Supuestos!$B$4+$B85/10000)-1)+Supuestos!E$28*((1+Supuestos!E$27+$A85/10000)*(1+Supuestos!$B$4+$B85/10000)-1)*(1-Supuestos!$B$6)</f>
        <v>0.0950645992434195</v>
      </c>
      <c r="H85" s="0" t="n">
        <f aca="false">(1-Supuestos!F$28)*((1+((1+Supuestos!F$26)/(1+Supuestos!$B$4)-1+Supuestos!$B$14*$A85/10000))*(1+Supuestos!$B$4+$B85/10000)-1)+Supuestos!F$28*((1+Supuestos!F$27+$A85/10000)*(1+Supuestos!$B$4+$B85/10000)-1)*(1-Supuestos!$B$6)</f>
        <v>0.094847058299351</v>
      </c>
      <c r="I85" s="0" t="n">
        <f aca="false">(1-Supuestos!G$28)*((1+((1+Supuestos!G$26)/(1+Supuestos!$B$4)-1+Supuestos!$B$14*$A85/10000))*(1+Supuestos!$B$4+$B85/10000)-1)+Supuestos!G$28*((1+Supuestos!G$27+$A85/10000)*(1+Supuestos!$B$4+$B85/10000)-1)*(1-Supuestos!$B$6)</f>
        <v>0.0946443814851456</v>
      </c>
      <c r="J85" s="0" t="n">
        <f aca="false">(1-Supuestos!H$28)*((1+((1+Supuestos!H$26)/(1+Supuestos!$B$4)-1+Supuestos!$B$14*$A85/10000))*(1+Supuestos!$B$4+$B85/10000)-1)+Supuestos!H$28*((1+Supuestos!H$27+$A85/10000)*(1+Supuestos!$B$4+$B85/10000)-1)*(1-Supuestos!$B$6)</f>
        <v>0.0944560297296128</v>
      </c>
      <c r="K85" s="0" t="n">
        <f aca="false">(1-Supuestos!I$28)*((1+((1+Supuestos!I$26)/(1+Supuestos!$B$4)-1+Supuestos!$B$14*$A85/10000))*(1+Supuestos!$B$4+$B85/10000)-1)+Supuestos!I$28*((1+Supuestos!I$27+$A85/10000)*(1+Supuestos!$B$4+$B85/10000)-1)*(1-Supuestos!$B$6)</f>
        <v>0.0944560297296128</v>
      </c>
      <c r="L85" s="0" t="n">
        <f aca="false">(1+E85)^-Supuestos!C$24</f>
        <v>0.955398551604659</v>
      </c>
      <c r="M85" s="0" t="n">
        <f aca="false">L85*(1+F85)^-Supuestos!D$24</f>
        <v>0.872273048979922</v>
      </c>
      <c r="N85" s="0" t="n">
        <f aca="false">M85*(1+G85)^-Supuestos!E$24</f>
        <v>0.796549399535494</v>
      </c>
      <c r="O85" s="0" t="n">
        <f aca="false">N85*(1+H85)^-Supuestos!F$24</f>
        <v>0.727543992101317</v>
      </c>
      <c r="P85" s="0" t="n">
        <f aca="false">O85*(1+I85)^-Supuestos!G$24</f>
        <v>0.664639589264808</v>
      </c>
      <c r="Q85" s="0" t="n">
        <f aca="false">P85*(1+J85)^-Supuestos!H$24</f>
        <v>0.607278475526339</v>
      </c>
      <c r="R85" s="0" t="n">
        <f aca="false">(1+E85)^-(Supuestos!C$24/2)</f>
        <v>0.977444909754334</v>
      </c>
      <c r="S85" s="0" t="n">
        <f aca="false">L85*(1+F85)^-(Supuestos!D$24/2)</f>
        <v>0.912890139939739</v>
      </c>
      <c r="T85" s="0" t="n">
        <f aca="false">M85*(1+G85)^-(Supuestos!E$24/2)</f>
        <v>0.833551782072326</v>
      </c>
      <c r="U85" s="0" t="n">
        <f aca="false">N85*(1+H85)^-(Supuestos!F$24/2)</f>
        <v>0.76126521662556</v>
      </c>
      <c r="V85" s="0" t="n">
        <f aca="false">O85*(1+I85)^-(Supuestos!G$24/2)</f>
        <v>0.695380859732491</v>
      </c>
      <c r="W85" s="0" t="n">
        <f aca="false">P85*(1+J85)^-(Supuestos!H$24/2)</f>
        <v>0.635311983629448</v>
      </c>
      <c r="X85" s="0" t="n">
        <f aca="false">Supuestos!C$23*(1-$C85+$C85*((1+Supuestos!$B$4+$B85/10000)/(1+Supuestos!$B$4))^Supuestos!C$25)</f>
        <v>113425.715768245</v>
      </c>
      <c r="Y85" s="0" t="n">
        <f aca="false">Supuestos!D$23*(1-$C85+$C85*((1+Supuestos!$B$4+$B85/10000)/(1+Supuestos!$B$4))^Supuestos!D$25)</f>
        <v>199440.442268561</v>
      </c>
      <c r="Z85" s="0" t="n">
        <f aca="false">Supuestos!E$23*(1-$C85+$C85*((1+Supuestos!$B$4+$B85/10000)/(1+Supuestos!$B$4))^Supuestos!E$25)</f>
        <v>259687.719258378</v>
      </c>
      <c r="AA85" s="0" t="n">
        <f aca="false">Supuestos!F$23*(1-$C85+$C85*((1+Supuestos!$B$4+$B85/10000)/(1+Supuestos!$B$4))^Supuestos!F$25)</f>
        <v>375320.615932717</v>
      </c>
      <c r="AB85" s="0" t="n">
        <f aca="false">Supuestos!G$23*(1-$C85+$C85*((1+Supuestos!$B$4+$B85/10000)/(1+Supuestos!$B$4))^Supuestos!G$25)</f>
        <v>377068.219372121</v>
      </c>
      <c r="AC85" s="0" t="n">
        <f aca="false">Supuestos!H$23*(1-$C85+$C85*((1+Supuestos!$B$4+$B85/10000)/(1+Supuestos!$B$4))^Supuestos!H$25)</f>
        <v>398715.503513791</v>
      </c>
      <c r="AD85" s="0" t="n">
        <f aca="false">Supuestos!I$23*(1-$C85+$C85*((1+Supuestos!$B$4+$B85/10000)/(1+Supuestos!$B$4))^Supuestos!I$25)</f>
        <v>528835.311960595</v>
      </c>
      <c r="AE85" s="0" t="n">
        <f aca="false">SUMPRODUCT(X85:AC85,R85:W85)</f>
        <v>1310631.05293323</v>
      </c>
      <c r="AF85" s="0" t="n">
        <f aca="false">(1+Supuestos!$B$5)/(1+Supuestos!$B$4)*(1+Supuestos!$B$4+$B85/10000)-1</f>
        <v>0.03</v>
      </c>
      <c r="AG85" s="0" t="n">
        <f aca="false">AD85/(K85-AF85)</f>
        <v>8204590.23273713</v>
      </c>
      <c r="AH85" s="0" t="n">
        <f aca="false">AG85*Q85</f>
        <v>4982471.04885489</v>
      </c>
      <c r="AI85" s="0" t="n">
        <f aca="false">(AE85+AH85-Supuestos!$B$7-Supuestos!$B$8)/Supuestos!$B$9</f>
        <v>2263.25164465211</v>
      </c>
      <c r="AJ85" s="0" t="n">
        <f aca="false">AI85/AI$5-1</f>
        <v>0.218891114495815</v>
      </c>
    </row>
    <row r="86" customFormat="false" ht="15" hidden="false" customHeight="false" outlineLevel="0" collapsed="false">
      <c r="A86" s="0" t="n">
        <v>-90</v>
      </c>
      <c r="B86" s="0" t="n">
        <v>-10</v>
      </c>
      <c r="C86" s="0" t="n">
        <v>0.85</v>
      </c>
      <c r="D86" s="0" t="s">
        <v>116</v>
      </c>
      <c r="E86" s="0" t="n">
        <f aca="false">(1-Supuestos!C$28)*((1+((1+Supuestos!C$26)/(1+Supuestos!$B$4)-1+Supuestos!$B$14*$A86/10000))*(1+Supuestos!$B$4+$B86/10000)-1)+Supuestos!C$28*((1+Supuestos!C$27+$A86/10000)*(1+Supuestos!$B$4+$B86/10000)-1)*(1-Supuestos!$B$6)</f>
        <v>0.0955092338186956</v>
      </c>
      <c r="F86" s="0" t="n">
        <f aca="false">(1-Supuestos!D$28)*((1+((1+Supuestos!D$26)/(1+Supuestos!$B$4)-1+Supuestos!$B$14*$A86/10000))*(1+Supuestos!$B$4+$B86/10000)-1)+Supuestos!D$28*((1+Supuestos!D$27+$A86/10000)*(1+Supuestos!$B$4+$B86/10000)-1)*(1-Supuestos!$B$6)</f>
        <v>0.0952603127181205</v>
      </c>
      <c r="G86" s="0" t="n">
        <f aca="false">(1-Supuestos!E$28)*((1+((1+Supuestos!E$26)/(1+Supuestos!$B$4)-1+Supuestos!$B$14*$A86/10000))*(1+Supuestos!$B$4+$B86/10000)-1)+Supuestos!E$28*((1+Supuestos!E$27+$A86/10000)*(1+Supuestos!$B$4+$B86/10000)-1)*(1-Supuestos!$B$6)</f>
        <v>0.0950274064091717</v>
      </c>
      <c r="H86" s="0" t="n">
        <f aca="false">(1-Supuestos!F$28)*((1+((1+Supuestos!F$26)/(1+Supuestos!$B$4)-1+Supuestos!$B$14*$A86/10000))*(1+Supuestos!$B$4+$B86/10000)-1)+Supuestos!F$28*((1+Supuestos!F$27+$A86/10000)*(1+Supuestos!$B$4+$B86/10000)-1)*(1-Supuestos!$B$6)</f>
        <v>0.0948099196997009</v>
      </c>
      <c r="I86" s="0" t="n">
        <f aca="false">(1-Supuestos!G$28)*((1+((1+Supuestos!G$26)/(1+Supuestos!$B$4)-1+Supuestos!$B$14*$A86/10000))*(1+Supuestos!$B$4+$B86/10000)-1)+Supuestos!G$28*((1+Supuestos!G$27+$A86/10000)*(1+Supuestos!$B$4+$B86/10000)-1)*(1-Supuestos!$B$6)</f>
        <v>0.0946072865305218</v>
      </c>
      <c r="J86" s="0" t="n">
        <f aca="false">(1-Supuestos!H$28)*((1+((1+Supuestos!H$26)/(1+Supuestos!$B$4)-1+Supuestos!$B$14*$A86/10000))*(1+Supuestos!$B$4+$B86/10000)-1)+Supuestos!H$28*((1+Supuestos!H$27+$A86/10000)*(1+Supuestos!$B$4+$B86/10000)-1)*(1-Supuestos!$B$6)</f>
        <v>0.0944189682144916</v>
      </c>
      <c r="K86" s="0" t="n">
        <f aca="false">(1-Supuestos!I$28)*((1+((1+Supuestos!I$26)/(1+Supuestos!$B$4)-1+Supuestos!$B$14*$A86/10000))*(1+Supuestos!$B$4+$B86/10000)-1)+Supuestos!I$28*((1+Supuestos!I$27+$A86/10000)*(1+Supuestos!$B$4+$B86/10000)-1)*(1-Supuestos!$B$6)</f>
        <v>0.0944189682144916</v>
      </c>
      <c r="L86" s="0" t="n">
        <f aca="false">(1+E86)^-Supuestos!C$24</f>
        <v>0.955414831349348</v>
      </c>
      <c r="M86" s="0" t="n">
        <f aca="false">L86*(1+F86)^-Supuestos!D$24</f>
        <v>0.872317585376835</v>
      </c>
      <c r="N86" s="0" t="n">
        <f aca="false">M86*(1+G86)^-Supuestos!E$24</f>
        <v>0.796617125992628</v>
      </c>
      <c r="O86" s="0" t="n">
        <f aca="false">N86*(1+H86)^-Supuestos!F$24</f>
        <v>0.72763053353694</v>
      </c>
      <c r="P86" s="0" t="n">
        <f aca="false">O86*(1+I86)^-Supuestos!G$24</f>
        <v>0.664741174748841</v>
      </c>
      <c r="Q86" s="0" t="n">
        <f aca="false">P86*(1+J86)^-Supuestos!H$24</f>
        <v>0.607391861850991</v>
      </c>
      <c r="R86" s="0" t="n">
        <f aca="false">(1+E86)^-(Supuestos!C$24/2)</f>
        <v>0.97745323742333</v>
      </c>
      <c r="S86" s="0" t="n">
        <f aca="false">L86*(1+F86)^-(Supuestos!D$24/2)</f>
        <v>0.912921222623223</v>
      </c>
      <c r="T86" s="0" t="n">
        <f aca="false">M86*(1+G86)^-(Supuestos!E$24/2)</f>
        <v>0.833608497926768</v>
      </c>
      <c r="U86" s="0" t="n">
        <f aca="false">N86*(1+H86)^-(Supuestos!F$24/2)</f>
        <v>0.761342856018679</v>
      </c>
      <c r="V86" s="0" t="n">
        <f aca="false">O86*(1+I86)^-(Supuestos!G$24/2)</f>
        <v>0.695475359481895</v>
      </c>
      <c r="W86" s="0" t="n">
        <f aca="false">P86*(1+J86)^-(Supuestos!H$24/2)</f>
        <v>0.63541984528319</v>
      </c>
      <c r="X86" s="0" t="n">
        <f aca="false">Supuestos!C$23*(1-$C86+$C86*((1+Supuestos!$B$4+$B86/10000)/(1+Supuestos!$B$4))^Supuestos!C$25)</f>
        <v>113402.306307153</v>
      </c>
      <c r="Y86" s="0" t="n">
        <f aca="false">Supuestos!D$23*(1-$C86+$C86*((1+Supuestos!$B$4+$B86/10000)/(1+Supuestos!$B$4))^Supuestos!D$25)</f>
        <v>199275.855495815</v>
      </c>
      <c r="Z86" s="0" t="n">
        <f aca="false">Supuestos!E$23*(1-$C86+$C86*((1+Supuestos!$B$4+$B86/10000)/(1+Supuestos!$B$4))^Supuestos!E$25)</f>
        <v>259259.316523097</v>
      </c>
      <c r="AA86" s="0" t="n">
        <f aca="false">Supuestos!F$23*(1-$C86+$C86*((1+Supuestos!$B$4+$B86/10000)/(1+Supuestos!$B$4))^Supuestos!F$25)</f>
        <v>374392.325952599</v>
      </c>
      <c r="AB86" s="0" t="n">
        <f aca="false">Supuestos!G$23*(1-$C86+$C86*((1+Supuestos!$B$4+$B86/10000)/(1+Supuestos!$B$4))^Supuestos!G$25)</f>
        <v>375825.339646688</v>
      </c>
      <c r="AC86" s="0" t="n">
        <f aca="false">Supuestos!H$23*(1-$C86+$C86*((1+Supuestos!$B$4+$B86/10000)/(1+Supuestos!$B$4))^Supuestos!H$25)</f>
        <v>397073.509618395</v>
      </c>
      <c r="AD86" s="0" t="n">
        <f aca="false">Supuestos!I$23*(1-$C86+$C86*((1+Supuestos!$B$4+$B86/10000)/(1+Supuestos!$B$4))^Supuestos!I$25)</f>
        <v>526223.154391081</v>
      </c>
      <c r="AE86" s="0" t="n">
        <f aca="false">SUMPRODUCT(X86:AC86,R86:W86)</f>
        <v>1307615.95244325</v>
      </c>
      <c r="AF86" s="0" t="n">
        <f aca="false">(1+Supuestos!$B$5)/(1+Supuestos!$B$4)*(1+Supuestos!$B$4+$B86/10000)-1</f>
        <v>0.0290000000000001</v>
      </c>
      <c r="AG86" s="0" t="n">
        <f aca="false">AD86/(K86-AF86)</f>
        <v>8043892.60108375</v>
      </c>
      <c r="AH86" s="0" t="n">
        <f aca="false">AG86*Q86</f>
        <v>4885794.90350167</v>
      </c>
      <c r="AI86" s="0" t="n">
        <f aca="false">(AE86+AH86-Supuestos!$B$7-Supuestos!$B$8)/Supuestos!$B$9</f>
        <v>2217.73052782873</v>
      </c>
      <c r="AJ86" s="0" t="n">
        <f aca="false">AI86/AI$5-1</f>
        <v>0.194375376288335</v>
      </c>
    </row>
    <row r="87" customFormat="false" ht="15" hidden="false" customHeight="false" outlineLevel="0" collapsed="false">
      <c r="A87" s="0" t="n">
        <v>-80</v>
      </c>
      <c r="B87" s="0" t="n">
        <v>-20</v>
      </c>
      <c r="C87" s="0" t="n">
        <v>0.85</v>
      </c>
      <c r="D87" s="0" t="s">
        <v>116</v>
      </c>
      <c r="E87" s="0" t="n">
        <f aca="false">(1-Supuestos!C$28)*((1+((1+Supuestos!C$26)/(1+Supuestos!$B$4)-1+Supuestos!$B$14*$A87/10000))*(1+Supuestos!$B$4+$B87/10000)-1)+Supuestos!C$28*((1+Supuestos!C$27+$A87/10000)*(1+Supuestos!$B$4+$B87/10000)-1)*(1-Supuestos!$B$6)</f>
        <v>0.0954699919185978</v>
      </c>
      <c r="F87" s="0" t="n">
        <f aca="false">(1-Supuestos!D$28)*((1+((1+Supuestos!D$26)/(1+Supuestos!$B$4)-1+Supuestos!$B$14*$A87/10000))*(1+Supuestos!$B$4+$B87/10000)-1)+Supuestos!D$28*((1+Supuestos!D$27+$A87/10000)*(1+Supuestos!$B$4+$B87/10000)-1)*(1-Supuestos!$B$6)</f>
        <v>0.0952211531439668</v>
      </c>
      <c r="G87" s="0" t="n">
        <f aca="false">(1-Supuestos!E$28)*((1+((1+Supuestos!E$26)/(1+Supuestos!$B$4)-1+Supuestos!$B$14*$A87/10000))*(1+Supuestos!$B$4+$B87/10000)-1)+Supuestos!E$28*((1+Supuestos!E$27+$A87/10000)*(1+Supuestos!$B$4+$B87/10000)-1)*(1-Supuestos!$B$6)</f>
        <v>0.094988317600981</v>
      </c>
      <c r="H87" s="0" t="n">
        <f aca="false">(1-Supuestos!F$28)*((1+((1+Supuestos!F$26)/(1+Supuestos!$B$4)-1+Supuestos!$B$14*$A87/10000))*(1+Supuestos!$B$4+$B87/10000)-1)+Supuestos!F$28*((1+Supuestos!F$27+$A87/10000)*(1+Supuestos!$B$4+$B87/10000)-1)*(1-Supuestos!$B$6)</f>
        <v>0.0947708905271202</v>
      </c>
      <c r="I87" s="0" t="n">
        <f aca="false">(1-Supuestos!G$28)*((1+((1+Supuestos!G$26)/(1+Supuestos!$B$4)-1+Supuestos!$B$14*$A87/10000))*(1+Supuestos!$B$4+$B87/10000)-1)+Supuestos!G$28*((1+Supuestos!G$27+$A87/10000)*(1+Supuestos!$B$4+$B87/10000)-1)*(1-Supuestos!$B$6)</f>
        <v>0.0945683062717978</v>
      </c>
      <c r="J87" s="0" t="n">
        <f aca="false">(1-Supuestos!H$28)*((1+((1+Supuestos!H$26)/(1+Supuestos!$B$4)-1+Supuestos!$B$14*$A87/10000))*(1+Supuestos!$B$4+$B87/10000)-1)+Supuestos!H$28*((1+Supuestos!H$27+$A87/10000)*(1+Supuestos!$B$4+$B87/10000)-1)*(1-Supuestos!$B$6)</f>
        <v>0.0943800265367123</v>
      </c>
      <c r="K87" s="0" t="n">
        <f aca="false">(1-Supuestos!I$28)*((1+((1+Supuestos!I$26)/(1+Supuestos!$B$4)-1+Supuestos!$B$14*$A87/10000))*(1+Supuestos!$B$4+$B87/10000)-1)+Supuestos!I$28*((1+Supuestos!I$27+$A87/10000)*(1+Supuestos!$B$4+$B87/10000)-1)*(1-Supuestos!$B$6)</f>
        <v>0.0943800265367123</v>
      </c>
      <c r="L87" s="0" t="n">
        <f aca="false">(1+E87)^-Supuestos!C$24</f>
        <v>0.955431943619828</v>
      </c>
      <c r="M87" s="0" t="n">
        <f aca="false">L87*(1+F87)^-Supuestos!D$24</f>
        <v>0.872364399534416</v>
      </c>
      <c r="N87" s="0" t="n">
        <f aca="false">M87*(1+G87)^-Supuestos!E$24</f>
        <v>0.796688316680571</v>
      </c>
      <c r="O87" s="0" t="n">
        <f aca="false">N87*(1+H87)^-Supuestos!F$24</f>
        <v>0.72772150189066</v>
      </c>
      <c r="P87" s="0" t="n">
        <f aca="false">O87*(1+I87)^-Supuestos!G$24</f>
        <v>0.664847956697511</v>
      </c>
      <c r="Q87" s="0" t="n">
        <f aca="false">P87*(1+J87)^-Supuestos!H$24</f>
        <v>0.607511047877488</v>
      </c>
      <c r="R87" s="0" t="n">
        <f aca="false">(1+E87)^-(Supuestos!C$24/2)</f>
        <v>0.977461990882422</v>
      </c>
      <c r="S87" s="0" t="n">
        <f aca="false">L87*(1+F87)^-(Supuestos!D$24/2)</f>
        <v>0.912953894669337</v>
      </c>
      <c r="T87" s="0" t="n">
        <f aca="false">M87*(1+G87)^-(Supuestos!E$24/2)</f>
        <v>0.833668114417921</v>
      </c>
      <c r="U87" s="0" t="n">
        <f aca="false">N87*(1+H87)^-(Supuestos!F$24/2)</f>
        <v>0.761424466610791</v>
      </c>
      <c r="V87" s="0" t="n">
        <f aca="false">O87*(1+I87)^-(Supuestos!G$24/2)</f>
        <v>0.695574693025019</v>
      </c>
      <c r="W87" s="0" t="n">
        <f aca="false">P87*(1+J87)^-(Supuestos!H$24/2)</f>
        <v>0.635533224035149</v>
      </c>
      <c r="X87" s="0" t="n">
        <f aca="false">Supuestos!C$23*(1-$C87+$C87*((1+Supuestos!$B$4+$B87/10000)/(1+Supuestos!$B$4))^Supuestos!C$25)</f>
        <v>113378.879777548</v>
      </c>
      <c r="Y87" s="0" t="n">
        <f aca="false">Supuestos!D$23*(1-$C87+$C87*((1+Supuestos!$B$4+$B87/10000)/(1+Supuestos!$B$4))^Supuestos!D$25)</f>
        <v>199111.268723069</v>
      </c>
      <c r="Z87" s="0" t="n">
        <f aca="false">Supuestos!E$23*(1-$C87+$C87*((1+Supuestos!$B$4+$B87/10000)/(1+Supuestos!$B$4))^Supuestos!E$25)</f>
        <v>258831.329914804</v>
      </c>
      <c r="AA87" s="0" t="n">
        <f aca="false">Supuestos!F$23*(1-$C87+$C87*((1+Supuestos!$B$4+$B87/10000)/(1+Supuestos!$B$4))^Supuestos!F$25)</f>
        <v>373465.83847673</v>
      </c>
      <c r="AB87" s="0" t="n">
        <f aca="false">Supuestos!G$23*(1-$C87+$C87*((1+Supuestos!$B$4+$B87/10000)/(1+Supuestos!$B$4))^Supuestos!G$25)</f>
        <v>374586.0782</v>
      </c>
      <c r="AC87" s="0" t="n">
        <f aca="false">Supuestos!H$23*(1-$C87+$C87*((1+Supuestos!$B$4+$B87/10000)/(1+Supuestos!$B$4))^Supuestos!H$25)</f>
        <v>395437.886204372</v>
      </c>
      <c r="AD87" s="0" t="n">
        <f aca="false">Supuestos!I$23*(1-$C87+$C87*((1+Supuestos!$B$4+$B87/10000)/(1+Supuestos!$B$4))^Supuestos!I$25)</f>
        <v>523623.658730568</v>
      </c>
      <c r="AE87" s="0" t="n">
        <f aca="false">SUMPRODUCT(X87:AC87,R87:W87)</f>
        <v>1304614.91850703</v>
      </c>
      <c r="AF87" s="0" t="n">
        <f aca="false">(1+Supuestos!$B$5)/(1+Supuestos!$B$4)*(1+Supuestos!$B$4+$B87/10000)-1</f>
        <v>0.028</v>
      </c>
      <c r="AG87" s="0" t="n">
        <f aca="false">AD87/(K87-AF87)</f>
        <v>7888271.30764962</v>
      </c>
      <c r="AH87" s="0" t="n">
        <f aca="false">AG87*Q87</f>
        <v>4792211.96805214</v>
      </c>
      <c r="AI87" s="0" t="n">
        <f aca="false">(AE87+AH87-Supuestos!$B$7-Supuestos!$B$8)/Supuestos!$B$9</f>
        <v>2173.62825870282</v>
      </c>
      <c r="AJ87" s="0" t="n">
        <f aca="false">AI87/AI$5-1</f>
        <v>0.170623769128919</v>
      </c>
    </row>
    <row r="88" customFormat="false" ht="15" hidden="false" customHeight="false" outlineLevel="0" collapsed="false">
      <c r="A88" s="0" t="n">
        <v>-70</v>
      </c>
      <c r="B88" s="0" t="n">
        <v>-30</v>
      </c>
      <c r="C88" s="0" t="n">
        <v>0.85</v>
      </c>
      <c r="D88" s="0" t="s">
        <v>116</v>
      </c>
      <c r="E88" s="0" t="n">
        <f aca="false">(1-Supuestos!C$28)*((1+((1+Supuestos!C$26)/(1+Supuestos!$B$4)-1+Supuestos!$B$14*$A88/10000))*(1+Supuestos!$B$4+$B88/10000)-1)+Supuestos!C$28*((1+Supuestos!C$27+$A88/10000)*(1+Supuestos!$B$4+$B88/10000)-1)*(1-Supuestos!$B$6)</f>
        <v>0.0954288428255777</v>
      </c>
      <c r="F88" s="0" t="n">
        <f aca="false">(1-Supuestos!D$28)*((1+((1+Supuestos!D$26)/(1+Supuestos!$B$4)-1+Supuestos!$B$14*$A88/10000))*(1+Supuestos!$B$4+$B88/10000)-1)+Supuestos!D$28*((1+Supuestos!D$27+$A88/10000)*(1+Supuestos!$B$4+$B88/10000)-1)*(1-Supuestos!$B$6)</f>
        <v>0.0951800920576392</v>
      </c>
      <c r="G88" s="0" t="n">
        <f aca="false">(1-Supuestos!E$28)*((1+((1+Supuestos!E$26)/(1+Supuestos!$B$4)-1+Supuestos!$B$14*$A88/10000))*(1+Supuestos!$B$4+$B88/10000)-1)+Supuestos!E$28*((1+Supuestos!E$27+$A88/10000)*(1+Supuestos!$B$4+$B88/10000)-1)*(1-Supuestos!$B$6)</f>
        <v>0.094947332818848</v>
      </c>
      <c r="H88" s="0" t="n">
        <f aca="false">(1-Supuestos!F$28)*((1+((1+Supuestos!F$26)/(1+Supuestos!$B$4)-1+Supuestos!$B$14*$A88/10000))*(1+Supuestos!$B$4+$B88/10000)-1)+Supuestos!F$28*((1+Supuestos!F$27+$A88/10000)*(1+Supuestos!$B$4+$B88/10000)-1)*(1-Supuestos!$B$6)</f>
        <v>0.09472997078161</v>
      </c>
      <c r="I88" s="0" t="n">
        <f aca="false">(1-Supuestos!G$28)*((1+((1+Supuestos!G$26)/(1+Supuestos!$B$4)-1+Supuestos!$B$14*$A88/10000))*(1+Supuestos!$B$4+$B88/10000)-1)+Supuestos!G$28*((1+Supuestos!G$27+$A88/10000)*(1+Supuestos!$B$4+$B88/10000)-1)*(1-Supuestos!$B$6)</f>
        <v>0.0945274407089747</v>
      </c>
      <c r="J88" s="0" t="n">
        <f aca="false">(1-Supuestos!H$28)*((1+((1+Supuestos!H$26)/(1+Supuestos!$B$4)-1+Supuestos!$B$14*$A88/10000))*(1+Supuestos!$B$4+$B88/10000)-1)+Supuestos!H$28*((1+Supuestos!H$27+$A88/10000)*(1+Supuestos!$B$4+$B88/10000)-1)*(1-Supuestos!$B$6)</f>
        <v>0.0943392046962756</v>
      </c>
      <c r="K88" s="0" t="n">
        <f aca="false">(1-Supuestos!I$28)*((1+((1+Supuestos!I$26)/(1+Supuestos!$B$4)-1+Supuestos!$B$14*$A88/10000))*(1+Supuestos!$B$4+$B88/10000)-1)+Supuestos!I$28*((1+Supuestos!I$27+$A88/10000)*(1+Supuestos!$B$4+$B88/10000)-1)*(1-Supuestos!$B$6)</f>
        <v>0.0943392046962756</v>
      </c>
      <c r="L88" s="0" t="n">
        <f aca="false">(1+E88)^-Supuestos!C$24</f>
        <v>0.955449888550242</v>
      </c>
      <c r="M88" s="0" t="n">
        <f aca="false">L88*(1+F88)^-Supuestos!D$24</f>
        <v>0.872413492063328</v>
      </c>
      <c r="N88" s="0" t="n">
        <f aca="false">M88*(1+G88)^-Supuestos!E$24</f>
        <v>0.79676297289786</v>
      </c>
      <c r="O88" s="0" t="n">
        <f aca="false">N88*(1+H88)^-Supuestos!F$24</f>
        <v>0.727816899293432</v>
      </c>
      <c r="P88" s="0" t="n">
        <f aca="false">O88*(1+I88)^-Supuestos!G$24</f>
        <v>0.664959938164722</v>
      </c>
      <c r="Q88" s="0" t="n">
        <f aca="false">P88*(1+J88)^-Supuestos!H$24</f>
        <v>0.60763603762992</v>
      </c>
      <c r="R88" s="0" t="n">
        <f aca="false">(1+E88)^-(Supuestos!C$24/2)</f>
        <v>0.97747117018879</v>
      </c>
      <c r="S88" s="0" t="n">
        <f aca="false">L88*(1+F88)^-(Supuestos!D$24/2)</f>
        <v>0.912988156419148</v>
      </c>
      <c r="T88" s="0" t="n">
        <f aca="false">M88*(1+G88)^-(Supuestos!E$24/2)</f>
        <v>0.833730632478249</v>
      </c>
      <c r="U88" s="0" t="n">
        <f aca="false">N88*(1+H88)^-(Supuestos!F$24/2)</f>
        <v>0.761510050101991</v>
      </c>
      <c r="V88" s="0" t="n">
        <f aca="false">O88*(1+I88)^-(Supuestos!G$24/2)</f>
        <v>0.695678862945684</v>
      </c>
      <c r="W88" s="0" t="n">
        <f aca="false">P88*(1+J88)^-(Supuestos!H$24/2)</f>
        <v>0.635652123420545</v>
      </c>
      <c r="X88" s="0" t="n">
        <f aca="false">Supuestos!C$23*(1-$C88+$C88*((1+Supuestos!$B$4+$B88/10000)/(1+Supuestos!$B$4))^Supuestos!C$25)</f>
        <v>113355.436150363</v>
      </c>
      <c r="Y88" s="0" t="n">
        <f aca="false">Supuestos!D$23*(1-$C88+$C88*((1+Supuestos!$B$4+$B88/10000)/(1+Supuestos!$B$4))^Supuestos!D$25)</f>
        <v>198946.681950323</v>
      </c>
      <c r="Z88" s="0" t="n">
        <f aca="false">Supuestos!E$23*(1-$C88+$C88*((1+Supuestos!$B$4+$B88/10000)/(1+Supuestos!$B$4))^Supuestos!E$25)</f>
        <v>258403.759433501</v>
      </c>
      <c r="AA88" s="0" t="n">
        <f aca="false">Supuestos!F$23*(1-$C88+$C88*((1+Supuestos!$B$4+$B88/10000)/(1+Supuestos!$B$4))^Supuestos!F$25)</f>
        <v>372541.151753405</v>
      </c>
      <c r="AB88" s="0" t="n">
        <f aca="false">Supuestos!G$23*(1-$C88+$C88*((1+Supuestos!$B$4+$B88/10000)/(1+Supuestos!$B$4))^Supuestos!G$25)</f>
        <v>373350.428002863</v>
      </c>
      <c r="AC88" s="0" t="n">
        <f aca="false">Supuestos!H$23*(1-$C88+$C88*((1+Supuestos!$B$4+$B88/10000)/(1+Supuestos!$B$4))^Supuestos!H$25)</f>
        <v>393808.614716939</v>
      </c>
      <c r="AD88" s="0" t="n">
        <f aca="false">Supuestos!I$23*(1-$C88+$C88*((1+Supuestos!$B$4+$B88/10000)/(1+Supuestos!$B$4))^Supuestos!I$25)</f>
        <v>521036.775830535</v>
      </c>
      <c r="AE88" s="0" t="n">
        <f aca="false">SUMPRODUCT(X88:AC88,R88:W88)</f>
        <v>1301627.87952417</v>
      </c>
      <c r="AF88" s="0" t="n">
        <f aca="false">(1+Supuestos!$B$5)/(1+Supuestos!$B$4)*(1+Supuestos!$B$4+$B88/10000)-1</f>
        <v>0.0270000000000001</v>
      </c>
      <c r="AG88" s="0" t="n">
        <f aca="false">AD88/(K88-AF88)</f>
        <v>7737495.24041161</v>
      </c>
      <c r="AH88" s="0" t="n">
        <f aca="false">AG88*Q88</f>
        <v>4701580.94906407</v>
      </c>
      <c r="AI88" s="0" t="n">
        <f aca="false">(AE88+AH88-Supuestos!$B$7-Supuestos!$B$8)/Supuestos!$B$9</f>
        <v>2130.8802870266</v>
      </c>
      <c r="AJ88" s="0" t="n">
        <f aca="false">AI88/AI$5-1</f>
        <v>0.147601528998447</v>
      </c>
    </row>
    <row r="89" customFormat="false" ht="15" hidden="false" customHeight="false" outlineLevel="0" collapsed="false">
      <c r="A89" s="0" t="n">
        <v>-60</v>
      </c>
      <c r="B89" s="0" t="n">
        <v>-40</v>
      </c>
      <c r="C89" s="0" t="n">
        <v>0.85</v>
      </c>
      <c r="D89" s="0" t="s">
        <v>116</v>
      </c>
      <c r="E89" s="0" t="n">
        <f aca="false">(1-Supuestos!C$28)*((1+((1+Supuestos!C$26)/(1+Supuestos!$B$4)-1+Supuestos!$B$14*$A89/10000))*(1+Supuestos!$B$4+$B89/10000)-1)+Supuestos!C$28*((1+Supuestos!C$27+$A89/10000)*(1+Supuestos!$B$4+$B89/10000)-1)*(1-Supuestos!$B$6)</f>
        <v>0.0953857865396349</v>
      </c>
      <c r="F89" s="0" t="n">
        <f aca="false">(1-Supuestos!D$28)*((1+((1+Supuestos!D$26)/(1+Supuestos!$B$4)-1+Supuestos!$B$14*$A89/10000))*(1+Supuestos!$B$4+$B89/10000)-1)+Supuestos!D$28*((1+Supuestos!D$27+$A89/10000)*(1+Supuestos!$B$4+$B89/10000)-1)*(1-Supuestos!$B$6)</f>
        <v>0.0951371294591367</v>
      </c>
      <c r="G89" s="0" t="n">
        <f aca="false">(1-Supuestos!E$28)*((1+((1+Supuestos!E$26)/(1+Supuestos!$B$4)-1+Supuestos!$B$14*$A89/10000))*(1+Supuestos!$B$4+$B89/10000)-1)+Supuestos!E$28*((1+Supuestos!E$27+$A89/10000)*(1+Supuestos!$B$4+$B89/10000)-1)*(1-Supuestos!$B$6)</f>
        <v>0.0949044520627725</v>
      </c>
      <c r="H89" s="0" t="n">
        <f aca="false">(1-Supuestos!F$28)*((1+((1+Supuestos!F$26)/(1+Supuestos!$B$4)-1+Supuestos!$B$14*$A89/10000))*(1+Supuestos!$B$4+$B89/10000)-1)+Supuestos!F$28*((1+Supuestos!F$27+$A89/10000)*(1+Supuestos!$B$4+$B89/10000)-1)*(1-Supuestos!$B$6)</f>
        <v>0.0946871604631696</v>
      </c>
      <c r="I89" s="0" t="n">
        <f aca="false">(1-Supuestos!G$28)*((1+((1+Supuestos!G$26)/(1+Supuestos!$B$4)-1+Supuestos!$B$14*$A89/10000))*(1+Supuestos!$B$4+$B89/10000)-1)+Supuestos!G$28*((1+Supuestos!G$27+$A89/10000)*(1+Supuestos!$B$4+$B89/10000)-1)*(1-Supuestos!$B$6)</f>
        <v>0.0944846898420516</v>
      </c>
      <c r="J89" s="0" t="n">
        <f aca="false">(1-Supuestos!H$28)*((1+((1+Supuestos!H$26)/(1+Supuestos!$B$4)-1+Supuestos!$B$14*$A89/10000))*(1+Supuestos!$B$4+$B89/10000)-1)+Supuestos!H$28*((1+Supuestos!H$27+$A89/10000)*(1+Supuestos!$B$4+$B89/10000)-1)*(1-Supuestos!$B$6)</f>
        <v>0.0942965026931813</v>
      </c>
      <c r="K89" s="0" t="n">
        <f aca="false">(1-Supuestos!I$28)*((1+((1+Supuestos!I$26)/(1+Supuestos!$B$4)-1+Supuestos!$B$14*$A89/10000))*(1+Supuestos!$B$4+$B89/10000)-1)+Supuestos!I$28*((1+Supuestos!I$27+$A89/10000)*(1+Supuestos!$B$4+$B89/10000)-1)*(1-Supuestos!$B$6)</f>
        <v>0.0942965026931813</v>
      </c>
      <c r="L89" s="0" t="n">
        <f aca="false">(1+E89)^-Supuestos!C$24</f>
        <v>0.955468666281278</v>
      </c>
      <c r="M89" s="0" t="n">
        <f aca="false">L89*(1+F89)^-Supuestos!D$24</f>
        <v>0.872464863604033</v>
      </c>
      <c r="N89" s="0" t="n">
        <f aca="false">M89*(1+G89)^-Supuestos!E$24</f>
        <v>0.796841096006442</v>
      </c>
      <c r="O89" s="0" t="n">
        <f aca="false">N89*(1+H89)^-Supuestos!F$24</f>
        <v>0.727916727980342</v>
      </c>
      <c r="P89" s="0" t="n">
        <f aca="false">O89*(1+I89)^-Supuestos!G$24</f>
        <v>0.665077122353708</v>
      </c>
      <c r="Q89" s="0" t="n">
        <f aca="false">P89*(1+J89)^-Supuestos!H$24</f>
        <v>0.607766835329256</v>
      </c>
      <c r="R89" s="0" t="n">
        <f aca="false">(1+E89)^-(Supuestos!C$24/2)</f>
        <v>0.9774807754024</v>
      </c>
      <c r="S89" s="0" t="n">
        <f aca="false">L89*(1+F89)^-(Supuestos!D$24/2)</f>
        <v>0.913024008230354</v>
      </c>
      <c r="T89" s="0" t="n">
        <f aca="false">M89*(1+G89)^-(Supuestos!E$24/2)</f>
        <v>0.833796053085734</v>
      </c>
      <c r="U89" s="0" t="n">
        <f aca="false">N89*(1+H89)^-(Supuestos!F$24/2)</f>
        <v>0.761599608275424</v>
      </c>
      <c r="V89" s="0" t="n">
        <f aca="false">O89*(1+I89)^-(Supuestos!G$24/2)</f>
        <v>0.695787871954012</v>
      </c>
      <c r="W89" s="0" t="n">
        <f aca="false">P89*(1+J89)^-(Supuestos!H$24/2)</f>
        <v>0.635776547147503</v>
      </c>
      <c r="X89" s="0" t="n">
        <f aca="false">Supuestos!C$23*(1-$C89+$C89*((1+Supuestos!$B$4+$B89/10000)/(1+Supuestos!$B$4))^Supuestos!C$25)</f>
        <v>113331.975396454</v>
      </c>
      <c r="Y89" s="0" t="n">
        <f aca="false">Supuestos!D$23*(1-$C89+$C89*((1+Supuestos!$B$4+$B89/10000)/(1+Supuestos!$B$4))^Supuestos!D$25)</f>
        <v>198782.095177577</v>
      </c>
      <c r="Z89" s="0" t="n">
        <f aca="false">Supuestos!E$23*(1-$C89+$C89*((1+Supuestos!$B$4+$B89/10000)/(1+Supuestos!$B$4))^Supuestos!E$25)</f>
        <v>257976.605079187</v>
      </c>
      <c r="AA89" s="0" t="n">
        <f aca="false">Supuestos!F$23*(1-$C89+$C89*((1+Supuestos!$B$4+$B89/10000)/(1+Supuestos!$B$4))^Supuestos!F$25)</f>
        <v>371618.264030919</v>
      </c>
      <c r="AB89" s="0" t="n">
        <f aca="false">Supuestos!G$23*(1-$C89+$C89*((1+Supuestos!$B$4+$B89/10000)/(1+Supuestos!$B$4))^Supuestos!G$25)</f>
        <v>372118.382032917</v>
      </c>
      <c r="AC89" s="0" t="n">
        <f aca="false">Supuestos!H$23*(1-$C89+$C89*((1+Supuestos!$B$4+$B89/10000)/(1+Supuestos!$B$4))^Supuestos!H$25)</f>
        <v>392185.676637377</v>
      </c>
      <c r="AD89" s="0" t="n">
        <f aca="false">Supuestos!I$23*(1-$C89+$C89*((1+Supuestos!$B$4+$B89/10000)/(1+Supuestos!$B$4))^Supuestos!I$25)</f>
        <v>518462.45668568</v>
      </c>
      <c r="AE89" s="0" t="n">
        <f aca="false">SUMPRODUCT(X89:AC89,R89:W89)</f>
        <v>1298654.76439217</v>
      </c>
      <c r="AF89" s="0" t="n">
        <f aca="false">(1+Supuestos!$B$5)/(1+Supuestos!$B$4)*(1+Supuestos!$B$4+$B89/10000)-1</f>
        <v>0.026</v>
      </c>
      <c r="AG89" s="0" t="n">
        <f aca="false">AD89/(K89-AF89)</f>
        <v>7591347.08573362</v>
      </c>
      <c r="AH89" s="0" t="n">
        <f aca="false">AG89*Q89</f>
        <v>4613768.9941823</v>
      </c>
      <c r="AI89" s="0" t="n">
        <f aca="false">(AE89+AH89-Supuestos!$B$7-Supuestos!$B$8)/Supuestos!$B$9</f>
        <v>2089.42591715729</v>
      </c>
      <c r="AJ89" s="0" t="n">
        <f aca="false">AI89/AI$5-1</f>
        <v>0.125275967804174</v>
      </c>
    </row>
    <row r="90" customFormat="false" ht="15" hidden="false" customHeight="false" outlineLevel="0" collapsed="false">
      <c r="A90" s="0" t="n">
        <v>-50</v>
      </c>
      <c r="B90" s="0" t="n">
        <v>-50</v>
      </c>
      <c r="C90" s="0" t="n">
        <v>0.85</v>
      </c>
      <c r="D90" s="0" t="s">
        <v>116</v>
      </c>
      <c r="E90" s="0" t="n">
        <f aca="false">(1-Supuestos!C$28)*((1+((1+Supuestos!C$26)/(1+Supuestos!$B$4)-1+Supuestos!$B$14*$A90/10000))*(1+Supuestos!$B$4+$B90/10000)-1)+Supuestos!C$28*((1+Supuestos!C$27+$A90/10000)*(1+Supuestos!$B$4+$B90/10000)-1)*(1-Supuestos!$B$6)</f>
        <v>0.0953408230607697</v>
      </c>
      <c r="F90" s="0" t="n">
        <f aca="false">(1-Supuestos!D$28)*((1+((1+Supuestos!D$26)/(1+Supuestos!$B$4)-1+Supuestos!$B$14*$A90/10000))*(1+Supuestos!$B$4+$B90/10000)-1)+Supuestos!D$28*((1+Supuestos!D$27+$A90/10000)*(1+Supuestos!$B$4+$B90/10000)-1)*(1-Supuestos!$B$6)</f>
        <v>0.0950922653484599</v>
      </c>
      <c r="G90" s="0" t="n">
        <f aca="false">(1-Supuestos!E$28)*((1+((1+Supuestos!E$26)/(1+Supuestos!$B$4)-1+Supuestos!$B$14*$A90/10000))*(1+Supuestos!$B$4+$B90/10000)-1)+Supuestos!E$28*((1+Supuestos!E$27+$A90/10000)*(1+Supuestos!$B$4+$B90/10000)-1)*(1-Supuestos!$B$6)</f>
        <v>0.0948596753327548</v>
      </c>
      <c r="H90" s="0" t="n">
        <f aca="false">(1-Supuestos!F$28)*((1+((1+Supuestos!F$26)/(1+Supuestos!$B$4)-1+Supuestos!$B$14*$A90/10000))*(1+Supuestos!$B$4+$B90/10000)-1)+Supuestos!F$28*((1+Supuestos!F$27+$A90/10000)*(1+Supuestos!$B$4+$B90/10000)-1)*(1-Supuestos!$B$6)</f>
        <v>0.0946424595717994</v>
      </c>
      <c r="I90" s="0" t="n">
        <f aca="false">(1-Supuestos!G$28)*((1+((1+Supuestos!G$26)/(1+Supuestos!$B$4)-1+Supuestos!$B$14*$A90/10000))*(1+Supuestos!$B$4+$B90/10000)-1)+Supuestos!G$28*((1+Supuestos!G$27+$A90/10000)*(1+Supuestos!$B$4+$B90/10000)-1)*(1-Supuestos!$B$6)</f>
        <v>0.094440053671029</v>
      </c>
      <c r="J90" s="0" t="n">
        <f aca="false">(1-Supuestos!H$28)*((1+((1+Supuestos!H$26)/(1+Supuestos!$B$4)-1+Supuestos!$B$14*$A90/10000))*(1+Supuestos!$B$4+$B90/10000)-1)+Supuestos!H$28*((1+Supuestos!H$27+$A90/10000)*(1+Supuestos!$B$4+$B90/10000)-1)*(1-Supuestos!$B$6)</f>
        <v>0.0942519205274297</v>
      </c>
      <c r="K90" s="0" t="n">
        <f aca="false">(1-Supuestos!I$28)*((1+((1+Supuestos!I$26)/(1+Supuestos!$B$4)-1+Supuestos!$B$14*$A90/10000))*(1+Supuestos!$B$4+$B90/10000)-1)+Supuestos!I$28*((1+Supuestos!I$27+$A90/10000)*(1+Supuestos!$B$4+$B90/10000)-1)*(1-Supuestos!$B$6)</f>
        <v>0.0942519205274297</v>
      </c>
      <c r="L90" s="0" t="n">
        <f aca="false">(1+E90)^-Supuestos!C$24</f>
        <v>0.955488276960164</v>
      </c>
      <c r="M90" s="0" t="n">
        <f aca="false">L90*(1+F90)^-Supuestos!D$24</f>
        <v>0.872518514826809</v>
      </c>
      <c r="N90" s="0" t="n">
        <f aca="false">M90*(1+G90)^-Supuestos!E$24</f>
        <v>0.796922687431729</v>
      </c>
      <c r="O90" s="0" t="n">
        <f aca="false">N90*(1+H90)^-Supuestos!F$24</f>
        <v>0.728020990290718</v>
      </c>
      <c r="P90" s="0" t="n">
        <f aca="false">O90*(1+I90)^-Supuestos!G$24</f>
        <v>0.665199512617207</v>
      </c>
      <c r="Q90" s="0" t="n">
        <f aca="false">P90*(1+J90)^-Supuestos!H$24</f>
        <v>0.607903445393617</v>
      </c>
      <c r="R90" s="0" t="n">
        <f aca="false">(1+E90)^-(Supuestos!C$24/2)</f>
        <v>0.977490806586008</v>
      </c>
      <c r="S90" s="0" t="n">
        <f aca="false">L90*(1+F90)^-(Supuestos!D$24/2)</f>
        <v>0.913061450477299</v>
      </c>
      <c r="T90" s="0" t="n">
        <f aca="false">M90*(1+G90)^-(Supuestos!E$24/2)</f>
        <v>0.833864377263906</v>
      </c>
      <c r="U90" s="0" t="n">
        <f aca="false">N90*(1+H90)^-(Supuestos!F$24/2)</f>
        <v>0.761693142997354</v>
      </c>
      <c r="V90" s="0" t="n">
        <f aca="false">O90*(1+I90)^-(Supuestos!G$24/2)</f>
        <v>0.69590172288656</v>
      </c>
      <c r="W90" s="0" t="n">
        <f aca="false">P90*(1+J90)^-(Supuestos!H$24/2)</f>
        <v>0.635906499097277</v>
      </c>
      <c r="X90" s="0" t="n">
        <f aca="false">Supuestos!C$23*(1-$C90+$C90*((1+Supuestos!$B$4+$B90/10000)/(1+Supuestos!$B$4))^Supuestos!C$25)</f>
        <v>113308.497486598</v>
      </c>
      <c r="Y90" s="0" t="n">
        <f aca="false">Supuestos!D$23*(1-$C90+$C90*((1+Supuestos!$B$4+$B90/10000)/(1+Supuestos!$B$4))^Supuestos!D$25)</f>
        <v>198617.508404832</v>
      </c>
      <c r="Z90" s="0" t="n">
        <f aca="false">Supuestos!E$23*(1-$C90+$C90*((1+Supuestos!$B$4+$B90/10000)/(1+Supuestos!$B$4))^Supuestos!E$25)</f>
        <v>257549.866851862</v>
      </c>
      <c r="AA90" s="0" t="n">
        <f aca="false">Supuestos!F$23*(1-$C90+$C90*((1+Supuestos!$B$4+$B90/10000)/(1+Supuestos!$B$4))^Supuestos!F$25)</f>
        <v>370697.173557567</v>
      </c>
      <c r="AB90" s="0" t="n">
        <f aca="false">Supuestos!G$23*(1-$C90+$C90*((1+Supuestos!$B$4+$B90/10000)/(1+Supuestos!$B$4))^Supuestos!G$25)</f>
        <v>370889.933274639</v>
      </c>
      <c r="AC90" s="0" t="n">
        <f aca="false">Supuestos!H$23*(1-$C90+$C90*((1+Supuestos!$B$4+$B90/10000)/(1+Supuestos!$B$4))^Supuestos!H$25)</f>
        <v>390569.053482996</v>
      </c>
      <c r="AD90" s="0" t="n">
        <f aca="false">Supuestos!I$23*(1-$C90+$C90*((1+Supuestos!$B$4+$B90/10000)/(1+Supuestos!$B$4))^Supuestos!I$25)</f>
        <v>515900.652433643</v>
      </c>
      <c r="AE90" s="0" t="n">
        <f aca="false">SUMPRODUCT(X90:AC90,R90:W90)</f>
        <v>1295695.50250287</v>
      </c>
      <c r="AF90" s="0" t="n">
        <f aca="false">(1+Supuestos!$B$5)/(1+Supuestos!$B$4)*(1+Supuestos!$B$4+$B90/10000)-1</f>
        <v>0.0250000000000001</v>
      </c>
      <c r="AG90" s="0" t="n">
        <f aca="false">AD90/(K90-AF90)</f>
        <v>7449622.31378554</v>
      </c>
      <c r="AH90" s="0" t="n">
        <f aca="false">AG90*Q90</f>
        <v>4528651.0714314</v>
      </c>
      <c r="AI90" s="0" t="n">
        <f aca="false">(AE90+AH90-Supuestos!$B$7-Supuestos!$B$8)/Supuestos!$B$9</f>
        <v>2049.20802462752</v>
      </c>
      <c r="AJ90" s="0" t="n">
        <f aca="false">AI90/AI$5-1</f>
        <v>0.103616320736594</v>
      </c>
    </row>
    <row r="91" customFormat="false" ht="15" hidden="false" customHeight="false" outlineLevel="0" collapsed="false">
      <c r="A91" s="0" t="n">
        <v>-40</v>
      </c>
      <c r="B91" s="0" t="n">
        <v>-60</v>
      </c>
      <c r="C91" s="0" t="n">
        <v>0.85</v>
      </c>
      <c r="D91" s="0" t="s">
        <v>116</v>
      </c>
      <c r="E91" s="0" t="n">
        <f aca="false">(1-Supuestos!C$28)*((1+((1+Supuestos!C$26)/(1+Supuestos!$B$4)-1+Supuestos!$B$14*$A91/10000))*(1+Supuestos!$B$4+$B91/10000)-1)+Supuestos!C$28*((1+Supuestos!C$27+$A91/10000)*(1+Supuestos!$B$4+$B91/10000)-1)*(1-Supuestos!$B$6)</f>
        <v>0.095293952388982</v>
      </c>
      <c r="F91" s="0" t="n">
        <f aca="false">(1-Supuestos!D$28)*((1+((1+Supuestos!D$26)/(1+Supuestos!$B$4)-1+Supuestos!$B$14*$A91/10000))*(1+Supuestos!$B$4+$B91/10000)-1)+Supuestos!D$28*((1+Supuestos!D$27+$A91/10000)*(1+Supuestos!$B$4+$B91/10000)-1)*(1-Supuestos!$B$6)</f>
        <v>0.0950454997256087</v>
      </c>
      <c r="G91" s="0" t="n">
        <f aca="false">(1-Supuestos!E$28)*((1+((1+Supuestos!E$26)/(1+Supuestos!$B$4)-1+Supuestos!$B$14*$A91/10000))*(1+Supuestos!$B$4+$B91/10000)-1)+Supuestos!E$28*((1+Supuestos!E$27+$A91/10000)*(1+Supuestos!$B$4+$B91/10000)-1)*(1-Supuestos!$B$6)</f>
        <v>0.0948130026287943</v>
      </c>
      <c r="H91" s="0" t="n">
        <f aca="false">(1-Supuestos!F$28)*((1+((1+Supuestos!F$26)/(1+Supuestos!$B$4)-1+Supuestos!$B$14*$A91/10000))*(1+Supuestos!$B$4+$B91/10000)-1)+Supuestos!F$28*((1+Supuestos!F$27+$A91/10000)*(1+Supuestos!$B$4+$B91/10000)-1)*(1-Supuestos!$B$6)</f>
        <v>0.0945958681074988</v>
      </c>
      <c r="I91" s="0" t="n">
        <f aca="false">(1-Supuestos!G$28)*((1+((1+Supuestos!G$26)/(1+Supuestos!$B$4)-1+Supuestos!$B$14*$A91/10000))*(1+Supuestos!$B$4+$B91/10000)-1)+Supuestos!G$28*((1+Supuestos!G$27+$A91/10000)*(1+Supuestos!$B$4+$B91/10000)-1)*(1-Supuestos!$B$6)</f>
        <v>0.0943935321959068</v>
      </c>
      <c r="J91" s="0" t="n">
        <f aca="false">(1-Supuestos!H$28)*((1+((1+Supuestos!H$26)/(1+Supuestos!$B$4)-1+Supuestos!$B$14*$A91/10000))*(1+Supuestos!$B$4+$B91/10000)-1)+Supuestos!H$28*((1+Supuestos!H$27+$A91/10000)*(1+Supuestos!$B$4+$B91/10000)-1)*(1-Supuestos!$B$6)</f>
        <v>0.09420545819902</v>
      </c>
      <c r="K91" s="0" t="n">
        <f aca="false">(1-Supuestos!I$28)*((1+((1+Supuestos!I$26)/(1+Supuestos!$B$4)-1+Supuestos!$B$14*$A91/10000))*(1+Supuestos!$B$4+$B91/10000)-1)+Supuestos!I$28*((1+Supuestos!I$27+$A91/10000)*(1+Supuestos!$B$4+$B91/10000)-1)*(1-Supuestos!$B$6)</f>
        <v>0.09420545819902</v>
      </c>
      <c r="L91" s="0" t="n">
        <f aca="false">(1+E91)^-Supuestos!C$24</f>
        <v>0.95550872074068</v>
      </c>
      <c r="M91" s="0" t="n">
        <f aca="false">L91*(1+F91)^-Supuestos!D$24</f>
        <v>0.872574446431775</v>
      </c>
      <c r="N91" s="0" t="n">
        <f aca="false">M91*(1+G91)^-Supuestos!E$24</f>
        <v>0.797007748662654</v>
      </c>
      <c r="O91" s="0" t="n">
        <f aca="false">N91*(1+H91)^-Supuestos!F$24</f>
        <v>0.728129688668239</v>
      </c>
      <c r="P91" s="0" t="n">
        <f aca="false">O91*(1+I91)^-Supuestos!G$24</f>
        <v>0.665327112457657</v>
      </c>
      <c r="Q91" s="0" t="n">
        <f aca="false">P91*(1+J91)^-Supuestos!H$24</f>
        <v>0.60804587243856</v>
      </c>
      <c r="R91" s="0" t="n">
        <f aca="false">(1+E91)^-(Supuestos!C$24/2)</f>
        <v>0.977501263805157</v>
      </c>
      <c r="S91" s="0" t="n">
        <f aca="false">L91*(1+F91)^-(Supuestos!D$24/2)</f>
        <v>0.913100483550979</v>
      </c>
      <c r="T91" s="0" t="n">
        <f aca="false">M91*(1+G91)^-(Supuestos!E$24/2)</f>
        <v>0.833935606081879</v>
      </c>
      <c r="U91" s="0" t="n">
        <f aca="false">N91*(1+H91)^-(Supuestos!F$24/2)</f>
        <v>0.761790656217252</v>
      </c>
      <c r="V91" s="0" t="n">
        <f aca="false">O91*(1+I91)^-(Supuestos!G$24/2)</f>
        <v>0.696020418706472</v>
      </c>
      <c r="W91" s="0" t="n">
        <f aca="false">P91*(1+J91)^-(Supuestos!H$24/2)</f>
        <v>0.636041983324485</v>
      </c>
      <c r="X91" s="0" t="n">
        <f aca="false">Supuestos!C$23*(1-$C91+$C91*((1+Supuestos!$B$4+$B91/10000)/(1+Supuestos!$B$4))^Supuestos!C$25)</f>
        <v>113285.002391493</v>
      </c>
      <c r="Y91" s="0" t="n">
        <f aca="false">Supuestos!D$23*(1-$C91+$C91*((1+Supuestos!$B$4+$B91/10000)/(1+Supuestos!$B$4))^Supuestos!D$25)</f>
        <v>198452.921632086</v>
      </c>
      <c r="Z91" s="0" t="n">
        <f aca="false">Supuestos!E$23*(1-$C91+$C91*((1+Supuestos!$B$4+$B91/10000)/(1+Supuestos!$B$4))^Supuestos!E$25)</f>
        <v>257123.544751526</v>
      </c>
      <c r="AA91" s="0" t="n">
        <f aca="false">Supuestos!F$23*(1-$C91+$C91*((1+Supuestos!$B$4+$B91/10000)/(1+Supuestos!$B$4))^Supuestos!F$25)</f>
        <v>369777.878581645</v>
      </c>
      <c r="AB91" s="0" t="n">
        <f aca="false">Supuestos!G$23*(1-$C91+$C91*((1+Supuestos!$B$4+$B91/10000)/(1+Supuestos!$B$4))^Supuestos!G$25)</f>
        <v>369665.074719338</v>
      </c>
      <c r="AC91" s="0" t="n">
        <f aca="false">Supuestos!H$23*(1-$C91+$C91*((1+Supuestos!$B$4+$B91/10000)/(1+Supuestos!$B$4))^Supuestos!H$25)</f>
        <v>388958.726807098</v>
      </c>
      <c r="AD91" s="0" t="n">
        <f aca="false">Supuestos!I$23*(1-$C91+$C91*((1+Supuestos!$B$4+$B91/10000)/(1+Supuestos!$B$4))^Supuestos!I$25)</f>
        <v>513351.314354726</v>
      </c>
      <c r="AE91" s="0" t="n">
        <f aca="false">SUMPRODUCT(X91:AC91,R91:W91)</f>
        <v>1292750.0237389</v>
      </c>
      <c r="AF91" s="0" t="n">
        <f aca="false">(1+Supuestos!$B$5)/(1+Supuestos!$B$4)*(1+Supuestos!$B$4+$B91/10000)-1</f>
        <v>0.024</v>
      </c>
      <c r="AG91" s="0" t="n">
        <f aca="false">AD91/(K91-AF91)</f>
        <v>7312128.25218613</v>
      </c>
      <c r="AH91" s="0" t="n">
        <f aca="false">AG91*Q91</f>
        <v>4446109.40248316</v>
      </c>
      <c r="AI91" s="0" t="n">
        <f aca="false">(AE91+AH91-Supuestos!$B$7-Supuestos!$B$8)/Supuestos!$B$9</f>
        <v>2010.17279736167</v>
      </c>
      <c r="AJ91" s="0" t="n">
        <f aca="false">AI91/AI$5-1</f>
        <v>0.0825936068995816</v>
      </c>
    </row>
    <row r="92" customFormat="false" ht="15" hidden="false" customHeight="false" outlineLevel="0" collapsed="false">
      <c r="A92" s="0" t="n">
        <v>-30</v>
      </c>
      <c r="B92" s="0" t="n">
        <v>-70</v>
      </c>
      <c r="C92" s="0" t="n">
        <v>0.85</v>
      </c>
      <c r="D92" s="0" t="s">
        <v>116</v>
      </c>
      <c r="E92" s="0" t="n">
        <f aca="false">(1-Supuestos!C$28)*((1+((1+Supuestos!C$26)/(1+Supuestos!$B$4)-1+Supuestos!$B$14*$A92/10000))*(1+Supuestos!$B$4+$B92/10000)-1)+Supuestos!C$28*((1+Supuestos!C$27+$A92/10000)*(1+Supuestos!$B$4+$B92/10000)-1)*(1-Supuestos!$B$6)</f>
        <v>0.095245174524272</v>
      </c>
      <c r="F92" s="0" t="n">
        <f aca="false">(1-Supuestos!D$28)*((1+((1+Supuestos!D$26)/(1+Supuestos!$B$4)-1+Supuestos!$B$14*$A92/10000))*(1+Supuestos!$B$4+$B92/10000)-1)+Supuestos!D$28*((1+Supuestos!D$27+$A92/10000)*(1+Supuestos!$B$4+$B92/10000)-1)*(1-Supuestos!$B$6)</f>
        <v>0.0949968325905833</v>
      </c>
      <c r="G92" s="0" t="n">
        <f aca="false">(1-Supuestos!E$28)*((1+((1+Supuestos!E$26)/(1+Supuestos!$B$4)-1+Supuestos!$B$14*$A92/10000))*(1+Supuestos!$B$4+$B92/10000)-1)+Supuestos!E$28*((1+Supuestos!E$27+$A92/10000)*(1+Supuestos!$B$4+$B92/10000)-1)*(1-Supuestos!$B$6)</f>
        <v>0.0947644339508913</v>
      </c>
      <c r="H92" s="0" t="n">
        <f aca="false">(1-Supuestos!F$28)*((1+((1+Supuestos!F$26)/(1+Supuestos!$B$4)-1+Supuestos!$B$14*$A92/10000))*(1+Supuestos!$B$4+$B92/10000)-1)+Supuestos!F$28*((1+Supuestos!F$27+$A92/10000)*(1+Supuestos!$B$4+$B92/10000)-1)*(1-Supuestos!$B$6)</f>
        <v>0.0945473860702685</v>
      </c>
      <c r="I92" s="0" t="n">
        <f aca="false">(1-Supuestos!G$28)*((1+((1+Supuestos!G$26)/(1+Supuestos!$B$4)-1+Supuestos!$B$14*$A92/10000))*(1+Supuestos!$B$4+$B92/10000)-1)+Supuestos!G$28*((1+Supuestos!G$27+$A92/10000)*(1+Supuestos!$B$4+$B92/10000)-1)*(1-Supuestos!$B$6)</f>
        <v>0.0943451254166852</v>
      </c>
      <c r="J92" s="0" t="n">
        <f aca="false">(1-Supuestos!H$28)*((1+((1+Supuestos!H$26)/(1+Supuestos!$B$4)-1+Supuestos!$B$14*$A92/10000))*(1+Supuestos!$B$4+$B92/10000)-1)+Supuestos!H$28*((1+Supuestos!H$27+$A92/10000)*(1+Supuestos!$B$4+$B92/10000)-1)*(1-Supuestos!$B$6)</f>
        <v>0.094157115707953</v>
      </c>
      <c r="K92" s="0" t="n">
        <f aca="false">(1-Supuestos!I$28)*((1+((1+Supuestos!I$26)/(1+Supuestos!$B$4)-1+Supuestos!$B$14*$A92/10000))*(1+Supuestos!$B$4+$B92/10000)-1)+Supuestos!I$28*((1+Supuestos!I$27+$A92/10000)*(1+Supuestos!$B$4+$B92/10000)-1)*(1-Supuestos!$B$6)</f>
        <v>0.094157115707953</v>
      </c>
      <c r="L92" s="0" t="n">
        <f aca="false">(1+E92)^-Supuestos!C$24</f>
        <v>0.955529997783152</v>
      </c>
      <c r="M92" s="0" t="n">
        <f aca="false">L92*(1+F92)^-Supuestos!D$24</f>
        <v>0.872632659148907</v>
      </c>
      <c r="N92" s="0" t="n">
        <f aca="false">M92*(1+G92)^-Supuestos!E$24</f>
        <v>0.797096281251727</v>
      </c>
      <c r="O92" s="0" t="n">
        <f aca="false">N92*(1+H92)^-Supuestos!F$24</f>
        <v>0.728242825661049</v>
      </c>
      <c r="P92" s="0" t="n">
        <f aca="false">O92*(1+I92)^-Supuestos!G$24</f>
        <v>0.665459925527389</v>
      </c>
      <c r="Q92" s="0" t="n">
        <f aca="false">P92*(1+J92)^-Supuestos!H$24</f>
        <v>0.608194121277378</v>
      </c>
      <c r="R92" s="0" t="n">
        <f aca="false">(1+E92)^-(Supuestos!C$24/2)</f>
        <v>0.977512147128184</v>
      </c>
      <c r="S92" s="0" t="n">
        <f aca="false">L92*(1+F92)^-(Supuestos!D$24/2)</f>
        <v>0.913141107859054</v>
      </c>
      <c r="T92" s="0" t="n">
        <f aca="false">M92*(1+G92)^-(Supuestos!E$24/2)</f>
        <v>0.834009740654388</v>
      </c>
      <c r="U92" s="0" t="n">
        <f aca="false">N92*(1+H92)^-(Supuestos!F$24/2)</f>
        <v>0.761892149967876</v>
      </c>
      <c r="V92" s="0" t="n">
        <f aca="false">O92*(1+I92)^-(Supuestos!G$24/2)</f>
        <v>0.696143962503631</v>
      </c>
      <c r="W92" s="0" t="n">
        <f aca="false">P92*(1+J92)^-(Supuestos!H$24/2)</f>
        <v>0.636183004057355</v>
      </c>
      <c r="X92" s="0" t="n">
        <f aca="false">Supuestos!C$23*(1-$C92+$C92*((1+Supuestos!$B$4+$B92/10000)/(1+Supuestos!$B$4))^Supuestos!C$25)</f>
        <v>113261.490081759</v>
      </c>
      <c r="Y92" s="0" t="n">
        <f aca="false">Supuestos!D$23*(1-$C92+$C92*((1+Supuestos!$B$4+$B92/10000)/(1+Supuestos!$B$4))^Supuestos!D$25)</f>
        <v>198288.33485934</v>
      </c>
      <c r="Z92" s="0" t="n">
        <f aca="false">Supuestos!E$23*(1-$C92+$C92*((1+Supuestos!$B$4+$B92/10000)/(1+Supuestos!$B$4))^Supuestos!E$25)</f>
        <v>256697.638778179</v>
      </c>
      <c r="AA92" s="0" t="n">
        <f aca="false">Supuestos!F$23*(1-$C92+$C92*((1+Supuestos!$B$4+$B92/10000)/(1+Supuestos!$B$4))^Supuestos!F$25)</f>
        <v>368860.377351449</v>
      </c>
      <c r="AB92" s="0" t="n">
        <f aca="false">Supuestos!G$23*(1-$C92+$C92*((1+Supuestos!$B$4+$B92/10000)/(1+Supuestos!$B$4))^Supuestos!G$25)</f>
        <v>368443.799365158</v>
      </c>
      <c r="AC92" s="0" t="n">
        <f aca="false">Supuestos!H$23*(1-$C92+$C92*((1+Supuestos!$B$4+$B92/10000)/(1+Supuestos!$B$4))^Supuestos!H$25)</f>
        <v>387354.678198947</v>
      </c>
      <c r="AD92" s="0" t="n">
        <f aca="false">Supuestos!I$23*(1-$C92+$C92*((1+Supuestos!$B$4+$B92/10000)/(1+Supuestos!$B$4))^Supuestos!I$25)</f>
        <v>510814.39387162</v>
      </c>
      <c r="AE92" s="0" t="n">
        <f aca="false">SUMPRODUCT(X92:AC92,R92:W92)</f>
        <v>1289818.25847021</v>
      </c>
      <c r="AF92" s="0" t="n">
        <f aca="false">(1+Supuestos!$B$5)/(1+Supuestos!$B$4)*(1+Supuestos!$B$4+$B92/10000)-1</f>
        <v>0.0230000000000001</v>
      </c>
      <c r="AG92" s="0" t="n">
        <f aca="false">AD92/(K92-AF92)</f>
        <v>7178683.23904715</v>
      </c>
      <c r="AH92" s="0" t="n">
        <f aca="false">AG92*Q92</f>
        <v>4366032.94450093</v>
      </c>
      <c r="AI92" s="0" t="n">
        <f aca="false">(AE92+AH92-Supuestos!$B$7-Supuestos!$B$8)/Supuestos!$B$9</f>
        <v>1972.26949907358</v>
      </c>
      <c r="AJ92" s="0" t="n">
        <f aca="false">AI92/AI$5-1</f>
        <v>0.0621805018864448</v>
      </c>
    </row>
    <row r="93" customFormat="false" ht="15" hidden="false" customHeight="false" outlineLevel="0" collapsed="false">
      <c r="A93" s="0" t="n">
        <v>-20</v>
      </c>
      <c r="B93" s="0" t="n">
        <v>-80</v>
      </c>
      <c r="C93" s="0" t="n">
        <v>0.85</v>
      </c>
      <c r="D93" s="0" t="s">
        <v>116</v>
      </c>
      <c r="E93" s="0" t="n">
        <f aca="false">(1-Supuestos!C$28)*((1+((1+Supuestos!C$26)/(1+Supuestos!$B$4)-1+Supuestos!$B$14*$A93/10000))*(1+Supuestos!$B$4+$B93/10000)-1)+Supuestos!C$28*((1+Supuestos!C$27+$A93/10000)*(1+Supuestos!$B$4+$B93/10000)-1)*(1-Supuestos!$B$6)</f>
        <v>0.095194489466639</v>
      </c>
      <c r="F93" s="0" t="n">
        <f aca="false">(1-Supuestos!D$28)*((1+((1+Supuestos!D$26)/(1+Supuestos!$B$4)-1+Supuestos!$B$14*$A93/10000))*(1+Supuestos!$B$4+$B93/10000)-1)+Supuestos!D$28*((1+Supuestos!D$27+$A93/10000)*(1+Supuestos!$B$4+$B93/10000)-1)*(1-Supuestos!$B$6)</f>
        <v>0.0949462639433831</v>
      </c>
      <c r="G93" s="0" t="n">
        <f aca="false">(1-Supuestos!E$28)*((1+((1+Supuestos!E$26)/(1+Supuestos!$B$4)-1+Supuestos!$B$14*$A93/10000))*(1+Supuestos!$B$4+$B93/10000)-1)+Supuestos!E$28*((1+Supuestos!E$27+$A93/10000)*(1+Supuestos!$B$4+$B93/10000)-1)*(1-Supuestos!$B$6)</f>
        <v>0.094713969299046</v>
      </c>
      <c r="H93" s="0" t="n">
        <f aca="false">(1-Supuestos!F$28)*((1+((1+Supuestos!F$26)/(1+Supuestos!$B$4)-1+Supuestos!$B$14*$A93/10000))*(1+Supuestos!$B$4+$B93/10000)-1)+Supuestos!F$28*((1+Supuestos!F$27+$A93/10000)*(1+Supuestos!$B$4+$B93/10000)-1)*(1-Supuestos!$B$6)</f>
        <v>0.0944970134601082</v>
      </c>
      <c r="I93" s="0" t="n">
        <f aca="false">(1-Supuestos!G$28)*((1+((1+Supuestos!G$26)/(1+Supuestos!$B$4)-1+Supuestos!$B$14*$A93/10000))*(1+Supuestos!$B$4+$B93/10000)-1)+Supuestos!G$28*((1+Supuestos!G$27+$A93/10000)*(1+Supuestos!$B$4+$B93/10000)-1)*(1-Supuestos!$B$6)</f>
        <v>0.0942948333333635</v>
      </c>
      <c r="J93" s="0" t="n">
        <f aca="false">(1-Supuestos!H$28)*((1+((1+Supuestos!H$26)/(1+Supuestos!$B$4)-1+Supuestos!$B$14*$A93/10000))*(1+Supuestos!$B$4+$B93/10000)-1)+Supuestos!H$28*((1+Supuestos!H$27+$A93/10000)*(1+Supuestos!$B$4+$B93/10000)-1)*(1-Supuestos!$B$6)</f>
        <v>0.0941068930542286</v>
      </c>
      <c r="K93" s="0" t="n">
        <f aca="false">(1-Supuestos!I$28)*((1+((1+Supuestos!I$26)/(1+Supuestos!$B$4)-1+Supuestos!$B$14*$A93/10000))*(1+Supuestos!$B$4+$B93/10000)-1)+Supuestos!I$28*((1+Supuestos!I$27+$A93/10000)*(1+Supuestos!$B$4+$B93/10000)-1)*(1-Supuestos!$B$6)</f>
        <v>0.0941068930542286</v>
      </c>
      <c r="L93" s="0" t="n">
        <f aca="false">(1+E93)^-Supuestos!C$24</f>
        <v>0.955552108254463</v>
      </c>
      <c r="M93" s="0" t="n">
        <f aca="false">L93*(1+F93)^-Supuestos!D$24</f>
        <v>0.872693153738065</v>
      </c>
      <c r="N93" s="0" t="n">
        <f aca="false">M93*(1+G93)^-Supuestos!E$24</f>
        <v>0.7971882868151</v>
      </c>
      <c r="O93" s="0" t="n">
        <f aca="false">N93*(1+H93)^-Supuestos!F$24</f>
        <v>0.728360403921884</v>
      </c>
      <c r="P93" s="0" t="n">
        <f aca="false">O93*(1+I93)^-Supuestos!G$24</f>
        <v>0.665597955628836</v>
      </c>
      <c r="Q93" s="0" t="n">
        <f aca="false">P93*(1+J93)^-Supuestos!H$24</f>
        <v>0.608348196921419</v>
      </c>
      <c r="R93" s="0" t="n">
        <f aca="false">(1+E93)^-(Supuestos!C$24/2)</f>
        <v>0.977523456626214</v>
      </c>
      <c r="S93" s="0" t="n">
        <f aca="false">L93*(1+F93)^-(Supuestos!D$24/2)</f>
        <v>0.913183323825859</v>
      </c>
      <c r="T93" s="0" t="n">
        <f aca="false">M93*(1+G93)^-(Supuestos!E$24/2)</f>
        <v>0.834086782141831</v>
      </c>
      <c r="U93" s="0" t="n">
        <f aca="false">N93*(1+H93)^-(Supuestos!F$24/2)</f>
        <v>0.761997626365359</v>
      </c>
      <c r="V93" s="0" t="n">
        <f aca="false">O93*(1+I93)^-(Supuestos!G$24/2)</f>
        <v>0.696272357494823</v>
      </c>
      <c r="W93" s="0" t="n">
        <f aca="false">P93*(1+J93)^-(Supuestos!H$24/2)</f>
        <v>0.636329565697984</v>
      </c>
      <c r="X93" s="0" t="n">
        <f aca="false">Supuestos!C$23*(1-$C93+$C93*((1+Supuestos!$B$4+$B93/10000)/(1+Supuestos!$B$4))^Supuestos!C$25)</f>
        <v>113237.960527937</v>
      </c>
      <c r="Y93" s="0" t="n">
        <f aca="false">Supuestos!D$23*(1-$C93+$C93*((1+Supuestos!$B$4+$B93/10000)/(1+Supuestos!$B$4))^Supuestos!D$25)</f>
        <v>198123.748086594</v>
      </c>
      <c r="Z93" s="0" t="n">
        <f aca="false">Supuestos!E$23*(1-$C93+$C93*((1+Supuestos!$B$4+$B93/10000)/(1+Supuestos!$B$4))^Supuestos!E$25)</f>
        <v>256272.148931822</v>
      </c>
      <c r="AA93" s="0" t="n">
        <f aca="false">Supuestos!F$23*(1-$C93+$C93*((1+Supuestos!$B$4+$B93/10000)/(1+Supuestos!$B$4))^Supuestos!F$25)</f>
        <v>367944.668115271</v>
      </c>
      <c r="AB93" s="0" t="n">
        <f aca="false">Supuestos!G$23*(1-$C93+$C93*((1+Supuestos!$B$4+$B93/10000)/(1+Supuestos!$B$4))^Supuestos!G$25)</f>
        <v>367226.100217078</v>
      </c>
      <c r="AC93" s="0" t="n">
        <f aca="false">Supuestos!H$23*(1-$C93+$C93*((1+Supuestos!$B$4+$B93/10000)/(1+Supuestos!$B$4))^Supuestos!H$25)</f>
        <v>385756.889283726</v>
      </c>
      <c r="AD93" s="0" t="n">
        <f aca="false">Supuestos!I$23*(1-$C93+$C93*((1+Supuestos!$B$4+$B93/10000)/(1+Supuestos!$B$4))^Supuestos!I$25)</f>
        <v>508289.842549121</v>
      </c>
      <c r="AE93" s="0" t="n">
        <f aca="false">SUMPRODUCT(X93:AC93,R93:W93)</f>
        <v>1286900.13755056</v>
      </c>
      <c r="AF93" s="0" t="n">
        <f aca="false">(1+Supuestos!$B$5)/(1+Supuestos!$B$4)*(1+Supuestos!$B$4+$B93/10000)-1</f>
        <v>0.022</v>
      </c>
      <c r="AG93" s="0" t="n">
        <f aca="false">AD93/(K93-AF93)</f>
        <v>7049115.84759113</v>
      </c>
      <c r="AH93" s="0" t="n">
        <f aca="false">AG93*Q93</f>
        <v>4288316.91577226</v>
      </c>
      <c r="AI93" s="0" t="n">
        <f aca="false">(AE93+AH93-Supuestos!$B$7-Supuestos!$B$8)/Supuestos!$B$9</f>
        <v>1935.45025265882</v>
      </c>
      <c r="AJ93" s="0" t="n">
        <f aca="false">AI93/AI$5-1</f>
        <v>0.0423512211242185</v>
      </c>
    </row>
    <row r="94" customFormat="false" ht="15" hidden="false" customHeight="false" outlineLevel="0" collapsed="false">
      <c r="A94" s="0" t="n">
        <v>-10</v>
      </c>
      <c r="B94" s="0" t="n">
        <v>-90</v>
      </c>
      <c r="C94" s="0" t="n">
        <v>0.85</v>
      </c>
      <c r="D94" s="0" t="s">
        <v>116</v>
      </c>
      <c r="E94" s="0" t="n">
        <f aca="false">(1-Supuestos!C$28)*((1+((1+Supuestos!C$26)/(1+Supuestos!$B$4)-1+Supuestos!$B$14*$A94/10000))*(1+Supuestos!$B$4+$B94/10000)-1)+Supuestos!C$28*((1+Supuestos!C$27+$A94/10000)*(1+Supuestos!$B$4+$B94/10000)-1)*(1-Supuestos!$B$6)</f>
        <v>0.0951418972160837</v>
      </c>
      <c r="F94" s="0" t="n">
        <f aca="false">(1-Supuestos!D$28)*((1+((1+Supuestos!D$26)/(1+Supuestos!$B$4)-1+Supuestos!$B$14*$A94/10000))*(1+Supuestos!$B$4+$B94/10000)-1)+Supuestos!D$28*((1+Supuestos!D$27+$A94/10000)*(1+Supuestos!$B$4+$B94/10000)-1)*(1-Supuestos!$B$6)</f>
        <v>0.0948937937840085</v>
      </c>
      <c r="G94" s="0" t="n">
        <f aca="false">(1-Supuestos!E$28)*((1+((1+Supuestos!E$26)/(1+Supuestos!$B$4)-1+Supuestos!$B$14*$A94/10000))*(1+Supuestos!$B$4+$B94/10000)-1)+Supuestos!E$28*((1+Supuestos!E$27+$A94/10000)*(1+Supuestos!$B$4+$B94/10000)-1)*(1-Supuestos!$B$6)</f>
        <v>0.0946616086732584</v>
      </c>
      <c r="H94" s="0" t="n">
        <f aca="false">(1-Supuestos!F$28)*((1+((1+Supuestos!F$26)/(1+Supuestos!$B$4)-1+Supuestos!$B$14*$A94/10000))*(1+Supuestos!$B$4+$B94/10000)-1)+Supuestos!F$28*((1+Supuestos!F$27+$A94/10000)*(1+Supuestos!$B$4+$B94/10000)-1)*(1-Supuestos!$B$6)</f>
        <v>0.094444750277018</v>
      </c>
      <c r="I94" s="0" t="n">
        <f aca="false">(1-Supuestos!G$28)*((1+((1+Supuestos!G$26)/(1+Supuestos!$B$4)-1+Supuestos!$B$14*$A94/10000))*(1+Supuestos!$B$4+$B94/10000)-1)+Supuestos!G$28*((1+Supuestos!G$27+$A94/10000)*(1+Supuestos!$B$4+$B94/10000)-1)*(1-Supuestos!$B$6)</f>
        <v>0.0942426559459424</v>
      </c>
      <c r="J94" s="0" t="n">
        <f aca="false">(1-Supuestos!H$28)*((1+((1+Supuestos!H$26)/(1+Supuestos!$B$4)-1+Supuestos!$B$14*$A94/10000))*(1+Supuestos!$B$4+$B94/10000)-1)+Supuestos!H$28*((1+Supuestos!H$27+$A94/10000)*(1+Supuestos!$B$4+$B94/10000)-1)*(1-Supuestos!$B$6)</f>
        <v>0.0940547902378466</v>
      </c>
      <c r="K94" s="0" t="n">
        <f aca="false">(1-Supuestos!I$28)*((1+((1+Supuestos!I$26)/(1+Supuestos!$B$4)-1+Supuestos!$B$14*$A94/10000))*(1+Supuestos!$B$4+$B94/10000)-1)+Supuestos!I$28*((1+Supuestos!I$27+$A94/10000)*(1+Supuestos!$B$4+$B94/10000)-1)*(1-Supuestos!$B$6)</f>
        <v>0.0940547902378466</v>
      </c>
      <c r="L94" s="0" t="n">
        <f aca="false">(1+E94)^-Supuestos!C$24</f>
        <v>0.955575052328053</v>
      </c>
      <c r="M94" s="0" t="n">
        <f aca="false">L94*(1+F94)^-Supuestos!D$24</f>
        <v>0.872755930989011</v>
      </c>
      <c r="N94" s="0" t="n">
        <f aca="false">M94*(1+G94)^-Supuestos!E$24</f>
        <v>0.797283767032627</v>
      </c>
      <c r="O94" s="0" t="n">
        <f aca="false">N94*(1+H94)^-Supuestos!F$24</f>
        <v>0.728482426208198</v>
      </c>
      <c r="P94" s="0" t="n">
        <f aca="false">O94*(1+I94)^-Supuestos!G$24</f>
        <v>0.665741206714744</v>
      </c>
      <c r="Q94" s="0" t="n">
        <f aca="false">P94*(1+J94)^-Supuestos!H$24</f>
        <v>0.608508104580404</v>
      </c>
      <c r="R94" s="0" t="n">
        <f aca="false">(1+E94)^-(Supuestos!C$24/2)</f>
        <v>0.977535192373171</v>
      </c>
      <c r="S94" s="0" t="n">
        <f aca="false">L94*(1+F94)^-(Supuestos!D$24/2)</f>
        <v>0.913227131892413</v>
      </c>
      <c r="T94" s="0" t="n">
        <f aca="false">M94*(1+G94)^-(Supuestos!E$24/2)</f>
        <v>0.834166731750306</v>
      </c>
      <c r="U94" s="0" t="n">
        <f aca="false">N94*(1+H94)^-(Supuestos!F$24/2)</f>
        <v>0.762107087609307</v>
      </c>
      <c r="V94" s="0" t="n">
        <f aca="false">O94*(1+I94)^-(Supuestos!G$24/2)</f>
        <v>0.696405607023902</v>
      </c>
      <c r="W94" s="0" t="n">
        <f aca="false">P94*(1+J94)^-(Supuestos!H$24/2)</f>
        <v>0.636481672822604</v>
      </c>
      <c r="X94" s="0" t="n">
        <f aca="false">Supuestos!C$23*(1-$C94+$C94*((1+Supuestos!$B$4+$B94/10000)/(1+Supuestos!$B$4))^Supuestos!C$25)</f>
        <v>113214.413700489</v>
      </c>
      <c r="Y94" s="0" t="n">
        <f aca="false">Supuestos!D$23*(1-$C94+$C94*((1+Supuestos!$B$4+$B94/10000)/(1+Supuestos!$B$4))^Supuestos!D$25)</f>
        <v>197959.161313848</v>
      </c>
      <c r="Z94" s="0" t="n">
        <f aca="false">Supuestos!E$23*(1-$C94+$C94*((1+Supuestos!$B$4+$B94/10000)/(1+Supuestos!$B$4))^Supuestos!E$25)</f>
        <v>255847.075212453</v>
      </c>
      <c r="AA94" s="0" t="n">
        <f aca="false">Supuestos!F$23*(1-$C94+$C94*((1+Supuestos!$B$4+$B94/10000)/(1+Supuestos!$B$4))^Supuestos!F$25)</f>
        <v>367030.74912141</v>
      </c>
      <c r="AB94" s="0" t="n">
        <f aca="false">Supuestos!G$23*(1-$C94+$C94*((1+Supuestos!$B$4+$B94/10000)/(1+Supuestos!$B$4))^Supuestos!G$25)</f>
        <v>366011.970286911</v>
      </c>
      <c r="AC94" s="0" t="n">
        <f aca="false">Supuestos!H$23*(1-$C94+$C94*((1+Supuestos!$B$4+$B94/10000)/(1+Supuestos!$B$4))^Supuestos!H$25)</f>
        <v>384165.34172251</v>
      </c>
      <c r="AD94" s="0" t="n">
        <f aca="false">Supuestos!I$23*(1-$C94+$C94*((1+Supuestos!$B$4+$B94/10000)/(1+Supuestos!$B$4))^Supuestos!I$25)</f>
        <v>505777.612093858</v>
      </c>
      <c r="AE94" s="0" t="n">
        <f aca="false">SUMPRODUCT(X94:AC94,R94:W94)</f>
        <v>1283995.5923141</v>
      </c>
      <c r="AF94" s="0" t="n">
        <f aca="false">(1+Supuestos!$B$5)/(1+Supuestos!$B$4)*(1+Supuestos!$B$4+$B94/10000)-1</f>
        <v>0.0210000000000001</v>
      </c>
      <c r="AG94" s="0" t="n">
        <f aca="false">AD94/(K94-AF94)</f>
        <v>6923264.17538378</v>
      </c>
      <c r="AH94" s="0" t="n">
        <f aca="false">AG94*Q94</f>
        <v>4212862.3608722</v>
      </c>
      <c r="AI94" s="0" t="n">
        <f aca="false">(AE94+AH94-Supuestos!$B$7-Supuestos!$B$8)/Supuestos!$B$9</f>
        <v>1899.66984163758</v>
      </c>
      <c r="AJ94" s="0" t="n">
        <f aca="false">AI94/AI$5-1</f>
        <v>0.0230814129392316</v>
      </c>
    </row>
    <row r="95" customFormat="false" ht="15" hidden="false" customHeight="false" outlineLevel="0" collapsed="false">
      <c r="A95" s="0" t="n">
        <v>0</v>
      </c>
      <c r="B95" s="0" t="n">
        <v>-100</v>
      </c>
      <c r="C95" s="0" t="n">
        <v>0.85</v>
      </c>
      <c r="D95" s="0" t="s">
        <v>116</v>
      </c>
      <c r="E95" s="0" t="n">
        <f aca="false">(1-Supuestos!C$28)*((1+((1+Supuestos!C$26)/(1+Supuestos!$B$4)-1+Supuestos!$B$14*$A95/10000))*(1+Supuestos!$B$4+$B95/10000)-1)+Supuestos!C$28*((1+Supuestos!C$27+$A95/10000)*(1+Supuestos!$B$4+$B95/10000)-1)*(1-Supuestos!$B$6)</f>
        <v>0.0950873977726059</v>
      </c>
      <c r="F95" s="0" t="n">
        <f aca="false">(1-Supuestos!D$28)*((1+((1+Supuestos!D$26)/(1+Supuestos!$B$4)-1+Supuestos!$B$14*$A95/10000))*(1+Supuestos!$B$4+$B95/10000)-1)+Supuestos!D$28*((1+Supuestos!D$27+$A95/10000)*(1+Supuestos!$B$4+$B95/10000)-1)*(1-Supuestos!$B$6)</f>
        <v>0.0948394221124596</v>
      </c>
      <c r="G95" s="0" t="n">
        <f aca="false">(1-Supuestos!E$28)*((1+((1+Supuestos!E$26)/(1+Supuestos!$B$4)-1+Supuestos!$B$14*$A95/10000))*(1+Supuestos!$B$4+$B95/10000)-1)+Supuestos!E$28*((1+Supuestos!E$27+$A95/10000)*(1+Supuestos!$B$4+$B95/10000)-1)*(1-Supuestos!$B$6)</f>
        <v>0.0946073520735279</v>
      </c>
      <c r="H95" s="0" t="n">
        <f aca="false">(1-Supuestos!F$28)*((1+((1+Supuestos!F$26)/(1+Supuestos!$B$4)-1+Supuestos!$B$14*$A95/10000))*(1+Supuestos!$B$4+$B95/10000)-1)+Supuestos!F$28*((1+Supuestos!F$27+$A95/10000)*(1+Supuestos!$B$4+$B95/10000)-1)*(1-Supuestos!$B$6)</f>
        <v>0.0943905965209974</v>
      </c>
      <c r="I95" s="0" t="n">
        <f aca="false">(1-Supuestos!G$28)*((1+((1+Supuestos!G$26)/(1+Supuestos!$B$4)-1+Supuestos!$B$14*$A95/10000))*(1+Supuestos!$B$4+$B95/10000)-1)+Supuestos!G$28*((1+Supuestos!G$27+$A95/10000)*(1+Supuestos!$B$4+$B95/10000)-1)*(1-Supuestos!$B$6)</f>
        <v>0.0941885932544217</v>
      </c>
      <c r="J95" s="0" t="n">
        <f aca="false">(1-Supuestos!H$28)*((1+((1+Supuestos!H$26)/(1+Supuestos!$B$4)-1+Supuestos!$B$14*$A95/10000))*(1+Supuestos!$B$4+$B95/10000)-1)+Supuestos!H$28*((1+Supuestos!H$27+$A95/10000)*(1+Supuestos!$B$4+$B95/10000)-1)*(1-Supuestos!$B$6)</f>
        <v>0.0940008072588067</v>
      </c>
      <c r="K95" s="0" t="n">
        <f aca="false">(1-Supuestos!I$28)*((1+((1+Supuestos!I$26)/(1+Supuestos!$B$4)-1+Supuestos!$B$14*$A95/10000))*(1+Supuestos!$B$4+$B95/10000)-1)+Supuestos!I$28*((1+Supuestos!I$27+$A95/10000)*(1+Supuestos!$B$4+$B95/10000)-1)*(1-Supuestos!$B$6)</f>
        <v>0.0940008072588067</v>
      </c>
      <c r="L95" s="0" t="n">
        <f aca="false">(1+E95)^-Supuestos!C$24</f>
        <v>0.955598830183924</v>
      </c>
      <c r="M95" s="0" t="n">
        <f aca="false">L95*(1+F95)^-Supuestos!D$24</f>
        <v>0.872820991721439</v>
      </c>
      <c r="N95" s="0" t="n">
        <f aca="false">M95*(1+G95)^-Supuestos!E$24</f>
        <v>0.797382723647931</v>
      </c>
      <c r="O95" s="0" t="n">
        <f aca="false">N95*(1+H95)^-Supuestos!F$24</f>
        <v>0.728608895382291</v>
      </c>
      <c r="P95" s="0" t="n">
        <f aca="false">O95*(1+I95)^-Supuestos!G$24</f>
        <v>0.6658896828884</v>
      </c>
      <c r="Q95" s="0" t="n">
        <f aca="false">P95*(1+J95)^-Supuestos!H$24</f>
        <v>0.608673849662774</v>
      </c>
      <c r="R95" s="0" t="n">
        <f aca="false">(1+E95)^-(Supuestos!C$24/2)</f>
        <v>0.97754735444577</v>
      </c>
      <c r="S95" s="0" t="n">
        <f aca="false">L95*(1+F95)^-(Supuestos!D$24/2)</f>
        <v>0.913272532516433</v>
      </c>
      <c r="T95" s="0" t="n">
        <f aca="false">M95*(1+G95)^-(Supuestos!E$24/2)</f>
        <v>0.834249590731652</v>
      </c>
      <c r="U95" s="0" t="n">
        <f aca="false">N95*(1+H95)^-(Supuestos!F$24/2)</f>
        <v>0.762220535982888</v>
      </c>
      <c r="V95" s="0" t="n">
        <f aca="false">O95*(1+I95)^-(Supuestos!G$24/2)</f>
        <v>0.696543714561966</v>
      </c>
      <c r="W95" s="0" t="n">
        <f aca="false">P95*(1+J95)^-(Supuestos!H$24/2)</f>
        <v>0.636639330181859</v>
      </c>
      <c r="X95" s="0" t="n">
        <f aca="false">Supuestos!C$23*(1-$C95+$C95*((1+Supuestos!$B$4+$B95/10000)/(1+Supuestos!$B$4))^Supuestos!C$25)</f>
        <v>113190.849569797</v>
      </c>
      <c r="Y95" s="0" t="n">
        <f aca="false">Supuestos!D$23*(1-$C95+$C95*((1+Supuestos!$B$4+$B95/10000)/(1+Supuestos!$B$4))^Supuestos!D$25)</f>
        <v>197794.574541102</v>
      </c>
      <c r="Z95" s="0" t="n">
        <f aca="false">Supuestos!E$23*(1-$C95+$C95*((1+Supuestos!$B$4+$B95/10000)/(1+Supuestos!$B$4))^Supuestos!E$25)</f>
        <v>255422.417620074</v>
      </c>
      <c r="AA95" s="0" t="n">
        <f aca="false">Supuestos!F$23*(1-$C95+$C95*((1+Supuestos!$B$4+$B95/10000)/(1+Supuestos!$B$4))^Supuestos!F$25)</f>
        <v>366118.618618158</v>
      </c>
      <c r="AB95" s="0" t="n">
        <f aca="false">Supuestos!G$23*(1-$C95+$C95*((1+Supuestos!$B$4+$B95/10000)/(1+Supuestos!$B$4))^Supuestos!G$25)</f>
        <v>364801.402593305</v>
      </c>
      <c r="AC95" s="0" t="n">
        <f aca="false">Supuestos!H$23*(1-$C95+$C95*((1+Supuestos!$B$4+$B95/10000)/(1+Supuestos!$B$4))^Supuestos!H$25)</f>
        <v>382580.017212225</v>
      </c>
      <c r="AD95" s="0" t="n">
        <f aca="false">Supuestos!I$23*(1-$C95+$C95*((1+Supuestos!$B$4+$B95/10000)/(1+Supuestos!$B$4))^Supuestos!I$25)</f>
        <v>503277.654354012</v>
      </c>
      <c r="AE95" s="0" t="n">
        <f aca="false">SUMPRODUCT(X95:AC95,R95:W95)</f>
        <v>1281104.55457198</v>
      </c>
      <c r="AF95" s="0" t="n">
        <f aca="false">(1+Supuestos!$B$5)/(1+Supuestos!$B$4)*(1+Supuestos!$B$4+$B95/10000)-1</f>
        <v>0.02</v>
      </c>
      <c r="AG95" s="0" t="n">
        <f aca="false">AD95/(K95-AF95)</f>
        <v>6800975.19198506</v>
      </c>
      <c r="AH95" s="0" t="n">
        <f aca="false">AG95*Q95</f>
        <v>4139575.75156657</v>
      </c>
      <c r="AI95" s="0" t="n">
        <f aca="false">(AE95+AH95-Supuestos!$B$7-Supuestos!$B$8)/Supuestos!$B$9</f>
        <v>1864.88552791714</v>
      </c>
      <c r="AJ95" s="0" t="n">
        <f aca="false">AI95/AI$5-1</f>
        <v>0.00434806041174873</v>
      </c>
    </row>
    <row r="96" customFormat="false" ht="15" hidden="false" customHeight="false" outlineLevel="0" collapsed="false">
      <c r="A96" s="0" t="n">
        <v>-100</v>
      </c>
      <c r="B96" s="0" t="n">
        <v>0</v>
      </c>
      <c r="C96" s="0" t="n">
        <v>0.7</v>
      </c>
      <c r="D96" s="0" t="s">
        <v>117</v>
      </c>
      <c r="E96" s="0" t="n">
        <f aca="false">(1-Supuestos!C$28)*((1+((1+Supuestos!C$26)/(1+Supuestos!$B$4)-1+Supuestos!$B$14*$A96/10000))*(1+Supuestos!$B$4+$B96/10000)-1)+Supuestos!C$28*((1+Supuestos!C$27+$A96/10000)*(1+Supuestos!$B$4+$B96/10000)-1)*(1-Supuestos!$B$6)</f>
        <v>0.0955465685258706</v>
      </c>
      <c r="F96" s="0" t="n">
        <f aca="false">(1-Supuestos!D$28)*((1+((1+Supuestos!D$26)/(1+Supuestos!$B$4)-1+Supuestos!$B$14*$A96/10000))*(1+Supuestos!$B$4+$B96/10000)-1)+Supuestos!D$28*((1+Supuestos!D$27+$A96/10000)*(1+Supuestos!$B$4+$B96/10000)-1)*(1-Supuestos!$B$6)</f>
        <v>0.0952975707800994</v>
      </c>
      <c r="G96" s="0" t="n">
        <f aca="false">(1-Supuestos!E$28)*((1+((1+Supuestos!E$26)/(1+Supuestos!$B$4)-1+Supuestos!$B$14*$A96/10000))*(1+Supuestos!$B$4+$B96/10000)-1)+Supuestos!E$28*((1+Supuestos!E$27+$A96/10000)*(1+Supuestos!$B$4+$B96/10000)-1)*(1-Supuestos!$B$6)</f>
        <v>0.0950645992434195</v>
      </c>
      <c r="H96" s="0" t="n">
        <f aca="false">(1-Supuestos!F$28)*((1+((1+Supuestos!F$26)/(1+Supuestos!$B$4)-1+Supuestos!$B$14*$A96/10000))*(1+Supuestos!$B$4+$B96/10000)-1)+Supuestos!F$28*((1+Supuestos!F$27+$A96/10000)*(1+Supuestos!$B$4+$B96/10000)-1)*(1-Supuestos!$B$6)</f>
        <v>0.094847058299351</v>
      </c>
      <c r="I96" s="0" t="n">
        <f aca="false">(1-Supuestos!G$28)*((1+((1+Supuestos!G$26)/(1+Supuestos!$B$4)-1+Supuestos!$B$14*$A96/10000))*(1+Supuestos!$B$4+$B96/10000)-1)+Supuestos!G$28*((1+Supuestos!G$27+$A96/10000)*(1+Supuestos!$B$4+$B96/10000)-1)*(1-Supuestos!$B$6)</f>
        <v>0.0946443814851456</v>
      </c>
      <c r="J96" s="0" t="n">
        <f aca="false">(1-Supuestos!H$28)*((1+((1+Supuestos!H$26)/(1+Supuestos!$B$4)-1+Supuestos!$B$14*$A96/10000))*(1+Supuestos!$B$4+$B96/10000)-1)+Supuestos!H$28*((1+Supuestos!H$27+$A96/10000)*(1+Supuestos!$B$4+$B96/10000)-1)*(1-Supuestos!$B$6)</f>
        <v>0.0944560297296128</v>
      </c>
      <c r="K96" s="0" t="n">
        <f aca="false">(1-Supuestos!I$28)*((1+((1+Supuestos!I$26)/(1+Supuestos!$B$4)-1+Supuestos!$B$14*$A96/10000))*(1+Supuestos!$B$4+$B96/10000)-1)+Supuestos!I$28*((1+Supuestos!I$27+$A96/10000)*(1+Supuestos!$B$4+$B96/10000)-1)*(1-Supuestos!$B$6)</f>
        <v>0.0944560297296128</v>
      </c>
      <c r="L96" s="0" t="n">
        <f aca="false">(1+E96)^-Supuestos!C$24</f>
        <v>0.955398551604659</v>
      </c>
      <c r="M96" s="0" t="n">
        <f aca="false">L96*(1+F96)^-Supuestos!D$24</f>
        <v>0.872273048979922</v>
      </c>
      <c r="N96" s="0" t="n">
        <f aca="false">M96*(1+G96)^-Supuestos!E$24</f>
        <v>0.796549399535494</v>
      </c>
      <c r="O96" s="0" t="n">
        <f aca="false">N96*(1+H96)^-Supuestos!F$24</f>
        <v>0.727543992101317</v>
      </c>
      <c r="P96" s="0" t="n">
        <f aca="false">O96*(1+I96)^-Supuestos!G$24</f>
        <v>0.664639589264808</v>
      </c>
      <c r="Q96" s="0" t="n">
        <f aca="false">P96*(1+J96)^-Supuestos!H$24</f>
        <v>0.607278475526339</v>
      </c>
      <c r="R96" s="0" t="n">
        <f aca="false">(1+E96)^-(Supuestos!C$24/2)</f>
        <v>0.977444909754334</v>
      </c>
      <c r="S96" s="0" t="n">
        <f aca="false">L96*(1+F96)^-(Supuestos!D$24/2)</f>
        <v>0.912890139939739</v>
      </c>
      <c r="T96" s="0" t="n">
        <f aca="false">M96*(1+G96)^-(Supuestos!E$24/2)</f>
        <v>0.833551782072326</v>
      </c>
      <c r="U96" s="0" t="n">
        <f aca="false">N96*(1+H96)^-(Supuestos!F$24/2)</f>
        <v>0.76126521662556</v>
      </c>
      <c r="V96" s="0" t="n">
        <f aca="false">O96*(1+I96)^-(Supuestos!G$24/2)</f>
        <v>0.695380859732491</v>
      </c>
      <c r="W96" s="0" t="n">
        <f aca="false">P96*(1+J96)^-(Supuestos!H$24/2)</f>
        <v>0.635311983629448</v>
      </c>
      <c r="X96" s="0" t="n">
        <f aca="false">Supuestos!C$23*(1-$C96+$C96*((1+Supuestos!$B$4+$B96/10000)/(1+Supuestos!$B$4))^Supuestos!C$25)</f>
        <v>113425.715768245</v>
      </c>
      <c r="Y96" s="0" t="n">
        <f aca="false">Supuestos!D$23*(1-$C96+$C96*((1+Supuestos!$B$4+$B96/10000)/(1+Supuestos!$B$4))^Supuestos!D$25)</f>
        <v>199440.442268561</v>
      </c>
      <c r="Z96" s="0" t="n">
        <f aca="false">Supuestos!E$23*(1-$C96+$C96*((1+Supuestos!$B$4+$B96/10000)/(1+Supuestos!$B$4))^Supuestos!E$25)</f>
        <v>259687.719258378</v>
      </c>
      <c r="AA96" s="0" t="n">
        <f aca="false">Supuestos!F$23*(1-$C96+$C96*((1+Supuestos!$B$4+$B96/10000)/(1+Supuestos!$B$4))^Supuestos!F$25)</f>
        <v>375320.615932717</v>
      </c>
      <c r="AB96" s="0" t="n">
        <f aca="false">Supuestos!G$23*(1-$C96+$C96*((1+Supuestos!$B$4+$B96/10000)/(1+Supuestos!$B$4))^Supuestos!G$25)</f>
        <v>377068.219372121</v>
      </c>
      <c r="AC96" s="0" t="n">
        <f aca="false">Supuestos!H$23*(1-$C96+$C96*((1+Supuestos!$B$4+$B96/10000)/(1+Supuestos!$B$4))^Supuestos!H$25)</f>
        <v>398715.503513791</v>
      </c>
      <c r="AD96" s="0" t="n">
        <f aca="false">Supuestos!I$23*(1-$C96+$C96*((1+Supuestos!$B$4+$B96/10000)/(1+Supuestos!$B$4))^Supuestos!I$25)</f>
        <v>528835.311960595</v>
      </c>
      <c r="AE96" s="0" t="n">
        <f aca="false">SUMPRODUCT(X96:AC96,R96:W96)</f>
        <v>1310631.05293323</v>
      </c>
      <c r="AF96" s="0" t="n">
        <f aca="false">(1+Supuestos!$B$5)/(1+Supuestos!$B$4)*(1+Supuestos!$B$4+$B96/10000)-1</f>
        <v>0.03</v>
      </c>
      <c r="AG96" s="0" t="n">
        <f aca="false">AD96/(K96-AF96)</f>
        <v>8204590.23273713</v>
      </c>
      <c r="AH96" s="0" t="n">
        <f aca="false">AG96*Q96</f>
        <v>4982471.04885489</v>
      </c>
      <c r="AI96" s="0" t="n">
        <f aca="false">(AE96+AH96-Supuestos!$B$7-Supuestos!$B$8)/Supuestos!$B$9</f>
        <v>2263.25164465211</v>
      </c>
      <c r="AJ96" s="0" t="n">
        <f aca="false">AI96/AI$5-1</f>
        <v>0.218891114495815</v>
      </c>
    </row>
    <row r="97" customFormat="false" ht="15" hidden="false" customHeight="false" outlineLevel="0" collapsed="false">
      <c r="A97" s="0" t="n">
        <v>-90</v>
      </c>
      <c r="B97" s="0" t="n">
        <v>-10</v>
      </c>
      <c r="C97" s="0" t="n">
        <v>0.7</v>
      </c>
      <c r="D97" s="0" t="s">
        <v>117</v>
      </c>
      <c r="E97" s="0" t="n">
        <f aca="false">(1-Supuestos!C$28)*((1+((1+Supuestos!C$26)/(1+Supuestos!$B$4)-1+Supuestos!$B$14*$A97/10000))*(1+Supuestos!$B$4+$B97/10000)-1)+Supuestos!C$28*((1+Supuestos!C$27+$A97/10000)*(1+Supuestos!$B$4+$B97/10000)-1)*(1-Supuestos!$B$6)</f>
        <v>0.0955092338186956</v>
      </c>
      <c r="F97" s="0" t="n">
        <f aca="false">(1-Supuestos!D$28)*((1+((1+Supuestos!D$26)/(1+Supuestos!$B$4)-1+Supuestos!$B$14*$A97/10000))*(1+Supuestos!$B$4+$B97/10000)-1)+Supuestos!D$28*((1+Supuestos!D$27+$A97/10000)*(1+Supuestos!$B$4+$B97/10000)-1)*(1-Supuestos!$B$6)</f>
        <v>0.0952603127181205</v>
      </c>
      <c r="G97" s="0" t="n">
        <f aca="false">(1-Supuestos!E$28)*((1+((1+Supuestos!E$26)/(1+Supuestos!$B$4)-1+Supuestos!$B$14*$A97/10000))*(1+Supuestos!$B$4+$B97/10000)-1)+Supuestos!E$28*((1+Supuestos!E$27+$A97/10000)*(1+Supuestos!$B$4+$B97/10000)-1)*(1-Supuestos!$B$6)</f>
        <v>0.0950274064091717</v>
      </c>
      <c r="H97" s="0" t="n">
        <f aca="false">(1-Supuestos!F$28)*((1+((1+Supuestos!F$26)/(1+Supuestos!$B$4)-1+Supuestos!$B$14*$A97/10000))*(1+Supuestos!$B$4+$B97/10000)-1)+Supuestos!F$28*((1+Supuestos!F$27+$A97/10000)*(1+Supuestos!$B$4+$B97/10000)-1)*(1-Supuestos!$B$6)</f>
        <v>0.0948099196997009</v>
      </c>
      <c r="I97" s="0" t="n">
        <f aca="false">(1-Supuestos!G$28)*((1+((1+Supuestos!G$26)/(1+Supuestos!$B$4)-1+Supuestos!$B$14*$A97/10000))*(1+Supuestos!$B$4+$B97/10000)-1)+Supuestos!G$28*((1+Supuestos!G$27+$A97/10000)*(1+Supuestos!$B$4+$B97/10000)-1)*(1-Supuestos!$B$6)</f>
        <v>0.0946072865305218</v>
      </c>
      <c r="J97" s="0" t="n">
        <f aca="false">(1-Supuestos!H$28)*((1+((1+Supuestos!H$26)/(1+Supuestos!$B$4)-1+Supuestos!$B$14*$A97/10000))*(1+Supuestos!$B$4+$B97/10000)-1)+Supuestos!H$28*((1+Supuestos!H$27+$A97/10000)*(1+Supuestos!$B$4+$B97/10000)-1)*(1-Supuestos!$B$6)</f>
        <v>0.0944189682144916</v>
      </c>
      <c r="K97" s="0" t="n">
        <f aca="false">(1-Supuestos!I$28)*((1+((1+Supuestos!I$26)/(1+Supuestos!$B$4)-1+Supuestos!$B$14*$A97/10000))*(1+Supuestos!$B$4+$B97/10000)-1)+Supuestos!I$28*((1+Supuestos!I$27+$A97/10000)*(1+Supuestos!$B$4+$B97/10000)-1)*(1-Supuestos!$B$6)</f>
        <v>0.0944189682144916</v>
      </c>
      <c r="L97" s="0" t="n">
        <f aca="false">(1+E97)^-Supuestos!C$24</f>
        <v>0.955414831349348</v>
      </c>
      <c r="M97" s="0" t="n">
        <f aca="false">L97*(1+F97)^-Supuestos!D$24</f>
        <v>0.872317585376835</v>
      </c>
      <c r="N97" s="0" t="n">
        <f aca="false">M97*(1+G97)^-Supuestos!E$24</f>
        <v>0.796617125992628</v>
      </c>
      <c r="O97" s="0" t="n">
        <f aca="false">N97*(1+H97)^-Supuestos!F$24</f>
        <v>0.72763053353694</v>
      </c>
      <c r="P97" s="0" t="n">
        <f aca="false">O97*(1+I97)^-Supuestos!G$24</f>
        <v>0.664741174748841</v>
      </c>
      <c r="Q97" s="0" t="n">
        <f aca="false">P97*(1+J97)^-Supuestos!H$24</f>
        <v>0.607391861850991</v>
      </c>
      <c r="R97" s="0" t="n">
        <f aca="false">(1+E97)^-(Supuestos!C$24/2)</f>
        <v>0.97745323742333</v>
      </c>
      <c r="S97" s="0" t="n">
        <f aca="false">L97*(1+F97)^-(Supuestos!D$24/2)</f>
        <v>0.912921222623223</v>
      </c>
      <c r="T97" s="0" t="n">
        <f aca="false">M97*(1+G97)^-(Supuestos!E$24/2)</f>
        <v>0.833608497926768</v>
      </c>
      <c r="U97" s="0" t="n">
        <f aca="false">N97*(1+H97)^-(Supuestos!F$24/2)</f>
        <v>0.761342856018679</v>
      </c>
      <c r="V97" s="0" t="n">
        <f aca="false">O97*(1+I97)^-(Supuestos!G$24/2)</f>
        <v>0.695475359481895</v>
      </c>
      <c r="W97" s="0" t="n">
        <f aca="false">P97*(1+J97)^-(Supuestos!H$24/2)</f>
        <v>0.63541984528319</v>
      </c>
      <c r="X97" s="0" t="n">
        <f aca="false">Supuestos!C$23*(1-$C97+$C97*((1+Supuestos!$B$4+$B97/10000)/(1+Supuestos!$B$4))^Supuestos!C$25)</f>
        <v>113406.437388522</v>
      </c>
      <c r="Y97" s="0" t="n">
        <f aca="false">Supuestos!D$23*(1-$C97+$C97*((1+Supuestos!$B$4+$B97/10000)/(1+Supuestos!$B$4))^Supuestos!D$25)</f>
        <v>199304.900220417</v>
      </c>
      <c r="Z97" s="0" t="n">
        <f aca="false">Supuestos!E$23*(1-$C97+$C97*((1+Supuestos!$B$4+$B97/10000)/(1+Supuestos!$B$4))^Supuestos!E$25)</f>
        <v>259334.917005793</v>
      </c>
      <c r="AA97" s="0" t="n">
        <f aca="false">Supuestos!F$23*(1-$C97+$C97*((1+Supuestos!$B$4+$B97/10000)/(1+Supuestos!$B$4))^Supuestos!F$25)</f>
        <v>374556.141831443</v>
      </c>
      <c r="AB97" s="0" t="n">
        <f aca="false">Supuestos!G$23*(1-$C97+$C97*((1+Supuestos!$B$4+$B97/10000)/(1+Supuestos!$B$4))^Supuestos!G$25)</f>
        <v>376044.671362941</v>
      </c>
      <c r="AC97" s="0" t="n">
        <f aca="false">Supuestos!H$23*(1-$C97+$C97*((1+Supuestos!$B$4+$B97/10000)/(1+Supuestos!$B$4))^Supuestos!H$25)</f>
        <v>397363.273246995</v>
      </c>
      <c r="AD97" s="0" t="n">
        <f aca="false">Supuestos!I$23*(1-$C97+$C97*((1+Supuestos!$B$4+$B97/10000)/(1+Supuestos!$B$4))^Supuestos!I$25)</f>
        <v>526684.123373936</v>
      </c>
      <c r="AE97" s="0" t="n">
        <f aca="false">SUMPRODUCT(X97:AC97,R97:W97)</f>
        <v>1308170.90854575</v>
      </c>
      <c r="AF97" s="0" t="n">
        <f aca="false">(1+Supuestos!$B$5)/(1+Supuestos!$B$4)*(1+Supuestos!$B$4+$B97/10000)-1</f>
        <v>0.0290000000000001</v>
      </c>
      <c r="AG97" s="0" t="n">
        <f aca="false">AD97/(K97-AF97)</f>
        <v>8050939.0127811</v>
      </c>
      <c r="AH97" s="0" t="n">
        <f aca="false">AG97*Q97</f>
        <v>4890074.83662189</v>
      </c>
      <c r="AI97" s="0" t="n">
        <f aca="false">(AE97+AH97-Supuestos!$B$7-Supuestos!$B$8)/Supuestos!$B$9</f>
        <v>2219.93823980258</v>
      </c>
      <c r="AJ97" s="0" t="n">
        <f aca="false">AI97/AI$5-1</f>
        <v>0.195564356097383</v>
      </c>
    </row>
    <row r="98" customFormat="false" ht="15" hidden="false" customHeight="false" outlineLevel="0" collapsed="false">
      <c r="A98" s="0" t="n">
        <v>-80</v>
      </c>
      <c r="B98" s="0" t="n">
        <v>-20</v>
      </c>
      <c r="C98" s="0" t="n">
        <v>0.7</v>
      </c>
      <c r="D98" s="0" t="s">
        <v>117</v>
      </c>
      <c r="E98" s="0" t="n">
        <f aca="false">(1-Supuestos!C$28)*((1+((1+Supuestos!C$26)/(1+Supuestos!$B$4)-1+Supuestos!$B$14*$A98/10000))*(1+Supuestos!$B$4+$B98/10000)-1)+Supuestos!C$28*((1+Supuestos!C$27+$A98/10000)*(1+Supuestos!$B$4+$B98/10000)-1)*(1-Supuestos!$B$6)</f>
        <v>0.0954699919185978</v>
      </c>
      <c r="F98" s="0" t="n">
        <f aca="false">(1-Supuestos!D$28)*((1+((1+Supuestos!D$26)/(1+Supuestos!$B$4)-1+Supuestos!$B$14*$A98/10000))*(1+Supuestos!$B$4+$B98/10000)-1)+Supuestos!D$28*((1+Supuestos!D$27+$A98/10000)*(1+Supuestos!$B$4+$B98/10000)-1)*(1-Supuestos!$B$6)</f>
        <v>0.0952211531439668</v>
      </c>
      <c r="G98" s="0" t="n">
        <f aca="false">(1-Supuestos!E$28)*((1+((1+Supuestos!E$26)/(1+Supuestos!$B$4)-1+Supuestos!$B$14*$A98/10000))*(1+Supuestos!$B$4+$B98/10000)-1)+Supuestos!E$28*((1+Supuestos!E$27+$A98/10000)*(1+Supuestos!$B$4+$B98/10000)-1)*(1-Supuestos!$B$6)</f>
        <v>0.094988317600981</v>
      </c>
      <c r="H98" s="0" t="n">
        <f aca="false">(1-Supuestos!F$28)*((1+((1+Supuestos!F$26)/(1+Supuestos!$B$4)-1+Supuestos!$B$14*$A98/10000))*(1+Supuestos!$B$4+$B98/10000)-1)+Supuestos!F$28*((1+Supuestos!F$27+$A98/10000)*(1+Supuestos!$B$4+$B98/10000)-1)*(1-Supuestos!$B$6)</f>
        <v>0.0947708905271202</v>
      </c>
      <c r="I98" s="0" t="n">
        <f aca="false">(1-Supuestos!G$28)*((1+((1+Supuestos!G$26)/(1+Supuestos!$B$4)-1+Supuestos!$B$14*$A98/10000))*(1+Supuestos!$B$4+$B98/10000)-1)+Supuestos!G$28*((1+Supuestos!G$27+$A98/10000)*(1+Supuestos!$B$4+$B98/10000)-1)*(1-Supuestos!$B$6)</f>
        <v>0.0945683062717978</v>
      </c>
      <c r="J98" s="0" t="n">
        <f aca="false">(1-Supuestos!H$28)*((1+((1+Supuestos!H$26)/(1+Supuestos!$B$4)-1+Supuestos!$B$14*$A98/10000))*(1+Supuestos!$B$4+$B98/10000)-1)+Supuestos!H$28*((1+Supuestos!H$27+$A98/10000)*(1+Supuestos!$B$4+$B98/10000)-1)*(1-Supuestos!$B$6)</f>
        <v>0.0943800265367123</v>
      </c>
      <c r="K98" s="0" t="n">
        <f aca="false">(1-Supuestos!I$28)*((1+((1+Supuestos!I$26)/(1+Supuestos!$B$4)-1+Supuestos!$B$14*$A98/10000))*(1+Supuestos!$B$4+$B98/10000)-1)+Supuestos!I$28*((1+Supuestos!I$27+$A98/10000)*(1+Supuestos!$B$4+$B98/10000)-1)*(1-Supuestos!$B$6)</f>
        <v>0.0943800265367123</v>
      </c>
      <c r="L98" s="0" t="n">
        <f aca="false">(1+E98)^-Supuestos!C$24</f>
        <v>0.955431943619828</v>
      </c>
      <c r="M98" s="0" t="n">
        <f aca="false">L98*(1+F98)^-Supuestos!D$24</f>
        <v>0.872364399534416</v>
      </c>
      <c r="N98" s="0" t="n">
        <f aca="false">M98*(1+G98)^-Supuestos!E$24</f>
        <v>0.796688316680571</v>
      </c>
      <c r="O98" s="0" t="n">
        <f aca="false">N98*(1+H98)^-Supuestos!F$24</f>
        <v>0.72772150189066</v>
      </c>
      <c r="P98" s="0" t="n">
        <f aca="false">O98*(1+I98)^-Supuestos!G$24</f>
        <v>0.664847956697511</v>
      </c>
      <c r="Q98" s="0" t="n">
        <f aca="false">P98*(1+J98)^-Supuestos!H$24</f>
        <v>0.607511047877488</v>
      </c>
      <c r="R98" s="0" t="n">
        <f aca="false">(1+E98)^-(Supuestos!C$24/2)</f>
        <v>0.977461990882422</v>
      </c>
      <c r="S98" s="0" t="n">
        <f aca="false">L98*(1+F98)^-(Supuestos!D$24/2)</f>
        <v>0.912953894669337</v>
      </c>
      <c r="T98" s="0" t="n">
        <f aca="false">M98*(1+G98)^-(Supuestos!E$24/2)</f>
        <v>0.833668114417921</v>
      </c>
      <c r="U98" s="0" t="n">
        <f aca="false">N98*(1+H98)^-(Supuestos!F$24/2)</f>
        <v>0.761424466610791</v>
      </c>
      <c r="V98" s="0" t="n">
        <f aca="false">O98*(1+I98)^-(Supuestos!G$24/2)</f>
        <v>0.695574693025019</v>
      </c>
      <c r="W98" s="0" t="n">
        <f aca="false">P98*(1+J98)^-(Supuestos!H$24/2)</f>
        <v>0.635533224035149</v>
      </c>
      <c r="X98" s="0" t="n">
        <f aca="false">Supuestos!C$23*(1-$C98+$C98*((1+Supuestos!$B$4+$B98/10000)/(1+Supuestos!$B$4))^Supuestos!C$25)</f>
        <v>113387.144952377</v>
      </c>
      <c r="Y98" s="0" t="n">
        <f aca="false">Supuestos!D$23*(1-$C98+$C98*((1+Supuestos!$B$4+$B98/10000)/(1+Supuestos!$B$4))^Supuestos!D$25)</f>
        <v>199169.358172274</v>
      </c>
      <c r="Z98" s="0" t="n">
        <f aca="false">Supuestos!E$23*(1-$C98+$C98*((1+Supuestos!$B$4+$B98/10000)/(1+Supuestos!$B$4))^Supuestos!E$25)</f>
        <v>258982.457446023</v>
      </c>
      <c r="AA98" s="0" t="n">
        <f aca="false">Supuestos!F$23*(1-$C98+$C98*((1+Supuestos!$B$4+$B98/10000)/(1+Supuestos!$B$4))^Supuestos!F$25)</f>
        <v>373793.152145433</v>
      </c>
      <c r="AB98" s="0" t="n">
        <f aca="false">Supuestos!G$23*(1-$C98+$C98*((1+Supuestos!$B$4+$B98/10000)/(1+Supuestos!$B$4))^Supuestos!G$25)</f>
        <v>375024.103112727</v>
      </c>
      <c r="AC98" s="0" t="n">
        <f aca="false">Supuestos!H$23*(1-$C98+$C98*((1+Supuestos!$B$4+$B98/10000)/(1+Supuestos!$B$4))^Supuestos!H$25)</f>
        <v>396016.289258975</v>
      </c>
      <c r="AD98" s="0" t="n">
        <f aca="false">Supuestos!I$23*(1-$C98+$C98*((1+Supuestos!$B$4+$B98/10000)/(1+Supuestos!$B$4))^Supuestos!I$25)</f>
        <v>524543.362241749</v>
      </c>
      <c r="AE98" s="0" t="n">
        <f aca="false">SUMPRODUCT(X98:AC98,R98:W98)</f>
        <v>1305723.51863205</v>
      </c>
      <c r="AF98" s="0" t="n">
        <f aca="false">(1+Supuestos!$B$5)/(1+Supuestos!$B$4)*(1+Supuestos!$B$4+$B98/10000)-1</f>
        <v>0.028</v>
      </c>
      <c r="AG98" s="0" t="n">
        <f aca="false">AD98/(K98-AF98)</f>
        <v>7902126.4318363</v>
      </c>
      <c r="AH98" s="0" t="n">
        <f aca="false">AG98*Q98</f>
        <v>4800629.10906526</v>
      </c>
      <c r="AI98" s="0" t="n">
        <f aca="false">(AE98+AH98-Supuestos!$B$7-Supuestos!$B$8)/Supuestos!$B$9</f>
        <v>2177.97791219056</v>
      </c>
      <c r="AJ98" s="0" t="n">
        <f aca="false">AI98/AI$5-1</f>
        <v>0.172966307573491</v>
      </c>
    </row>
    <row r="99" customFormat="false" ht="15" hidden="false" customHeight="false" outlineLevel="0" collapsed="false">
      <c r="A99" s="0" t="n">
        <v>-70</v>
      </c>
      <c r="B99" s="0" t="n">
        <v>-30</v>
      </c>
      <c r="C99" s="0" t="n">
        <v>0.7</v>
      </c>
      <c r="D99" s="0" t="s">
        <v>117</v>
      </c>
      <c r="E99" s="0" t="n">
        <f aca="false">(1-Supuestos!C$28)*((1+((1+Supuestos!C$26)/(1+Supuestos!$B$4)-1+Supuestos!$B$14*$A99/10000))*(1+Supuestos!$B$4+$B99/10000)-1)+Supuestos!C$28*((1+Supuestos!C$27+$A99/10000)*(1+Supuestos!$B$4+$B99/10000)-1)*(1-Supuestos!$B$6)</f>
        <v>0.0954288428255777</v>
      </c>
      <c r="F99" s="0" t="n">
        <f aca="false">(1-Supuestos!D$28)*((1+((1+Supuestos!D$26)/(1+Supuestos!$B$4)-1+Supuestos!$B$14*$A99/10000))*(1+Supuestos!$B$4+$B99/10000)-1)+Supuestos!D$28*((1+Supuestos!D$27+$A99/10000)*(1+Supuestos!$B$4+$B99/10000)-1)*(1-Supuestos!$B$6)</f>
        <v>0.0951800920576392</v>
      </c>
      <c r="G99" s="0" t="n">
        <f aca="false">(1-Supuestos!E$28)*((1+((1+Supuestos!E$26)/(1+Supuestos!$B$4)-1+Supuestos!$B$14*$A99/10000))*(1+Supuestos!$B$4+$B99/10000)-1)+Supuestos!E$28*((1+Supuestos!E$27+$A99/10000)*(1+Supuestos!$B$4+$B99/10000)-1)*(1-Supuestos!$B$6)</f>
        <v>0.094947332818848</v>
      </c>
      <c r="H99" s="0" t="n">
        <f aca="false">(1-Supuestos!F$28)*((1+((1+Supuestos!F$26)/(1+Supuestos!$B$4)-1+Supuestos!$B$14*$A99/10000))*(1+Supuestos!$B$4+$B99/10000)-1)+Supuestos!F$28*((1+Supuestos!F$27+$A99/10000)*(1+Supuestos!$B$4+$B99/10000)-1)*(1-Supuestos!$B$6)</f>
        <v>0.09472997078161</v>
      </c>
      <c r="I99" s="0" t="n">
        <f aca="false">(1-Supuestos!G$28)*((1+((1+Supuestos!G$26)/(1+Supuestos!$B$4)-1+Supuestos!$B$14*$A99/10000))*(1+Supuestos!$B$4+$B99/10000)-1)+Supuestos!G$28*((1+Supuestos!G$27+$A99/10000)*(1+Supuestos!$B$4+$B99/10000)-1)*(1-Supuestos!$B$6)</f>
        <v>0.0945274407089747</v>
      </c>
      <c r="J99" s="0" t="n">
        <f aca="false">(1-Supuestos!H$28)*((1+((1+Supuestos!H$26)/(1+Supuestos!$B$4)-1+Supuestos!$B$14*$A99/10000))*(1+Supuestos!$B$4+$B99/10000)-1)+Supuestos!H$28*((1+Supuestos!H$27+$A99/10000)*(1+Supuestos!$B$4+$B99/10000)-1)*(1-Supuestos!$B$6)</f>
        <v>0.0943392046962756</v>
      </c>
      <c r="K99" s="0" t="n">
        <f aca="false">(1-Supuestos!I$28)*((1+((1+Supuestos!I$26)/(1+Supuestos!$B$4)-1+Supuestos!$B$14*$A99/10000))*(1+Supuestos!$B$4+$B99/10000)-1)+Supuestos!I$28*((1+Supuestos!I$27+$A99/10000)*(1+Supuestos!$B$4+$B99/10000)-1)*(1-Supuestos!$B$6)</f>
        <v>0.0943392046962756</v>
      </c>
      <c r="L99" s="0" t="n">
        <f aca="false">(1+E99)^-Supuestos!C$24</f>
        <v>0.955449888550242</v>
      </c>
      <c r="M99" s="0" t="n">
        <f aca="false">L99*(1+F99)^-Supuestos!D$24</f>
        <v>0.872413492063328</v>
      </c>
      <c r="N99" s="0" t="n">
        <f aca="false">M99*(1+G99)^-Supuestos!E$24</f>
        <v>0.79676297289786</v>
      </c>
      <c r="O99" s="0" t="n">
        <f aca="false">N99*(1+H99)^-Supuestos!F$24</f>
        <v>0.727816899293432</v>
      </c>
      <c r="P99" s="0" t="n">
        <f aca="false">O99*(1+I99)^-Supuestos!G$24</f>
        <v>0.664959938164722</v>
      </c>
      <c r="Q99" s="0" t="n">
        <f aca="false">P99*(1+J99)^-Supuestos!H$24</f>
        <v>0.60763603762992</v>
      </c>
      <c r="R99" s="0" t="n">
        <f aca="false">(1+E99)^-(Supuestos!C$24/2)</f>
        <v>0.97747117018879</v>
      </c>
      <c r="S99" s="0" t="n">
        <f aca="false">L99*(1+F99)^-(Supuestos!D$24/2)</f>
        <v>0.912988156419148</v>
      </c>
      <c r="T99" s="0" t="n">
        <f aca="false">M99*(1+G99)^-(Supuestos!E$24/2)</f>
        <v>0.833730632478249</v>
      </c>
      <c r="U99" s="0" t="n">
        <f aca="false">N99*(1+H99)^-(Supuestos!F$24/2)</f>
        <v>0.761510050101991</v>
      </c>
      <c r="V99" s="0" t="n">
        <f aca="false">O99*(1+I99)^-(Supuestos!G$24/2)</f>
        <v>0.695678862945684</v>
      </c>
      <c r="W99" s="0" t="n">
        <f aca="false">P99*(1+J99)^-(Supuestos!H$24/2)</f>
        <v>0.635652123420545</v>
      </c>
      <c r="X99" s="0" t="n">
        <f aca="false">Supuestos!C$23*(1-$C99+$C99*((1+Supuestos!$B$4+$B99/10000)/(1+Supuestos!$B$4))^Supuestos!C$25)</f>
        <v>113367.838435872</v>
      </c>
      <c r="Y99" s="0" t="n">
        <f aca="false">Supuestos!D$23*(1-$C99+$C99*((1+Supuestos!$B$4+$B99/10000)/(1+Supuestos!$B$4))^Supuestos!D$25)</f>
        <v>199033.81612413</v>
      </c>
      <c r="Z99" s="0" t="n">
        <f aca="false">Supuestos!E$23*(1-$C99+$C99*((1+Supuestos!$B$4+$B99/10000)/(1+Supuestos!$B$4))^Supuestos!E$25)</f>
        <v>258630.340579068</v>
      </c>
      <c r="AA99" s="0" t="n">
        <f aca="false">Supuestos!F$23*(1-$C99+$C99*((1+Supuestos!$B$4+$B99/10000)/(1+Supuestos!$B$4))^Supuestos!F$25)</f>
        <v>373031.645432107</v>
      </c>
      <c r="AB99" s="0" t="n">
        <f aca="false">Supuestos!G$23*(1-$C99+$C99*((1+Supuestos!$B$4+$B99/10000)/(1+Supuestos!$B$4))^Supuestos!G$25)</f>
        <v>374006.508832732</v>
      </c>
      <c r="AC99" s="0" t="n">
        <f aca="false">Supuestos!H$23*(1-$C99+$C99*((1+Supuestos!$B$4+$B99/10000)/(1+Supuestos!$B$4))^Supuestos!H$25)</f>
        <v>394674.536269325</v>
      </c>
      <c r="AD99" s="0" t="n">
        <f aca="false">Supuestos!I$23*(1-$C99+$C99*((1+Supuestos!$B$4+$B99/10000)/(1+Supuestos!$B$4))^Supuestos!I$25)</f>
        <v>522412.988088781</v>
      </c>
      <c r="AE99" s="0" t="n">
        <f aca="false">SUMPRODUCT(X99:AC99,R99:W99)</f>
        <v>1303288.82481626</v>
      </c>
      <c r="AF99" s="0" t="n">
        <f aca="false">(1+Supuestos!$B$5)/(1+Supuestos!$B$4)*(1+Supuestos!$B$4+$B99/10000)-1</f>
        <v>0.0270000000000001</v>
      </c>
      <c r="AG99" s="0" t="n">
        <f aca="false">AD99/(K99-AF99)</f>
        <v>7757932.25425003</v>
      </c>
      <c r="AH99" s="0" t="n">
        <f aca="false">AG99*Q99</f>
        <v>4713999.21517384</v>
      </c>
      <c r="AI99" s="0" t="n">
        <f aca="false">(AE99+AH99-Supuestos!$B$7-Supuestos!$B$8)/Supuestos!$B$9</f>
        <v>2137.30915068041</v>
      </c>
      <c r="AJ99" s="0" t="n">
        <f aca="false">AI99/AI$5-1</f>
        <v>0.15106384164161</v>
      </c>
    </row>
    <row r="100" customFormat="false" ht="15" hidden="false" customHeight="false" outlineLevel="0" collapsed="false">
      <c r="A100" s="0" t="n">
        <v>-60</v>
      </c>
      <c r="B100" s="0" t="n">
        <v>-40</v>
      </c>
      <c r="C100" s="0" t="n">
        <v>0.7</v>
      </c>
      <c r="D100" s="0" t="s">
        <v>117</v>
      </c>
      <c r="E100" s="0" t="n">
        <f aca="false">(1-Supuestos!C$28)*((1+((1+Supuestos!C$26)/(1+Supuestos!$B$4)-1+Supuestos!$B$14*$A100/10000))*(1+Supuestos!$B$4+$B100/10000)-1)+Supuestos!C$28*((1+Supuestos!C$27+$A100/10000)*(1+Supuestos!$B$4+$B100/10000)-1)*(1-Supuestos!$B$6)</f>
        <v>0.0953857865396349</v>
      </c>
      <c r="F100" s="0" t="n">
        <f aca="false">(1-Supuestos!D$28)*((1+((1+Supuestos!D$26)/(1+Supuestos!$B$4)-1+Supuestos!$B$14*$A100/10000))*(1+Supuestos!$B$4+$B100/10000)-1)+Supuestos!D$28*((1+Supuestos!D$27+$A100/10000)*(1+Supuestos!$B$4+$B100/10000)-1)*(1-Supuestos!$B$6)</f>
        <v>0.0951371294591367</v>
      </c>
      <c r="G100" s="0" t="n">
        <f aca="false">(1-Supuestos!E$28)*((1+((1+Supuestos!E$26)/(1+Supuestos!$B$4)-1+Supuestos!$B$14*$A100/10000))*(1+Supuestos!$B$4+$B100/10000)-1)+Supuestos!E$28*((1+Supuestos!E$27+$A100/10000)*(1+Supuestos!$B$4+$B100/10000)-1)*(1-Supuestos!$B$6)</f>
        <v>0.0949044520627725</v>
      </c>
      <c r="H100" s="0" t="n">
        <f aca="false">(1-Supuestos!F$28)*((1+((1+Supuestos!F$26)/(1+Supuestos!$B$4)-1+Supuestos!$B$14*$A100/10000))*(1+Supuestos!$B$4+$B100/10000)-1)+Supuestos!F$28*((1+Supuestos!F$27+$A100/10000)*(1+Supuestos!$B$4+$B100/10000)-1)*(1-Supuestos!$B$6)</f>
        <v>0.0946871604631696</v>
      </c>
      <c r="I100" s="0" t="n">
        <f aca="false">(1-Supuestos!G$28)*((1+((1+Supuestos!G$26)/(1+Supuestos!$B$4)-1+Supuestos!$B$14*$A100/10000))*(1+Supuestos!$B$4+$B100/10000)-1)+Supuestos!G$28*((1+Supuestos!G$27+$A100/10000)*(1+Supuestos!$B$4+$B100/10000)-1)*(1-Supuestos!$B$6)</f>
        <v>0.0944846898420516</v>
      </c>
      <c r="J100" s="0" t="n">
        <f aca="false">(1-Supuestos!H$28)*((1+((1+Supuestos!H$26)/(1+Supuestos!$B$4)-1+Supuestos!$B$14*$A100/10000))*(1+Supuestos!$B$4+$B100/10000)-1)+Supuestos!H$28*((1+Supuestos!H$27+$A100/10000)*(1+Supuestos!$B$4+$B100/10000)-1)*(1-Supuestos!$B$6)</f>
        <v>0.0942965026931813</v>
      </c>
      <c r="K100" s="0" t="n">
        <f aca="false">(1-Supuestos!I$28)*((1+((1+Supuestos!I$26)/(1+Supuestos!$B$4)-1+Supuestos!$B$14*$A100/10000))*(1+Supuestos!$B$4+$B100/10000)-1)+Supuestos!I$28*((1+Supuestos!I$27+$A100/10000)*(1+Supuestos!$B$4+$B100/10000)-1)*(1-Supuestos!$B$6)</f>
        <v>0.0942965026931813</v>
      </c>
      <c r="L100" s="0" t="n">
        <f aca="false">(1+E100)^-Supuestos!C$24</f>
        <v>0.955468666281278</v>
      </c>
      <c r="M100" s="0" t="n">
        <f aca="false">L100*(1+F100)^-Supuestos!D$24</f>
        <v>0.872464863604033</v>
      </c>
      <c r="N100" s="0" t="n">
        <f aca="false">M100*(1+G100)^-Supuestos!E$24</f>
        <v>0.796841096006442</v>
      </c>
      <c r="O100" s="0" t="n">
        <f aca="false">N100*(1+H100)^-Supuestos!F$24</f>
        <v>0.727916727980342</v>
      </c>
      <c r="P100" s="0" t="n">
        <f aca="false">O100*(1+I100)^-Supuestos!G$24</f>
        <v>0.665077122353708</v>
      </c>
      <c r="Q100" s="0" t="n">
        <f aca="false">P100*(1+J100)^-Supuestos!H$24</f>
        <v>0.607766835329256</v>
      </c>
      <c r="R100" s="0" t="n">
        <f aca="false">(1+E100)^-(Supuestos!C$24/2)</f>
        <v>0.9774807754024</v>
      </c>
      <c r="S100" s="0" t="n">
        <f aca="false">L100*(1+F100)^-(Supuestos!D$24/2)</f>
        <v>0.913024008230354</v>
      </c>
      <c r="T100" s="0" t="n">
        <f aca="false">M100*(1+G100)^-(Supuestos!E$24/2)</f>
        <v>0.833796053085734</v>
      </c>
      <c r="U100" s="0" t="n">
        <f aca="false">N100*(1+H100)^-(Supuestos!F$24/2)</f>
        <v>0.761599608275424</v>
      </c>
      <c r="V100" s="0" t="n">
        <f aca="false">O100*(1+I100)^-(Supuestos!G$24/2)</f>
        <v>0.695787871954012</v>
      </c>
      <c r="W100" s="0" t="n">
        <f aca="false">P100*(1+J100)^-(Supuestos!H$24/2)</f>
        <v>0.635776547147503</v>
      </c>
      <c r="X100" s="0" t="n">
        <f aca="false">Supuestos!C$23*(1-$C100+$C100*((1+Supuestos!$B$4+$B100/10000)/(1+Supuestos!$B$4))^Supuestos!C$25)</f>
        <v>113348.517815005</v>
      </c>
      <c r="Y100" s="0" t="n">
        <f aca="false">Supuestos!D$23*(1-$C100+$C100*((1+Supuestos!$B$4+$B100/10000)/(1+Supuestos!$B$4))^Supuestos!D$25)</f>
        <v>198898.274075986</v>
      </c>
      <c r="Z100" s="0" t="n">
        <f aca="false">Supuestos!E$23*(1-$C100+$C100*((1+Supuestos!$B$4+$B100/10000)/(1+Supuestos!$B$4))^Supuestos!E$25)</f>
        <v>258278.566404927</v>
      </c>
      <c r="AA100" s="0" t="n">
        <f aca="false">Supuestos!F$23*(1-$C100+$C100*((1+Supuestos!$B$4+$B100/10000)/(1+Supuestos!$B$4))^Supuestos!F$25)</f>
        <v>372271.620248883</v>
      </c>
      <c r="AB100" s="0" t="n">
        <f aca="false">Supuestos!G$23*(1-$C100+$C100*((1+Supuestos!$B$4+$B100/10000)/(1+Supuestos!$B$4))^Supuestos!G$25)</f>
        <v>372991.882739836</v>
      </c>
      <c r="AC100" s="0" t="n">
        <f aca="false">Supuestos!H$23*(1-$C100+$C100*((1+Supuestos!$B$4+$B100/10000)/(1+Supuestos!$B$4))^Supuestos!H$25)</f>
        <v>393337.999027332</v>
      </c>
      <c r="AD100" s="0" t="n">
        <f aca="false">Supuestos!I$23*(1-$C100+$C100*((1+Supuestos!$B$4+$B100/10000)/(1+Supuestos!$B$4))^Supuestos!I$25)</f>
        <v>520292.960557724</v>
      </c>
      <c r="AE100" s="0" t="n">
        <f aca="false">SUMPRODUCT(X100:AC100,R100:W100)</f>
        <v>1300866.76916133</v>
      </c>
      <c r="AF100" s="0" t="n">
        <f aca="false">(1+Supuestos!$B$5)/(1+Supuestos!$B$4)*(1+Supuestos!$B$4+$B100/10000)-1</f>
        <v>0.026</v>
      </c>
      <c r="AG100" s="0" t="n">
        <f aca="false">AD100/(K100-AF100)</f>
        <v>7618149.39331689</v>
      </c>
      <c r="AH100" s="0" t="n">
        <f aca="false">AG100*Q100</f>
        <v>4630058.5478417</v>
      </c>
      <c r="AI100" s="0" t="n">
        <f aca="false">(AE100+AH100-Supuestos!$B$7-Supuestos!$B$8)/Supuestos!$B$9</f>
        <v>2097.87411735298</v>
      </c>
      <c r="AJ100" s="0" t="n">
        <f aca="false">AI100/AI$5-1</f>
        <v>0.12982580925744</v>
      </c>
    </row>
    <row r="101" customFormat="false" ht="15" hidden="false" customHeight="false" outlineLevel="0" collapsed="false">
      <c r="A101" s="0" t="n">
        <v>-50</v>
      </c>
      <c r="B101" s="0" t="n">
        <v>-50</v>
      </c>
      <c r="C101" s="0" t="n">
        <v>0.7</v>
      </c>
      <c r="D101" s="0" t="s">
        <v>117</v>
      </c>
      <c r="E101" s="0" t="n">
        <f aca="false">(1-Supuestos!C$28)*((1+((1+Supuestos!C$26)/(1+Supuestos!$B$4)-1+Supuestos!$B$14*$A101/10000))*(1+Supuestos!$B$4+$B101/10000)-1)+Supuestos!C$28*((1+Supuestos!C$27+$A101/10000)*(1+Supuestos!$B$4+$B101/10000)-1)*(1-Supuestos!$B$6)</f>
        <v>0.0953408230607697</v>
      </c>
      <c r="F101" s="0" t="n">
        <f aca="false">(1-Supuestos!D$28)*((1+((1+Supuestos!D$26)/(1+Supuestos!$B$4)-1+Supuestos!$B$14*$A101/10000))*(1+Supuestos!$B$4+$B101/10000)-1)+Supuestos!D$28*((1+Supuestos!D$27+$A101/10000)*(1+Supuestos!$B$4+$B101/10000)-1)*(1-Supuestos!$B$6)</f>
        <v>0.0950922653484599</v>
      </c>
      <c r="G101" s="0" t="n">
        <f aca="false">(1-Supuestos!E$28)*((1+((1+Supuestos!E$26)/(1+Supuestos!$B$4)-1+Supuestos!$B$14*$A101/10000))*(1+Supuestos!$B$4+$B101/10000)-1)+Supuestos!E$28*((1+Supuestos!E$27+$A101/10000)*(1+Supuestos!$B$4+$B101/10000)-1)*(1-Supuestos!$B$6)</f>
        <v>0.0948596753327548</v>
      </c>
      <c r="H101" s="0" t="n">
        <f aca="false">(1-Supuestos!F$28)*((1+((1+Supuestos!F$26)/(1+Supuestos!$B$4)-1+Supuestos!$B$14*$A101/10000))*(1+Supuestos!$B$4+$B101/10000)-1)+Supuestos!F$28*((1+Supuestos!F$27+$A101/10000)*(1+Supuestos!$B$4+$B101/10000)-1)*(1-Supuestos!$B$6)</f>
        <v>0.0946424595717994</v>
      </c>
      <c r="I101" s="0" t="n">
        <f aca="false">(1-Supuestos!G$28)*((1+((1+Supuestos!G$26)/(1+Supuestos!$B$4)-1+Supuestos!$B$14*$A101/10000))*(1+Supuestos!$B$4+$B101/10000)-1)+Supuestos!G$28*((1+Supuestos!G$27+$A101/10000)*(1+Supuestos!$B$4+$B101/10000)-1)*(1-Supuestos!$B$6)</f>
        <v>0.094440053671029</v>
      </c>
      <c r="J101" s="0" t="n">
        <f aca="false">(1-Supuestos!H$28)*((1+((1+Supuestos!H$26)/(1+Supuestos!$B$4)-1+Supuestos!$B$14*$A101/10000))*(1+Supuestos!$B$4+$B101/10000)-1)+Supuestos!H$28*((1+Supuestos!H$27+$A101/10000)*(1+Supuestos!$B$4+$B101/10000)-1)*(1-Supuestos!$B$6)</f>
        <v>0.0942519205274297</v>
      </c>
      <c r="K101" s="0" t="n">
        <f aca="false">(1-Supuestos!I$28)*((1+((1+Supuestos!I$26)/(1+Supuestos!$B$4)-1+Supuestos!$B$14*$A101/10000))*(1+Supuestos!$B$4+$B101/10000)-1)+Supuestos!I$28*((1+Supuestos!I$27+$A101/10000)*(1+Supuestos!$B$4+$B101/10000)-1)*(1-Supuestos!$B$6)</f>
        <v>0.0942519205274297</v>
      </c>
      <c r="L101" s="0" t="n">
        <f aca="false">(1+E101)^-Supuestos!C$24</f>
        <v>0.955488276960164</v>
      </c>
      <c r="M101" s="0" t="n">
        <f aca="false">L101*(1+F101)^-Supuestos!D$24</f>
        <v>0.872518514826809</v>
      </c>
      <c r="N101" s="0" t="n">
        <f aca="false">M101*(1+G101)^-Supuestos!E$24</f>
        <v>0.796922687431729</v>
      </c>
      <c r="O101" s="0" t="n">
        <f aca="false">N101*(1+H101)^-Supuestos!F$24</f>
        <v>0.728020990290718</v>
      </c>
      <c r="P101" s="0" t="n">
        <f aca="false">O101*(1+I101)^-Supuestos!G$24</f>
        <v>0.665199512617207</v>
      </c>
      <c r="Q101" s="0" t="n">
        <f aca="false">P101*(1+J101)^-Supuestos!H$24</f>
        <v>0.607903445393617</v>
      </c>
      <c r="R101" s="0" t="n">
        <f aca="false">(1+E101)^-(Supuestos!C$24/2)</f>
        <v>0.977490806586008</v>
      </c>
      <c r="S101" s="0" t="n">
        <f aca="false">L101*(1+F101)^-(Supuestos!D$24/2)</f>
        <v>0.913061450477299</v>
      </c>
      <c r="T101" s="0" t="n">
        <f aca="false">M101*(1+G101)^-(Supuestos!E$24/2)</f>
        <v>0.833864377263906</v>
      </c>
      <c r="U101" s="0" t="n">
        <f aca="false">N101*(1+H101)^-(Supuestos!F$24/2)</f>
        <v>0.761693142997354</v>
      </c>
      <c r="V101" s="0" t="n">
        <f aca="false">O101*(1+I101)^-(Supuestos!G$24/2)</f>
        <v>0.69590172288656</v>
      </c>
      <c r="W101" s="0" t="n">
        <f aca="false">P101*(1+J101)^-(Supuestos!H$24/2)</f>
        <v>0.635906499097277</v>
      </c>
      <c r="X101" s="0" t="n">
        <f aca="false">Supuestos!C$23*(1-$C101+$C101*((1+Supuestos!$B$4+$B101/10000)/(1+Supuestos!$B$4))^Supuestos!C$25)</f>
        <v>113329.183065712</v>
      </c>
      <c r="Y101" s="0" t="n">
        <f aca="false">Supuestos!D$23*(1-$C101+$C101*((1+Supuestos!$B$4+$B101/10000)/(1+Supuestos!$B$4))^Supuestos!D$25)</f>
        <v>198762.732027843</v>
      </c>
      <c r="Z101" s="0" t="n">
        <f aca="false">Supuestos!E$23*(1-$C101+$C101*((1+Supuestos!$B$4+$B101/10000)/(1+Supuestos!$B$4))^Supuestos!E$25)</f>
        <v>257927.1349236</v>
      </c>
      <c r="AA101" s="0" t="n">
        <f aca="false">Supuestos!F$23*(1-$C101+$C101*((1+Supuestos!$B$4+$B101/10000)/(1+Supuestos!$B$4))^Supuestos!F$25)</f>
        <v>371513.075153182</v>
      </c>
      <c r="AB101" s="0" t="n">
        <f aca="false">Supuestos!G$23*(1-$C101+$C101*((1+Supuestos!$B$4+$B101/10000)/(1+Supuestos!$B$4))^Supuestos!G$25)</f>
        <v>371980.219056548</v>
      </c>
      <c r="AC101" s="0" t="n">
        <f aca="false">Supuestos!H$23*(1-$C101+$C101*((1+Supuestos!$B$4+$B101/10000)/(1+Supuestos!$B$4))^Supuestos!H$25)</f>
        <v>392006.662311959</v>
      </c>
      <c r="AD101" s="0" t="n">
        <f aca="false">Supuestos!I$23*(1-$C101+$C101*((1+Supuestos!$B$4+$B101/10000)/(1+Supuestos!$B$4))^Supuestos!I$25)</f>
        <v>518183.239408987</v>
      </c>
      <c r="AE101" s="0" t="n">
        <f aca="false">SUMPRODUCT(X101:AC101,R101:W101)</f>
        <v>1298457.29416616</v>
      </c>
      <c r="AF101" s="0" t="n">
        <f aca="false">(1+Supuestos!$B$5)/(1+Supuestos!$B$4)*(1+Supuestos!$B$4+$B101/10000)-1</f>
        <v>0.0250000000000001</v>
      </c>
      <c r="AG101" s="0" t="n">
        <f aca="false">AD101/(K101-AF101)</f>
        <v>7482582.94445052</v>
      </c>
      <c r="AH101" s="0" t="n">
        <f aca="false">AG101*Q101</f>
        <v>4548687.95237498</v>
      </c>
      <c r="AI101" s="0" t="n">
        <f aca="false">(AE101+AH101-Supuestos!$B$7-Supuestos!$B$8)/Supuestos!$B$9</f>
        <v>2059.61837741605</v>
      </c>
      <c r="AJ101" s="0" t="n">
        <f aca="false">AI101/AI$5-1</f>
        <v>0.109222894156163</v>
      </c>
    </row>
    <row r="102" customFormat="false" ht="15" hidden="false" customHeight="false" outlineLevel="0" collapsed="false">
      <c r="A102" s="0" t="n">
        <v>-40</v>
      </c>
      <c r="B102" s="0" t="n">
        <v>-60</v>
      </c>
      <c r="C102" s="0" t="n">
        <v>0.7</v>
      </c>
      <c r="D102" s="0" t="s">
        <v>117</v>
      </c>
      <c r="E102" s="0" t="n">
        <f aca="false">(1-Supuestos!C$28)*((1+((1+Supuestos!C$26)/(1+Supuestos!$B$4)-1+Supuestos!$B$14*$A102/10000))*(1+Supuestos!$B$4+$B102/10000)-1)+Supuestos!C$28*((1+Supuestos!C$27+$A102/10000)*(1+Supuestos!$B$4+$B102/10000)-1)*(1-Supuestos!$B$6)</f>
        <v>0.095293952388982</v>
      </c>
      <c r="F102" s="0" t="n">
        <f aca="false">(1-Supuestos!D$28)*((1+((1+Supuestos!D$26)/(1+Supuestos!$B$4)-1+Supuestos!$B$14*$A102/10000))*(1+Supuestos!$B$4+$B102/10000)-1)+Supuestos!D$28*((1+Supuestos!D$27+$A102/10000)*(1+Supuestos!$B$4+$B102/10000)-1)*(1-Supuestos!$B$6)</f>
        <v>0.0950454997256087</v>
      </c>
      <c r="G102" s="0" t="n">
        <f aca="false">(1-Supuestos!E$28)*((1+((1+Supuestos!E$26)/(1+Supuestos!$B$4)-1+Supuestos!$B$14*$A102/10000))*(1+Supuestos!$B$4+$B102/10000)-1)+Supuestos!E$28*((1+Supuestos!E$27+$A102/10000)*(1+Supuestos!$B$4+$B102/10000)-1)*(1-Supuestos!$B$6)</f>
        <v>0.0948130026287943</v>
      </c>
      <c r="H102" s="0" t="n">
        <f aca="false">(1-Supuestos!F$28)*((1+((1+Supuestos!F$26)/(1+Supuestos!$B$4)-1+Supuestos!$B$14*$A102/10000))*(1+Supuestos!$B$4+$B102/10000)-1)+Supuestos!F$28*((1+Supuestos!F$27+$A102/10000)*(1+Supuestos!$B$4+$B102/10000)-1)*(1-Supuestos!$B$6)</f>
        <v>0.0945958681074988</v>
      </c>
      <c r="I102" s="0" t="n">
        <f aca="false">(1-Supuestos!G$28)*((1+((1+Supuestos!G$26)/(1+Supuestos!$B$4)-1+Supuestos!$B$14*$A102/10000))*(1+Supuestos!$B$4+$B102/10000)-1)+Supuestos!G$28*((1+Supuestos!G$27+$A102/10000)*(1+Supuestos!$B$4+$B102/10000)-1)*(1-Supuestos!$B$6)</f>
        <v>0.0943935321959068</v>
      </c>
      <c r="J102" s="0" t="n">
        <f aca="false">(1-Supuestos!H$28)*((1+((1+Supuestos!H$26)/(1+Supuestos!$B$4)-1+Supuestos!$B$14*$A102/10000))*(1+Supuestos!$B$4+$B102/10000)-1)+Supuestos!H$28*((1+Supuestos!H$27+$A102/10000)*(1+Supuestos!$B$4+$B102/10000)-1)*(1-Supuestos!$B$6)</f>
        <v>0.09420545819902</v>
      </c>
      <c r="K102" s="0" t="n">
        <f aca="false">(1-Supuestos!I$28)*((1+((1+Supuestos!I$26)/(1+Supuestos!$B$4)-1+Supuestos!$B$14*$A102/10000))*(1+Supuestos!$B$4+$B102/10000)-1)+Supuestos!I$28*((1+Supuestos!I$27+$A102/10000)*(1+Supuestos!$B$4+$B102/10000)-1)*(1-Supuestos!$B$6)</f>
        <v>0.09420545819902</v>
      </c>
      <c r="L102" s="0" t="n">
        <f aca="false">(1+E102)^-Supuestos!C$24</f>
        <v>0.95550872074068</v>
      </c>
      <c r="M102" s="0" t="n">
        <f aca="false">L102*(1+F102)^-Supuestos!D$24</f>
        <v>0.872574446431775</v>
      </c>
      <c r="N102" s="0" t="n">
        <f aca="false">M102*(1+G102)^-Supuestos!E$24</f>
        <v>0.797007748662654</v>
      </c>
      <c r="O102" s="0" t="n">
        <f aca="false">N102*(1+H102)^-Supuestos!F$24</f>
        <v>0.728129688668239</v>
      </c>
      <c r="P102" s="0" t="n">
        <f aca="false">O102*(1+I102)^-Supuestos!G$24</f>
        <v>0.665327112457657</v>
      </c>
      <c r="Q102" s="0" t="n">
        <f aca="false">P102*(1+J102)^-Supuestos!H$24</f>
        <v>0.60804587243856</v>
      </c>
      <c r="R102" s="0" t="n">
        <f aca="false">(1+E102)^-(Supuestos!C$24/2)</f>
        <v>0.977501263805157</v>
      </c>
      <c r="S102" s="0" t="n">
        <f aca="false">L102*(1+F102)^-(Supuestos!D$24/2)</f>
        <v>0.913100483550979</v>
      </c>
      <c r="T102" s="0" t="n">
        <f aca="false">M102*(1+G102)^-(Supuestos!E$24/2)</f>
        <v>0.833935606081879</v>
      </c>
      <c r="U102" s="0" t="n">
        <f aca="false">N102*(1+H102)^-(Supuestos!F$24/2)</f>
        <v>0.761790656217252</v>
      </c>
      <c r="V102" s="0" t="n">
        <f aca="false">O102*(1+I102)^-(Supuestos!G$24/2)</f>
        <v>0.696020418706472</v>
      </c>
      <c r="W102" s="0" t="n">
        <f aca="false">P102*(1+J102)^-(Supuestos!H$24/2)</f>
        <v>0.636041983324485</v>
      </c>
      <c r="X102" s="0" t="n">
        <f aca="false">Supuestos!C$23*(1-$C102+$C102*((1+Supuestos!$B$4+$B102/10000)/(1+Supuestos!$B$4))^Supuestos!C$25)</f>
        <v>113309.834163861</v>
      </c>
      <c r="Y102" s="0" t="n">
        <f aca="false">Supuestos!D$23*(1-$C102+$C102*((1+Supuestos!$B$4+$B102/10000)/(1+Supuestos!$B$4))^Supuestos!D$25)</f>
        <v>198627.189979699</v>
      </c>
      <c r="Z102" s="0" t="n">
        <f aca="false">Supuestos!E$23*(1-$C102+$C102*((1+Supuestos!$B$4+$B102/10000)/(1+Supuestos!$B$4))^Supuestos!E$25)</f>
        <v>257576.046135088</v>
      </c>
      <c r="AA102" s="0" t="n">
        <f aca="false">Supuestos!F$23*(1-$C102+$C102*((1+Supuestos!$B$4+$B102/10000)/(1+Supuestos!$B$4))^Supuestos!F$25)</f>
        <v>370756.008702423</v>
      </c>
      <c r="AB102" s="0" t="n">
        <f aca="false">Supuestos!G$23*(1-$C102+$C102*((1+Supuestos!$B$4+$B102/10000)/(1+Supuestos!$B$4))^Supuestos!G$25)</f>
        <v>370971.512011005</v>
      </c>
      <c r="AC102" s="0" t="n">
        <f aca="false">Supuestos!H$23*(1-$C102+$C102*((1+Supuestos!$B$4+$B102/10000)/(1+Supuestos!$B$4))^Supuestos!H$25)</f>
        <v>390680.510931809</v>
      </c>
      <c r="AD102" s="0" t="n">
        <f aca="false">Supuestos!I$23*(1-$C102+$C102*((1+Supuestos!$B$4+$B102/10000)/(1+Supuestos!$B$4))^Supuestos!I$25)</f>
        <v>516083.784520467</v>
      </c>
      <c r="AE102" s="0" t="n">
        <f aca="false">SUMPRODUCT(X102:AC102,R102:W102)</f>
        <v>1296060.34276267</v>
      </c>
      <c r="AF102" s="0" t="n">
        <f aca="false">(1+Supuestos!$B$5)/(1+Supuestos!$B$4)*(1+Supuestos!$B$4+$B102/10000)-1</f>
        <v>0.024</v>
      </c>
      <c r="AG102" s="0" t="n">
        <f aca="false">AD102/(K102-AF102)</f>
        <v>7351049.30242692</v>
      </c>
      <c r="AH102" s="0" t="n">
        <f aca="false">AG102*Q102</f>
        <v>4469775.18643304</v>
      </c>
      <c r="AI102" s="0" t="n">
        <f aca="false">(AE102+AH102-Supuestos!$B$7-Supuestos!$B$8)/Supuestos!$B$9</f>
        <v>2022.49065260078</v>
      </c>
      <c r="AJ102" s="0" t="n">
        <f aca="false">AI102/AI$5-1</f>
        <v>0.0892274800422681</v>
      </c>
    </row>
    <row r="103" customFormat="false" ht="15" hidden="false" customHeight="false" outlineLevel="0" collapsed="false">
      <c r="A103" s="0" t="n">
        <v>-30</v>
      </c>
      <c r="B103" s="0" t="n">
        <v>-70</v>
      </c>
      <c r="C103" s="0" t="n">
        <v>0.7</v>
      </c>
      <c r="D103" s="0" t="s">
        <v>117</v>
      </c>
      <c r="E103" s="0" t="n">
        <f aca="false">(1-Supuestos!C$28)*((1+((1+Supuestos!C$26)/(1+Supuestos!$B$4)-1+Supuestos!$B$14*$A103/10000))*(1+Supuestos!$B$4+$B103/10000)-1)+Supuestos!C$28*((1+Supuestos!C$27+$A103/10000)*(1+Supuestos!$B$4+$B103/10000)-1)*(1-Supuestos!$B$6)</f>
        <v>0.095245174524272</v>
      </c>
      <c r="F103" s="0" t="n">
        <f aca="false">(1-Supuestos!D$28)*((1+((1+Supuestos!D$26)/(1+Supuestos!$B$4)-1+Supuestos!$B$14*$A103/10000))*(1+Supuestos!$B$4+$B103/10000)-1)+Supuestos!D$28*((1+Supuestos!D$27+$A103/10000)*(1+Supuestos!$B$4+$B103/10000)-1)*(1-Supuestos!$B$6)</f>
        <v>0.0949968325905833</v>
      </c>
      <c r="G103" s="0" t="n">
        <f aca="false">(1-Supuestos!E$28)*((1+((1+Supuestos!E$26)/(1+Supuestos!$B$4)-1+Supuestos!$B$14*$A103/10000))*(1+Supuestos!$B$4+$B103/10000)-1)+Supuestos!E$28*((1+Supuestos!E$27+$A103/10000)*(1+Supuestos!$B$4+$B103/10000)-1)*(1-Supuestos!$B$6)</f>
        <v>0.0947644339508913</v>
      </c>
      <c r="H103" s="0" t="n">
        <f aca="false">(1-Supuestos!F$28)*((1+((1+Supuestos!F$26)/(1+Supuestos!$B$4)-1+Supuestos!$B$14*$A103/10000))*(1+Supuestos!$B$4+$B103/10000)-1)+Supuestos!F$28*((1+Supuestos!F$27+$A103/10000)*(1+Supuestos!$B$4+$B103/10000)-1)*(1-Supuestos!$B$6)</f>
        <v>0.0945473860702685</v>
      </c>
      <c r="I103" s="0" t="n">
        <f aca="false">(1-Supuestos!G$28)*((1+((1+Supuestos!G$26)/(1+Supuestos!$B$4)-1+Supuestos!$B$14*$A103/10000))*(1+Supuestos!$B$4+$B103/10000)-1)+Supuestos!G$28*((1+Supuestos!G$27+$A103/10000)*(1+Supuestos!$B$4+$B103/10000)-1)*(1-Supuestos!$B$6)</f>
        <v>0.0943451254166852</v>
      </c>
      <c r="J103" s="0" t="n">
        <f aca="false">(1-Supuestos!H$28)*((1+((1+Supuestos!H$26)/(1+Supuestos!$B$4)-1+Supuestos!$B$14*$A103/10000))*(1+Supuestos!$B$4+$B103/10000)-1)+Supuestos!H$28*((1+Supuestos!H$27+$A103/10000)*(1+Supuestos!$B$4+$B103/10000)-1)*(1-Supuestos!$B$6)</f>
        <v>0.094157115707953</v>
      </c>
      <c r="K103" s="0" t="n">
        <f aca="false">(1-Supuestos!I$28)*((1+((1+Supuestos!I$26)/(1+Supuestos!$B$4)-1+Supuestos!$B$14*$A103/10000))*(1+Supuestos!$B$4+$B103/10000)-1)+Supuestos!I$28*((1+Supuestos!I$27+$A103/10000)*(1+Supuestos!$B$4+$B103/10000)-1)*(1-Supuestos!$B$6)</f>
        <v>0.094157115707953</v>
      </c>
      <c r="L103" s="0" t="n">
        <f aca="false">(1+E103)^-Supuestos!C$24</f>
        <v>0.955529997783152</v>
      </c>
      <c r="M103" s="0" t="n">
        <f aca="false">L103*(1+F103)^-Supuestos!D$24</f>
        <v>0.872632659148907</v>
      </c>
      <c r="N103" s="0" t="n">
        <f aca="false">M103*(1+G103)^-Supuestos!E$24</f>
        <v>0.797096281251727</v>
      </c>
      <c r="O103" s="0" t="n">
        <f aca="false">N103*(1+H103)^-Supuestos!F$24</f>
        <v>0.728242825661049</v>
      </c>
      <c r="P103" s="0" t="n">
        <f aca="false">O103*(1+I103)^-Supuestos!G$24</f>
        <v>0.665459925527389</v>
      </c>
      <c r="Q103" s="0" t="n">
        <f aca="false">P103*(1+J103)^-Supuestos!H$24</f>
        <v>0.608194121277378</v>
      </c>
      <c r="R103" s="0" t="n">
        <f aca="false">(1+E103)^-(Supuestos!C$24/2)</f>
        <v>0.977512147128184</v>
      </c>
      <c r="S103" s="0" t="n">
        <f aca="false">L103*(1+F103)^-(Supuestos!D$24/2)</f>
        <v>0.913141107859054</v>
      </c>
      <c r="T103" s="0" t="n">
        <f aca="false">M103*(1+G103)^-(Supuestos!E$24/2)</f>
        <v>0.834009740654388</v>
      </c>
      <c r="U103" s="0" t="n">
        <f aca="false">N103*(1+H103)^-(Supuestos!F$24/2)</f>
        <v>0.761892149967876</v>
      </c>
      <c r="V103" s="0" t="n">
        <f aca="false">O103*(1+I103)^-(Supuestos!G$24/2)</f>
        <v>0.696143962503631</v>
      </c>
      <c r="W103" s="0" t="n">
        <f aca="false">P103*(1+J103)^-(Supuestos!H$24/2)</f>
        <v>0.636183004057355</v>
      </c>
      <c r="X103" s="0" t="n">
        <f aca="false">Supuestos!C$23*(1-$C103+$C103*((1+Supuestos!$B$4+$B103/10000)/(1+Supuestos!$B$4))^Supuestos!C$25)</f>
        <v>113290.471085256</v>
      </c>
      <c r="Y103" s="0" t="n">
        <f aca="false">Supuestos!D$23*(1-$C103+$C103*((1+Supuestos!$B$4+$B103/10000)/(1+Supuestos!$B$4))^Supuestos!D$25)</f>
        <v>198491.647931555</v>
      </c>
      <c r="Z103" s="0" t="n">
        <f aca="false">Supuestos!E$23*(1-$C103+$C103*((1+Supuestos!$B$4+$B103/10000)/(1+Supuestos!$B$4))^Supuestos!E$25)</f>
        <v>257225.300039391</v>
      </c>
      <c r="AA103" s="0" t="n">
        <f aca="false">Supuestos!F$23*(1-$C103+$C103*((1+Supuestos!$B$4+$B103/10000)/(1+Supuestos!$B$4))^Supuestos!F$25)</f>
        <v>370000.419454025</v>
      </c>
      <c r="AB103" s="0" t="n">
        <f aca="false">Supuestos!G$23*(1-$C103+$C103*((1+Supuestos!$B$4+$B103/10000)/(1+Supuestos!$B$4))^Supuestos!G$25)</f>
        <v>369965.755836975</v>
      </c>
      <c r="AC103" s="0" t="n">
        <f aca="false">Supuestos!H$23*(1-$C103+$C103*((1+Supuestos!$B$4+$B103/10000)/(1+Supuestos!$B$4))^Supuestos!H$25)</f>
        <v>389359.529725096</v>
      </c>
      <c r="AD103" s="0" t="n">
        <f aca="false">Supuestos!I$23*(1-$C103+$C103*((1+Supuestos!$B$4+$B103/10000)/(1+Supuestos!$B$4))^Supuestos!I$25)</f>
        <v>513994.555887322</v>
      </c>
      <c r="AE103" s="0" t="n">
        <f aca="false">SUMPRODUCT(X103:AC103,R103:W103)</f>
        <v>1293675.85831302</v>
      </c>
      <c r="AF103" s="0" t="n">
        <f aca="false">(1+Supuestos!$B$5)/(1+Supuestos!$B$4)*(1+Supuestos!$B$4+$B103/10000)-1</f>
        <v>0.0230000000000001</v>
      </c>
      <c r="AG103" s="0" t="n">
        <f aca="false">AD103/(K103-AF103)</f>
        <v>7223375.35429187</v>
      </c>
      <c r="AH103" s="0" t="n">
        <f aca="false">AG103*Q103</f>
        <v>4393214.42626021</v>
      </c>
      <c r="AI103" s="0" t="n">
        <f aca="false">(AE103+AH103-Supuestos!$B$7-Supuestos!$B$8)/Supuestos!$B$9</f>
        <v>1986.44259569554</v>
      </c>
      <c r="AJ103" s="0" t="n">
        <f aca="false">AI103/AI$5-1</f>
        <v>0.0698135291630264</v>
      </c>
    </row>
    <row r="104" customFormat="false" ht="15" hidden="false" customHeight="false" outlineLevel="0" collapsed="false">
      <c r="A104" s="0" t="n">
        <v>-20</v>
      </c>
      <c r="B104" s="0" t="n">
        <v>-80</v>
      </c>
      <c r="C104" s="0" t="n">
        <v>0.7</v>
      </c>
      <c r="D104" s="0" t="s">
        <v>117</v>
      </c>
      <c r="E104" s="0" t="n">
        <f aca="false">(1-Supuestos!C$28)*((1+((1+Supuestos!C$26)/(1+Supuestos!$B$4)-1+Supuestos!$B$14*$A104/10000))*(1+Supuestos!$B$4+$B104/10000)-1)+Supuestos!C$28*((1+Supuestos!C$27+$A104/10000)*(1+Supuestos!$B$4+$B104/10000)-1)*(1-Supuestos!$B$6)</f>
        <v>0.095194489466639</v>
      </c>
      <c r="F104" s="0" t="n">
        <f aca="false">(1-Supuestos!D$28)*((1+((1+Supuestos!D$26)/(1+Supuestos!$B$4)-1+Supuestos!$B$14*$A104/10000))*(1+Supuestos!$B$4+$B104/10000)-1)+Supuestos!D$28*((1+Supuestos!D$27+$A104/10000)*(1+Supuestos!$B$4+$B104/10000)-1)*(1-Supuestos!$B$6)</f>
        <v>0.0949462639433831</v>
      </c>
      <c r="G104" s="0" t="n">
        <f aca="false">(1-Supuestos!E$28)*((1+((1+Supuestos!E$26)/(1+Supuestos!$B$4)-1+Supuestos!$B$14*$A104/10000))*(1+Supuestos!$B$4+$B104/10000)-1)+Supuestos!E$28*((1+Supuestos!E$27+$A104/10000)*(1+Supuestos!$B$4+$B104/10000)-1)*(1-Supuestos!$B$6)</f>
        <v>0.094713969299046</v>
      </c>
      <c r="H104" s="0" t="n">
        <f aca="false">(1-Supuestos!F$28)*((1+((1+Supuestos!F$26)/(1+Supuestos!$B$4)-1+Supuestos!$B$14*$A104/10000))*(1+Supuestos!$B$4+$B104/10000)-1)+Supuestos!F$28*((1+Supuestos!F$27+$A104/10000)*(1+Supuestos!$B$4+$B104/10000)-1)*(1-Supuestos!$B$6)</f>
        <v>0.0944970134601082</v>
      </c>
      <c r="I104" s="0" t="n">
        <f aca="false">(1-Supuestos!G$28)*((1+((1+Supuestos!G$26)/(1+Supuestos!$B$4)-1+Supuestos!$B$14*$A104/10000))*(1+Supuestos!$B$4+$B104/10000)-1)+Supuestos!G$28*((1+Supuestos!G$27+$A104/10000)*(1+Supuestos!$B$4+$B104/10000)-1)*(1-Supuestos!$B$6)</f>
        <v>0.0942948333333635</v>
      </c>
      <c r="J104" s="0" t="n">
        <f aca="false">(1-Supuestos!H$28)*((1+((1+Supuestos!H$26)/(1+Supuestos!$B$4)-1+Supuestos!$B$14*$A104/10000))*(1+Supuestos!$B$4+$B104/10000)-1)+Supuestos!H$28*((1+Supuestos!H$27+$A104/10000)*(1+Supuestos!$B$4+$B104/10000)-1)*(1-Supuestos!$B$6)</f>
        <v>0.0941068930542286</v>
      </c>
      <c r="K104" s="0" t="n">
        <f aca="false">(1-Supuestos!I$28)*((1+((1+Supuestos!I$26)/(1+Supuestos!$B$4)-1+Supuestos!$B$14*$A104/10000))*(1+Supuestos!$B$4+$B104/10000)-1)+Supuestos!I$28*((1+Supuestos!I$27+$A104/10000)*(1+Supuestos!$B$4+$B104/10000)-1)*(1-Supuestos!$B$6)</f>
        <v>0.0941068930542286</v>
      </c>
      <c r="L104" s="0" t="n">
        <f aca="false">(1+E104)^-Supuestos!C$24</f>
        <v>0.955552108254463</v>
      </c>
      <c r="M104" s="0" t="n">
        <f aca="false">L104*(1+F104)^-Supuestos!D$24</f>
        <v>0.872693153738065</v>
      </c>
      <c r="N104" s="0" t="n">
        <f aca="false">M104*(1+G104)^-Supuestos!E$24</f>
        <v>0.7971882868151</v>
      </c>
      <c r="O104" s="0" t="n">
        <f aca="false">N104*(1+H104)^-Supuestos!F$24</f>
        <v>0.728360403921884</v>
      </c>
      <c r="P104" s="0" t="n">
        <f aca="false">O104*(1+I104)^-Supuestos!G$24</f>
        <v>0.665597955628836</v>
      </c>
      <c r="Q104" s="0" t="n">
        <f aca="false">P104*(1+J104)^-Supuestos!H$24</f>
        <v>0.608348196921419</v>
      </c>
      <c r="R104" s="0" t="n">
        <f aca="false">(1+E104)^-(Supuestos!C$24/2)</f>
        <v>0.977523456626214</v>
      </c>
      <c r="S104" s="0" t="n">
        <f aca="false">L104*(1+F104)^-(Supuestos!D$24/2)</f>
        <v>0.913183323825859</v>
      </c>
      <c r="T104" s="0" t="n">
        <f aca="false">M104*(1+G104)^-(Supuestos!E$24/2)</f>
        <v>0.834086782141831</v>
      </c>
      <c r="U104" s="0" t="n">
        <f aca="false">N104*(1+H104)^-(Supuestos!F$24/2)</f>
        <v>0.761997626365359</v>
      </c>
      <c r="V104" s="0" t="n">
        <f aca="false">O104*(1+I104)^-(Supuestos!G$24/2)</f>
        <v>0.696272357494823</v>
      </c>
      <c r="W104" s="0" t="n">
        <f aca="false">P104*(1+J104)^-(Supuestos!H$24/2)</f>
        <v>0.636329565697984</v>
      </c>
      <c r="X104" s="0" t="n">
        <f aca="false">Supuestos!C$23*(1-$C104+$C104*((1+Supuestos!$B$4+$B104/10000)/(1+Supuestos!$B$4))^Supuestos!C$25)</f>
        <v>113271.093805638</v>
      </c>
      <c r="Y104" s="0" t="n">
        <f aca="false">Supuestos!D$23*(1-$C104+$C104*((1+Supuestos!$B$4+$B104/10000)/(1+Supuestos!$B$4))^Supuestos!D$25)</f>
        <v>198356.105883412</v>
      </c>
      <c r="Z104" s="0" t="n">
        <f aca="false">Supuestos!E$23*(1-$C104+$C104*((1+Supuestos!$B$4+$B104/10000)/(1+Supuestos!$B$4))^Supuestos!E$25)</f>
        <v>256874.896636508</v>
      </c>
      <c r="AA104" s="0" t="n">
        <f aca="false">Supuestos!F$23*(1-$C104+$C104*((1+Supuestos!$B$4+$B104/10000)/(1+Supuestos!$B$4))^Supuestos!F$25)</f>
        <v>369246.305965409</v>
      </c>
      <c r="AB104" s="0" t="n">
        <f aca="false">Supuestos!G$23*(1-$C104+$C104*((1+Supuestos!$B$4+$B104/10000)/(1+Supuestos!$B$4))^Supuestos!G$25)</f>
        <v>368962.94477385</v>
      </c>
      <c r="AC104" s="0" t="n">
        <f aca="false">Supuestos!H$23*(1-$C104+$C104*((1+Supuestos!$B$4+$B104/10000)/(1+Supuestos!$B$4))^Supuestos!H$25)</f>
        <v>388043.70355962</v>
      </c>
      <c r="AD104" s="0" t="n">
        <f aca="false">Supuestos!I$23*(1-$C104+$C104*((1+Supuestos!$B$4+$B104/10000)/(1+Supuestos!$B$4))^Supuestos!I$25)</f>
        <v>511915.513621734</v>
      </c>
      <c r="AE104" s="0" t="n">
        <f aca="false">SUMPRODUCT(X104:AC104,R104:W104)</f>
        <v>1291303.78460672</v>
      </c>
      <c r="AF104" s="0" t="n">
        <f aca="false">(1+Supuestos!$B$5)/(1+Supuestos!$B$4)*(1+Supuestos!$B$4+$B104/10000)-1</f>
        <v>0.022</v>
      </c>
      <c r="AG104" s="0" t="n">
        <f aca="false">AD104/(K104-AF104)</f>
        <v>7099397.74047322</v>
      </c>
      <c r="AH104" s="0" t="n">
        <f aca="false">AG104*Q104</f>
        <v>4318905.81464488</v>
      </c>
      <c r="AI104" s="0" t="n">
        <f aca="false">(AE104+AH104-Supuestos!$B$7-Supuestos!$B$8)/Supuestos!$B$9</f>
        <v>1951.42858413315</v>
      </c>
      <c r="AJ104" s="0" t="n">
        <f aca="false">AI104/AI$5-1</f>
        <v>0.0509564711433863</v>
      </c>
    </row>
    <row r="105" customFormat="false" ht="15" hidden="false" customHeight="false" outlineLevel="0" collapsed="false">
      <c r="A105" s="0" t="n">
        <v>-10</v>
      </c>
      <c r="B105" s="0" t="n">
        <v>-90</v>
      </c>
      <c r="C105" s="0" t="n">
        <v>0.7</v>
      </c>
      <c r="D105" s="0" t="s">
        <v>117</v>
      </c>
      <c r="E105" s="0" t="n">
        <f aca="false">(1-Supuestos!C$28)*((1+((1+Supuestos!C$26)/(1+Supuestos!$B$4)-1+Supuestos!$B$14*$A105/10000))*(1+Supuestos!$B$4+$B105/10000)-1)+Supuestos!C$28*((1+Supuestos!C$27+$A105/10000)*(1+Supuestos!$B$4+$B105/10000)-1)*(1-Supuestos!$B$6)</f>
        <v>0.0951418972160837</v>
      </c>
      <c r="F105" s="0" t="n">
        <f aca="false">(1-Supuestos!D$28)*((1+((1+Supuestos!D$26)/(1+Supuestos!$B$4)-1+Supuestos!$B$14*$A105/10000))*(1+Supuestos!$B$4+$B105/10000)-1)+Supuestos!D$28*((1+Supuestos!D$27+$A105/10000)*(1+Supuestos!$B$4+$B105/10000)-1)*(1-Supuestos!$B$6)</f>
        <v>0.0948937937840085</v>
      </c>
      <c r="G105" s="0" t="n">
        <f aca="false">(1-Supuestos!E$28)*((1+((1+Supuestos!E$26)/(1+Supuestos!$B$4)-1+Supuestos!$B$14*$A105/10000))*(1+Supuestos!$B$4+$B105/10000)-1)+Supuestos!E$28*((1+Supuestos!E$27+$A105/10000)*(1+Supuestos!$B$4+$B105/10000)-1)*(1-Supuestos!$B$6)</f>
        <v>0.0946616086732584</v>
      </c>
      <c r="H105" s="0" t="n">
        <f aca="false">(1-Supuestos!F$28)*((1+((1+Supuestos!F$26)/(1+Supuestos!$B$4)-1+Supuestos!$B$14*$A105/10000))*(1+Supuestos!$B$4+$B105/10000)-1)+Supuestos!F$28*((1+Supuestos!F$27+$A105/10000)*(1+Supuestos!$B$4+$B105/10000)-1)*(1-Supuestos!$B$6)</f>
        <v>0.094444750277018</v>
      </c>
      <c r="I105" s="0" t="n">
        <f aca="false">(1-Supuestos!G$28)*((1+((1+Supuestos!G$26)/(1+Supuestos!$B$4)-1+Supuestos!$B$14*$A105/10000))*(1+Supuestos!$B$4+$B105/10000)-1)+Supuestos!G$28*((1+Supuestos!G$27+$A105/10000)*(1+Supuestos!$B$4+$B105/10000)-1)*(1-Supuestos!$B$6)</f>
        <v>0.0942426559459424</v>
      </c>
      <c r="J105" s="0" t="n">
        <f aca="false">(1-Supuestos!H$28)*((1+((1+Supuestos!H$26)/(1+Supuestos!$B$4)-1+Supuestos!$B$14*$A105/10000))*(1+Supuestos!$B$4+$B105/10000)-1)+Supuestos!H$28*((1+Supuestos!H$27+$A105/10000)*(1+Supuestos!$B$4+$B105/10000)-1)*(1-Supuestos!$B$6)</f>
        <v>0.0940547902378466</v>
      </c>
      <c r="K105" s="0" t="n">
        <f aca="false">(1-Supuestos!I$28)*((1+((1+Supuestos!I$26)/(1+Supuestos!$B$4)-1+Supuestos!$B$14*$A105/10000))*(1+Supuestos!$B$4+$B105/10000)-1)+Supuestos!I$28*((1+Supuestos!I$27+$A105/10000)*(1+Supuestos!$B$4+$B105/10000)-1)*(1-Supuestos!$B$6)</f>
        <v>0.0940547902378466</v>
      </c>
      <c r="L105" s="0" t="n">
        <f aca="false">(1+E105)^-Supuestos!C$24</f>
        <v>0.955575052328053</v>
      </c>
      <c r="M105" s="0" t="n">
        <f aca="false">L105*(1+F105)^-Supuestos!D$24</f>
        <v>0.872755930989011</v>
      </c>
      <c r="N105" s="0" t="n">
        <f aca="false">M105*(1+G105)^-Supuestos!E$24</f>
        <v>0.797283767032627</v>
      </c>
      <c r="O105" s="0" t="n">
        <f aca="false">N105*(1+H105)^-Supuestos!F$24</f>
        <v>0.728482426208198</v>
      </c>
      <c r="P105" s="0" t="n">
        <f aca="false">O105*(1+I105)^-Supuestos!G$24</f>
        <v>0.665741206714744</v>
      </c>
      <c r="Q105" s="0" t="n">
        <f aca="false">P105*(1+J105)^-Supuestos!H$24</f>
        <v>0.608508104580404</v>
      </c>
      <c r="R105" s="0" t="n">
        <f aca="false">(1+E105)^-(Supuestos!C$24/2)</f>
        <v>0.977535192373171</v>
      </c>
      <c r="S105" s="0" t="n">
        <f aca="false">L105*(1+F105)^-(Supuestos!D$24/2)</f>
        <v>0.913227131892413</v>
      </c>
      <c r="T105" s="0" t="n">
        <f aca="false">M105*(1+G105)^-(Supuestos!E$24/2)</f>
        <v>0.834166731750306</v>
      </c>
      <c r="U105" s="0" t="n">
        <f aca="false">N105*(1+H105)^-(Supuestos!F$24/2)</f>
        <v>0.762107087609307</v>
      </c>
      <c r="V105" s="0" t="n">
        <f aca="false">O105*(1+I105)^-(Supuestos!G$24/2)</f>
        <v>0.696405607023902</v>
      </c>
      <c r="W105" s="0" t="n">
        <f aca="false">P105*(1+J105)^-(Supuestos!H$24/2)</f>
        <v>0.636481672822604</v>
      </c>
      <c r="X105" s="0" t="n">
        <f aca="false">Supuestos!C$23*(1-$C105+$C105*((1+Supuestos!$B$4+$B105/10000)/(1+Supuestos!$B$4))^Supuestos!C$25)</f>
        <v>113251.702300681</v>
      </c>
      <c r="Y105" s="0" t="n">
        <f aca="false">Supuestos!D$23*(1-$C105+$C105*((1+Supuestos!$B$4+$B105/10000)/(1+Supuestos!$B$4))^Supuestos!D$25)</f>
        <v>198220.563835268</v>
      </c>
      <c r="Z105" s="0" t="n">
        <f aca="false">Supuestos!E$23*(1-$C105+$C105*((1+Supuestos!$B$4+$B105/10000)/(1+Supuestos!$B$4))^Supuestos!E$25)</f>
        <v>256524.83592644</v>
      </c>
      <c r="AA105" s="0" t="n">
        <f aca="false">Supuestos!F$23*(1-$C105+$C105*((1+Supuestos!$B$4+$B105/10000)/(1+Supuestos!$B$4))^Supuestos!F$25)</f>
        <v>368493.666793993</v>
      </c>
      <c r="AB105" s="0" t="n">
        <f aca="false">Supuestos!G$23*(1-$C105+$C105*((1+Supuestos!$B$4+$B105/10000)/(1+Supuestos!$B$4))^Supuestos!G$25)</f>
        <v>367963.073066654</v>
      </c>
      <c r="AC105" s="0" t="n">
        <f aca="false">Supuestos!H$23*(1-$C105+$C105*((1+Supuestos!$B$4+$B105/10000)/(1+Supuestos!$B$4))^Supuestos!H$25)</f>
        <v>386733.017332736</v>
      </c>
      <c r="AD105" s="0" t="n">
        <f aca="false">Supuestos!I$23*(1-$C105+$C105*((1+Supuestos!$B$4+$B105/10000)/(1+Supuestos!$B$4))^Supuestos!I$25)</f>
        <v>509846.617952694</v>
      </c>
      <c r="AE105" s="0" t="n">
        <f aca="false">SUMPRODUCT(X105:AC105,R105:W105)</f>
        <v>1288944.06585789</v>
      </c>
      <c r="AF105" s="0" t="n">
        <f aca="false">(1+Supuestos!$B$5)/(1+Supuestos!$B$4)*(1+Supuestos!$B$4+$B105/10000)-1</f>
        <v>0.0210000000000001</v>
      </c>
      <c r="AG105" s="0" t="n">
        <f aca="false">AD105/(K105-AF105)</f>
        <v>6978962.17746671</v>
      </c>
      <c r="AH105" s="0" t="n">
        <f aca="false">AG105*Q105</f>
        <v>4246755.0465486</v>
      </c>
      <c r="AI105" s="0" t="n">
        <f aca="false">(AE105+AH105-Supuestos!$B$7-Supuestos!$B$8)/Supuestos!$B$9</f>
        <v>1917.40553077922</v>
      </c>
      <c r="AJ105" s="0" t="n">
        <f aca="false">AI105/AI$5-1</f>
        <v>0.0326331010845964</v>
      </c>
    </row>
    <row r="106" customFormat="false" ht="15" hidden="false" customHeight="false" outlineLevel="0" collapsed="false">
      <c r="A106" s="0" t="n">
        <v>0</v>
      </c>
      <c r="B106" s="0" t="n">
        <v>-100</v>
      </c>
      <c r="C106" s="0" t="n">
        <v>0.7</v>
      </c>
      <c r="D106" s="0" t="s">
        <v>117</v>
      </c>
      <c r="E106" s="0" t="n">
        <f aca="false">(1-Supuestos!C$28)*((1+((1+Supuestos!C$26)/(1+Supuestos!$B$4)-1+Supuestos!$B$14*$A106/10000))*(1+Supuestos!$B$4+$B106/10000)-1)+Supuestos!C$28*((1+Supuestos!C$27+$A106/10000)*(1+Supuestos!$B$4+$B106/10000)-1)*(1-Supuestos!$B$6)</f>
        <v>0.0950873977726059</v>
      </c>
      <c r="F106" s="0" t="n">
        <f aca="false">(1-Supuestos!D$28)*((1+((1+Supuestos!D$26)/(1+Supuestos!$B$4)-1+Supuestos!$B$14*$A106/10000))*(1+Supuestos!$B$4+$B106/10000)-1)+Supuestos!D$28*((1+Supuestos!D$27+$A106/10000)*(1+Supuestos!$B$4+$B106/10000)-1)*(1-Supuestos!$B$6)</f>
        <v>0.0948394221124596</v>
      </c>
      <c r="G106" s="0" t="n">
        <f aca="false">(1-Supuestos!E$28)*((1+((1+Supuestos!E$26)/(1+Supuestos!$B$4)-1+Supuestos!$B$14*$A106/10000))*(1+Supuestos!$B$4+$B106/10000)-1)+Supuestos!E$28*((1+Supuestos!E$27+$A106/10000)*(1+Supuestos!$B$4+$B106/10000)-1)*(1-Supuestos!$B$6)</f>
        <v>0.0946073520735279</v>
      </c>
      <c r="H106" s="0" t="n">
        <f aca="false">(1-Supuestos!F$28)*((1+((1+Supuestos!F$26)/(1+Supuestos!$B$4)-1+Supuestos!$B$14*$A106/10000))*(1+Supuestos!$B$4+$B106/10000)-1)+Supuestos!F$28*((1+Supuestos!F$27+$A106/10000)*(1+Supuestos!$B$4+$B106/10000)-1)*(1-Supuestos!$B$6)</f>
        <v>0.0943905965209974</v>
      </c>
      <c r="I106" s="0" t="n">
        <f aca="false">(1-Supuestos!G$28)*((1+((1+Supuestos!G$26)/(1+Supuestos!$B$4)-1+Supuestos!$B$14*$A106/10000))*(1+Supuestos!$B$4+$B106/10000)-1)+Supuestos!G$28*((1+Supuestos!G$27+$A106/10000)*(1+Supuestos!$B$4+$B106/10000)-1)*(1-Supuestos!$B$6)</f>
        <v>0.0941885932544217</v>
      </c>
      <c r="J106" s="0" t="n">
        <f aca="false">(1-Supuestos!H$28)*((1+((1+Supuestos!H$26)/(1+Supuestos!$B$4)-1+Supuestos!$B$14*$A106/10000))*(1+Supuestos!$B$4+$B106/10000)-1)+Supuestos!H$28*((1+Supuestos!H$27+$A106/10000)*(1+Supuestos!$B$4+$B106/10000)-1)*(1-Supuestos!$B$6)</f>
        <v>0.0940008072588067</v>
      </c>
      <c r="K106" s="0" t="n">
        <f aca="false">(1-Supuestos!I$28)*((1+((1+Supuestos!I$26)/(1+Supuestos!$B$4)-1+Supuestos!$B$14*$A106/10000))*(1+Supuestos!$B$4+$B106/10000)-1)+Supuestos!I$28*((1+Supuestos!I$27+$A106/10000)*(1+Supuestos!$B$4+$B106/10000)-1)*(1-Supuestos!$B$6)</f>
        <v>0.0940008072588067</v>
      </c>
      <c r="L106" s="0" t="n">
        <f aca="false">(1+E106)^-Supuestos!C$24</f>
        <v>0.955598830183924</v>
      </c>
      <c r="M106" s="0" t="n">
        <f aca="false">L106*(1+F106)^-Supuestos!D$24</f>
        <v>0.872820991721439</v>
      </c>
      <c r="N106" s="0" t="n">
        <f aca="false">M106*(1+G106)^-Supuestos!E$24</f>
        <v>0.797382723647931</v>
      </c>
      <c r="O106" s="0" t="n">
        <f aca="false">N106*(1+H106)^-Supuestos!F$24</f>
        <v>0.728608895382291</v>
      </c>
      <c r="P106" s="0" t="n">
        <f aca="false">O106*(1+I106)^-Supuestos!G$24</f>
        <v>0.6658896828884</v>
      </c>
      <c r="Q106" s="0" t="n">
        <f aca="false">P106*(1+J106)^-Supuestos!H$24</f>
        <v>0.608673849662774</v>
      </c>
      <c r="R106" s="0" t="n">
        <f aca="false">(1+E106)^-(Supuestos!C$24/2)</f>
        <v>0.97754735444577</v>
      </c>
      <c r="S106" s="0" t="n">
        <f aca="false">L106*(1+F106)^-(Supuestos!D$24/2)</f>
        <v>0.913272532516433</v>
      </c>
      <c r="T106" s="0" t="n">
        <f aca="false">M106*(1+G106)^-(Supuestos!E$24/2)</f>
        <v>0.834249590731652</v>
      </c>
      <c r="U106" s="0" t="n">
        <f aca="false">N106*(1+H106)^-(Supuestos!F$24/2)</f>
        <v>0.762220535982888</v>
      </c>
      <c r="V106" s="0" t="n">
        <f aca="false">O106*(1+I106)^-(Supuestos!G$24/2)</f>
        <v>0.696543714561966</v>
      </c>
      <c r="W106" s="0" t="n">
        <f aca="false">P106*(1+J106)^-(Supuestos!H$24/2)</f>
        <v>0.636639330181859</v>
      </c>
      <c r="X106" s="0" t="n">
        <f aca="false">Supuestos!C$23*(1-$C106+$C106*((1+Supuestos!$B$4+$B106/10000)/(1+Supuestos!$B$4))^Supuestos!C$25)</f>
        <v>113232.296545994</v>
      </c>
      <c r="Y106" s="0" t="n">
        <f aca="false">Supuestos!D$23*(1-$C106+$C106*((1+Supuestos!$B$4+$B106/10000)/(1+Supuestos!$B$4))^Supuestos!D$25)</f>
        <v>198085.021787124</v>
      </c>
      <c r="Z106" s="0" t="n">
        <f aca="false">Supuestos!E$23*(1-$C106+$C106*((1+Supuestos!$B$4+$B106/10000)/(1+Supuestos!$B$4))^Supuestos!E$25)</f>
        <v>256175.117909186</v>
      </c>
      <c r="AA106" s="0" t="n">
        <f aca="false">Supuestos!F$23*(1-$C106+$C106*((1+Supuestos!$B$4+$B106/10000)/(1+Supuestos!$B$4))^Supuestos!F$25)</f>
        <v>367742.500497198</v>
      </c>
      <c r="AB106" s="0" t="n">
        <f aca="false">Supuestos!G$23*(1-$C106+$C106*((1+Supuestos!$B$4+$B106/10000)/(1+Supuestos!$B$4))^Supuestos!G$25)</f>
        <v>366966.134966037</v>
      </c>
      <c r="AC106" s="0" t="n">
        <f aca="false">Supuestos!H$23*(1-$C106+$C106*((1+Supuestos!$B$4+$B106/10000)/(1+Supuestos!$B$4))^Supuestos!H$25)</f>
        <v>385427.455971325</v>
      </c>
      <c r="AD106" s="0" t="n">
        <f aca="false">Supuestos!I$23*(1-$C106+$C106*((1+Supuestos!$B$4+$B106/10000)/(1+Supuestos!$B$4))^Supuestos!I$25)</f>
        <v>507787.829225762</v>
      </c>
      <c r="AE106" s="0" t="n">
        <f aca="false">SUMPRODUCT(X106:AC106,R106:W106)</f>
        <v>1286596.64670246</v>
      </c>
      <c r="AF106" s="0" t="n">
        <f aca="false">(1+Supuestos!$B$5)/(1+Supuestos!$B$4)*(1+Supuestos!$B$4+$B106/10000)-1</f>
        <v>0.02</v>
      </c>
      <c r="AG106" s="0" t="n">
        <f aca="false">AD106/(K106-AF106)</f>
        <v>6861922.83619084</v>
      </c>
      <c r="AH106" s="0" t="n">
        <f aca="false">AG106*Q106</f>
        <v>4176672.98879317</v>
      </c>
      <c r="AI106" s="0" t="n">
        <f aca="false">(AE106+AH106-Supuestos!$B$7-Supuestos!$B$8)/Supuestos!$B$9</f>
        <v>1884.33271027198</v>
      </c>
      <c r="AJ106" s="0" t="n">
        <f aca="false">AI106/AI$5-1</f>
        <v>0.0148214860382356</v>
      </c>
    </row>
    <row r="107" customFormat="false" ht="15" hidden="false" customHeight="false" outlineLevel="0" collapsed="false">
      <c r="A107" s="0" t="n">
        <f aca="false">Supuestos!B15</f>
        <v>100</v>
      </c>
      <c r="B107" s="0" t="n">
        <f aca="false">Supuestos!B16</f>
        <v>0</v>
      </c>
      <c r="C107" s="0" t="n">
        <f aca="false">Supuestos!$B$13</f>
        <v>0.85</v>
      </c>
      <c r="D107" s="0" t="s">
        <v>118</v>
      </c>
      <c r="E107" s="0" t="n">
        <f aca="false">(1-Supuestos!C$28)*((1+((1+Supuestos!C$26)/(1+Supuestos!$B$4)-1+Supuestos!$B$14*$A107/10000))*(1+Supuestos!$B$4+$B107/10000)-1)+Supuestos!C$28*((1+Supuestos!C$27+$A107/10000)*(1+Supuestos!$B$4+$B107/10000)-1)*(1-Supuestos!$B$6)</f>
        <v>0.11519065562777</v>
      </c>
      <c r="F107" s="0" t="n">
        <f aca="false">(1-Supuestos!D$28)*((1+((1+Supuestos!D$26)/(1+Supuestos!$B$4)-1+Supuestos!$B$14*$A107/10000))*(1+Supuestos!$B$4+$B107/10000)-1)+Supuestos!D$28*((1+Supuestos!D$27+$A107/10000)*(1+Supuestos!$B$4+$B107/10000)-1)*(1-Supuestos!$B$6)</f>
        <v>0.11488314617678</v>
      </c>
      <c r="G107" s="0" t="n">
        <f aca="false">(1-Supuestos!E$28)*((1+((1+Supuestos!E$26)/(1+Supuestos!$B$4)-1+Supuestos!$B$14*$A107/10000))*(1+Supuestos!$B$4+$B107/10000)-1)+Supuestos!E$28*((1+Supuestos!E$27+$A107/10000)*(1+Supuestos!$B$4+$B107/10000)-1)*(1-Supuestos!$B$6)</f>
        <v>0.114593130850897</v>
      </c>
      <c r="H107" s="0" t="n">
        <f aca="false">(1-Supuestos!F$28)*((1+((1+Supuestos!F$26)/(1+Supuestos!$B$4)-1+Supuestos!$B$14*$A107/10000))*(1+Supuestos!$B$4+$B107/10000)-1)+Supuestos!F$28*((1+Supuestos!F$27+$A107/10000)*(1+Supuestos!$B$4+$B107/10000)-1)*(1-Supuestos!$B$6)</f>
        <v>0.114319959478321</v>
      </c>
      <c r="I107" s="0" t="n">
        <f aca="false">(1-Supuestos!G$28)*((1+((1+Supuestos!G$26)/(1+Supuestos!$B$4)-1+Supuestos!$B$14*$A107/10000))*(1+Supuestos!$B$4+$B107/10000)-1)+Supuestos!G$28*((1+Supuestos!G$27+$A107/10000)*(1+Supuestos!$B$4+$B107/10000)-1)*(1-Supuestos!$B$6)</f>
        <v>0.11406301371131</v>
      </c>
      <c r="J107" s="0" t="n">
        <f aca="false">(1-Supuestos!H$28)*((1+((1+Supuestos!H$26)/(1+Supuestos!$B$4)-1+Supuestos!$B$14*$A107/10000))*(1+Supuestos!$B$4+$B107/10000)-1)+Supuestos!H$28*((1+Supuestos!H$27+$A107/10000)*(1+Supuestos!$B$4+$B107/10000)-1)*(1-Supuestos!$B$6)</f>
        <v>0.113821705102604</v>
      </c>
      <c r="K107" s="0" t="n">
        <f aca="false">(1-Supuestos!I$28)*((1+((1+Supuestos!I$26)/(1+Supuestos!$B$4)-1+Supuestos!$B$14*$A107/10000))*(1+Supuestos!$B$4+$B107/10000)-1)+Supuestos!I$28*((1+Supuestos!I$27+$A107/10000)*(1+Supuestos!$B$4+$B107/10000)-1)*(1-Supuestos!$B$6)</f>
        <v>0.113821705102604</v>
      </c>
      <c r="L107" s="0" t="n">
        <f aca="false">(1+E107)^-Supuestos!C$24</f>
        <v>0.946946491136157</v>
      </c>
      <c r="M107" s="0" t="n">
        <f aca="false">L107*(1+F107)^-Supuestos!D$24</f>
        <v>0.849368379442706</v>
      </c>
      <c r="N107" s="0" t="n">
        <f aca="false">M107*(1+G107)^-Supuestos!E$24</f>
        <v>0.762043436239631</v>
      </c>
      <c r="O107" s="0" t="n">
        <f aca="false">N107*(1+H107)^-Supuestos!F$24</f>
        <v>0.683864117983122</v>
      </c>
      <c r="P107" s="0" t="n">
        <f aca="false">O107*(1+I107)^-Supuestos!G$24</f>
        <v>0.613846891572987</v>
      </c>
      <c r="Q107" s="0" t="n">
        <f aca="false">P107*(1+J107)^-Supuestos!H$24</f>
        <v>0.551117731644887</v>
      </c>
      <c r="R107" s="0" t="n">
        <f aca="false">(1+E107)^-(Supuestos!C$24/2)</f>
        <v>0.973111756755696</v>
      </c>
      <c r="S107" s="0" t="n">
        <f aca="false">L107*(1+F107)^-(Supuestos!D$24/2)</f>
        <v>0.896831314459567</v>
      </c>
      <c r="T107" s="0" t="n">
        <f aca="false">M107*(1+G107)^-(Supuestos!E$24/2)</f>
        <v>0.804521968937957</v>
      </c>
      <c r="U107" s="0" t="n">
        <f aca="false">N107*(1+H107)^-(Supuestos!F$24/2)</f>
        <v>0.721896226883645</v>
      </c>
      <c r="V107" s="0" t="n">
        <f aca="false">O107*(1+I107)^-(Supuestos!G$24/2)</f>
        <v>0.647910381983683</v>
      </c>
      <c r="W107" s="0" t="n">
        <f aca="false">P107*(1+J107)^-(Supuestos!H$24/2)</f>
        <v>0.581637263645452</v>
      </c>
      <c r="X107" s="0" t="n">
        <f aca="false">Supuestos!C$23*(1-$C107+$C107*((1+Supuestos!$B$4+$B107/10000)/(1+Supuestos!$B$4))^Supuestos!C$25)</f>
        <v>113425.715768245</v>
      </c>
      <c r="Y107" s="0" t="n">
        <f aca="false">Supuestos!D$23*(1-$C107+$C107*((1+Supuestos!$B$4+$B107/10000)/(1+Supuestos!$B$4))^Supuestos!D$25)</f>
        <v>199440.442268561</v>
      </c>
      <c r="Z107" s="0" t="n">
        <f aca="false">Supuestos!E$23*(1-$C107+$C107*((1+Supuestos!$B$4+$B107/10000)/(1+Supuestos!$B$4))^Supuestos!E$25)</f>
        <v>259687.719258378</v>
      </c>
      <c r="AA107" s="0" t="n">
        <f aca="false">Supuestos!F$23*(1-$C107+$C107*((1+Supuestos!$B$4+$B107/10000)/(1+Supuestos!$B$4))^Supuestos!F$25)</f>
        <v>375320.615932717</v>
      </c>
      <c r="AB107" s="0" t="n">
        <f aca="false">Supuestos!G$23*(1-$C107+$C107*((1+Supuestos!$B$4+$B107/10000)/(1+Supuestos!$B$4))^Supuestos!G$25)</f>
        <v>377068.219372121</v>
      </c>
      <c r="AC107" s="0" t="n">
        <f aca="false">Supuestos!H$23*(1-$C107+$C107*((1+Supuestos!$B$4+$B107/10000)/(1+Supuestos!$B$4))^Supuestos!H$25)</f>
        <v>398715.503513791</v>
      </c>
      <c r="AD107" s="0" t="n">
        <f aca="false">Supuestos!I$23*(1-$C107+$C107*((1+Supuestos!$B$4+$B107/10000)/(1+Supuestos!$B$4))^Supuestos!I$25)</f>
        <v>528835.311960595</v>
      </c>
      <c r="AE107" s="0" t="n">
        <f aca="false">SUMPRODUCT(X107:AC107,R107:W107)</f>
        <v>1245321.55173293</v>
      </c>
      <c r="AF107" s="0" t="n">
        <f aca="false">(1+Supuestos!$B$5)/(1+Supuestos!$B$4)*(1+Supuestos!$B$4+$B107/10000)-1</f>
        <v>0.03</v>
      </c>
      <c r="AG107" s="0" t="n">
        <f aca="false">AD107/(K107-AF107)</f>
        <v>6309049.80175791</v>
      </c>
      <c r="AH107" s="0" t="n">
        <f aca="false">AG107*Q107</f>
        <v>3477029.21557944</v>
      </c>
      <c r="AI107" s="0" t="n">
        <f aca="false">(AE107+AH107-Supuestos!$B$7-Supuestos!$B$8)/Supuestos!$B$9</f>
        <v>1546.01359238008</v>
      </c>
      <c r="AJ107" s="0" t="n">
        <f aca="false">AI107/AI$5-1</f>
        <v>-0.167382807345096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119</v>
      </c>
    </row>
    <row r="2" customFormat="false" ht="15" hidden="false" customHeight="false" outlineLevel="0" collapsed="false">
      <c r="A2" s="0" t="s">
        <v>120</v>
      </c>
    </row>
    <row r="4" customFormat="false" ht="15" hidden="false" customHeight="false" outlineLevel="0" collapsed="false">
      <c r="A4" s="0" t="s">
        <v>121</v>
      </c>
      <c r="B4" s="0" t="s">
        <v>122</v>
      </c>
      <c r="C4" s="0" t="s">
        <v>123</v>
      </c>
      <c r="D4" s="0" t="s">
        <v>124</v>
      </c>
      <c r="E4" s="0" t="s">
        <v>125</v>
      </c>
      <c r="F4" s="0" t="s">
        <v>126</v>
      </c>
      <c r="G4" s="0" t="s">
        <v>127</v>
      </c>
      <c r="H4" s="0" t="s">
        <v>128</v>
      </c>
      <c r="I4" s="0" t="s">
        <v>129</v>
      </c>
      <c r="J4" s="0" t="s">
        <v>130</v>
      </c>
    </row>
    <row r="5" customFormat="false" ht="15" hidden="false" customHeight="false" outlineLevel="0" collapsed="false">
      <c r="A5" s="6" t="n">
        <v>45478</v>
      </c>
      <c r="B5" s="3" t="n">
        <v>1381.56</v>
      </c>
      <c r="C5" s="3" t="n">
        <v>6.22</v>
      </c>
      <c r="D5" s="3" t="n">
        <v>3.1</v>
      </c>
      <c r="E5" s="3" t="n">
        <v>6483.67</v>
      </c>
      <c r="F5" s="4" t="n">
        <f aca="false">C5-D5</f>
        <v>3.12</v>
      </c>
    </row>
    <row r="6" customFormat="false" ht="15" hidden="false" customHeight="false" outlineLevel="0" collapsed="false">
      <c r="A6" s="6" t="n">
        <v>45485</v>
      </c>
      <c r="B6" s="3" t="n">
        <v>1362.81</v>
      </c>
      <c r="C6" s="3" t="n">
        <v>6.11</v>
      </c>
      <c r="D6" s="3" t="n">
        <v>2.9</v>
      </c>
      <c r="E6" s="3" t="n">
        <v>6550.01</v>
      </c>
      <c r="F6" s="4" t="n">
        <f aca="false">C6-D6</f>
        <v>3.21</v>
      </c>
      <c r="G6" s="4" t="n">
        <f aca="false">LN(B6/B5)</f>
        <v>-0.0136645508798122</v>
      </c>
      <c r="H6" s="4" t="n">
        <f aca="false">D6-D5</f>
        <v>-0.2</v>
      </c>
      <c r="I6" s="4" t="n">
        <f aca="false">F6-F5</f>
        <v>0.0900000000000008</v>
      </c>
      <c r="J6" s="4" t="n">
        <f aca="false">LN(E6/E5)</f>
        <v>0.0101798682948542</v>
      </c>
    </row>
    <row r="7" customFormat="false" ht="15" hidden="false" customHeight="false" outlineLevel="0" collapsed="false">
      <c r="A7" s="6" t="n">
        <v>45492</v>
      </c>
      <c r="B7" s="3" t="n">
        <v>1421.03</v>
      </c>
      <c r="C7" s="3" t="n">
        <v>6.1</v>
      </c>
      <c r="D7" s="3" t="n">
        <v>2.87</v>
      </c>
      <c r="E7" s="3" t="n">
        <v>6558.68</v>
      </c>
      <c r="F7" s="4" t="n">
        <f aca="false">C7-D7</f>
        <v>3.23</v>
      </c>
      <c r="G7" s="4" t="n">
        <f aca="false">LN(B7/B6)</f>
        <v>0.0418332161735198</v>
      </c>
      <c r="H7" s="4" t="n">
        <f aca="false">D7-D6</f>
        <v>-0.0299999999999998</v>
      </c>
      <c r="I7" s="4" t="n">
        <f aca="false">F7-F6</f>
        <v>0.0199999999999991</v>
      </c>
      <c r="J7" s="4" t="n">
        <f aca="false">LN(E7/E6)</f>
        <v>0.00132278683288807</v>
      </c>
    </row>
    <row r="8" customFormat="false" ht="15" hidden="false" customHeight="false" outlineLevel="0" collapsed="false">
      <c r="A8" s="6" t="n">
        <v>45499</v>
      </c>
      <c r="B8" s="3" t="n">
        <v>1440.77</v>
      </c>
      <c r="C8" s="3" t="n">
        <v>6.08</v>
      </c>
      <c r="D8" s="3" t="n">
        <v>2.77</v>
      </c>
      <c r="E8" s="3" t="n">
        <v>6432.16</v>
      </c>
      <c r="F8" s="4" t="n">
        <f aca="false">C8-D8</f>
        <v>3.31</v>
      </c>
      <c r="G8" s="4" t="n">
        <f aca="false">LN(B8/B7)</f>
        <v>0.0137957321120038</v>
      </c>
      <c r="H8" s="4" t="n">
        <f aca="false">D8-D7</f>
        <v>-0.1</v>
      </c>
      <c r="I8" s="4" t="n">
        <f aca="false">F8-F7</f>
        <v>0.0800000000000005</v>
      </c>
      <c r="J8" s="4" t="n">
        <f aca="false">LN(E8/E7)</f>
        <v>-0.0194789560072778</v>
      </c>
    </row>
    <row r="9" customFormat="false" ht="15" hidden="false" customHeight="false" outlineLevel="0" collapsed="false">
      <c r="A9" s="6" t="n">
        <v>45506</v>
      </c>
      <c r="B9" s="3" t="n">
        <v>1423.4</v>
      </c>
      <c r="C9" s="3" t="n">
        <v>5.99</v>
      </c>
      <c r="D9" s="3" t="n">
        <v>2.6</v>
      </c>
      <c r="E9" s="3" t="n">
        <v>6315.46</v>
      </c>
      <c r="F9" s="4" t="n">
        <f aca="false">C9-D9</f>
        <v>3.39</v>
      </c>
      <c r="G9" s="4" t="n">
        <f aca="false">LN(B9/B8)</f>
        <v>-0.0121293170141138</v>
      </c>
      <c r="H9" s="4" t="n">
        <f aca="false">D9-D8</f>
        <v>-0.17</v>
      </c>
      <c r="I9" s="4" t="n">
        <f aca="false">F9-F8</f>
        <v>0.0800000000000001</v>
      </c>
      <c r="J9" s="4" t="n">
        <f aca="false">LN(E9/E8)</f>
        <v>-0.0183098116009516</v>
      </c>
    </row>
    <row r="10" customFormat="false" ht="15" hidden="false" customHeight="false" outlineLevel="0" collapsed="false">
      <c r="A10" s="6" t="n">
        <v>45513</v>
      </c>
      <c r="B10" s="3" t="n">
        <v>1460.5</v>
      </c>
      <c r="C10" s="3" t="n">
        <v>5.91</v>
      </c>
      <c r="D10" s="3" t="n">
        <v>2.53</v>
      </c>
      <c r="E10" s="3" t="n">
        <v>6320.96</v>
      </c>
      <c r="F10" s="4" t="n">
        <f aca="false">C10-D10</f>
        <v>3.38</v>
      </c>
      <c r="G10" s="4" t="n">
        <f aca="false">LN(B10/B9)</f>
        <v>0.025730466962625</v>
      </c>
      <c r="H10" s="4" t="n">
        <f aca="false">D10-D9</f>
        <v>-0.0700000000000003</v>
      </c>
      <c r="I10" s="4" t="n">
        <f aca="false">F10-F9</f>
        <v>-0.00999999999999979</v>
      </c>
      <c r="J10" s="4" t="n">
        <f aca="false">LN(E10/E9)</f>
        <v>0.000870499769287734</v>
      </c>
    </row>
    <row r="11" customFormat="false" ht="15" hidden="false" customHeight="false" outlineLevel="0" collapsed="false">
      <c r="A11" s="6" t="n">
        <v>45520</v>
      </c>
      <c r="B11" s="3" t="n">
        <v>1512.11</v>
      </c>
      <c r="C11" s="3" t="n">
        <v>5.8</v>
      </c>
      <c r="D11" s="3" t="n">
        <v>2.49</v>
      </c>
      <c r="E11" s="3" t="n">
        <v>6457.74</v>
      </c>
      <c r="F11" s="4" t="n">
        <f aca="false">C11-D11</f>
        <v>3.31</v>
      </c>
      <c r="G11" s="4" t="n">
        <f aca="false">LN(B11/B10)</f>
        <v>0.0347271835881849</v>
      </c>
      <c r="H11" s="4" t="n">
        <f aca="false">D11-D10</f>
        <v>-0.0399999999999996</v>
      </c>
      <c r="I11" s="4" t="n">
        <f aca="false">F11-F10</f>
        <v>-0.0700000000000007</v>
      </c>
      <c r="J11" s="4" t="n">
        <f aca="false">LN(E11/E10)</f>
        <v>0.0214083160256645</v>
      </c>
    </row>
    <row r="12" customFormat="false" ht="15" hidden="false" customHeight="false" outlineLevel="0" collapsed="false">
      <c r="A12" s="6" t="n">
        <v>45527</v>
      </c>
      <c r="B12" s="3" t="n">
        <v>1519.71</v>
      </c>
      <c r="C12" s="3" t="n">
        <v>5.73</v>
      </c>
      <c r="D12" s="3" t="n">
        <v>2.4</v>
      </c>
      <c r="E12" s="3" t="n">
        <v>6463.24</v>
      </c>
      <c r="F12" s="4" t="n">
        <f aca="false">C12-D12</f>
        <v>3.33</v>
      </c>
      <c r="G12" s="4" t="n">
        <f aca="false">LN(B12/B11)</f>
        <v>0.00501350074803053</v>
      </c>
      <c r="H12" s="4" t="n">
        <f aca="false">D12-D11</f>
        <v>-0.0900000000000003</v>
      </c>
      <c r="I12" s="4" t="n">
        <f aca="false">F12-F11</f>
        <v>0.0200000000000009</v>
      </c>
      <c r="J12" s="4" t="n">
        <f aca="false">LN(E12/E11)</f>
        <v>0.000851328665810409</v>
      </c>
    </row>
    <row r="13" customFormat="false" ht="15" hidden="false" customHeight="false" outlineLevel="0" collapsed="false">
      <c r="A13" s="6" t="n">
        <v>45534</v>
      </c>
      <c r="B13" s="3" t="n">
        <v>1490.21</v>
      </c>
      <c r="C13" s="3" t="n">
        <v>5.64</v>
      </c>
      <c r="D13" s="3" t="n">
        <v>2.37</v>
      </c>
      <c r="E13" s="3" t="n">
        <v>6459.96</v>
      </c>
      <c r="F13" s="4" t="n">
        <f aca="false">C13-D13</f>
        <v>3.27</v>
      </c>
      <c r="G13" s="4" t="n">
        <f aca="false">LN(B13/B12)</f>
        <v>-0.0196024775582427</v>
      </c>
      <c r="H13" s="4" t="n">
        <f aca="false">D13-D12</f>
        <v>-0.0299999999999998</v>
      </c>
      <c r="I13" s="4" t="n">
        <f aca="false">F13-F12</f>
        <v>-0.0600000000000009</v>
      </c>
      <c r="J13" s="4" t="n">
        <f aca="false">LN(E13/E12)</f>
        <v>-0.000507614224097735</v>
      </c>
    </row>
    <row r="14" customFormat="false" ht="15" hidden="false" customHeight="false" outlineLevel="0" collapsed="false">
      <c r="A14" s="6" t="n">
        <v>45541</v>
      </c>
      <c r="B14" s="3" t="n">
        <v>1506.29</v>
      </c>
      <c r="C14" s="3" t="n">
        <v>5.5</v>
      </c>
      <c r="D14" s="3" t="n">
        <v>2.26</v>
      </c>
      <c r="E14" s="3" t="n">
        <v>6245.42</v>
      </c>
      <c r="F14" s="4" t="n">
        <f aca="false">C14-D14</f>
        <v>3.24</v>
      </c>
      <c r="G14" s="4" t="n">
        <f aca="false">LN(B14/B13)</f>
        <v>0.0107326242971895</v>
      </c>
      <c r="H14" s="4" t="n">
        <f aca="false">D14-D13</f>
        <v>-0.11</v>
      </c>
      <c r="I14" s="4" t="n">
        <f aca="false">F14-F13</f>
        <v>-0.0299999999999994</v>
      </c>
      <c r="J14" s="4" t="n">
        <f aca="false">LN(E14/E13)</f>
        <v>-0.033774730705728</v>
      </c>
    </row>
    <row r="15" customFormat="false" ht="15" hidden="false" customHeight="false" outlineLevel="0" collapsed="false">
      <c r="A15" s="6" t="n">
        <v>45547</v>
      </c>
      <c r="B15" s="3" t="n">
        <v>1509.05</v>
      </c>
      <c r="C15" s="3" t="n">
        <v>5.37</v>
      </c>
      <c r="D15" s="3" t="n">
        <v>2.1</v>
      </c>
      <c r="E15" s="3" t="n">
        <v>6343.16</v>
      </c>
      <c r="F15" s="4" t="n">
        <f aca="false">C15-D15</f>
        <v>3.27</v>
      </c>
      <c r="G15" s="4" t="n">
        <f aca="false">LN(B15/B14)</f>
        <v>0.0018306398421309</v>
      </c>
      <c r="H15" s="4" t="n">
        <f aca="false">D15-D14</f>
        <v>-0.16</v>
      </c>
      <c r="I15" s="4" t="n">
        <f aca="false">F15-F14</f>
        <v>0.0299999999999998</v>
      </c>
      <c r="J15" s="4" t="n">
        <f aca="false">LN(E15/E14)</f>
        <v>0.0155286718715782</v>
      </c>
    </row>
    <row r="16" customFormat="false" ht="15" hidden="false" customHeight="false" outlineLevel="0" collapsed="false">
      <c r="A16" s="6" t="n">
        <v>45562</v>
      </c>
      <c r="B16" s="3" t="n">
        <v>1580.6</v>
      </c>
      <c r="C16" s="3" t="n">
        <v>5.16</v>
      </c>
      <c r="D16" s="3" t="n">
        <v>1.82</v>
      </c>
      <c r="E16" s="3" t="n">
        <v>6530.73</v>
      </c>
      <c r="F16" s="4" t="n">
        <f aca="false">C16-D16</f>
        <v>3.34</v>
      </c>
      <c r="G16" s="4" t="n">
        <f aca="false">LN(B16/B15)</f>
        <v>0.0463242080257861</v>
      </c>
      <c r="H16" s="4" t="n">
        <f aca="false">D16-D15</f>
        <v>-0.28</v>
      </c>
      <c r="I16" s="4" t="n">
        <f aca="false">F16-F15</f>
        <v>0.0699999999999998</v>
      </c>
      <c r="J16" s="4" t="n">
        <f aca="false">LN(E16/E15)</f>
        <v>0.0291416617798586</v>
      </c>
    </row>
    <row r="17" customFormat="false" ht="15" hidden="false" customHeight="false" outlineLevel="0" collapsed="false">
      <c r="A17" s="6" t="n">
        <v>45568</v>
      </c>
      <c r="B17" s="3" t="n">
        <v>1524.65</v>
      </c>
      <c r="C17" s="3" t="n">
        <v>5.3</v>
      </c>
      <c r="D17" s="3" t="n">
        <v>2</v>
      </c>
      <c r="E17" s="3" t="n">
        <v>6389.82</v>
      </c>
      <c r="F17" s="4" t="n">
        <f aca="false">C17-D17</f>
        <v>3.3</v>
      </c>
      <c r="G17" s="4" t="n">
        <f aca="false">LN(B17/B16)</f>
        <v>-0.0360396462671208</v>
      </c>
      <c r="H17" s="4" t="n">
        <f aca="false">D17-D16</f>
        <v>0.18</v>
      </c>
      <c r="I17" s="4" t="n">
        <f aca="false">F17-F16</f>
        <v>-0.04</v>
      </c>
      <c r="J17" s="4" t="n">
        <f aca="false">LN(E17/E16)</f>
        <v>-0.0218126297919798</v>
      </c>
    </row>
    <row r="18" customFormat="false" ht="15" hidden="false" customHeight="false" outlineLevel="0" collapsed="false">
      <c r="A18" s="6" t="n">
        <v>45575</v>
      </c>
      <c r="B18" s="3" t="n">
        <v>1588.79</v>
      </c>
      <c r="C18" s="3" t="n">
        <v>5.57</v>
      </c>
      <c r="D18" s="3" t="n">
        <v>2.31</v>
      </c>
      <c r="E18" s="3" t="n">
        <v>6578.77</v>
      </c>
      <c r="F18" s="4" t="n">
        <f aca="false">C18-D18</f>
        <v>3.26</v>
      </c>
      <c r="G18" s="4" t="n">
        <f aca="false">LN(B18/B17)</f>
        <v>0.0412078447089375</v>
      </c>
      <c r="H18" s="4" t="n">
        <f aca="false">D18-D17</f>
        <v>0.31</v>
      </c>
      <c r="I18" s="4" t="n">
        <f aca="false">F18-F17</f>
        <v>-0.0399999999999996</v>
      </c>
      <c r="J18" s="4" t="n">
        <f aca="false">LN(E18/E17)</f>
        <v>0.0291416987938286</v>
      </c>
    </row>
    <row r="19" customFormat="false" ht="15" hidden="false" customHeight="false" outlineLevel="0" collapsed="false">
      <c r="A19" s="6" t="n">
        <v>45583</v>
      </c>
      <c r="B19" s="3" t="n">
        <v>1569.05</v>
      </c>
      <c r="C19" s="3" t="n">
        <v>5.49</v>
      </c>
      <c r="D19" s="3" t="n">
        <v>2.21</v>
      </c>
      <c r="E19" s="3" t="n">
        <v>6643.52</v>
      </c>
      <c r="F19" s="4" t="n">
        <f aca="false">C19-D19</f>
        <v>3.28</v>
      </c>
      <c r="G19" s="4" t="n">
        <f aca="false">LN(B19/B18)</f>
        <v>-0.0125023795559298</v>
      </c>
      <c r="H19" s="4" t="n">
        <f aca="false">D19-D18</f>
        <v>-0.1</v>
      </c>
      <c r="I19" s="4" t="n">
        <f aca="false">F19-F18</f>
        <v>0.02</v>
      </c>
      <c r="J19" s="4" t="n">
        <f aca="false">LN(E19/E18)</f>
        <v>0.00979414573361388</v>
      </c>
    </row>
    <row r="20" customFormat="false" ht="15" hidden="false" customHeight="false" outlineLevel="0" collapsed="false">
      <c r="A20" s="6" t="n">
        <v>45589</v>
      </c>
      <c r="B20" s="3" t="n">
        <v>1564.22</v>
      </c>
      <c r="C20" s="3" t="n">
        <v>5.75</v>
      </c>
      <c r="D20" s="3" t="n">
        <v>2.4</v>
      </c>
      <c r="E20" s="3" t="n">
        <v>6725.8</v>
      </c>
      <c r="F20" s="4" t="n">
        <f aca="false">C20-D20</f>
        <v>3.35</v>
      </c>
      <c r="G20" s="4" t="n">
        <f aca="false">LN(B20/B19)</f>
        <v>-0.00308304348225662</v>
      </c>
      <c r="H20" s="4" t="n">
        <f aca="false">D20-D19</f>
        <v>0.19</v>
      </c>
      <c r="I20" s="4" t="n">
        <f aca="false">F20-F19</f>
        <v>0.0699999999999998</v>
      </c>
      <c r="J20" s="4" t="n">
        <f aca="false">LN(E20/E19)</f>
        <v>0.0123089340145887</v>
      </c>
    </row>
    <row r="21" customFormat="false" ht="15" hidden="false" customHeight="false" outlineLevel="0" collapsed="false">
      <c r="A21" s="6" t="n">
        <v>45595</v>
      </c>
      <c r="B21" s="3" t="n">
        <v>1549.32</v>
      </c>
      <c r="C21" s="3" t="n">
        <v>5.76</v>
      </c>
      <c r="D21" s="3" t="n">
        <v>2.5</v>
      </c>
      <c r="E21" s="3" t="n">
        <v>6550.32</v>
      </c>
      <c r="F21" s="4" t="n">
        <f aca="false">C21-D21</f>
        <v>3.26</v>
      </c>
      <c r="G21" s="4" t="n">
        <f aca="false">LN(B21/B20)</f>
        <v>-0.00957117219987769</v>
      </c>
      <c r="H21" s="4" t="n">
        <f aca="false">D21-D20</f>
        <v>0.1</v>
      </c>
      <c r="I21" s="4" t="n">
        <f aca="false">F21-F20</f>
        <v>-0.0900000000000003</v>
      </c>
      <c r="J21" s="4" t="n">
        <f aca="false">LN(E21/E20)</f>
        <v>-0.0264369741050082</v>
      </c>
    </row>
    <row r="22" customFormat="false" ht="15" hidden="false" customHeight="false" outlineLevel="0" collapsed="false">
      <c r="A22" s="6" t="n">
        <v>45604</v>
      </c>
      <c r="B22" s="3" t="n">
        <v>1516.75</v>
      </c>
      <c r="C22" s="3" t="n">
        <v>5.8</v>
      </c>
      <c r="D22" s="3" t="n">
        <v>2.35</v>
      </c>
      <c r="E22" s="3" t="n">
        <v>6519.72</v>
      </c>
      <c r="F22" s="4" t="n">
        <f aca="false">C22-D22</f>
        <v>3.45</v>
      </c>
      <c r="G22" s="4" t="n">
        <f aca="false">LN(B22/B21)</f>
        <v>-0.0212462371522203</v>
      </c>
      <c r="H22" s="4" t="n">
        <f aca="false">D22-D21</f>
        <v>-0.15</v>
      </c>
      <c r="I22" s="4" t="n">
        <f aca="false">F22-F21</f>
        <v>0.19</v>
      </c>
      <c r="J22" s="4" t="n">
        <f aca="false">LN(E22/E21)</f>
        <v>-0.0046824731844959</v>
      </c>
    </row>
    <row r="23" customFormat="false" ht="15" hidden="false" customHeight="false" outlineLevel="0" collapsed="false">
      <c r="A23" s="6" t="n">
        <v>45616</v>
      </c>
      <c r="B23" s="3" t="n">
        <v>1502.94</v>
      </c>
      <c r="C23" s="3" t="n">
        <v>5.91</v>
      </c>
      <c r="D23" s="3" t="n">
        <v>2.41</v>
      </c>
      <c r="E23" s="3" t="n">
        <v>6576.33</v>
      </c>
      <c r="F23" s="4" t="n">
        <f aca="false">C23-D23</f>
        <v>3.5</v>
      </c>
      <c r="G23" s="4" t="n">
        <f aca="false">LN(B23/B22)</f>
        <v>-0.00914669802594408</v>
      </c>
      <c r="H23" s="4" t="n">
        <f aca="false">D23-D22</f>
        <v>0.0600000000000001</v>
      </c>
      <c r="I23" s="4" t="n">
        <f aca="false">F23-F22</f>
        <v>0.0500000000000003</v>
      </c>
      <c r="J23" s="4" t="n">
        <f aca="false">LN(E23/E22)</f>
        <v>0.00864540874540003</v>
      </c>
    </row>
    <row r="24" customFormat="false" ht="15" hidden="false" customHeight="false" outlineLevel="0" collapsed="false">
      <c r="A24" s="6" t="n">
        <v>45625</v>
      </c>
      <c r="B24" s="3" t="n">
        <v>1623.33</v>
      </c>
      <c r="C24" s="3" t="n">
        <v>5.68</v>
      </c>
      <c r="D24" s="3" t="n">
        <v>2.18</v>
      </c>
      <c r="E24" s="3" t="n">
        <v>6576.6</v>
      </c>
      <c r="F24" s="4" t="n">
        <f aca="false">C24-D24</f>
        <v>3.5</v>
      </c>
      <c r="G24" s="4" t="n">
        <f aca="false">LN(B24/B23)</f>
        <v>0.0770564052218642</v>
      </c>
      <c r="H24" s="4" t="n">
        <f aca="false">D24-D23</f>
        <v>-0.23</v>
      </c>
      <c r="I24" s="4" t="n">
        <f aca="false">F24-F23</f>
        <v>0</v>
      </c>
      <c r="J24" s="4" t="n">
        <f aca="false">LN(E24/E23)</f>
        <v>4.10554910637785E-005</v>
      </c>
    </row>
    <row r="25" customFormat="false" ht="15" hidden="false" customHeight="false" outlineLevel="0" collapsed="false">
      <c r="A25" s="6" t="n">
        <v>45632</v>
      </c>
      <c r="B25" s="3" t="n">
        <v>1646.03</v>
      </c>
      <c r="C25" s="3" t="n">
        <v>5.58</v>
      </c>
      <c r="D25" s="3" t="n">
        <v>2.18</v>
      </c>
      <c r="E25" s="3" t="n">
        <v>6648.65</v>
      </c>
      <c r="F25" s="4" t="n">
        <f aca="false">C25-D25</f>
        <v>3.4</v>
      </c>
      <c r="G25" s="4" t="n">
        <f aca="false">LN(B25/B24)</f>
        <v>0.0138867330550265</v>
      </c>
      <c r="H25" s="4" t="n">
        <f aca="false">D25-D24</f>
        <v>0</v>
      </c>
      <c r="I25" s="4" t="n">
        <f aca="false">F25-F24</f>
        <v>-0.0999999999999996</v>
      </c>
      <c r="J25" s="4" t="n">
        <f aca="false">LN(E25/E24)</f>
        <v>0.0108959320725545</v>
      </c>
    </row>
    <row r="26" customFormat="false" ht="15" hidden="false" customHeight="false" outlineLevel="0" collapsed="false">
      <c r="A26" s="6" t="n">
        <v>45645</v>
      </c>
      <c r="B26" s="3" t="n">
        <v>1672</v>
      </c>
      <c r="C26" s="3" t="n">
        <v>5.88</v>
      </c>
      <c r="D26" s="3" t="n">
        <v>2.4</v>
      </c>
      <c r="E26" s="3" t="n">
        <v>6699.84</v>
      </c>
      <c r="F26" s="4" t="n">
        <f aca="false">C26-D26</f>
        <v>3.48</v>
      </c>
      <c r="G26" s="4" t="n">
        <f aca="false">LN(B26/B25)</f>
        <v>0.0156541865712933</v>
      </c>
      <c r="H26" s="4" t="n">
        <f aca="false">D26-D25</f>
        <v>0.22</v>
      </c>
      <c r="I26" s="4" t="n">
        <f aca="false">F26-F25</f>
        <v>0.0800000000000001</v>
      </c>
      <c r="J26" s="4" t="n">
        <f aca="false">LN(E26/E25)</f>
        <v>0.00766981897460936</v>
      </c>
    </row>
    <row r="27" customFormat="false" ht="15" hidden="false" customHeight="false" outlineLevel="0" collapsed="false">
      <c r="A27" s="6" t="n">
        <v>45653</v>
      </c>
      <c r="B27" s="3" t="n">
        <v>1630.1</v>
      </c>
      <c r="C27" s="3" t="n">
        <v>5.99</v>
      </c>
      <c r="D27" s="3" t="n">
        <v>2.65</v>
      </c>
      <c r="E27" s="3" t="n">
        <v>6703.27</v>
      </c>
      <c r="F27" s="4" t="n">
        <f aca="false">C27-D27</f>
        <v>3.34</v>
      </c>
      <c r="G27" s="4" t="n">
        <f aca="false">LN(B27/B26)</f>
        <v>-0.0253791520324029</v>
      </c>
      <c r="H27" s="4" t="n">
        <f aca="false">D27-D26</f>
        <v>0.25</v>
      </c>
      <c r="I27" s="4" t="n">
        <f aca="false">F27-F26</f>
        <v>-0.14</v>
      </c>
      <c r="J27" s="4" t="n">
        <f aca="false">LN(E27/E26)</f>
        <v>0.000511821521255506</v>
      </c>
    </row>
    <row r="28" customFormat="false" ht="15" hidden="false" customHeight="false" outlineLevel="0" collapsed="false">
      <c r="A28" s="6" t="n">
        <v>45659</v>
      </c>
      <c r="B28" s="3" t="n">
        <v>1630</v>
      </c>
      <c r="C28" s="3" t="n">
        <v>5.93</v>
      </c>
      <c r="D28" s="3" t="n">
        <v>2.58</v>
      </c>
      <c r="E28" s="3" t="n">
        <v>6681.92</v>
      </c>
      <c r="F28" s="4" t="n">
        <f aca="false">C28-D28</f>
        <v>3.35</v>
      </c>
      <c r="G28" s="4" t="n">
        <f aca="false">LN(B28/B27)</f>
        <v>-6.13478114360352E-005</v>
      </c>
      <c r="H28" s="4" t="n">
        <f aca="false">D28-D27</f>
        <v>-0.0699999999999998</v>
      </c>
      <c r="I28" s="4" t="n">
        <f aca="false">F28-F27</f>
        <v>0.00999999999999934</v>
      </c>
      <c r="J28" s="4" t="n">
        <f aca="false">LN(E28/E27)</f>
        <v>-0.003190095636455</v>
      </c>
    </row>
    <row r="29" customFormat="false" ht="15" hidden="false" customHeight="false" outlineLevel="0" collapsed="false">
      <c r="A29" s="6" t="n">
        <v>45666</v>
      </c>
      <c r="B29" s="3" t="n">
        <v>1620</v>
      </c>
      <c r="C29" s="3" t="n">
        <v>6.05</v>
      </c>
      <c r="D29" s="3" t="n">
        <v>2.75</v>
      </c>
      <c r="E29" s="3" t="n">
        <v>6802.58</v>
      </c>
      <c r="F29" s="4" t="n">
        <f aca="false">C29-D29</f>
        <v>3.3</v>
      </c>
      <c r="G29" s="4" t="n">
        <f aca="false">LN(B29/B28)</f>
        <v>-0.00615386557437822</v>
      </c>
      <c r="H29" s="4" t="n">
        <f aca="false">D29-D28</f>
        <v>0.17</v>
      </c>
      <c r="I29" s="4" t="n">
        <f aca="false">F29-F28</f>
        <v>-0.0499999999999998</v>
      </c>
      <c r="J29" s="4" t="n">
        <f aca="false">LN(E29/E28)</f>
        <v>0.017896580588764</v>
      </c>
    </row>
    <row r="30" customFormat="false" ht="15" hidden="false" customHeight="false" outlineLevel="0" collapsed="false">
      <c r="A30" s="6" t="n">
        <v>45674</v>
      </c>
      <c r="B30" s="3" t="n">
        <v>1601</v>
      </c>
      <c r="C30" s="3" t="n">
        <v>5.93</v>
      </c>
      <c r="D30" s="3" t="n">
        <v>2.64</v>
      </c>
      <c r="E30" s="3" t="n">
        <v>6958.79</v>
      </c>
      <c r="F30" s="4" t="n">
        <f aca="false">C30-D30</f>
        <v>3.29</v>
      </c>
      <c r="G30" s="4" t="n">
        <f aca="false">LN(B30/B29)</f>
        <v>-0.0117977152297151</v>
      </c>
      <c r="H30" s="4" t="n">
        <f aca="false">D30-D29</f>
        <v>-0.11</v>
      </c>
      <c r="I30" s="4" t="n">
        <f aca="false">F30-F29</f>
        <v>-0.0100000000000002</v>
      </c>
      <c r="J30" s="4" t="n">
        <f aca="false">LN(E30/E29)</f>
        <v>0.0227036566695287</v>
      </c>
    </row>
    <row r="31" customFormat="false" ht="15" hidden="false" customHeight="false" outlineLevel="0" collapsed="false">
      <c r="A31" s="6" t="n">
        <v>45681</v>
      </c>
      <c r="B31" s="3" t="n">
        <v>1684.8</v>
      </c>
      <c r="C31" s="3" t="n">
        <v>6.01</v>
      </c>
      <c r="D31" s="3" t="n">
        <v>2.38</v>
      </c>
      <c r="E31" s="3" t="n">
        <v>7068.67</v>
      </c>
      <c r="F31" s="4" t="n">
        <f aca="false">C31-D31</f>
        <v>3.63</v>
      </c>
      <c r="G31" s="4" t="n">
        <f aca="false">LN(B31/B30)</f>
        <v>0.0510184283829964</v>
      </c>
      <c r="H31" s="4" t="n">
        <f aca="false">D31-D30</f>
        <v>-0.26</v>
      </c>
      <c r="I31" s="4" t="n">
        <f aca="false">F31-F30</f>
        <v>0.34</v>
      </c>
      <c r="J31" s="4" t="n">
        <f aca="false">LN(E31/E30)</f>
        <v>0.0156667347421844</v>
      </c>
    </row>
    <row r="32" customFormat="false" ht="15" hidden="false" customHeight="false" outlineLevel="0" collapsed="false">
      <c r="A32" s="6" t="n">
        <v>45688</v>
      </c>
      <c r="B32" s="3" t="n">
        <v>1759.9</v>
      </c>
      <c r="C32" s="3" t="n">
        <v>6.03</v>
      </c>
      <c r="D32" s="3" t="n">
        <v>2.55</v>
      </c>
      <c r="E32" s="3" t="n">
        <v>7199.59</v>
      </c>
      <c r="F32" s="4" t="n">
        <f aca="false">C32-D32</f>
        <v>3.48</v>
      </c>
      <c r="G32" s="4" t="n">
        <f aca="false">LN(B32/B31)</f>
        <v>0.0436101268564542</v>
      </c>
      <c r="H32" s="4" t="n">
        <f aca="false">D32-D31</f>
        <v>0.17</v>
      </c>
      <c r="I32" s="4" t="n">
        <f aca="false">F32-F31</f>
        <v>-0.149999999999999</v>
      </c>
      <c r="J32" s="4" t="n">
        <f aca="false">LN(E32/E31)</f>
        <v>0.0183517365561317</v>
      </c>
    </row>
    <row r="33" customFormat="false" ht="15" hidden="false" customHeight="false" outlineLevel="0" collapsed="false">
      <c r="A33" s="6" t="n">
        <v>45694</v>
      </c>
      <c r="B33" s="3" t="n">
        <v>1805</v>
      </c>
      <c r="C33" s="3" t="n">
        <v>5.98</v>
      </c>
      <c r="D33" s="3" t="n">
        <v>2.49</v>
      </c>
      <c r="E33" s="3" t="n">
        <v>7301.44</v>
      </c>
      <c r="F33" s="4" t="n">
        <f aca="false">C33-D33</f>
        <v>3.49</v>
      </c>
      <c r="G33" s="4" t="n">
        <f aca="false">LN(B33/B32)</f>
        <v>0.0253036025308159</v>
      </c>
      <c r="H33" s="4" t="n">
        <f aca="false">D33-D32</f>
        <v>-0.0599999999999996</v>
      </c>
      <c r="I33" s="4" t="n">
        <f aca="false">F33-F32</f>
        <v>0.00999999999999979</v>
      </c>
      <c r="J33" s="4" t="n">
        <f aca="false">LN(E33/E32)</f>
        <v>0.0140475090188995</v>
      </c>
    </row>
    <row r="34" customFormat="false" ht="15" hidden="false" customHeight="false" outlineLevel="0" collapsed="false">
      <c r="A34" s="6" t="n">
        <v>45699</v>
      </c>
      <c r="B34" s="3" t="n">
        <v>1791</v>
      </c>
      <c r="C34" s="3" t="n">
        <v>6</v>
      </c>
      <c r="D34" s="3" t="n">
        <v>2.45</v>
      </c>
      <c r="E34" s="3" t="n">
        <v>7278.04</v>
      </c>
      <c r="F34" s="4" t="n">
        <f aca="false">C34-D34</f>
        <v>3.55</v>
      </c>
      <c r="G34" s="4" t="n">
        <f aca="false">LN(B34/B33)</f>
        <v>-0.00778646870626946</v>
      </c>
      <c r="H34" s="4" t="n">
        <f aca="false">D34-D33</f>
        <v>-0.04</v>
      </c>
      <c r="I34" s="4" t="n">
        <f aca="false">F34-F33</f>
        <v>0.0599999999999996</v>
      </c>
      <c r="J34" s="4" t="n">
        <f aca="false">LN(E34/E33)</f>
        <v>-0.00320999378481449</v>
      </c>
    </row>
    <row r="35" customFormat="false" ht="15" hidden="false" customHeight="false" outlineLevel="0" collapsed="false">
      <c r="A35" s="6" t="n">
        <v>45708</v>
      </c>
      <c r="B35" s="3" t="n">
        <v>1881.3</v>
      </c>
      <c r="C35" s="3" t="n">
        <v>6.1</v>
      </c>
      <c r="D35" s="3" t="n">
        <v>2.6</v>
      </c>
      <c r="E35" s="3" t="n">
        <v>7322.48</v>
      </c>
      <c r="F35" s="4" t="n">
        <f aca="false">C35-D35</f>
        <v>3.5</v>
      </c>
      <c r="G35" s="4" t="n">
        <f aca="false">LN(B35/B34)</f>
        <v>0.049188904156373</v>
      </c>
      <c r="H35" s="4" t="n">
        <f aca="false">D35-D34</f>
        <v>0.15</v>
      </c>
      <c r="I35" s="4" t="n">
        <f aca="false">F35-F34</f>
        <v>-0.0500000000000003</v>
      </c>
      <c r="J35" s="4" t="n">
        <f aca="false">LN(E35/E34)</f>
        <v>0.00608747321815405</v>
      </c>
    </row>
    <row r="36" customFormat="false" ht="15" hidden="false" customHeight="false" outlineLevel="0" collapsed="false">
      <c r="A36" s="6" t="n">
        <v>45716</v>
      </c>
      <c r="B36" s="3" t="n">
        <v>1900</v>
      </c>
      <c r="C36" s="3" t="n">
        <v>5.94</v>
      </c>
      <c r="D36" s="3" t="n">
        <v>2.65</v>
      </c>
      <c r="E36" s="3" t="n">
        <v>7332.12</v>
      </c>
      <c r="F36" s="4" t="n">
        <f aca="false">C36-D36</f>
        <v>3.29</v>
      </c>
      <c r="G36" s="4" t="n">
        <f aca="false">LN(B36/B35)</f>
        <v>0.00989085893744704</v>
      </c>
      <c r="H36" s="4" t="n">
        <f aca="false">D36-D35</f>
        <v>0.0499999999999998</v>
      </c>
      <c r="I36" s="4" t="n">
        <f aca="false">F36-F35</f>
        <v>-0.209999999999999</v>
      </c>
      <c r="J36" s="4" t="n">
        <f aca="false">LN(E36/E35)</f>
        <v>0.00131562804723045</v>
      </c>
    </row>
    <row r="37" customFormat="false" ht="15" hidden="false" customHeight="false" outlineLevel="0" collapsed="false">
      <c r="A37" s="6" t="n">
        <v>45720</v>
      </c>
      <c r="B37" s="3" t="n">
        <v>1855</v>
      </c>
      <c r="C37" s="3" t="n">
        <v>5.86</v>
      </c>
      <c r="D37" s="3" t="n">
        <v>2.58</v>
      </c>
      <c r="E37" s="3" t="n">
        <v>7313.89</v>
      </c>
      <c r="F37" s="4" t="n">
        <f aca="false">C37-D37</f>
        <v>3.28</v>
      </c>
      <c r="G37" s="4" t="n">
        <f aca="false">LN(B37/B36)</f>
        <v>-0.0239691901129963</v>
      </c>
      <c r="H37" s="4" t="n">
        <f aca="false">D37-D36</f>
        <v>-0.0699999999999998</v>
      </c>
      <c r="I37" s="4" t="n">
        <f aca="false">F37-F36</f>
        <v>-0.0100000000000002</v>
      </c>
      <c r="J37" s="4" t="n">
        <f aca="false">LN(E37/E36)</f>
        <v>-0.00248941649153183</v>
      </c>
    </row>
    <row r="38" customFormat="false" ht="15" hidden="false" customHeight="false" outlineLevel="0" collapsed="false">
      <c r="A38" s="6" t="n">
        <v>45730</v>
      </c>
      <c r="B38" s="3" t="n">
        <v>1940</v>
      </c>
      <c r="C38" s="3" t="n">
        <v>5.76</v>
      </c>
      <c r="D38" s="3" t="n">
        <v>2.52</v>
      </c>
      <c r="E38" s="3" t="n">
        <v>7509</v>
      </c>
      <c r="F38" s="4" t="n">
        <f aca="false">C38-D38</f>
        <v>3.24</v>
      </c>
      <c r="G38" s="4" t="n">
        <f aca="false">LN(B38/B37)</f>
        <v>0.0448032770158383</v>
      </c>
      <c r="H38" s="4" t="n">
        <f aca="false">D38-D37</f>
        <v>-0.0600000000000001</v>
      </c>
      <c r="I38" s="4" t="n">
        <f aca="false">F38-F37</f>
        <v>-0.0400000000000005</v>
      </c>
      <c r="J38" s="4" t="n">
        <f aca="false">LN(E38/E37)</f>
        <v>0.0263270211536403</v>
      </c>
    </row>
    <row r="39" customFormat="false" ht="15" hidden="false" customHeight="false" outlineLevel="0" collapsed="false">
      <c r="A39" s="6" t="n">
        <v>45735</v>
      </c>
      <c r="B39" s="3" t="n">
        <v>1970.1</v>
      </c>
      <c r="C39" s="3" t="n">
        <v>5.76</v>
      </c>
      <c r="D39" s="3" t="n">
        <v>2.54</v>
      </c>
      <c r="E39" s="3" t="n">
        <v>7594.95</v>
      </c>
      <c r="F39" s="4" t="n">
        <f aca="false">C39-D39</f>
        <v>3.22</v>
      </c>
      <c r="G39" s="4" t="n">
        <f aca="false">LN(B39/B38)</f>
        <v>0.0153963298076627</v>
      </c>
      <c r="H39" s="4" t="n">
        <f aca="false">D39-D38</f>
        <v>0.02</v>
      </c>
      <c r="I39" s="4" t="n">
        <f aca="false">F39-F38</f>
        <v>-0.02</v>
      </c>
      <c r="J39" s="4" t="n">
        <f aca="false">LN(E39/E38)</f>
        <v>0.0113812516298467</v>
      </c>
    </row>
    <row r="40" customFormat="false" ht="15" hidden="false" customHeight="false" outlineLevel="0" collapsed="false">
      <c r="A40" s="6" t="n">
        <v>45744</v>
      </c>
      <c r="B40" s="3" t="n">
        <v>1970</v>
      </c>
      <c r="C40" s="3" t="n">
        <v>5.85</v>
      </c>
      <c r="D40" s="3" t="n">
        <v>2.63</v>
      </c>
      <c r="E40" s="3" t="n">
        <v>7694.49</v>
      </c>
      <c r="F40" s="4" t="n">
        <f aca="false">C40-D40</f>
        <v>3.22</v>
      </c>
      <c r="G40" s="4" t="n">
        <f aca="false">LN(B40/B39)</f>
        <v>-5.0760133002358E-005</v>
      </c>
      <c r="H40" s="4" t="n">
        <f aca="false">D40-D39</f>
        <v>0.0899999999999999</v>
      </c>
      <c r="I40" s="4" t="n">
        <f aca="false">F40-F39</f>
        <v>0</v>
      </c>
      <c r="J40" s="4" t="n">
        <f aca="false">LN(E40/E39)</f>
        <v>0.0130209355437257</v>
      </c>
    </row>
    <row r="41" customFormat="false" ht="15" hidden="false" customHeight="false" outlineLevel="0" collapsed="false">
      <c r="A41" s="6" t="n">
        <v>45751</v>
      </c>
      <c r="B41" s="3" t="n">
        <v>2000</v>
      </c>
      <c r="C41" s="3" t="n">
        <v>5.55</v>
      </c>
      <c r="D41" s="3" t="n">
        <v>2.28</v>
      </c>
      <c r="E41" s="3" t="n">
        <v>7504.21</v>
      </c>
      <c r="F41" s="4" t="n">
        <f aca="false">C41-D41</f>
        <v>3.27</v>
      </c>
      <c r="G41" s="4" t="n">
        <f aca="false">LN(B41/B40)</f>
        <v>0.0151136378100481</v>
      </c>
      <c r="H41" s="4" t="n">
        <f aca="false">D41-D40</f>
        <v>-0.35</v>
      </c>
      <c r="I41" s="4" t="n">
        <f aca="false">F41-F40</f>
        <v>0.0500000000000003</v>
      </c>
      <c r="J41" s="4" t="n">
        <f aca="false">LN(E41/E40)</f>
        <v>-0.0250402919043437</v>
      </c>
    </row>
    <row r="42" customFormat="false" ht="15" hidden="false" customHeight="false" outlineLevel="0" collapsed="false">
      <c r="A42" s="6" t="n">
        <v>45758</v>
      </c>
      <c r="B42" s="3" t="n">
        <v>2049.9</v>
      </c>
      <c r="C42" s="3" t="n">
        <v>5.68</v>
      </c>
      <c r="D42" s="3" t="n">
        <v>2.42</v>
      </c>
      <c r="E42" s="3" t="n">
        <v>7430.69</v>
      </c>
      <c r="F42" s="4" t="n">
        <f aca="false">C42-D42</f>
        <v>3.26</v>
      </c>
      <c r="G42" s="4" t="n">
        <f aca="false">LN(B42/B41)</f>
        <v>0.02464383091276</v>
      </c>
      <c r="H42" s="4" t="n">
        <f aca="false">D42-D41</f>
        <v>0.14</v>
      </c>
      <c r="I42" s="4" t="n">
        <f aca="false">F42-F41</f>
        <v>-0.0100000000000002</v>
      </c>
      <c r="J42" s="4" t="n">
        <f aca="false">LN(E42/E41)</f>
        <v>-0.00984547521276507</v>
      </c>
    </row>
    <row r="43" customFormat="false" ht="15" hidden="false" customHeight="false" outlineLevel="0" collapsed="false">
      <c r="A43" s="6" t="n">
        <v>45764</v>
      </c>
      <c r="B43" s="3" t="n">
        <v>2179.9</v>
      </c>
      <c r="C43" s="3" t="n">
        <v>5.58</v>
      </c>
      <c r="D43" s="3" t="n">
        <v>2.49</v>
      </c>
      <c r="E43" s="3" t="n">
        <v>7815.25</v>
      </c>
      <c r="F43" s="4" t="n">
        <f aca="false">C43-D43</f>
        <v>3.09</v>
      </c>
      <c r="G43" s="4" t="n">
        <f aca="false">LN(B43/B42)</f>
        <v>0.0614879927165271</v>
      </c>
      <c r="H43" s="4" t="n">
        <f aca="false">D43-D42</f>
        <v>0.0700000000000003</v>
      </c>
      <c r="I43" s="4" t="n">
        <f aca="false">F43-F42</f>
        <v>-0.17</v>
      </c>
      <c r="J43" s="4" t="n">
        <f aca="false">LN(E43/E42)</f>
        <v>0.0504582319508436</v>
      </c>
    </row>
    <row r="44" customFormat="false" ht="15" hidden="false" customHeight="false" outlineLevel="0" collapsed="false">
      <c r="A44" s="6" t="n">
        <v>45772</v>
      </c>
      <c r="B44" s="3" t="n">
        <v>2200</v>
      </c>
      <c r="C44" s="3" t="n">
        <v>5.71</v>
      </c>
      <c r="D44" s="3" t="n">
        <v>2.48</v>
      </c>
      <c r="E44" s="3" t="n">
        <v>7991.62</v>
      </c>
      <c r="F44" s="4" t="n">
        <f aca="false">C44-D44</f>
        <v>3.23</v>
      </c>
      <c r="G44" s="4" t="n">
        <f aca="false">LN(B44/B43)</f>
        <v>0.0091783561750376</v>
      </c>
      <c r="H44" s="4" t="n">
        <f aca="false">D44-D43</f>
        <v>-0.0100000000000002</v>
      </c>
      <c r="I44" s="4" t="n">
        <f aca="false">F44-F43</f>
        <v>0.14</v>
      </c>
      <c r="J44" s="4" t="n">
        <f aca="false">LN(E44/E43)</f>
        <v>0.0223165395432302</v>
      </c>
    </row>
    <row r="45" customFormat="false" ht="15" hidden="false" customHeight="false" outlineLevel="0" collapsed="false">
      <c r="A45" s="6" t="n">
        <v>45777</v>
      </c>
      <c r="B45" s="3" t="n">
        <v>2225</v>
      </c>
      <c r="C45" s="3" t="n">
        <v>5.7</v>
      </c>
      <c r="D45" s="3" t="n">
        <v>2.45</v>
      </c>
      <c r="E45" s="3" t="n">
        <v>8041.14</v>
      </c>
      <c r="F45" s="4" t="n">
        <f aca="false">C45-D45</f>
        <v>3.25</v>
      </c>
      <c r="G45" s="4" t="n">
        <f aca="false">LN(B45/B44)</f>
        <v>0.0112995552539335</v>
      </c>
      <c r="H45" s="4" t="n">
        <f aca="false">D45-D44</f>
        <v>-0.0299999999999998</v>
      </c>
      <c r="I45" s="4" t="n">
        <f aca="false">F45-F44</f>
        <v>0.02</v>
      </c>
      <c r="J45" s="4" t="n">
        <f aca="false">LN(E45/E44)</f>
        <v>0.0061773715159667</v>
      </c>
    </row>
    <row r="46" customFormat="false" ht="15" hidden="false" customHeight="false" outlineLevel="0" collapsed="false">
      <c r="A46" s="6" t="n">
        <v>45784</v>
      </c>
      <c r="B46" s="3" t="n">
        <v>2240</v>
      </c>
      <c r="C46" s="3" t="n">
        <v>5.78</v>
      </c>
      <c r="D46" s="3" t="n">
        <v>2.53</v>
      </c>
      <c r="E46" s="3" t="n">
        <v>8173.81</v>
      </c>
      <c r="F46" s="4" t="n">
        <f aca="false">C46-D46</f>
        <v>3.25</v>
      </c>
      <c r="G46" s="4" t="n">
        <f aca="false">LN(B46/B45)</f>
        <v>0.00671895024874501</v>
      </c>
      <c r="H46" s="4" t="n">
        <f aca="false">D46-D45</f>
        <v>0.0799999999999996</v>
      </c>
      <c r="I46" s="4" t="n">
        <f aca="false">F46-F45</f>
        <v>0</v>
      </c>
      <c r="J46" s="4" t="n">
        <f aca="false">LN(E46/E45)</f>
        <v>0.0163642762541087</v>
      </c>
    </row>
    <row r="47" customFormat="false" ht="15" hidden="false" customHeight="false" outlineLevel="0" collapsed="false">
      <c r="A47" s="6" t="n">
        <v>45793</v>
      </c>
      <c r="B47" s="3" t="n">
        <v>2177</v>
      </c>
      <c r="C47" s="3" t="n">
        <v>5.75</v>
      </c>
      <c r="D47" s="3" t="n">
        <v>2.56</v>
      </c>
      <c r="E47" s="3" t="n">
        <v>8386.16</v>
      </c>
      <c r="F47" s="4" t="n">
        <f aca="false">C47-D47</f>
        <v>3.19</v>
      </c>
      <c r="G47" s="4" t="n">
        <f aca="false">LN(B47/B46)</f>
        <v>-0.0285280836145381</v>
      </c>
      <c r="H47" s="4" t="n">
        <f aca="false">D47-D46</f>
        <v>0.0300000000000003</v>
      </c>
      <c r="I47" s="4" t="n">
        <f aca="false">F47-F46</f>
        <v>-0.0600000000000005</v>
      </c>
      <c r="J47" s="4" t="n">
        <f aca="false">LN(E47/E46)</f>
        <v>0.0256475875462791</v>
      </c>
    </row>
    <row r="48" customFormat="false" ht="15" hidden="false" customHeight="false" outlineLevel="0" collapsed="false">
      <c r="A48" s="6" t="n">
        <v>45799</v>
      </c>
      <c r="B48" s="3" t="n">
        <v>2225.5</v>
      </c>
      <c r="C48" s="3" t="n">
        <v>5.8</v>
      </c>
      <c r="D48" s="3" t="n">
        <v>2.58</v>
      </c>
      <c r="E48" s="3" t="n">
        <v>8367.62</v>
      </c>
      <c r="F48" s="4" t="n">
        <f aca="false">C48-D48</f>
        <v>3.22</v>
      </c>
      <c r="G48" s="4" t="n">
        <f aca="false">LN(B48/B47)</f>
        <v>0.0220338272213615</v>
      </c>
      <c r="H48" s="4" t="n">
        <f aca="false">D48-D47</f>
        <v>0.02</v>
      </c>
      <c r="I48" s="4" t="n">
        <f aca="false">F48-F47</f>
        <v>0.0299999999999998</v>
      </c>
      <c r="J48" s="4" t="n">
        <f aca="false">LN(E48/E47)</f>
        <v>-0.00221323278305264</v>
      </c>
    </row>
    <row r="49" customFormat="false" ht="15" hidden="false" customHeight="false" outlineLevel="0" collapsed="false">
      <c r="A49" s="6" t="n">
        <v>45807</v>
      </c>
      <c r="B49" s="3" t="n">
        <v>2060</v>
      </c>
      <c r="C49" s="3" t="n">
        <v>5.77</v>
      </c>
      <c r="D49" s="3" t="n">
        <v>2.57</v>
      </c>
      <c r="E49" s="3" t="n">
        <v>8047.51</v>
      </c>
      <c r="F49" s="4" t="n">
        <f aca="false">C49-D49</f>
        <v>3.2</v>
      </c>
      <c r="G49" s="4" t="n">
        <f aca="false">LN(B49/B48)</f>
        <v>-0.0772756266722822</v>
      </c>
      <c r="H49" s="4" t="n">
        <f aca="false">D49-D48</f>
        <v>-0.0100000000000002</v>
      </c>
      <c r="I49" s="4" t="n">
        <f aca="false">F49-F48</f>
        <v>-0.02</v>
      </c>
      <c r="J49" s="4" t="n">
        <f aca="false">LN(E49/E48)</f>
        <v>-0.0390067683895999</v>
      </c>
    </row>
    <row r="50" customFormat="false" ht="15" hidden="false" customHeight="false" outlineLevel="0" collapsed="false">
      <c r="A50" s="6" t="n">
        <v>45813</v>
      </c>
      <c r="B50" s="3" t="n">
        <v>2070</v>
      </c>
      <c r="C50" s="3" t="n">
        <v>5.75</v>
      </c>
      <c r="D50" s="3" t="n">
        <v>2.6</v>
      </c>
      <c r="E50" s="3" t="n">
        <v>8145.59</v>
      </c>
      <c r="F50" s="4" t="n">
        <f aca="false">C50-D50</f>
        <v>3.15</v>
      </c>
      <c r="G50" s="4" t="n">
        <f aca="false">LN(B50/B49)</f>
        <v>0.00484262447578799</v>
      </c>
      <c r="H50" s="4" t="n">
        <f aca="false">D50-D49</f>
        <v>0.0300000000000003</v>
      </c>
      <c r="I50" s="4" t="n">
        <f aca="false">F50-F49</f>
        <v>-0.0499999999999998</v>
      </c>
      <c r="J50" s="4" t="n">
        <f aca="false">LN(E50/E49)</f>
        <v>0.0121139496965455</v>
      </c>
    </row>
    <row r="51" customFormat="false" ht="15" hidden="false" customHeight="false" outlineLevel="0" collapsed="false">
      <c r="A51" s="6" t="n">
        <v>45821</v>
      </c>
      <c r="B51" s="3" t="n">
        <v>2080</v>
      </c>
      <c r="C51" s="3" t="n">
        <v>5.76</v>
      </c>
      <c r="D51" s="3" t="n">
        <v>2.61</v>
      </c>
      <c r="E51" s="3" t="n">
        <v>8209.92</v>
      </c>
      <c r="F51" s="4" t="n">
        <f aca="false">C51-D51</f>
        <v>3.15</v>
      </c>
      <c r="G51" s="4" t="n">
        <f aca="false">LN(B51/B50)</f>
        <v>0.00481928643594892</v>
      </c>
      <c r="H51" s="4" t="n">
        <f aca="false">D51-D50</f>
        <v>0.00999999999999979</v>
      </c>
      <c r="I51" s="4" t="n">
        <f aca="false">F51-F50</f>
        <v>0</v>
      </c>
      <c r="J51" s="4" t="n">
        <f aca="false">LN(E51/E50)</f>
        <v>0.00786650269395706</v>
      </c>
    </row>
    <row r="52" customFormat="false" ht="15" hidden="false" customHeight="false" outlineLevel="0" collapsed="false">
      <c r="A52" s="6" t="n">
        <v>45824</v>
      </c>
      <c r="B52" s="3" t="n">
        <v>2070.6</v>
      </c>
      <c r="C52" s="3" t="n">
        <v>5.73</v>
      </c>
      <c r="D52" s="3" t="n">
        <v>2.6</v>
      </c>
      <c r="E52" s="3" t="n">
        <v>8165.29</v>
      </c>
      <c r="F52" s="4" t="n">
        <f aca="false">C52-D52</f>
        <v>3.13</v>
      </c>
      <c r="G52" s="4" t="n">
        <f aca="false">LN(B52/B51)</f>
        <v>-0.00452947336335093</v>
      </c>
      <c r="H52" s="4" t="n">
        <f aca="false">D52-D51</f>
        <v>-0.00999999999999979</v>
      </c>
      <c r="I52" s="4" t="n">
        <f aca="false">F52-F51</f>
        <v>-0.0199999999999996</v>
      </c>
      <c r="J52" s="4" t="n">
        <f aca="false">LN(E52/E51)</f>
        <v>-0.00545093595824903</v>
      </c>
    </row>
    <row r="53" customFormat="false" ht="15" hidden="false" customHeight="false" outlineLevel="0" collapsed="false">
      <c r="A53" s="6" t="n">
        <v>45835</v>
      </c>
      <c r="B53" s="3" t="n">
        <v>2050.1</v>
      </c>
      <c r="C53" s="3" t="n">
        <v>5.68</v>
      </c>
      <c r="D53" s="3" t="n">
        <v>2.69</v>
      </c>
      <c r="E53" s="3" t="n">
        <v>8213.08</v>
      </c>
      <c r="F53" s="4" t="n">
        <f aca="false">C53-D53</f>
        <v>2.99</v>
      </c>
      <c r="G53" s="4" t="n">
        <f aca="false">LN(B53/B52)</f>
        <v>-0.0099498479014833</v>
      </c>
      <c r="H53" s="4" t="n">
        <f aca="false">D53-D52</f>
        <v>0.0899999999999999</v>
      </c>
      <c r="I53" s="4" t="n">
        <f aca="false">F53-F52</f>
        <v>-0.140000000000001</v>
      </c>
      <c r="J53" s="4" t="n">
        <f aca="false">LN(E53/E52)</f>
        <v>0.00583576212143449</v>
      </c>
    </row>
    <row r="54" customFormat="false" ht="15" hidden="false" customHeight="false" outlineLevel="0" collapsed="false">
      <c r="A54" s="6" t="n">
        <v>45841</v>
      </c>
      <c r="B54" s="3" t="n">
        <v>2080</v>
      </c>
      <c r="C54" s="3" t="n">
        <v>5.67</v>
      </c>
      <c r="D54" s="3" t="n">
        <v>2.65</v>
      </c>
      <c r="E54" s="3" t="n">
        <v>8290.26</v>
      </c>
      <c r="F54" s="4" t="n">
        <f aca="false">C54-D54</f>
        <v>3.02</v>
      </c>
      <c r="G54" s="4" t="n">
        <f aca="false">LN(B54/B53)</f>
        <v>0.0144793212648343</v>
      </c>
      <c r="H54" s="4" t="n">
        <f aca="false">D54-D53</f>
        <v>-0.04</v>
      </c>
      <c r="I54" s="4" t="n">
        <f aca="false">F54-F53</f>
        <v>0.0300000000000003</v>
      </c>
      <c r="J54" s="4" t="n">
        <f aca="false">LN(E54/E53)</f>
        <v>0.00935332637777574</v>
      </c>
    </row>
    <row r="55" customFormat="false" ht="15" hidden="false" customHeight="false" outlineLevel="0" collapsed="false">
      <c r="A55" s="6" t="n">
        <v>45849</v>
      </c>
      <c r="B55" s="3" t="n">
        <v>2190</v>
      </c>
      <c r="C55" s="3" t="n">
        <v>5.61</v>
      </c>
      <c r="D55" s="3" t="n">
        <v>2.68</v>
      </c>
      <c r="E55" s="3" t="n">
        <v>8231.92</v>
      </c>
      <c r="F55" s="4" t="n">
        <f aca="false">C55-D55</f>
        <v>2.93</v>
      </c>
      <c r="G55" s="4" t="n">
        <f aca="false">LN(B55/B54)</f>
        <v>0.0515336501151829</v>
      </c>
      <c r="H55" s="4" t="n">
        <f aca="false">D55-D54</f>
        <v>0.0300000000000003</v>
      </c>
      <c r="I55" s="4" t="n">
        <f aca="false">F55-F54</f>
        <v>-0.0899999999999999</v>
      </c>
      <c r="J55" s="4" t="n">
        <f aca="false">LN(E55/E54)</f>
        <v>-0.00706205143190694</v>
      </c>
    </row>
    <row r="56" customFormat="false" ht="15" hidden="false" customHeight="false" outlineLevel="0" collapsed="false">
      <c r="A56" s="6" t="n">
        <v>45863</v>
      </c>
      <c r="B56" s="3" t="n">
        <v>2065</v>
      </c>
      <c r="C56" s="3" t="n">
        <v>5.6</v>
      </c>
      <c r="D56" s="3" t="n">
        <v>2.52</v>
      </c>
      <c r="E56" s="3" t="n">
        <v>8221.9</v>
      </c>
      <c r="F56" s="4" t="n">
        <f aca="false">C56-D56</f>
        <v>3.08</v>
      </c>
      <c r="G56" s="4" t="n">
        <f aca="false">LN(B56/B55)</f>
        <v>-0.0587713174154133</v>
      </c>
      <c r="H56" s="4" t="n">
        <f aca="false">D56-D55</f>
        <v>-0.16</v>
      </c>
      <c r="I56" s="4" t="n">
        <f aca="false">F56-F55</f>
        <v>0.149999999999999</v>
      </c>
      <c r="J56" s="4" t="n">
        <f aca="false">LN(E56/E55)</f>
        <v>-0.00121795440069843</v>
      </c>
    </row>
    <row r="57" customFormat="false" ht="15" hidden="false" customHeight="false" outlineLevel="0" collapsed="false">
      <c r="A57" s="6" t="n">
        <v>45870</v>
      </c>
      <c r="B57" s="3" t="n">
        <v>2124</v>
      </c>
      <c r="C57" s="3" t="n">
        <v>5.6</v>
      </c>
      <c r="D57" s="3" t="n">
        <v>2.45</v>
      </c>
      <c r="E57" s="3" t="n">
        <v>8161.33</v>
      </c>
      <c r="F57" s="4" t="n">
        <f aca="false">C57-D57</f>
        <v>3.15</v>
      </c>
      <c r="G57" s="4" t="n">
        <f aca="false">LN(B57/B56)</f>
        <v>0.0281708769666962</v>
      </c>
      <c r="H57" s="4" t="n">
        <f aca="false">D57-D56</f>
        <v>-0.0699999999999998</v>
      </c>
      <c r="I57" s="4" t="n">
        <f aca="false">F57-F56</f>
        <v>0.0699999999999998</v>
      </c>
      <c r="J57" s="4" t="n">
        <f aca="false">LN(E57/E56)</f>
        <v>-0.00739418002020958</v>
      </c>
    </row>
    <row r="58" customFormat="false" ht="15" hidden="false" customHeight="false" outlineLevel="0" collapsed="false">
      <c r="A58" s="6" t="n">
        <v>45877</v>
      </c>
      <c r="B58" s="3" t="n">
        <v>2164.9</v>
      </c>
      <c r="C58" s="3" t="n">
        <v>5.63</v>
      </c>
      <c r="D58" s="3" t="n">
        <v>2.36</v>
      </c>
      <c r="E58" s="3" t="n">
        <v>8520.53</v>
      </c>
      <c r="F58" s="4" t="n">
        <f aca="false">C58-D58</f>
        <v>3.27</v>
      </c>
      <c r="G58" s="4" t="n">
        <f aca="false">LN(B58/B57)</f>
        <v>0.0190730676315552</v>
      </c>
      <c r="H58" s="4" t="n">
        <f aca="false">D58-D57</f>
        <v>-0.0900000000000003</v>
      </c>
      <c r="I58" s="4" t="n">
        <f aca="false">F58-F57</f>
        <v>0.120000000000001</v>
      </c>
      <c r="J58" s="4" t="n">
        <f aca="false">LN(E58/E57)</f>
        <v>0.0430713995886106</v>
      </c>
    </row>
    <row r="59" customFormat="false" ht="15" hidden="false" customHeight="false" outlineLevel="0" collapsed="false">
      <c r="A59" s="6" t="n">
        <v>45882</v>
      </c>
      <c r="B59" s="3" t="n">
        <v>2228.1</v>
      </c>
      <c r="C59" s="3" t="n">
        <v>5.59</v>
      </c>
      <c r="D59" s="3" t="n">
        <v>2.37</v>
      </c>
      <c r="E59" s="3" t="n">
        <v>8737.86</v>
      </c>
      <c r="F59" s="4" t="n">
        <f aca="false">C59-D59</f>
        <v>3.22</v>
      </c>
      <c r="G59" s="4" t="n">
        <f aca="false">LN(B59/B58)</f>
        <v>0.0287750333499756</v>
      </c>
      <c r="H59" s="4" t="n">
        <f aca="false">D59-D58</f>
        <v>0.0100000000000002</v>
      </c>
      <c r="I59" s="4" t="n">
        <f aca="false">F59-F58</f>
        <v>-0.0500000000000003</v>
      </c>
      <c r="J59" s="4" t="n">
        <f aca="false">LN(E59/E58)</f>
        <v>0.0251867629486536</v>
      </c>
    </row>
    <row r="60" customFormat="false" ht="15" hidden="false" customHeight="false" outlineLevel="0" collapsed="false">
      <c r="A60" s="6" t="n">
        <v>45891</v>
      </c>
      <c r="B60" s="3" t="n">
        <v>2242.2</v>
      </c>
      <c r="C60" s="3" t="n">
        <v>5.57</v>
      </c>
      <c r="D60" s="3" t="n">
        <v>2.49</v>
      </c>
      <c r="E60" s="3" t="n">
        <v>8854.26</v>
      </c>
      <c r="F60" s="4" t="n">
        <f aca="false">C60-D60</f>
        <v>3.08</v>
      </c>
      <c r="G60" s="4" t="n">
        <f aca="false">LN(B60/B59)</f>
        <v>0.00630832237613279</v>
      </c>
      <c r="H60" s="4" t="n">
        <f aca="false">D60-D59</f>
        <v>0.12</v>
      </c>
      <c r="I60" s="4" t="n">
        <f aca="false">F60-F59</f>
        <v>-0.14</v>
      </c>
      <c r="J60" s="4" t="n">
        <f aca="false">LN(E60/E59)</f>
        <v>0.0132333907095393</v>
      </c>
    </row>
    <row r="61" customFormat="false" ht="15" hidden="false" customHeight="false" outlineLevel="0" collapsed="false">
      <c r="A61" s="6" t="n">
        <v>45898</v>
      </c>
      <c r="B61" s="3" t="n">
        <v>2270.1</v>
      </c>
      <c r="C61" s="3" t="n">
        <v>5.63</v>
      </c>
      <c r="D61" s="3" t="n">
        <v>2.48</v>
      </c>
      <c r="E61" s="3" t="n">
        <v>8899.91</v>
      </c>
      <c r="F61" s="4" t="n">
        <f aca="false">C61-D61</f>
        <v>3.15</v>
      </c>
      <c r="G61" s="4" t="n">
        <f aca="false">LN(B61/B60)</f>
        <v>0.0123663566490923</v>
      </c>
      <c r="H61" s="4" t="n">
        <f aca="false">D61-D60</f>
        <v>-0.0100000000000002</v>
      </c>
      <c r="I61" s="4" t="n">
        <f aca="false">F61-F60</f>
        <v>0.0699999999999998</v>
      </c>
      <c r="J61" s="4" t="n">
        <f aca="false">LN(E61/E60)</f>
        <v>0.00514246518997453</v>
      </c>
    </row>
    <row r="62" customFormat="false" ht="15" hidden="false" customHeight="false" outlineLevel="0" collapsed="false">
      <c r="A62" s="6" t="n">
        <v>45905</v>
      </c>
      <c r="B62" s="3" t="n">
        <v>2454.11</v>
      </c>
      <c r="C62" s="3" t="n">
        <v>5.67</v>
      </c>
      <c r="D62" s="3" t="n">
        <v>2.41</v>
      </c>
      <c r="E62" s="3" t="n">
        <v>9210.68</v>
      </c>
      <c r="F62" s="4" t="n">
        <f aca="false">C62-D62</f>
        <v>3.26</v>
      </c>
      <c r="G62" s="4" t="n">
        <f aca="false">LN(B62/B61)</f>
        <v>0.0779402866735472</v>
      </c>
      <c r="H62" s="4" t="n">
        <f aca="false">D62-D61</f>
        <v>-0.0699999999999998</v>
      </c>
      <c r="I62" s="4" t="n">
        <f aca="false">F62-F61</f>
        <v>0.11</v>
      </c>
      <c r="J62" s="4" t="n">
        <f aca="false">LN(E62/E61)</f>
        <v>0.034322516004741</v>
      </c>
    </row>
    <row r="63" customFormat="false" ht="15" hidden="false" customHeight="false" outlineLevel="0" collapsed="false">
      <c r="A63" s="6" t="n">
        <v>45912</v>
      </c>
      <c r="B63" s="3" t="n">
        <v>2515</v>
      </c>
      <c r="C63" s="3" t="n">
        <v>5.62</v>
      </c>
      <c r="D63" s="3" t="n">
        <v>2.42</v>
      </c>
      <c r="E63" s="3" t="n">
        <v>8989.75</v>
      </c>
      <c r="F63" s="4" t="n">
        <f aca="false">C63-D63</f>
        <v>3.2</v>
      </c>
      <c r="G63" s="4" t="n">
        <f aca="false">LN(B63/B62)</f>
        <v>0.024508633491707</v>
      </c>
      <c r="H63" s="4" t="n">
        <f aca="false">D63-D62</f>
        <v>0.00999999999999979</v>
      </c>
      <c r="I63" s="4" t="n">
        <f aca="false">F63-F62</f>
        <v>-0.0599999999999996</v>
      </c>
      <c r="J63" s="4" t="n">
        <f aca="false">LN(E63/E62)</f>
        <v>-0.0242786409116009</v>
      </c>
    </row>
    <row r="64" customFormat="false" ht="15" hidden="false" customHeight="false" outlineLevel="0" collapsed="false">
      <c r="A64" s="6" t="n">
        <v>45916</v>
      </c>
      <c r="B64" s="3" t="n">
        <v>2580</v>
      </c>
      <c r="C64" s="3" t="n">
        <v>5.6</v>
      </c>
      <c r="D64" s="3" t="n">
        <v>2.41</v>
      </c>
      <c r="E64" s="3" t="n">
        <v>9066.03</v>
      </c>
      <c r="F64" s="4" t="n">
        <f aca="false">C64-D64</f>
        <v>3.19</v>
      </c>
      <c r="G64" s="4" t="n">
        <f aca="false">LN(B64/B63)</f>
        <v>0.0255165953818235</v>
      </c>
      <c r="H64" s="4" t="n">
        <f aca="false">D64-D63</f>
        <v>-0.00999999999999979</v>
      </c>
      <c r="I64" s="4" t="n">
        <f aca="false">F64-F63</f>
        <v>-0.0100000000000007</v>
      </c>
      <c r="J64" s="4" t="n">
        <f aca="false">LN(E64/E63)</f>
        <v>0.0084494221594724</v>
      </c>
    </row>
    <row r="65" customFormat="false" ht="15" hidden="false" customHeight="false" outlineLevel="0" collapsed="false">
      <c r="A65" s="6" t="n">
        <v>45925</v>
      </c>
      <c r="B65" s="3" t="n">
        <v>2585</v>
      </c>
      <c r="C65" s="3" t="n">
        <v>5.58</v>
      </c>
      <c r="D65" s="3" t="n">
        <v>2.4</v>
      </c>
      <c r="E65" s="3" t="n">
        <v>9040.46</v>
      </c>
      <c r="F65" s="4" t="n">
        <f aca="false">C65-D65</f>
        <v>3.18</v>
      </c>
      <c r="G65" s="4" t="n">
        <f aca="false">LN(B65/B64)</f>
        <v>0.0019361090268664</v>
      </c>
      <c r="H65" s="4" t="n">
        <f aca="false">D65-D64</f>
        <v>-0.0100000000000002</v>
      </c>
      <c r="I65" s="4" t="n">
        <f aca="false">F65-F64</f>
        <v>-0.00999999999999934</v>
      </c>
      <c r="J65" s="4" t="n">
        <f aca="false">LN(E65/E64)</f>
        <v>-0.00282440351478398</v>
      </c>
    </row>
    <row r="66" customFormat="false" ht="15" hidden="false" customHeight="false" outlineLevel="0" collapsed="false">
      <c r="A66" s="6" t="n">
        <v>45932</v>
      </c>
      <c r="B66" s="3" t="n">
        <v>2580</v>
      </c>
      <c r="C66" s="3" t="n">
        <v>5.63</v>
      </c>
      <c r="D66" s="3" t="n">
        <v>2.34</v>
      </c>
      <c r="E66" s="3" t="n">
        <v>8899.67</v>
      </c>
      <c r="F66" s="4" t="n">
        <f aca="false">C66-D66</f>
        <v>3.29</v>
      </c>
      <c r="G66" s="4" t="n">
        <f aca="false">LN(B66/B65)</f>
        <v>-0.00193610902686644</v>
      </c>
      <c r="H66" s="4" t="n">
        <f aca="false">D66-D65</f>
        <v>-0.0600000000000001</v>
      </c>
      <c r="I66" s="4" t="n">
        <f aca="false">F66-F65</f>
        <v>0.11</v>
      </c>
      <c r="J66" s="4" t="n">
        <f aca="false">LN(E66/E65)</f>
        <v>-0.0156958606662632</v>
      </c>
    </row>
    <row r="67" customFormat="false" ht="15" hidden="false" customHeight="false" outlineLevel="0" collapsed="false">
      <c r="A67" s="6" t="n">
        <v>45940</v>
      </c>
      <c r="B67" s="3" t="n">
        <v>2537</v>
      </c>
      <c r="C67" s="3" t="n">
        <v>5.58</v>
      </c>
      <c r="D67" s="3" t="n">
        <v>2.34</v>
      </c>
      <c r="E67" s="3" t="n">
        <v>8675.8</v>
      </c>
      <c r="F67" s="4" t="n">
        <f aca="false">C67-D67</f>
        <v>3.24</v>
      </c>
      <c r="G67" s="4" t="n">
        <f aca="false">LN(B67/B66)</f>
        <v>-0.0168071183163813</v>
      </c>
      <c r="H67" s="4" t="n">
        <f aca="false">D67-D66</f>
        <v>0</v>
      </c>
      <c r="I67" s="4" t="n">
        <f aca="false">F67-F66</f>
        <v>-0.0499999999999998</v>
      </c>
      <c r="J67" s="4" t="n">
        <f aca="false">LN(E67/E66)</f>
        <v>-0.0254766567977953</v>
      </c>
    </row>
    <row r="68" customFormat="false" ht="15" hidden="false" customHeight="false" outlineLevel="0" collapsed="false">
      <c r="A68" s="6" t="n">
        <v>45947</v>
      </c>
      <c r="B68" s="3" t="n">
        <v>2689.9</v>
      </c>
      <c r="C68" s="3" t="n">
        <v>5.57</v>
      </c>
      <c r="D68" s="3" t="n">
        <v>2.36</v>
      </c>
      <c r="E68" s="3" t="n">
        <v>9129.98</v>
      </c>
      <c r="F68" s="4" t="n">
        <f aca="false">C68-D68</f>
        <v>3.21</v>
      </c>
      <c r="G68" s="4" t="n">
        <f aca="false">LN(B68/B67)</f>
        <v>0.0585217375844164</v>
      </c>
      <c r="H68" s="4" t="n">
        <f aca="false">D68-D67</f>
        <v>0.02</v>
      </c>
      <c r="I68" s="4" t="n">
        <f aca="false">F68-F67</f>
        <v>-0.0299999999999998</v>
      </c>
      <c r="J68" s="4" t="n">
        <f aca="false">LN(E68/E67)</f>
        <v>0.0510259634227905</v>
      </c>
    </row>
    <row r="69" customFormat="false" ht="15" hidden="false" customHeight="false" outlineLevel="0" collapsed="false">
      <c r="A69" s="6" t="n">
        <v>45954</v>
      </c>
      <c r="B69" s="3" t="n">
        <v>2730</v>
      </c>
      <c r="C69" s="3" t="n">
        <v>5.55</v>
      </c>
      <c r="D69" s="3" t="n">
        <v>2.38</v>
      </c>
      <c r="E69" s="3" t="n">
        <v>9184.41</v>
      </c>
      <c r="F69" s="4" t="n">
        <f aca="false">C69-D69</f>
        <v>3.17</v>
      </c>
      <c r="G69" s="4" t="n">
        <f aca="false">LN(B69/B68)</f>
        <v>0.0147975909953073</v>
      </c>
      <c r="H69" s="4" t="n">
        <f aca="false">D69-D68</f>
        <v>0.02</v>
      </c>
      <c r="I69" s="4" t="n">
        <f aca="false">F69-F68</f>
        <v>-0.0400000000000005</v>
      </c>
      <c r="J69" s="4" t="n">
        <f aca="false">LN(E69/E68)</f>
        <v>0.00594397741391687</v>
      </c>
    </row>
    <row r="70" customFormat="false" ht="15" hidden="false" customHeight="false" outlineLevel="0" collapsed="false">
      <c r="A70" s="6" t="n">
        <v>45960</v>
      </c>
      <c r="B70" s="3" t="n">
        <v>2655</v>
      </c>
      <c r="C70" s="3" t="n">
        <v>5.56</v>
      </c>
      <c r="D70" s="3" t="n">
        <v>2.37</v>
      </c>
      <c r="E70" s="3" t="n">
        <v>9428.89</v>
      </c>
      <c r="F70" s="4" t="n">
        <f aca="false">C70-D70</f>
        <v>3.19</v>
      </c>
      <c r="G70" s="4" t="n">
        <f aca="false">LN(B70/B69)</f>
        <v>-0.0278569545029662</v>
      </c>
      <c r="H70" s="4" t="n">
        <f aca="false">D70-D69</f>
        <v>-0.00999999999999979</v>
      </c>
      <c r="I70" s="4" t="n">
        <f aca="false">F70-F69</f>
        <v>0.0199999999999996</v>
      </c>
      <c r="J70" s="4" t="n">
        <f aca="false">LN(E70/E69)</f>
        <v>0.0262708988412117</v>
      </c>
    </row>
    <row r="71" customFormat="false" ht="15" hidden="false" customHeight="false" outlineLevel="0" collapsed="false">
      <c r="A71" s="6" t="n">
        <v>45968</v>
      </c>
      <c r="B71" s="3" t="n">
        <v>2955</v>
      </c>
      <c r="C71" s="3" t="n">
        <v>5.52</v>
      </c>
      <c r="D71" s="3" t="n">
        <v>2.37</v>
      </c>
      <c r="E71" s="3" t="n">
        <v>9605.06</v>
      </c>
      <c r="F71" s="4" t="n">
        <f aca="false">C71-D71</f>
        <v>3.15</v>
      </c>
      <c r="G71" s="4" t="n">
        <f aca="false">LN(B71/B70)</f>
        <v>0.107053996164159</v>
      </c>
      <c r="H71" s="4" t="n">
        <f aca="false">D71-D70</f>
        <v>0</v>
      </c>
      <c r="I71" s="4" t="n">
        <f aca="false">F71-F70</f>
        <v>-0.04</v>
      </c>
      <c r="J71" s="4" t="n">
        <f aca="false">LN(E71/E70)</f>
        <v>0.0185116626683927</v>
      </c>
    </row>
    <row r="72" customFormat="false" ht="15" hidden="false" customHeight="false" outlineLevel="0" collapsed="false">
      <c r="A72" s="6" t="n">
        <v>45975</v>
      </c>
      <c r="B72" s="3" t="n">
        <v>2977</v>
      </c>
      <c r="C72" s="3" t="n">
        <v>5.38</v>
      </c>
      <c r="D72" s="3" t="n">
        <v>2.36</v>
      </c>
      <c r="E72" s="3" t="n">
        <v>9603.02</v>
      </c>
      <c r="F72" s="4" t="n">
        <f aca="false">C72-D72</f>
        <v>3.02</v>
      </c>
      <c r="G72" s="4" t="n">
        <f aca="false">LN(B72/B71)</f>
        <v>0.0074174311755778</v>
      </c>
      <c r="H72" s="4" t="n">
        <f aca="false">D72-D71</f>
        <v>-0.0100000000000002</v>
      </c>
      <c r="I72" s="4" t="n">
        <f aca="false">F72-F71</f>
        <v>-0.129999999999999</v>
      </c>
      <c r="J72" s="4" t="n">
        <f aca="false">LN(E72/E71)</f>
        <v>-0.000212410611333252</v>
      </c>
    </row>
    <row r="73" customFormat="false" ht="15" hidden="false" customHeight="false" outlineLevel="0" collapsed="false">
      <c r="A73" s="6" t="n">
        <v>45981</v>
      </c>
      <c r="B73" s="3" t="n">
        <v>3015</v>
      </c>
      <c r="C73" s="3" t="n">
        <v>5.35</v>
      </c>
      <c r="D73" s="3" t="n">
        <v>2.33</v>
      </c>
      <c r="E73" s="3" t="n">
        <v>9802.08</v>
      </c>
      <c r="F73" s="4" t="n">
        <f aca="false">C73-D73</f>
        <v>3.02</v>
      </c>
      <c r="G73" s="4" t="n">
        <f aca="false">LN(B73/B72)</f>
        <v>0.0126837481455094</v>
      </c>
      <c r="H73" s="4" t="n">
        <f aca="false">D73-D72</f>
        <v>-0.0299999999999998</v>
      </c>
      <c r="I73" s="4" t="n">
        <f aca="false">F73-F72</f>
        <v>0</v>
      </c>
      <c r="J73" s="4" t="n">
        <f aca="false">LN(E73/E72)</f>
        <v>0.0205169757175617</v>
      </c>
    </row>
    <row r="74" customFormat="false" ht="15" hidden="false" customHeight="false" outlineLevel="0" collapsed="false">
      <c r="A74" s="6" t="n">
        <v>45986</v>
      </c>
      <c r="B74" s="3" t="n">
        <v>3110</v>
      </c>
      <c r="C74" s="3" t="n">
        <v>5.31</v>
      </c>
      <c r="D74" s="3" t="n">
        <v>2.31</v>
      </c>
      <c r="E74" s="3" t="n">
        <v>9950.81</v>
      </c>
      <c r="F74" s="4" t="n">
        <f aca="false">C74-D74</f>
        <v>3</v>
      </c>
      <c r="G74" s="4" t="n">
        <f aca="false">LN(B74/B73)</f>
        <v>0.031022896011994</v>
      </c>
      <c r="H74" s="4" t="n">
        <f aca="false">D74-D73</f>
        <v>-0.02</v>
      </c>
      <c r="I74" s="4" t="n">
        <f aca="false">F74-F73</f>
        <v>-0.02</v>
      </c>
      <c r="J74" s="4" t="n">
        <f aca="false">LN(E74/E73)</f>
        <v>0.0150593468385808</v>
      </c>
    </row>
    <row r="75" customFormat="false" ht="15" hidden="false" customHeight="false" outlineLevel="0" collapsed="false">
      <c r="A75" s="6" t="n">
        <v>45996</v>
      </c>
      <c r="B75" s="3" t="n">
        <v>3243</v>
      </c>
      <c r="C75" s="3" t="n">
        <v>5.32</v>
      </c>
      <c r="D75" s="3" t="n">
        <v>2.32</v>
      </c>
      <c r="E75" s="3" t="n">
        <v>10222.61</v>
      </c>
      <c r="F75" s="4" t="n">
        <f aca="false">C75-D75</f>
        <v>3</v>
      </c>
      <c r="G75" s="4" t="n">
        <f aca="false">LN(B75/B74)</f>
        <v>0.0418761011340381</v>
      </c>
      <c r="H75" s="4" t="n">
        <f aca="false">D75-D74</f>
        <v>0.00999999999999979</v>
      </c>
      <c r="I75" s="4" t="n">
        <f aca="false">F75-F74</f>
        <v>0</v>
      </c>
      <c r="J75" s="4" t="n">
        <f aca="false">LN(E75/E74)</f>
        <v>0.0269479788836196</v>
      </c>
    </row>
    <row r="76" customFormat="false" ht="15" hidden="false" customHeight="false" outlineLevel="0" collapsed="false">
      <c r="A76" s="6" t="n">
        <v>46003</v>
      </c>
      <c r="B76" s="3" t="n">
        <v>3275</v>
      </c>
      <c r="C76" s="3" t="n">
        <v>5.32</v>
      </c>
      <c r="D76" s="3" t="n">
        <v>2.34</v>
      </c>
      <c r="E76" s="3" t="n">
        <v>10400.01</v>
      </c>
      <c r="F76" s="4" t="n">
        <f aca="false">C76-D76</f>
        <v>2.98</v>
      </c>
      <c r="G76" s="4" t="n">
        <f aca="false">LN(B76/B75)</f>
        <v>0.0098190417620344</v>
      </c>
      <c r="H76" s="4" t="n">
        <f aca="false">D76-D75</f>
        <v>0.02</v>
      </c>
      <c r="I76" s="4" t="n">
        <f aca="false">F76-F75</f>
        <v>-0.02</v>
      </c>
      <c r="J76" s="4" t="n">
        <f aca="false">LN(E76/E75)</f>
        <v>0.0172048339094022</v>
      </c>
    </row>
    <row r="77" customFormat="false" ht="15" hidden="false" customHeight="false" outlineLevel="0" collapsed="false">
      <c r="A77" s="6" t="n">
        <v>46009</v>
      </c>
      <c r="B77" s="3" t="n">
        <v>3140</v>
      </c>
      <c r="C77" s="3" t="n">
        <v>5.39</v>
      </c>
      <c r="D77" s="3" t="n">
        <v>2.32</v>
      </c>
      <c r="E77" s="3" t="n">
        <v>10194.26</v>
      </c>
      <c r="F77" s="4" t="n">
        <f aca="false">C77-D77</f>
        <v>3.07</v>
      </c>
      <c r="G77" s="4" t="n">
        <f aca="false">LN(B77/B76)</f>
        <v>-0.0420950691670532</v>
      </c>
      <c r="H77" s="4" t="n">
        <f aca="false">D77-D76</f>
        <v>-0.02</v>
      </c>
      <c r="I77" s="4" t="n">
        <f aca="false">F77-F76</f>
        <v>0.0899999999999994</v>
      </c>
      <c r="J77" s="4" t="n">
        <f aca="false">LN(E77/E76)</f>
        <v>-0.0199819508935916</v>
      </c>
    </row>
    <row r="78" customFormat="false" ht="15" hidden="false" customHeight="false" outlineLevel="0" collapsed="false">
      <c r="A78" s="6" t="n">
        <v>46017</v>
      </c>
      <c r="B78" s="3" t="n">
        <v>3125</v>
      </c>
      <c r="C78" s="3" t="n">
        <v>5.4</v>
      </c>
      <c r="D78" s="3" t="n">
        <v>2.34</v>
      </c>
      <c r="E78" s="3" t="n">
        <v>10483.15</v>
      </c>
      <c r="F78" s="4" t="n">
        <f aca="false">C78-D78</f>
        <v>3.06</v>
      </c>
      <c r="G78" s="4" t="n">
        <f aca="false">LN(B78/B77)</f>
        <v>-0.00478851673179723</v>
      </c>
      <c r="H78" s="4" t="n">
        <f aca="false">D78-D77</f>
        <v>0.02</v>
      </c>
      <c r="I78" s="4" t="n">
        <f aca="false">F78-F77</f>
        <v>-0.00999999999999934</v>
      </c>
      <c r="J78" s="4" t="n">
        <f aca="false">LN(E78/E77)</f>
        <v>0.0279443894573753</v>
      </c>
    </row>
    <row r="79" customFormat="false" ht="15" hidden="false" customHeight="false" outlineLevel="0" collapsed="false">
      <c r="A79" s="6" t="n">
        <v>46020</v>
      </c>
      <c r="B79" s="3" t="n">
        <v>3194.9</v>
      </c>
      <c r="C79" s="3" t="n">
        <v>5.41</v>
      </c>
      <c r="D79" s="3" t="n">
        <v>2.33</v>
      </c>
      <c r="E79" s="3" t="n">
        <v>10521.68</v>
      </c>
      <c r="F79" s="4" t="n">
        <f aca="false">C79-D79</f>
        <v>3.08</v>
      </c>
      <c r="G79" s="4" t="n">
        <f aca="false">LN(B79/B78)</f>
        <v>0.022121505246774</v>
      </c>
      <c r="H79" s="4" t="n">
        <f aca="false">D79-D78</f>
        <v>-0.00999999999999979</v>
      </c>
      <c r="I79" s="4" t="n">
        <f aca="false">F79-F78</f>
        <v>0.0199999999999996</v>
      </c>
      <c r="J79" s="4" t="n">
        <f aca="false">LN(E79/E78)</f>
        <v>0.00366868412792469</v>
      </c>
    </row>
    <row r="80" customFormat="false" ht="15" hidden="false" customHeight="false" outlineLevel="0" collapsed="false">
      <c r="A80" s="6" t="n">
        <v>46031</v>
      </c>
      <c r="B80" s="3" t="n">
        <v>3395</v>
      </c>
      <c r="C80" s="3" t="n">
        <v>5.31</v>
      </c>
      <c r="D80" s="3" t="n">
        <v>2.31</v>
      </c>
      <c r="E80" s="3" t="n">
        <v>10929.15</v>
      </c>
      <c r="F80" s="4" t="n">
        <f aca="false">C80-D80</f>
        <v>3</v>
      </c>
      <c r="G80" s="4" t="n">
        <f aca="false">LN(B80/B79)</f>
        <v>0.0607479725755207</v>
      </c>
      <c r="H80" s="4" t="n">
        <f aca="false">D80-D79</f>
        <v>-0.02</v>
      </c>
      <c r="I80" s="4" t="n">
        <f aca="false">F80-F79</f>
        <v>-0.0800000000000005</v>
      </c>
      <c r="J80" s="4" t="n">
        <f aca="false">LN(E80/E79)</f>
        <v>0.0379956411752781</v>
      </c>
    </row>
    <row r="81" customFormat="false" ht="15" hidden="false" customHeight="false" outlineLevel="0" collapsed="false">
      <c r="A81" s="6" t="n">
        <v>46038</v>
      </c>
      <c r="B81" s="3" t="n">
        <v>3650</v>
      </c>
      <c r="C81" s="3" t="n">
        <v>5.34</v>
      </c>
      <c r="D81" s="3" t="n">
        <v>2.32</v>
      </c>
      <c r="E81" s="3" t="n">
        <v>11156.73</v>
      </c>
      <c r="F81" s="4" t="n">
        <f aca="false">C81-D81</f>
        <v>3.02</v>
      </c>
      <c r="G81" s="4" t="n">
        <f aca="false">LN(B81/B80)</f>
        <v>0.0724234065837407</v>
      </c>
      <c r="H81" s="4" t="n">
        <f aca="false">D81-D80</f>
        <v>0.00999999999999979</v>
      </c>
      <c r="I81" s="4" t="n">
        <f aca="false">F81-F80</f>
        <v>0.0200000000000005</v>
      </c>
      <c r="J81" s="4" t="n">
        <f aca="false">LN(E81/E80)</f>
        <v>0.0206093717121259</v>
      </c>
    </row>
    <row r="82" customFormat="false" ht="15" hidden="false" customHeight="false" outlineLevel="0" collapsed="false">
      <c r="A82" s="6" t="n">
        <v>46045</v>
      </c>
      <c r="B82" s="3" t="n">
        <v>3800</v>
      </c>
      <c r="C82" s="3" t="n">
        <v>5.34</v>
      </c>
      <c r="D82" s="3" t="n">
        <v>2.33</v>
      </c>
      <c r="E82" s="3" t="n">
        <v>11500.1</v>
      </c>
      <c r="F82" s="4" t="n">
        <f aca="false">C82-D82</f>
        <v>3.01</v>
      </c>
      <c r="G82" s="4" t="n">
        <f aca="false">LN(B82/B81)</f>
        <v>0.0402738991379399</v>
      </c>
      <c r="H82" s="4" t="n">
        <f aca="false">D82-D81</f>
        <v>0.0100000000000002</v>
      </c>
      <c r="I82" s="4" t="n">
        <f aca="false">F82-F81</f>
        <v>-0.0100000000000002</v>
      </c>
      <c r="J82" s="4" t="n">
        <f aca="false">LN(E82/E81)</f>
        <v>0.0303128277191327</v>
      </c>
    </row>
    <row r="83" customFormat="false" ht="15" hidden="false" customHeight="false" outlineLevel="0" collapsed="false">
      <c r="A83" s="6" t="n">
        <v>46052</v>
      </c>
      <c r="B83" s="3" t="n">
        <v>3800</v>
      </c>
      <c r="C83" s="3" t="n">
        <v>5.34</v>
      </c>
      <c r="D83" s="3" t="n">
        <v>2.33</v>
      </c>
      <c r="E83" s="3" t="n">
        <v>11420.07</v>
      </c>
      <c r="F83" s="4" t="n">
        <f aca="false">C83-D83</f>
        <v>3.01</v>
      </c>
      <c r="G83" s="4" t="n">
        <f aca="false">LN(B83/B82)</f>
        <v>0</v>
      </c>
      <c r="H83" s="4" t="n">
        <f aca="false">D83-D82</f>
        <v>0</v>
      </c>
      <c r="I83" s="4" t="n">
        <f aca="false">F83-F82</f>
        <v>0</v>
      </c>
      <c r="J83" s="4" t="n">
        <f aca="false">LN(E83/E82)</f>
        <v>-0.00698339717729521</v>
      </c>
    </row>
    <row r="84" customFormat="false" ht="15" hidden="false" customHeight="false" outlineLevel="0" collapsed="false">
      <c r="A84" s="6" t="n">
        <v>46057</v>
      </c>
      <c r="B84" s="3" t="n">
        <v>3889.9</v>
      </c>
      <c r="C84" s="3" t="n">
        <v>5.34</v>
      </c>
      <c r="D84" s="3" t="n">
        <v>2.36</v>
      </c>
      <c r="E84" s="3" t="n">
        <v>11425.88</v>
      </c>
      <c r="F84" s="4" t="n">
        <f aca="false">C84-D84</f>
        <v>2.98</v>
      </c>
      <c r="G84" s="4" t="n">
        <f aca="false">LN(B84/B83)</f>
        <v>0.0233823836267118</v>
      </c>
      <c r="H84" s="4" t="n">
        <f aca="false">D84-D83</f>
        <v>0.0299999999999998</v>
      </c>
      <c r="I84" s="4" t="n">
        <f aca="false">F84-F83</f>
        <v>-0.0299999999999998</v>
      </c>
      <c r="J84" s="4" t="n">
        <f aca="false">LN(E84/E83)</f>
        <v>0.000508624077812735</v>
      </c>
    </row>
    <row r="85" customFormat="false" ht="15" hidden="false" customHeight="false" outlineLevel="0" collapsed="false">
      <c r="A85" s="6" t="n">
        <v>46063</v>
      </c>
      <c r="B85" s="3" t="n">
        <v>3725.5</v>
      </c>
      <c r="C85" s="3" t="n">
        <v>5.31</v>
      </c>
      <c r="D85" s="3" t="n">
        <v>2.31</v>
      </c>
      <c r="E85" s="3" t="n">
        <v>11009.28</v>
      </c>
      <c r="F85" s="4" t="n">
        <f aca="false">C85-D85</f>
        <v>3</v>
      </c>
      <c r="G85" s="4" t="n">
        <f aca="false">LN(B85/B84)</f>
        <v>-0.0431823793474067</v>
      </c>
      <c r="H85" s="4" t="n">
        <f aca="false">D85-D84</f>
        <v>-0.0499999999999998</v>
      </c>
      <c r="I85" s="4" t="n">
        <f aca="false">F85-F84</f>
        <v>0.0199999999999996</v>
      </c>
      <c r="J85" s="4" t="n">
        <f aca="false">LN(E85/E84)</f>
        <v>-0.0371424043832205</v>
      </c>
    </row>
    <row r="86" customFormat="false" ht="15" hidden="false" customHeight="false" outlineLevel="0" collapsed="false">
      <c r="A86" s="6" t="n">
        <v>46073</v>
      </c>
      <c r="B86" s="3" t="n">
        <v>3905</v>
      </c>
      <c r="C86" s="3" t="n">
        <v>5.28</v>
      </c>
      <c r="D86" s="3" t="n">
        <v>2.3</v>
      </c>
      <c r="E86" s="3" t="n">
        <v>10855.08</v>
      </c>
      <c r="F86" s="4" t="n">
        <f aca="false">C86-D86</f>
        <v>2.98</v>
      </c>
      <c r="G86" s="4" t="n">
        <f aca="false">LN(B86/B85)</f>
        <v>0.0470567122800042</v>
      </c>
      <c r="H86" s="4" t="n">
        <f aca="false">D86-D85</f>
        <v>-0.0100000000000002</v>
      </c>
      <c r="I86" s="4" t="n">
        <f aca="false">F86-F85</f>
        <v>-0.0199999999999991</v>
      </c>
      <c r="J86" s="4" t="n">
        <f aca="false">LN(E86/E85)</f>
        <v>-0.0141053803221372</v>
      </c>
    </row>
    <row r="87" customFormat="false" ht="15" hidden="false" customHeight="false" outlineLevel="0" collapsed="false">
      <c r="A87" s="6" t="n">
        <v>46080</v>
      </c>
      <c r="B87" s="3" t="n">
        <v>4080</v>
      </c>
      <c r="C87" s="3" t="n">
        <v>5.25</v>
      </c>
      <c r="D87" s="3" t="n">
        <v>2.29</v>
      </c>
      <c r="E87" s="3" t="n">
        <v>10877.74</v>
      </c>
      <c r="F87" s="4" t="n">
        <f aca="false">C87-D87</f>
        <v>2.96</v>
      </c>
      <c r="G87" s="4" t="n">
        <f aca="false">LN(B87/B86)</f>
        <v>0.043839205124421</v>
      </c>
      <c r="H87" s="4" t="n">
        <f aca="false">D87-D86</f>
        <v>-0.00999999999999979</v>
      </c>
      <c r="I87" s="4" t="n">
        <f aca="false">F87-F86</f>
        <v>-0.0200000000000005</v>
      </c>
      <c r="J87" s="4" t="n">
        <f aca="false">LN(E87/E86)</f>
        <v>0.00208532608392072</v>
      </c>
    </row>
    <row r="88" customFormat="false" ht="15" hidden="false" customHeight="false" outlineLevel="0" collapsed="false">
      <c r="A88" s="6" t="n">
        <v>46085</v>
      </c>
      <c r="B88" s="3" t="n">
        <v>3920</v>
      </c>
      <c r="C88" s="3" t="n">
        <v>5.3</v>
      </c>
      <c r="D88" s="3" t="n">
        <v>2.24</v>
      </c>
      <c r="E88" s="3" t="n">
        <v>10494.97</v>
      </c>
      <c r="F88" s="4" t="n">
        <f aca="false">C88-D88</f>
        <v>3.06</v>
      </c>
      <c r="G88" s="4" t="n">
        <f aca="false">LN(B88/B87)</f>
        <v>-0.0400053346136991</v>
      </c>
      <c r="H88" s="4" t="n">
        <f aca="false">D88-D87</f>
        <v>-0.0499999999999998</v>
      </c>
      <c r="I88" s="4" t="n">
        <f aca="false">F88-F87</f>
        <v>0.0999999999999996</v>
      </c>
      <c r="J88" s="4" t="n">
        <f aca="false">LN(E88/E87)</f>
        <v>-0.0358224044981907</v>
      </c>
    </row>
    <row r="89" customFormat="false" ht="15" hidden="false" customHeight="false" outlineLevel="0" collapsed="false">
      <c r="A89" s="6" t="n">
        <v>46094</v>
      </c>
      <c r="B89" s="3" t="n">
        <v>3824.9</v>
      </c>
      <c r="C89" s="3" t="n">
        <v>5.46</v>
      </c>
      <c r="D89" s="3" t="n">
        <v>2.15</v>
      </c>
      <c r="E89" s="3" t="n">
        <v>10466.52</v>
      </c>
      <c r="F89" s="4" t="n">
        <f aca="false">C89-D89</f>
        <v>3.31</v>
      </c>
      <c r="G89" s="4" t="n">
        <f aca="false">LN(B89/B88)</f>
        <v>-0.0245593306564765</v>
      </c>
      <c r="H89" s="4" t="n">
        <f aca="false">D89-D88</f>
        <v>-0.0900000000000003</v>
      </c>
      <c r="I89" s="4" t="n">
        <f aca="false">F89-F88</f>
        <v>0.25</v>
      </c>
      <c r="J89" s="4" t="n">
        <f aca="false">LN(E89/E88)</f>
        <v>-0.00271450335539603</v>
      </c>
    </row>
    <row r="90" customFormat="false" ht="15" hidden="false" customHeight="false" outlineLevel="0" collapsed="false">
      <c r="A90" s="6" t="n">
        <v>46101</v>
      </c>
      <c r="B90" s="3" t="n">
        <v>3900</v>
      </c>
      <c r="C90" s="3" t="n">
        <v>5.66</v>
      </c>
      <c r="D90" s="3" t="n">
        <v>2.25</v>
      </c>
      <c r="E90" s="3" t="n">
        <v>10277.51</v>
      </c>
      <c r="F90" s="4" t="n">
        <f aca="false">C90-D90</f>
        <v>3.41</v>
      </c>
      <c r="G90" s="4" t="n">
        <f aca="false">LN(B90/B89)</f>
        <v>0.019444229989706</v>
      </c>
      <c r="H90" s="4" t="n">
        <f aca="false">D90-D89</f>
        <v>0.1</v>
      </c>
      <c r="I90" s="4" t="n">
        <f aca="false">F90-F89</f>
        <v>0.1</v>
      </c>
      <c r="J90" s="4" t="n">
        <f aca="false">LN(E90/E89)</f>
        <v>-0.0182235786203719</v>
      </c>
    </row>
    <row r="91" customFormat="false" ht="15" hidden="false" customHeight="false" outlineLevel="0" collapsed="false">
      <c r="A91" s="6" t="n">
        <v>46108</v>
      </c>
      <c r="B91" s="3" t="n">
        <v>3810</v>
      </c>
      <c r="C91" s="3" t="n">
        <v>5.69</v>
      </c>
      <c r="D91" s="3" t="n">
        <v>2.16</v>
      </c>
      <c r="E91" s="3" t="n">
        <v>10417.19</v>
      </c>
      <c r="F91" s="4" t="n">
        <f aca="false">C91-D91</f>
        <v>3.53</v>
      </c>
      <c r="G91" s="4" t="n">
        <f aca="false">LN(B91/B90)</f>
        <v>-0.0233473639969912</v>
      </c>
      <c r="H91" s="4" t="n">
        <f aca="false">D91-D90</f>
        <v>-0.0899999999999999</v>
      </c>
      <c r="I91" s="4" t="n">
        <f aca="false">F91-F90</f>
        <v>0.12</v>
      </c>
      <c r="J91" s="4" t="n">
        <f aca="false">LN(E91/E90)</f>
        <v>0.013499313463621</v>
      </c>
    </row>
    <row r="92" customFormat="false" ht="15" hidden="false" customHeight="false" outlineLevel="0" collapsed="false">
      <c r="A92" s="6" t="n">
        <v>46114</v>
      </c>
      <c r="B92" s="3" t="n">
        <v>4000</v>
      </c>
      <c r="C92" s="3" t="n">
        <v>5.56</v>
      </c>
      <c r="D92" s="3" t="n">
        <v>2.1</v>
      </c>
      <c r="E92" s="3" t="n">
        <v>10739.15</v>
      </c>
      <c r="F92" s="4" t="n">
        <f aca="false">C92-D92</f>
        <v>3.46</v>
      </c>
      <c r="G92" s="4" t="n">
        <f aca="false">LN(B92/B91)</f>
        <v>0.048665171981281</v>
      </c>
      <c r="H92" s="4" t="n">
        <f aca="false">D92-D91</f>
        <v>-0.0600000000000001</v>
      </c>
      <c r="I92" s="4" t="n">
        <f aca="false">F92-F91</f>
        <v>-0.0700000000000007</v>
      </c>
      <c r="J92" s="4" t="n">
        <f aca="false">LN(E92/E91)</f>
        <v>0.0304386163072018</v>
      </c>
    </row>
    <row r="93" customFormat="false" ht="15" hidden="false" customHeight="false" outlineLevel="0" collapsed="false">
      <c r="A93" s="6" t="n">
        <v>46122</v>
      </c>
      <c r="B93" s="3" t="n">
        <v>4150</v>
      </c>
      <c r="C93" s="3" t="n">
        <v>5.46</v>
      </c>
      <c r="D93" s="3" t="n">
        <v>2.1</v>
      </c>
      <c r="E93" s="3" t="n">
        <v>11076.65</v>
      </c>
      <c r="F93" s="4" t="n">
        <f aca="false">C93-D93</f>
        <v>3.36</v>
      </c>
      <c r="G93" s="4" t="n">
        <f aca="false">LN(B93/B92)</f>
        <v>0.0368139731227164</v>
      </c>
      <c r="H93" s="4" t="n">
        <f aca="false">D93-D92</f>
        <v>0</v>
      </c>
      <c r="I93" s="4" t="n">
        <f aca="false">F93-F92</f>
        <v>-0.0999999999999996</v>
      </c>
      <c r="J93" s="4" t="n">
        <f aca="false">LN(E93/E92)</f>
        <v>0.0309433464732852</v>
      </c>
    </row>
    <row r="94" customFormat="false" ht="15" hidden="false" customHeight="false" outlineLevel="0" collapsed="false">
      <c r="A94" s="6" t="n">
        <v>46129</v>
      </c>
      <c r="B94" s="3" t="n">
        <v>4585</v>
      </c>
      <c r="C94" s="3" t="n">
        <v>5.34</v>
      </c>
      <c r="D94" s="3" t="n">
        <v>2.15</v>
      </c>
      <c r="E94" s="3" t="n">
        <v>11429.19</v>
      </c>
      <c r="F94" s="4" t="n">
        <f aca="false">C94-D94</f>
        <v>3.19</v>
      </c>
      <c r="G94" s="4" t="n">
        <f aca="false">LN(B94/B93)</f>
        <v>0.0996817714658213</v>
      </c>
      <c r="H94" s="4" t="n">
        <f aca="false">D94-D93</f>
        <v>0.0499999999999998</v>
      </c>
      <c r="I94" s="4" t="n">
        <f aca="false">F94-F93</f>
        <v>-0.17</v>
      </c>
      <c r="J94" s="4" t="n">
        <f aca="false">LN(E94/E93)</f>
        <v>0.031331320121062</v>
      </c>
    </row>
    <row r="95" customFormat="false" ht="15" hidden="false" customHeight="false" outlineLevel="0" collapsed="false">
      <c r="A95" s="6" t="n">
        <v>46135</v>
      </c>
      <c r="B95" s="3" t="n">
        <v>4414.7</v>
      </c>
      <c r="C95" s="3" t="n">
        <v>5.46</v>
      </c>
      <c r="D95" s="3" t="n">
        <v>2.18</v>
      </c>
      <c r="E95" s="3" t="n">
        <v>10992.09</v>
      </c>
      <c r="F95" s="4" t="n">
        <f aca="false">C95-D95</f>
        <v>3.28</v>
      </c>
      <c r="G95" s="4" t="n">
        <f aca="false">LN(B95/B94)</f>
        <v>-0.0378502241310976</v>
      </c>
      <c r="H95" s="4" t="n">
        <f aca="false">D95-D94</f>
        <v>0.0300000000000003</v>
      </c>
      <c r="I95" s="4" t="n">
        <f aca="false">F95-F94</f>
        <v>0.0899999999999999</v>
      </c>
      <c r="J95" s="4" t="n">
        <f aca="false">LN(E95/E94)</f>
        <v>-0.0389946859344638</v>
      </c>
    </row>
    <row r="96" customFormat="false" ht="15" hidden="false" customHeight="false" outlineLevel="0" collapsed="false">
      <c r="A96" s="6" t="n">
        <v>46142</v>
      </c>
      <c r="B96" s="3" t="n">
        <v>4469.9</v>
      </c>
      <c r="C96" s="3" t="n">
        <v>5.61</v>
      </c>
      <c r="D96" s="3" t="n">
        <v>2.21</v>
      </c>
      <c r="E96" s="3" t="n">
        <v>10908.3</v>
      </c>
      <c r="F96" s="4" t="n">
        <f aca="false">C96-D96</f>
        <v>3.4</v>
      </c>
      <c r="G96" s="4" t="n">
        <f aca="false">LN(B96/B95)</f>
        <v>0.0124261554332509</v>
      </c>
      <c r="H96" s="4" t="n">
        <f aca="false">D96-D95</f>
        <v>0.0299999999999998</v>
      </c>
      <c r="I96" s="4" t="n">
        <f aca="false">F96-F95</f>
        <v>0.120000000000001</v>
      </c>
      <c r="J96" s="4" t="n">
        <f aca="false">LN(E96/E95)</f>
        <v>-0.00765195586397637</v>
      </c>
    </row>
    <row r="97" customFormat="false" ht="15" hidden="false" customHeight="false" outlineLevel="0" collapsed="false">
      <c r="A97" s="6" t="n">
        <v>46150</v>
      </c>
      <c r="B97" s="3" t="n">
        <v>4009</v>
      </c>
      <c r="C97" s="3" t="n">
        <v>5.56</v>
      </c>
      <c r="D97" s="3" t="n">
        <v>2.25</v>
      </c>
      <c r="E97" s="3" t="n">
        <v>10758.9</v>
      </c>
      <c r="F97" s="4" t="n">
        <f aca="false">C97-D97</f>
        <v>3.31</v>
      </c>
      <c r="G97" s="4" t="n">
        <f aca="false">LN(B97/B96)</f>
        <v>-0.108824203350211</v>
      </c>
      <c r="H97" s="4" t="n">
        <f aca="false">D97-D96</f>
        <v>0.04</v>
      </c>
      <c r="I97" s="4" t="n">
        <f aca="false">F97-F96</f>
        <v>-0.0900000000000008</v>
      </c>
      <c r="J97" s="4" t="n">
        <f aca="false">LN(E97/E96)</f>
        <v>-0.0137906483309484</v>
      </c>
    </row>
    <row r="98" customFormat="false" ht="15" hidden="false" customHeight="false" outlineLevel="0" collapsed="false">
      <c r="A98" s="6" t="n">
        <v>46156</v>
      </c>
      <c r="B98" s="3" t="n">
        <v>3746.3</v>
      </c>
      <c r="C98" s="3" t="n">
        <v>5.53</v>
      </c>
      <c r="D98" s="3" t="n">
        <v>2.27</v>
      </c>
      <c r="E98" s="3" t="n">
        <v>10482.27</v>
      </c>
      <c r="F98" s="4" t="n">
        <f aca="false">C98-D98</f>
        <v>3.26</v>
      </c>
      <c r="G98" s="4" t="n">
        <f aca="false">LN(B98/B97)</f>
        <v>-0.0677731474206867</v>
      </c>
      <c r="H98" s="4" t="n">
        <f aca="false">D98-D97</f>
        <v>0.02</v>
      </c>
      <c r="I98" s="4" t="n">
        <f aca="false">F98-F97</f>
        <v>-0.0499999999999994</v>
      </c>
      <c r="J98" s="4" t="n">
        <f aca="false">LN(E98/E97)</f>
        <v>-0.0260480605331982</v>
      </c>
    </row>
    <row r="99" customFormat="false" ht="15" hidden="false" customHeight="false" outlineLevel="0" collapsed="false">
      <c r="A99" s="6" t="n">
        <v>46164</v>
      </c>
      <c r="B99" s="3" t="n">
        <v>3849.9</v>
      </c>
      <c r="C99" s="3" t="n">
        <v>5.62</v>
      </c>
      <c r="D99" s="3" t="n">
        <v>2.31</v>
      </c>
      <c r="E99" s="3" t="n">
        <v>10563.88</v>
      </c>
      <c r="F99" s="4" t="n">
        <f aca="false">C99-D99</f>
        <v>3.31</v>
      </c>
      <c r="G99" s="4" t="n">
        <f aca="false">LN(B99/B98)</f>
        <v>0.0272784876967048</v>
      </c>
      <c r="H99" s="4" t="n">
        <f aca="false">D99-D98</f>
        <v>0.04</v>
      </c>
      <c r="I99" s="4" t="n">
        <f aca="false">F99-F98</f>
        <v>0.0499999999999998</v>
      </c>
      <c r="J99" s="4" t="n">
        <f aca="false">LN(E99/E98)</f>
        <v>0.00775537654550547</v>
      </c>
    </row>
    <row r="100" customFormat="false" ht="15" hidden="false" customHeight="false" outlineLevel="0" collapsed="false">
      <c r="A100" s="6" t="n">
        <v>46171</v>
      </c>
      <c r="B100" s="3" t="n">
        <v>3880</v>
      </c>
      <c r="C100" s="3" t="n">
        <v>5.53</v>
      </c>
      <c r="D100" s="3" t="n">
        <v>2.38</v>
      </c>
      <c r="E100" s="3" t="n">
        <v>10788.19</v>
      </c>
      <c r="F100" s="4" t="n">
        <f aca="false">C100-D100</f>
        <v>3.15</v>
      </c>
      <c r="G100" s="4" t="n">
        <f aca="false">LN(B100/B99)</f>
        <v>0.00778797969879414</v>
      </c>
      <c r="H100" s="4" t="n">
        <f aca="false">D100-D99</f>
        <v>0.0699999999999998</v>
      </c>
      <c r="I100" s="4" t="n">
        <f aca="false">F100-F99</f>
        <v>-0.16</v>
      </c>
      <c r="J100" s="4" t="n">
        <f aca="false">LN(E100/E99)</f>
        <v>0.0210113822472701</v>
      </c>
    </row>
    <row r="101" customFormat="false" ht="15" hidden="false" customHeight="false" outlineLevel="0" collapsed="false">
      <c r="A101" s="6" t="n">
        <v>46177</v>
      </c>
      <c r="B101" s="3" t="n">
        <v>3600</v>
      </c>
      <c r="C101" s="3" t="n">
        <v>5.57</v>
      </c>
      <c r="D101" s="3" t="n">
        <v>2.45</v>
      </c>
      <c r="E101" s="3" t="n">
        <v>10304.04</v>
      </c>
      <c r="F101" s="4" t="n">
        <f aca="false">C101-D101</f>
        <v>3.12</v>
      </c>
      <c r="G101" s="4" t="n">
        <f aca="false">LN(B101/B100)</f>
        <v>-0.0749013081731177</v>
      </c>
      <c r="H101" s="4" t="n">
        <f aca="false">D101-D100</f>
        <v>0.0700000000000003</v>
      </c>
      <c r="I101" s="4" t="n">
        <f aca="false">F101-F100</f>
        <v>-0.0300000000000003</v>
      </c>
      <c r="J101" s="4" t="n">
        <f aca="false">LN(E101/E100)</f>
        <v>-0.0459159659420118</v>
      </c>
    </row>
    <row r="102" customFormat="false" ht="15" hidden="false" customHeight="false" outlineLevel="0" collapsed="false">
      <c r="A102" s="6" t="n">
        <v>46185</v>
      </c>
      <c r="B102" s="3" t="n">
        <v>3712</v>
      </c>
      <c r="C102" s="3" t="n">
        <v>5.54</v>
      </c>
      <c r="D102" s="3" t="n">
        <v>2.5</v>
      </c>
      <c r="E102" s="3" t="n">
        <v>10922.98</v>
      </c>
      <c r="F102" s="4" t="n">
        <f aca="false">C102-D102</f>
        <v>3.04</v>
      </c>
      <c r="G102" s="4" t="n">
        <f aca="false">LN(B102/B101)</f>
        <v>0.0306369694618898</v>
      </c>
      <c r="H102" s="4" t="n">
        <f aca="false">D102-D101</f>
        <v>0.0499999999999998</v>
      </c>
      <c r="I102" s="4" t="n">
        <f aca="false">F102-F101</f>
        <v>-0.0800000000000001</v>
      </c>
      <c r="J102" s="4" t="n">
        <f aca="false">LN(E102/E101)</f>
        <v>0.0583327755188793</v>
      </c>
    </row>
    <row r="103" customFormat="false" ht="15" hidden="false" customHeight="false" outlineLevel="0" collapsed="false">
      <c r="A103" s="6" t="n">
        <v>46192</v>
      </c>
      <c r="B103" s="3" t="n">
        <v>3820</v>
      </c>
      <c r="C103" s="3" t="n">
        <v>5.45</v>
      </c>
      <c r="D103" s="3" t="n">
        <v>2.49</v>
      </c>
      <c r="E103" s="3" t="n">
        <v>10888.43</v>
      </c>
      <c r="F103" s="4" t="n">
        <f aca="false">C103-D103</f>
        <v>2.96</v>
      </c>
      <c r="G103" s="4" t="n">
        <f aca="false">LN(B103/B102)</f>
        <v>0.0286796076945296</v>
      </c>
      <c r="H103" s="4" t="n">
        <f aca="false">D103-D102</f>
        <v>-0.00999999999999979</v>
      </c>
      <c r="I103" s="4" t="n">
        <f aca="false">F103-F102</f>
        <v>-0.0800000000000001</v>
      </c>
      <c r="J103" s="4" t="n">
        <f aca="false">LN(E103/E102)</f>
        <v>-0.00316806927174535</v>
      </c>
    </row>
    <row r="104" customFormat="false" ht="15" hidden="false" customHeight="false" outlineLevel="0" collapsed="false">
      <c r="A104" s="6" t="n">
        <v>46199</v>
      </c>
      <c r="B104" s="3" t="n">
        <v>3765</v>
      </c>
      <c r="C104" s="3" t="n">
        <v>5.45</v>
      </c>
      <c r="D104" s="3" t="n">
        <v>2.43</v>
      </c>
      <c r="E104" s="3" t="n">
        <v>10762.98</v>
      </c>
      <c r="F104" s="4" t="n">
        <f aca="false">C104-D104</f>
        <v>3.02</v>
      </c>
      <c r="G104" s="4" t="n">
        <f aca="false">LN(B104/B103)</f>
        <v>-0.0145025613666269</v>
      </c>
      <c r="H104" s="4" t="n">
        <f aca="false">D104-D103</f>
        <v>-0.0600000000000001</v>
      </c>
      <c r="I104" s="4" t="n">
        <f aca="false">F104-F103</f>
        <v>0.0600000000000001</v>
      </c>
      <c r="J104" s="4" t="n">
        <f aca="false">LN(E104/E103)</f>
        <v>-0.0115882895267088</v>
      </c>
    </row>
    <row r="105" customFormat="false" ht="15" hidden="false" customHeight="false" outlineLevel="0" collapsed="false">
      <c r="A105" s="6" t="n">
        <v>46206</v>
      </c>
      <c r="B105" s="3" t="n">
        <v>3919.7</v>
      </c>
      <c r="C105" s="3" t="n">
        <v>5.42</v>
      </c>
      <c r="D105" s="3" t="n">
        <v>2.45</v>
      </c>
      <c r="E105" s="3" t="n">
        <v>10821.14</v>
      </c>
      <c r="F105" s="4" t="n">
        <f aca="false">C105-D105</f>
        <v>2.97</v>
      </c>
      <c r="G105" s="4" t="n">
        <f aca="false">LN(B105/B104)</f>
        <v>0.0402672590096526</v>
      </c>
      <c r="H105" s="4" t="n">
        <f aca="false">D105-D104</f>
        <v>0.02</v>
      </c>
      <c r="I105" s="4" t="n">
        <f aca="false">F105-F104</f>
        <v>-0.0500000000000003</v>
      </c>
      <c r="J105" s="4" t="n">
        <f aca="false">LN(E105/E104)</f>
        <v>0.00538916024947091</v>
      </c>
    </row>
    <row r="106" customFormat="false" ht="15" hidden="false" customHeight="false" outlineLevel="0" collapsed="false">
      <c r="A106" s="6" t="n">
        <v>46213</v>
      </c>
      <c r="B106" s="3" t="n">
        <v>3901</v>
      </c>
      <c r="C106" s="3" t="n">
        <v>5.48</v>
      </c>
      <c r="D106" s="3" t="n">
        <v>2.42</v>
      </c>
      <c r="E106" s="3" t="n">
        <v>10960.89</v>
      </c>
      <c r="F106" s="4" t="n">
        <f aca="false">C106-D106</f>
        <v>3.06</v>
      </c>
      <c r="G106" s="4" t="n">
        <f aca="false">LN(B106/B105)</f>
        <v>-0.00478218973699004</v>
      </c>
      <c r="H106" s="4" t="n">
        <f aca="false">D106-D105</f>
        <v>-0.0300000000000003</v>
      </c>
      <c r="I106" s="4" t="n">
        <f aca="false">F106-F105</f>
        <v>0.0900000000000008</v>
      </c>
      <c r="J106" s="4" t="n">
        <f aca="false">LN(E106/E105)</f>
        <v>0.0128318542905978</v>
      </c>
    </row>
    <row r="107" customFormat="false" ht="15" hidden="false" customHeight="false" outlineLevel="0" collapsed="false">
      <c r="A107" s="6" t="n">
        <v>46220</v>
      </c>
      <c r="B107" s="3" t="n">
        <v>3950</v>
      </c>
      <c r="C107" s="3" t="n">
        <v>5.54</v>
      </c>
      <c r="D107" s="3" t="n">
        <v>2.44</v>
      </c>
      <c r="E107" s="3" t="n">
        <v>10886.14</v>
      </c>
      <c r="F107" s="4" t="n">
        <f aca="false">C107-D107</f>
        <v>3.1</v>
      </c>
      <c r="G107" s="4" t="n">
        <f aca="false">LN(B107/B106)</f>
        <v>0.012482648388511</v>
      </c>
      <c r="H107" s="4" t="n">
        <f aca="false">D107-D106</f>
        <v>0.02</v>
      </c>
      <c r="I107" s="4" t="n">
        <f aca="false">F107-F106</f>
        <v>0.0399999999999996</v>
      </c>
      <c r="J107" s="4" t="n">
        <f aca="false">LN(E107/E106)</f>
        <v>-0.00684306211838118</v>
      </c>
    </row>
    <row r="108" customFormat="false" ht="15" hidden="false" customHeight="false" outlineLevel="0" collapsed="false">
      <c r="A108" s="6" t="n">
        <v>46225</v>
      </c>
      <c r="B108" s="3" t="n">
        <v>3820.2</v>
      </c>
      <c r="C108" s="3" t="n">
        <v>5.68</v>
      </c>
      <c r="D108" s="3" t="n">
        <v>2.48</v>
      </c>
      <c r="E108" s="3" t="n">
        <v>11009.22</v>
      </c>
      <c r="F108" s="4" t="n">
        <f aca="false">C108-D108</f>
        <v>3.2</v>
      </c>
      <c r="G108" s="4" t="n">
        <f aca="false">LN(B108/B107)</f>
        <v>-0.033412801644133</v>
      </c>
      <c r="H108" s="4" t="n">
        <f aca="false">D108-D107</f>
        <v>0.04</v>
      </c>
      <c r="I108" s="4" t="n">
        <f aca="false">F108-F107</f>
        <v>0.0999999999999996</v>
      </c>
      <c r="J108" s="4" t="n">
        <f aca="false">LN(E108/E107)</f>
        <v>0.0112426830541836</v>
      </c>
    </row>
    <row r="109" customFormat="false" ht="15" hidden="false" customHeight="false" outlineLevel="0" collapsed="false">
      <c r="A109" s="6" t="n">
        <v>46233</v>
      </c>
      <c r="B109" s="3" t="n">
        <v>3690</v>
      </c>
      <c r="C109" s="3" t="n">
        <v>5.68</v>
      </c>
      <c r="D109" s="3" t="n">
        <v>2.53</v>
      </c>
      <c r="E109" s="3" t="n">
        <v>11030.67</v>
      </c>
      <c r="F109" s="4" t="n">
        <f aca="false">C109-D109</f>
        <v>3.15</v>
      </c>
      <c r="G109" s="4" t="n">
        <f aca="false">LN(B109/B108)</f>
        <v>-0.0346763192164618</v>
      </c>
      <c r="H109" s="4" t="n">
        <f aca="false">D109-D108</f>
        <v>0.0499999999999998</v>
      </c>
      <c r="I109" s="4" t="n">
        <f aca="false">F109-F108</f>
        <v>-0.0499999999999998</v>
      </c>
      <c r="J109" s="4" t="n">
        <f aca="false">LN(E109/E108)</f>
        <v>0.00194647130928448</v>
      </c>
    </row>
    <row r="110" customFormat="false" ht="15" hidden="false" customHeight="false" outlineLevel="0" collapsed="false">
      <c r="A110" s="6" t="n">
        <v>46240</v>
      </c>
      <c r="B110" s="3" t="n">
        <v>3940</v>
      </c>
      <c r="C110" s="3" t="n">
        <v>5.63</v>
      </c>
      <c r="D110" s="3" t="n">
        <v>2.56</v>
      </c>
      <c r="E110" s="3" t="n">
        <v>11275.15</v>
      </c>
      <c r="F110" s="4" t="n">
        <f aca="false">C110-D110</f>
        <v>3.07</v>
      </c>
      <c r="G110" s="4" t="n">
        <f aca="false">LN(B110/B109)</f>
        <v>0.0655542652574067</v>
      </c>
      <c r="H110" s="4" t="n">
        <f aca="false">D110-D109</f>
        <v>0.0300000000000003</v>
      </c>
      <c r="I110" s="4" t="n">
        <f aca="false">F110-F109</f>
        <v>-0.0800000000000001</v>
      </c>
      <c r="J110" s="4" t="n">
        <f aca="false">LN(E110/E109)</f>
        <v>0.0219216142220279</v>
      </c>
    </row>
    <row r="111" customFormat="false" ht="15" hidden="false" customHeight="false" outlineLevel="0" collapsed="false">
      <c r="A111" s="6" t="n">
        <v>46248</v>
      </c>
      <c r="B111" s="3" t="n">
        <v>3970</v>
      </c>
      <c r="C111" s="3" t="n">
        <v>5.66</v>
      </c>
      <c r="D111" s="3" t="n">
        <v>2.52</v>
      </c>
      <c r="E111" s="3" t="n">
        <v>11042.67</v>
      </c>
      <c r="F111" s="4" t="n">
        <f aca="false">C111-D111</f>
        <v>3.14</v>
      </c>
      <c r="G111" s="4" t="n">
        <f aca="false">LN(B111/B110)</f>
        <v>0.00758537138925656</v>
      </c>
      <c r="H111" s="4" t="n">
        <f aca="false">D111-D110</f>
        <v>-0.04</v>
      </c>
      <c r="I111" s="4" t="n">
        <f aca="false">F111-F110</f>
        <v>0.0700000000000003</v>
      </c>
      <c r="J111" s="4" t="n">
        <f aca="false">LN(E111/E110)</f>
        <v>-0.0208343296350839</v>
      </c>
    </row>
    <row r="112" customFormat="false" ht="15" hidden="false" customHeight="false" outlineLevel="0" collapsed="false">
      <c r="A112" s="6" t="n">
        <v>46253</v>
      </c>
      <c r="B112" s="3" t="n">
        <v>4000.1</v>
      </c>
      <c r="C112" s="3" t="n">
        <v>5.7</v>
      </c>
      <c r="D112" s="3" t="n">
        <v>2.51</v>
      </c>
      <c r="E112" s="3" t="n">
        <v>11241.32</v>
      </c>
      <c r="F112" s="4" t="n">
        <f aca="false">C112-D112</f>
        <v>3.19</v>
      </c>
      <c r="G112" s="4" t="n">
        <f aca="false">LN(B112/B111)</f>
        <v>0.00755326610829675</v>
      </c>
      <c r="H112" s="4" t="n">
        <f aca="false">D112-D111</f>
        <v>-0.0100000000000002</v>
      </c>
      <c r="I112" s="4" t="n">
        <f aca="false">F112-F111</f>
        <v>0.0500000000000003</v>
      </c>
      <c r="J112" s="4" t="n">
        <f aca="false">LN(E112/E111)</f>
        <v>0.0178294158581304</v>
      </c>
    </row>
    <row r="113" customFormat="false" ht="15" hidden="false" customHeight="false" outlineLevel="0" collapsed="false">
      <c r="A113" s="6" t="n">
        <v>46259</v>
      </c>
      <c r="B113" s="3" t="n">
        <v>4062</v>
      </c>
      <c r="C113" s="3" t="n">
        <v>5.7</v>
      </c>
      <c r="D113" s="3" t="n">
        <v>2.51</v>
      </c>
      <c r="E113" s="3" t="n">
        <v>11450.75</v>
      </c>
      <c r="F113" s="4" t="n">
        <f aca="false">C113-D113</f>
        <v>3.19</v>
      </c>
      <c r="G113" s="4" t="n">
        <f aca="false">LN(B113/B112)</f>
        <v>0.0153561023507972</v>
      </c>
      <c r="H113" s="4" t="n">
        <f aca="false">D113-D112</f>
        <v>0</v>
      </c>
      <c r="I113" s="4" t="n">
        <f aca="false">F113-F112</f>
        <v>0</v>
      </c>
      <c r="J113" s="4" t="n">
        <f aca="false">LN(E113/E112)</f>
        <v>0.0184589547457849</v>
      </c>
    </row>
    <row r="114" customFormat="false" ht="15" hidden="false" customHeight="false" outlineLevel="0" collapsed="false">
      <c r="A114" s="6" t="n">
        <v>46268</v>
      </c>
      <c r="B114" s="3" t="n">
        <v>3955.04</v>
      </c>
      <c r="C114" s="3" t="n">
        <v>5.71</v>
      </c>
      <c r="D114" s="3" t="n">
        <v>2.54</v>
      </c>
      <c r="E114" s="3" t="n">
        <v>11479.48</v>
      </c>
      <c r="F114" s="4" t="n">
        <f aca="false">C114-D114</f>
        <v>3.17</v>
      </c>
      <c r="G114" s="4" t="n">
        <f aca="false">LN(B114/B113)</f>
        <v>-0.0266847482096944</v>
      </c>
      <c r="H114" s="4" t="n">
        <f aca="false">D114-D113</f>
        <v>0.0300000000000003</v>
      </c>
      <c r="I114" s="4" t="n">
        <f aca="false">F114-F113</f>
        <v>-0.0200000000000005</v>
      </c>
      <c r="J114" s="4" t="n">
        <f aca="false">LN(E114/E113)</f>
        <v>0.00250586365979025</v>
      </c>
    </row>
    <row r="115" customFormat="false" ht="15" hidden="false" customHeight="false" outlineLevel="0" collapsed="false">
      <c r="A115" s="6" t="n">
        <v>46276</v>
      </c>
      <c r="B115" s="3" t="n">
        <v>3850</v>
      </c>
      <c r="C115" s="3" t="n">
        <v>6</v>
      </c>
      <c r="D115" s="3" t="n">
        <v>2.52</v>
      </c>
      <c r="E115" s="3" t="n">
        <v>11220.6</v>
      </c>
      <c r="F115" s="4" t="n">
        <f aca="false">C115-D115</f>
        <v>3.48</v>
      </c>
      <c r="G115" s="4" t="n">
        <f aca="false">LN(B115/B114)</f>
        <v>-0.0269175666488057</v>
      </c>
      <c r="H115" s="4" t="n">
        <f aca="false">D115-D114</f>
        <v>-0.02</v>
      </c>
      <c r="I115" s="4" t="n">
        <f aca="false">F115-F114</f>
        <v>0.31</v>
      </c>
      <c r="J115" s="4" t="n">
        <f aca="false">LN(E115/E114)</f>
        <v>-0.0228097190976783</v>
      </c>
    </row>
    <row r="116" customFormat="false" ht="15" hidden="false" customHeight="false" outlineLevel="0" collapsed="false">
      <c r="A116" s="6" t="n">
        <v>46282</v>
      </c>
      <c r="B116" s="3" t="n">
        <v>3900</v>
      </c>
      <c r="C116" s="3" t="n">
        <v>6.03</v>
      </c>
      <c r="D116" s="3" t="n">
        <v>2.62</v>
      </c>
      <c r="E116" s="3" t="n">
        <v>11381.18</v>
      </c>
      <c r="F116" s="4" t="n">
        <f aca="false">C116-D116</f>
        <v>3.41</v>
      </c>
      <c r="G116" s="4" t="n">
        <f aca="false">LN(B116/B115)</f>
        <v>0.0129034048359078</v>
      </c>
      <c r="H116" s="4" t="n">
        <f aca="false">D116-D115</f>
        <v>0.1</v>
      </c>
      <c r="I116" s="4" t="n">
        <f aca="false">F116-F115</f>
        <v>-0.0699999999999998</v>
      </c>
      <c r="J116" s="4" t="n">
        <f aca="false">LN(E116/E115)</f>
        <v>0.0142097394074982</v>
      </c>
    </row>
    <row r="117" customFormat="false" ht="15" hidden="false" customHeight="false" outlineLevel="0" collapsed="false">
      <c r="A117" s="6" t="n">
        <v>46289</v>
      </c>
      <c r="B117" s="3" t="n">
        <v>3666</v>
      </c>
      <c r="C117" s="3" t="n">
        <v>6.04</v>
      </c>
      <c r="D117" s="3" t="n">
        <v>2.73</v>
      </c>
      <c r="E117" s="3" t="n">
        <v>11299.82</v>
      </c>
      <c r="F117" s="4" t="n">
        <f aca="false">C117-D117</f>
        <v>3.31</v>
      </c>
      <c r="G117" s="4" t="n">
        <f aca="false">LN(B117/B116)</f>
        <v>-0.0618754037180875</v>
      </c>
      <c r="H117" s="4" t="n">
        <f aca="false">D117-D116</f>
        <v>0.11</v>
      </c>
      <c r="I117" s="4" t="n">
        <f aca="false">F117-F116</f>
        <v>-0.1</v>
      </c>
      <c r="J117" s="4" t="n">
        <f aca="false">LN(E117/E116)</f>
        <v>-0.00717431762020642</v>
      </c>
    </row>
    <row r="118" customFormat="false" ht="15" hidden="false" customHeight="false" outlineLevel="0" collapsed="false">
      <c r="A118" s="6" t="n">
        <v>46295</v>
      </c>
      <c r="B118" s="3" t="n">
        <v>3555</v>
      </c>
      <c r="C118" s="3" t="n">
        <v>6.25</v>
      </c>
      <c r="D118" s="3" t="n">
        <v>2.82</v>
      </c>
      <c r="E118" s="3" t="n">
        <v>10969.49</v>
      </c>
      <c r="F118" s="4" t="n">
        <f aca="false">C118-D118</f>
        <v>3.43</v>
      </c>
      <c r="G118" s="4" t="n">
        <f aca="false">LN(B118/B117)</f>
        <v>-0.0307460861623091</v>
      </c>
      <c r="H118" s="4" t="n">
        <f aca="false">D118-D117</f>
        <v>0.0899999999999999</v>
      </c>
      <c r="I118" s="4" t="n">
        <f aca="false">F118-F117</f>
        <v>0.12</v>
      </c>
      <c r="J118" s="4" t="n">
        <f aca="false">LN(E118/E117)</f>
        <v>-0.0296690136098997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2026-10-17T16:33:09Z</dcterms:created>
  <dc:creator>openpyxl</dc:creator>
  <dc:description/>
  <dc:language>en-US</dc:language>
  <cp:lastModifiedBy/>
  <dcterms:modified xsi:type="dcterms:W3CDTF">2026-10-17T16:33:09Z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