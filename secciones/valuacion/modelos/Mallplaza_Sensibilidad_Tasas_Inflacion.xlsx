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bilidad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Calculo" sheetId="3" state="visible" r:id="rId3"/>
    <sheet xmlns:r="http://schemas.openxmlformats.org/officeDocument/2006/relationships" name="Empi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3">
    <font>
      <name val="Calibri"/>
      <family val="2"/>
      <color theme="1"/>
      <sz val="11"/>
      <scheme val="minor"/>
    </font>
    <font>
      <color rgb="000000FF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2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Sensibilidad del valor por acción a tasas largas e inflación (NUEVO)</t>
        </is>
      </c>
    </row>
    <row r="2">
      <c r="A2" t="inlineStr">
        <is>
          <t>Valor DCF por acción (CLP) y variación frente a la base (CLP 1.857). Δ tasa real y Δ inflación esperada en puntos base; todo se recalcula desde Calculo.</t>
        </is>
      </c>
    </row>
    <row r="4">
      <c r="A4" s="2" t="inlineStr">
        <is>
          <t>A. Valor DCF por acción (CLP): filas = Δ inflación esperada (pb), columnas = Δ tasa real (pb)</t>
        </is>
      </c>
    </row>
    <row r="5">
      <c r="B5" t="n">
        <v>-150</v>
      </c>
      <c r="C5" t="n">
        <v>-100</v>
      </c>
      <c r="D5" t="n">
        <v>-50</v>
      </c>
      <c r="E5" t="n">
        <v>0</v>
      </c>
      <c r="F5" t="n">
        <v>50</v>
      </c>
      <c r="G5" t="n">
        <v>100</v>
      </c>
      <c r="H5" t="n">
        <v>150</v>
      </c>
    </row>
    <row r="6">
      <c r="A6" t="n">
        <v>-100</v>
      </c>
      <c r="B6">
        <f>Calculo!AI6</f>
        <v/>
      </c>
      <c r="C6">
        <f>Calculo!AI7</f>
        <v/>
      </c>
      <c r="D6">
        <f>Calculo!AI8</f>
        <v/>
      </c>
      <c r="E6">
        <f>Calculo!AI9</f>
        <v/>
      </c>
      <c r="F6">
        <f>Calculo!AI10</f>
        <v/>
      </c>
      <c r="G6">
        <f>Calculo!AI11</f>
        <v/>
      </c>
      <c r="H6">
        <f>Calculo!AI12</f>
        <v/>
      </c>
    </row>
    <row r="7">
      <c r="A7" t="n">
        <v>-50</v>
      </c>
      <c r="B7">
        <f>Calculo!AI13</f>
        <v/>
      </c>
      <c r="C7">
        <f>Calculo!AI14</f>
        <v/>
      </c>
      <c r="D7">
        <f>Calculo!AI15</f>
        <v/>
      </c>
      <c r="E7">
        <f>Calculo!AI16</f>
        <v/>
      </c>
      <c r="F7">
        <f>Calculo!AI17</f>
        <v/>
      </c>
      <c r="G7">
        <f>Calculo!AI18</f>
        <v/>
      </c>
      <c r="H7">
        <f>Calculo!AI19</f>
        <v/>
      </c>
    </row>
    <row r="8">
      <c r="A8" t="n">
        <v>0</v>
      </c>
      <c r="B8">
        <f>Calculo!AI20</f>
        <v/>
      </c>
      <c r="C8">
        <f>Calculo!AI21</f>
        <v/>
      </c>
      <c r="D8">
        <f>Calculo!AI22</f>
        <v/>
      </c>
      <c r="E8">
        <f>Calculo!AI23</f>
        <v/>
      </c>
      <c r="F8">
        <f>Calculo!AI24</f>
        <v/>
      </c>
      <c r="G8">
        <f>Calculo!AI25</f>
        <v/>
      </c>
      <c r="H8">
        <f>Calculo!AI26</f>
        <v/>
      </c>
    </row>
    <row r="9">
      <c r="A9" t="n">
        <v>50</v>
      </c>
      <c r="B9">
        <f>Calculo!AI27</f>
        <v/>
      </c>
      <c r="C9">
        <f>Calculo!AI28</f>
        <v/>
      </c>
      <c r="D9">
        <f>Calculo!AI29</f>
        <v/>
      </c>
      <c r="E9">
        <f>Calculo!AI30</f>
        <v/>
      </c>
      <c r="F9">
        <f>Calculo!AI31</f>
        <v/>
      </c>
      <c r="G9">
        <f>Calculo!AI32</f>
        <v/>
      </c>
      <c r="H9">
        <f>Calculo!AI33</f>
        <v/>
      </c>
    </row>
    <row r="10">
      <c r="A10" t="n">
        <v>100</v>
      </c>
      <c r="B10">
        <f>Calculo!AI34</f>
        <v/>
      </c>
      <c r="C10">
        <f>Calculo!AI35</f>
        <v/>
      </c>
      <c r="D10">
        <f>Calculo!AI36</f>
        <v/>
      </c>
      <c r="E10">
        <f>Calculo!AI37</f>
        <v/>
      </c>
      <c r="F10">
        <f>Calculo!AI38</f>
        <v/>
      </c>
      <c r="G10">
        <f>Calculo!AI39</f>
        <v/>
      </c>
      <c r="H10">
        <f>Calculo!AI40</f>
        <v/>
      </c>
    </row>
    <row r="12">
      <c r="A12" s="2" t="inlineStr">
        <is>
          <t>B. Variación frente a la base</t>
        </is>
      </c>
    </row>
    <row r="13">
      <c r="B13" t="n">
        <v>-150</v>
      </c>
      <c r="C13" t="n">
        <v>-100</v>
      </c>
      <c r="D13" t="n">
        <v>-50</v>
      </c>
      <c r="E13" t="n">
        <v>0</v>
      </c>
      <c r="F13" t="n">
        <v>50</v>
      </c>
      <c r="G13" t="n">
        <v>100</v>
      </c>
      <c r="H13" t="n">
        <v>150</v>
      </c>
    </row>
    <row r="14">
      <c r="A14" t="n">
        <v>-100</v>
      </c>
      <c r="B14">
        <f>Calculo!AJ6</f>
        <v/>
      </c>
      <c r="C14">
        <f>Calculo!AJ7</f>
        <v/>
      </c>
      <c r="D14">
        <f>Calculo!AJ8</f>
        <v/>
      </c>
      <c r="E14">
        <f>Calculo!AJ9</f>
        <v/>
      </c>
      <c r="F14">
        <f>Calculo!AJ10</f>
        <v/>
      </c>
      <c r="G14">
        <f>Calculo!AJ11</f>
        <v/>
      </c>
      <c r="H14">
        <f>Calculo!AJ12</f>
        <v/>
      </c>
    </row>
    <row r="15">
      <c r="A15" t="n">
        <v>-50</v>
      </c>
      <c r="B15">
        <f>Calculo!AJ13</f>
        <v/>
      </c>
      <c r="C15">
        <f>Calculo!AJ14</f>
        <v/>
      </c>
      <c r="D15">
        <f>Calculo!AJ15</f>
        <v/>
      </c>
      <c r="E15">
        <f>Calculo!AJ16</f>
        <v/>
      </c>
      <c r="F15">
        <f>Calculo!AJ17</f>
        <v/>
      </c>
      <c r="G15">
        <f>Calculo!AJ18</f>
        <v/>
      </c>
      <c r="H15">
        <f>Calculo!AJ19</f>
        <v/>
      </c>
    </row>
    <row r="16">
      <c r="A16" t="n">
        <v>0</v>
      </c>
      <c r="B16">
        <f>Calculo!AJ20</f>
        <v/>
      </c>
      <c r="C16">
        <f>Calculo!AJ21</f>
        <v/>
      </c>
      <c r="D16">
        <f>Calculo!AJ22</f>
        <v/>
      </c>
      <c r="E16">
        <f>Calculo!AJ23</f>
        <v/>
      </c>
      <c r="F16">
        <f>Calculo!AJ24</f>
        <v/>
      </c>
      <c r="G16">
        <f>Calculo!AJ25</f>
        <v/>
      </c>
      <c r="H16">
        <f>Calculo!AJ26</f>
        <v/>
      </c>
    </row>
    <row r="17">
      <c r="A17" t="n">
        <v>50</v>
      </c>
      <c r="B17">
        <f>Calculo!AJ27</f>
        <v/>
      </c>
      <c r="C17">
        <f>Calculo!AJ28</f>
        <v/>
      </c>
      <c r="D17">
        <f>Calculo!AJ29</f>
        <v/>
      </c>
      <c r="E17">
        <f>Calculo!AJ30</f>
        <v/>
      </c>
      <c r="F17">
        <f>Calculo!AJ31</f>
        <v/>
      </c>
      <c r="G17">
        <f>Calculo!AJ32</f>
        <v/>
      </c>
      <c r="H17">
        <f>Calculo!AJ33</f>
        <v/>
      </c>
    </row>
    <row r="18">
      <c r="A18" t="n">
        <v>100</v>
      </c>
      <c r="B18">
        <f>Calculo!AJ34</f>
        <v/>
      </c>
      <c r="C18">
        <f>Calculo!AJ35</f>
        <v/>
      </c>
      <c r="D18">
        <f>Calculo!AJ36</f>
        <v/>
      </c>
      <c r="E18">
        <f>Calculo!AJ37</f>
        <v/>
      </c>
      <c r="F18">
        <f>Calculo!AJ38</f>
        <v/>
      </c>
      <c r="G18">
        <f>Calculo!AJ39</f>
        <v/>
      </c>
      <c r="H18">
        <f>Calculo!AJ40</f>
        <v/>
      </c>
    </row>
    <row r="20">
      <c r="A20" s="2" t="inlineStr">
        <is>
          <t>C. Mix: efecto de una misma alza (+100 pb) o baja (−100 pb) de la tasa larga NOMINAL según cuánto venga de inflación (Δi ≈ Δr + Δπ)</t>
        </is>
      </c>
    </row>
    <row r="21">
      <c r="A21" t="inlineStr">
        <is>
          <t>% de la variación que viene de inflación</t>
        </is>
      </c>
      <c r="B21" t="n">
        <v>0</v>
      </c>
      <c r="C21" t="n">
        <v>0.1</v>
      </c>
      <c r="D21" t="n">
        <v>0.2</v>
      </c>
      <c r="E21" t="n">
        <v>0.3</v>
      </c>
      <c r="F21" t="n">
        <v>0.4</v>
      </c>
      <c r="G21" t="n">
        <v>0.5</v>
      </c>
      <c r="H21" t="n">
        <v>0.6</v>
      </c>
      <c r="I21" t="n">
        <v>0.7</v>
      </c>
      <c r="J21" t="n">
        <v>0.8</v>
      </c>
      <c r="K21" t="n">
        <v>0.9</v>
      </c>
      <c r="L21" t="n">
        <v>1</v>
      </c>
    </row>
    <row r="22">
      <c r="A22" t="inlineStr">
        <is>
          <t>Δi = +100 pb, θ = 1.0</t>
        </is>
      </c>
      <c r="B22">
        <f>Calculo!AJ41</f>
        <v/>
      </c>
      <c r="C22">
        <f>Calculo!AJ42</f>
        <v/>
      </c>
      <c r="D22">
        <f>Calculo!AJ43</f>
        <v/>
      </c>
      <c r="E22">
        <f>Calculo!AJ44</f>
        <v/>
      </c>
      <c r="F22">
        <f>Calculo!AJ45</f>
        <v/>
      </c>
      <c r="G22">
        <f>Calculo!AJ46</f>
        <v/>
      </c>
      <c r="H22">
        <f>Calculo!AJ47</f>
        <v/>
      </c>
      <c r="I22">
        <f>Calculo!AJ48</f>
        <v/>
      </c>
      <c r="J22">
        <f>Calculo!AJ49</f>
        <v/>
      </c>
      <c r="K22">
        <f>Calculo!AJ50</f>
        <v/>
      </c>
      <c r="L22">
        <f>Calculo!AJ51</f>
        <v/>
      </c>
    </row>
    <row r="23">
      <c r="A23" t="inlineStr">
        <is>
          <t>Δi = +100 pb, θ = 0.85</t>
        </is>
      </c>
      <c r="B23">
        <f>Calculo!AJ52</f>
        <v/>
      </c>
      <c r="C23">
        <f>Calculo!AJ53</f>
        <v/>
      </c>
      <c r="D23">
        <f>Calculo!AJ54</f>
        <v/>
      </c>
      <c r="E23">
        <f>Calculo!AJ55</f>
        <v/>
      </c>
      <c r="F23">
        <f>Calculo!AJ56</f>
        <v/>
      </c>
      <c r="G23">
        <f>Calculo!AJ57</f>
        <v/>
      </c>
      <c r="H23">
        <f>Calculo!AJ58</f>
        <v/>
      </c>
      <c r="I23">
        <f>Calculo!AJ59</f>
        <v/>
      </c>
      <c r="J23">
        <f>Calculo!AJ60</f>
        <v/>
      </c>
      <c r="K23">
        <f>Calculo!AJ61</f>
        <v/>
      </c>
      <c r="L23">
        <f>Calculo!AJ62</f>
        <v/>
      </c>
    </row>
    <row r="24">
      <c r="A24" t="inlineStr">
        <is>
          <t>Δi = +100 pb, θ = 0.7</t>
        </is>
      </c>
      <c r="B24">
        <f>Calculo!AJ63</f>
        <v/>
      </c>
      <c r="C24">
        <f>Calculo!AJ64</f>
        <v/>
      </c>
      <c r="D24">
        <f>Calculo!AJ65</f>
        <v/>
      </c>
      <c r="E24">
        <f>Calculo!AJ66</f>
        <v/>
      </c>
      <c r="F24">
        <f>Calculo!AJ67</f>
        <v/>
      </c>
      <c r="G24">
        <f>Calculo!AJ68</f>
        <v/>
      </c>
      <c r="H24">
        <f>Calculo!AJ69</f>
        <v/>
      </c>
      <c r="I24">
        <f>Calculo!AJ70</f>
        <v/>
      </c>
      <c r="J24">
        <f>Calculo!AJ71</f>
        <v/>
      </c>
      <c r="K24">
        <f>Calculo!AJ72</f>
        <v/>
      </c>
      <c r="L24">
        <f>Calculo!AJ73</f>
        <v/>
      </c>
    </row>
    <row r="25">
      <c r="A25" t="inlineStr">
        <is>
          <t>Δi = -100 pb, θ = 1.0</t>
        </is>
      </c>
      <c r="B25">
        <f>Calculo!AJ74</f>
        <v/>
      </c>
      <c r="C25">
        <f>Calculo!AJ75</f>
        <v/>
      </c>
      <c r="D25">
        <f>Calculo!AJ76</f>
        <v/>
      </c>
      <c r="E25">
        <f>Calculo!AJ77</f>
        <v/>
      </c>
      <c r="F25">
        <f>Calculo!AJ78</f>
        <v/>
      </c>
      <c r="G25">
        <f>Calculo!AJ79</f>
        <v/>
      </c>
      <c r="H25">
        <f>Calculo!AJ80</f>
        <v/>
      </c>
      <c r="I25">
        <f>Calculo!AJ81</f>
        <v/>
      </c>
      <c r="J25">
        <f>Calculo!AJ82</f>
        <v/>
      </c>
      <c r="K25">
        <f>Calculo!AJ83</f>
        <v/>
      </c>
      <c r="L25">
        <f>Calculo!AJ84</f>
        <v/>
      </c>
    </row>
    <row r="26">
      <c r="A26" t="inlineStr">
        <is>
          <t>Δi = -100 pb, θ = 0.85</t>
        </is>
      </c>
      <c r="B26">
        <f>Calculo!AJ85</f>
        <v/>
      </c>
      <c r="C26">
        <f>Calculo!AJ86</f>
        <v/>
      </c>
      <c r="D26">
        <f>Calculo!AJ87</f>
        <v/>
      </c>
      <c r="E26">
        <f>Calculo!AJ88</f>
        <v/>
      </c>
      <c r="F26">
        <f>Calculo!AJ89</f>
        <v/>
      </c>
      <c r="G26">
        <f>Calculo!AJ90</f>
        <v/>
      </c>
      <c r="H26">
        <f>Calculo!AJ91</f>
        <v/>
      </c>
      <c r="I26">
        <f>Calculo!AJ92</f>
        <v/>
      </c>
      <c r="J26">
        <f>Calculo!AJ93</f>
        <v/>
      </c>
      <c r="K26">
        <f>Calculo!AJ94</f>
        <v/>
      </c>
      <c r="L26">
        <f>Calculo!AJ95</f>
        <v/>
      </c>
    </row>
    <row r="27">
      <c r="A27" t="inlineStr">
        <is>
          <t>Δi = -100 pb, θ = 0.7</t>
        </is>
      </c>
      <c r="B27">
        <f>Calculo!AJ96</f>
        <v/>
      </c>
      <c r="C27">
        <f>Calculo!AJ97</f>
        <v/>
      </c>
      <c r="D27">
        <f>Calculo!AJ98</f>
        <v/>
      </c>
      <c r="E27">
        <f>Calculo!AJ99</f>
        <v/>
      </c>
      <c r="F27">
        <f>Calculo!AJ100</f>
        <v/>
      </c>
      <c r="G27">
        <f>Calculo!AJ101</f>
        <v/>
      </c>
      <c r="H27">
        <f>Calculo!AJ102</f>
        <v/>
      </c>
      <c r="I27">
        <f>Calculo!AJ103</f>
        <v/>
      </c>
      <c r="J27">
        <f>Calculo!AJ104</f>
        <v/>
      </c>
      <c r="K27">
        <f>Calculo!AJ105</f>
        <v/>
      </c>
      <c r="L27">
        <f>Calculo!AJ106</f>
        <v/>
      </c>
    </row>
    <row r="29">
      <c r="A29" s="2" t="inlineStr">
        <is>
          <t>D. Control empírico (regresión semanal; ver hoja Empirico)</t>
        </is>
      </c>
    </row>
    <row r="30">
      <c r="A30" t="inlineStr">
        <is>
          <t>Variable</t>
        </is>
      </c>
      <c r="B30" t="inlineStr">
        <is>
          <t>Coef. por +1 pp</t>
        </is>
      </c>
      <c r="C30" t="inlineStr">
        <is>
          <t>Estadístico t</t>
        </is>
      </c>
    </row>
    <row r="31">
      <c r="A31" t="inlineStr">
        <is>
          <t>Δ tasa real 10 años (BCU10)</t>
        </is>
      </c>
      <c r="B31">
        <f>INDEX(LINEST(Empirico!$G$6:$G$118,Empirico!$H$6:$J$118,TRUE,TRUE),1,3)</f>
        <v/>
      </c>
      <c r="C31">
        <f>INDEX(LINEST(Empirico!$G$6:$G$118,Empirico!$H$6:$J$118,TRUE,TRUE),1,3)/INDEX(LINEST(Empirico!$G$6:$G$118,Empirico!$H$6:$J$118,TRUE,TRUE),2,3)</f>
        <v/>
      </c>
    </row>
    <row r="32">
      <c r="A32" t="inlineStr">
        <is>
          <t>Δ inflación implícita (BCP10 − BCU10)</t>
        </is>
      </c>
      <c r="B32">
        <f>INDEX(LINEST(Empirico!$G$6:$G$118,Empirico!$H$6:$J$118,TRUE,TRUE),1,2)</f>
        <v/>
      </c>
      <c r="C32">
        <f>INDEX(LINEST(Empirico!$G$6:$G$118,Empirico!$H$6:$J$118,TRUE,TRUE),1,2)/INDEX(LINEST(Empirico!$G$6:$G$118,Empirico!$H$6:$J$118,TRUE,TRUE),2,2)</f>
        <v/>
      </c>
    </row>
    <row r="33">
      <c r="A33" t="inlineStr">
        <is>
          <t>Δ ln IPSA (control)</t>
        </is>
      </c>
      <c r="B33">
        <f>INDEX(LINEST(Empirico!$G$6:$G$118,Empirico!$H$6:$J$118,TRUE,TRUE),1,1)</f>
        <v/>
      </c>
      <c r="C33">
        <f>INDEX(LINEST(Empirico!$G$6:$G$118,Empirico!$H$6:$J$118,TRUE,TRUE),1,1)/INDEX(LINEST(Empirico!$G$6:$G$118,Empirico!$H$6:$J$118,TRUE,TRUE),2,1)</f>
        <v/>
      </c>
    </row>
    <row r="34">
      <c r="A34" t="inlineStr">
        <is>
          <t>R²</t>
        </is>
      </c>
      <c r="B34">
        <f>INDEX(LINEST(Empirico!$G$6:$G$118,Empirico!$H$6:$J$118,TRUE,TRUE),3,1)</f>
        <v/>
      </c>
    </row>
    <row r="35">
      <c r="A35" t="inlineStr">
        <is>
          <t>N.º de semanas</t>
        </is>
      </c>
      <c r="B35">
        <f>COUNT(Empirico!$G$6:$G$118)</f>
        <v/>
      </c>
    </row>
    <row r="37">
      <c r="A37" t="inlineStr">
        <is>
          <t>Lectura: el DCF dice que una alza de 100 pb de tasa real baja el valor ~17%, mientras que la inflación casi no lo mueve; en el dato histórico la sensibilidad es mucho menor y poco significativa porque la acción se re-valorizó con tasas casi planas.</t>
        </is>
      </c>
    </row>
    <row r="40">
      <c r="A40" s="3" t="inlineStr">
        <is>
          <t>E. Precio objetivo (80% DCF + 20% múltiplos, múltiplos fijos): filas = inflación esperada, columnas = tasa real a 10 años (BCU10, base 30-09-26)</t>
        </is>
      </c>
    </row>
    <row r="41">
      <c r="A41" t="inlineStr">
        <is>
          <t>Tasa real / inflación</t>
        </is>
      </c>
      <c r="B41">
        <f>2.82/100+-100/10000</f>
        <v/>
      </c>
      <c r="C41">
        <f>2.82/100+-50/10000</f>
        <v/>
      </c>
      <c r="D41">
        <f>2.82/100+0/10000</f>
        <v/>
      </c>
      <c r="E41">
        <f>2.82/100+50/10000</f>
        <v/>
      </c>
      <c r="F41">
        <f>2.82/100+100/10000</f>
        <v/>
      </c>
    </row>
    <row r="42">
      <c r="A42">
        <f>Supuestos!$B$4+100/10000</f>
        <v/>
      </c>
      <c r="B42">
        <f>Supuestos!$B$12*Calculo!AI35+(1-Supuestos!$B$12)*Supuestos!$B$11</f>
        <v/>
      </c>
      <c r="C42">
        <f>Supuestos!$B$12*Calculo!AI36+(1-Supuestos!$B$12)*Supuestos!$B$11</f>
        <v/>
      </c>
      <c r="D42">
        <f>Supuestos!$B$12*Calculo!AI37+(1-Supuestos!$B$12)*Supuestos!$B$11</f>
        <v/>
      </c>
      <c r="E42">
        <f>Supuestos!$B$12*Calculo!AI38+(1-Supuestos!$B$12)*Supuestos!$B$11</f>
        <v/>
      </c>
      <c r="F42">
        <f>Supuestos!$B$12*Calculo!AI39+(1-Supuestos!$B$12)*Supuestos!$B$11</f>
        <v/>
      </c>
    </row>
    <row r="43">
      <c r="A43">
        <f>Supuestos!$B$4+50/10000</f>
        <v/>
      </c>
      <c r="B43">
        <f>Supuestos!$B$12*Calculo!AI28+(1-Supuestos!$B$12)*Supuestos!$B$11</f>
        <v/>
      </c>
      <c r="C43">
        <f>Supuestos!$B$12*Calculo!AI29+(1-Supuestos!$B$12)*Supuestos!$B$11</f>
        <v/>
      </c>
      <c r="D43">
        <f>Supuestos!$B$12*Calculo!AI30+(1-Supuestos!$B$12)*Supuestos!$B$11</f>
        <v/>
      </c>
      <c r="E43">
        <f>Supuestos!$B$12*Calculo!AI31+(1-Supuestos!$B$12)*Supuestos!$B$11</f>
        <v/>
      </c>
      <c r="F43">
        <f>Supuestos!$B$12*Calculo!AI32+(1-Supuestos!$B$12)*Supuestos!$B$11</f>
        <v/>
      </c>
    </row>
    <row r="44">
      <c r="A44">
        <f>Supuestos!$B$4+0/10000</f>
        <v/>
      </c>
      <c r="B44">
        <f>Supuestos!$B$12*Calculo!AI21+(1-Supuestos!$B$12)*Supuestos!$B$11</f>
        <v/>
      </c>
      <c r="C44">
        <f>Supuestos!$B$12*Calculo!AI22+(1-Supuestos!$B$12)*Supuestos!$B$11</f>
        <v/>
      </c>
      <c r="D44" s="3">
        <f>Supuestos!$B$12*Calculo!AI23+(1-Supuestos!$B$12)*Supuestos!$B$11</f>
        <v/>
      </c>
      <c r="E44">
        <f>Supuestos!$B$12*Calculo!AI24+(1-Supuestos!$B$12)*Supuestos!$B$11</f>
        <v/>
      </c>
      <c r="F44">
        <f>Supuestos!$B$12*Calculo!AI25+(1-Supuestos!$B$12)*Supuestos!$B$11</f>
        <v/>
      </c>
    </row>
    <row r="45">
      <c r="A45">
        <f>Supuestos!$B$4+-50/10000</f>
        <v/>
      </c>
      <c r="B45">
        <f>Supuestos!$B$12*Calculo!AI14+(1-Supuestos!$B$12)*Supuestos!$B$11</f>
        <v/>
      </c>
      <c r="C45">
        <f>Supuestos!$B$12*Calculo!AI15+(1-Supuestos!$B$12)*Supuestos!$B$11</f>
        <v/>
      </c>
      <c r="D45">
        <f>Supuestos!$B$12*Calculo!AI16+(1-Supuestos!$B$12)*Supuestos!$B$11</f>
        <v/>
      </c>
      <c r="E45">
        <f>Supuestos!$B$12*Calculo!AI17+(1-Supuestos!$B$12)*Supuestos!$B$11</f>
        <v/>
      </c>
      <c r="F45">
        <f>Supuestos!$B$12*Calculo!AI18+(1-Supuestos!$B$12)*Supuestos!$B$11</f>
        <v/>
      </c>
    </row>
    <row r="46">
      <c r="A46">
        <f>Supuestos!$B$4+-100/10000</f>
        <v/>
      </c>
      <c r="B46">
        <f>Supuestos!$B$12*Calculo!AI7+(1-Supuestos!$B$12)*Supuestos!$B$11</f>
        <v/>
      </c>
      <c r="C46">
        <f>Supuestos!$B$12*Calculo!AI8+(1-Supuestos!$B$12)*Supuestos!$B$11</f>
        <v/>
      </c>
      <c r="D46">
        <f>Supuestos!$B$12*Calculo!AI9+(1-Supuestos!$B$12)*Supuestos!$B$11</f>
        <v/>
      </c>
      <c r="E46">
        <f>Supuestos!$B$12*Calculo!AI10+(1-Supuestos!$B$12)*Supuestos!$B$11</f>
        <v/>
      </c>
      <c r="F46">
        <f>Supuestos!$B$12*Calculo!AI11+(1-Supuestos!$B$12)*Supuestos!$B$11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Sensibilidad a tasas largas e inflación — insumos</t>
        </is>
      </c>
    </row>
    <row r="2">
      <c r="A2" t="inlineStr">
        <is>
          <t>Azul = dato pegado del modelo v3 (fuente en col. K); negro = fórmula. Los supuestos de traspaso (B13, B14) son del equipo y se pueden mover.</t>
        </is>
      </c>
    </row>
    <row r="4">
      <c r="A4" t="inlineStr">
        <is>
          <t>Inflación esperada de largo plazo π (Chile)</t>
        </is>
      </c>
      <c r="B4" s="4" t="n">
        <v>0.03</v>
      </c>
      <c r="K4" t="inlineStr">
        <is>
          <t>Mallplaza_Valoracion_Consolidada_v3 · Supuestos!B34</t>
        </is>
      </c>
    </row>
    <row r="5">
      <c r="A5" t="inlineStr">
        <is>
          <t>Crecimiento terminal nominal g</t>
        </is>
      </c>
      <c r="B5" s="4" t="n">
        <v>0.03</v>
      </c>
      <c r="K5" t="inlineStr">
        <is>
          <t>v3 · DCF!C39 (real = 0%)</t>
        </is>
      </c>
    </row>
    <row r="6">
      <c r="A6" t="inlineStr">
        <is>
          <t>Tasa de impuesto t</t>
        </is>
      </c>
      <c r="B6" s="4" t="n">
        <v>0.27</v>
      </c>
      <c r="K6" t="inlineStr">
        <is>
          <t>v3 · Supuestos!B35</t>
        </is>
      </c>
    </row>
    <row r="7">
      <c r="A7" t="inlineStr">
        <is>
          <t>DFN al 30-06-2026 (MM CLP)</t>
        </is>
      </c>
      <c r="B7" s="4" t="n">
        <v>1285740</v>
      </c>
      <c r="K7" t="inlineStr">
        <is>
          <t>v3 · DCF!C45</t>
        </is>
      </c>
    </row>
    <row r="8">
      <c r="A8" t="inlineStr">
        <is>
          <t>Minoritarios a libro (MM CLP)</t>
        </is>
      </c>
      <c r="B8" s="4" t="n">
        <v>50841</v>
      </c>
      <c r="K8" t="inlineStr">
        <is>
          <t>v3 · DCF!C46</t>
        </is>
      </c>
    </row>
    <row r="9">
      <c r="A9" t="inlineStr">
        <is>
          <t>Acciones (MM)</t>
        </is>
      </c>
      <c r="B9" s="4" t="n">
        <v>2190</v>
      </c>
      <c r="K9" t="inlineStr">
        <is>
          <t>v3 · DCF!C48</t>
        </is>
      </c>
    </row>
    <row r="10">
      <c r="A10" t="inlineStr">
        <is>
          <t>Precio 30-09-2026 (CLP)</t>
        </is>
      </c>
      <c r="B10" s="4" t="n">
        <v>3555</v>
      </c>
      <c r="K10" t="inlineStr">
        <is>
          <t>v3 · DCF!C50</t>
        </is>
      </c>
    </row>
    <row r="11">
      <c r="A11" t="inlineStr">
        <is>
          <t>Valor por múltiplos EV/EBITDA LTM (CLP)</t>
        </is>
      </c>
      <c r="B11" s="4" t="n">
        <v>2951.38547083101</v>
      </c>
      <c r="K11" t="inlineStr">
        <is>
          <t>v3 · Precio_Objetivo!D5</t>
        </is>
      </c>
    </row>
    <row r="12">
      <c r="A12" t="inlineStr">
        <is>
          <t>Peso del DCF en el precio objetivo</t>
        </is>
      </c>
      <c r="B12" s="4" t="n">
        <v>0.8</v>
      </c>
      <c r="K12" t="inlineStr">
        <is>
          <t>v3 · Precio_Objetivo!B14</t>
        </is>
      </c>
    </row>
    <row r="13">
      <c r="A13" t="inlineStr">
        <is>
          <t>θ: parte del flujo que se reajusta con la inflación</t>
        </is>
      </c>
      <c r="B13" s="5" t="n">
        <v>0.85</v>
      </c>
      <c r="K13" t="inlineStr">
        <is>
          <t>SUPUESTO del equipo: rentas UF/reajustables y valor terminal; &lt;1 por contratos fijos en CLP y rezago</t>
        </is>
      </c>
    </row>
    <row r="14">
      <c r="A14" t="inlineStr">
        <is>
          <t>λ: traspaso de la tasa real al Ke (Kd traspasa 1:1)</t>
        </is>
      </c>
      <c r="B14" s="5" t="n">
        <v>1</v>
      </c>
      <c r="K14" t="inlineStr">
        <is>
          <t>SUPUESTO del equipo: la tasa libre de riesgo mueve el Ke 1:1</t>
        </is>
      </c>
    </row>
    <row r="15">
      <c r="A15" t="inlineStr">
        <is>
          <t>Escenario único: Δ tasa real (pb)</t>
        </is>
      </c>
      <c r="B15" s="4" t="n">
        <v>100</v>
      </c>
      <c r="K15" t="inlineStr">
        <is>
          <t>Cambiar para ver un caso puntual (resultado en B19)</t>
        </is>
      </c>
    </row>
    <row r="16">
      <c r="A16" t="inlineStr">
        <is>
          <t>Escenario único: Δ inflación esperada (pb)</t>
        </is>
      </c>
      <c r="B16" s="4" t="n">
        <v>0</v>
      </c>
      <c r="K16" t="inlineStr">
        <is>
          <t>Cambiar para ver un caso puntual</t>
        </is>
      </c>
    </row>
    <row r="19">
      <c r="A19" t="inlineStr">
        <is>
          <t>Valor por acción del escenario único (CLP)</t>
        </is>
      </c>
      <c r="B19">
        <f>Calculo!AI107</f>
        <v/>
      </c>
    </row>
    <row r="20">
      <c r="A20" t="inlineStr">
        <is>
          <t>Variación frente a la base</t>
        </is>
      </c>
      <c r="B20">
        <f>B19/Calculo!AI5-1</f>
        <v/>
      </c>
    </row>
    <row r="22">
      <c r="A22" t="inlineStr">
        <is>
          <t>Período</t>
        </is>
      </c>
      <c r="C22" t="inlineStr">
        <is>
          <t>2S26E</t>
        </is>
      </c>
      <c r="D22" t="inlineStr">
        <is>
          <t>2027E</t>
        </is>
      </c>
      <c r="E22" t="inlineStr">
        <is>
          <t>2028E</t>
        </is>
      </c>
      <c r="F22" t="inlineStr">
        <is>
          <t>2029E</t>
        </is>
      </c>
      <c r="G22" t="inlineStr">
        <is>
          <t>2030E</t>
        </is>
      </c>
      <c r="H22" t="inlineStr">
        <is>
          <t>2031E</t>
        </is>
      </c>
      <c r="I22" t="inlineStr">
        <is>
          <t>Terminal</t>
        </is>
      </c>
    </row>
    <row r="23">
      <c r="A23" t="inlineStr">
        <is>
          <t>FCFF (MM CLP nominales)</t>
        </is>
      </c>
      <c r="C23" s="4" t="n">
        <v>113425.715768245</v>
      </c>
      <c r="D23" s="4" t="n">
        <v>199440.442268561</v>
      </c>
      <c r="E23" s="4" t="n">
        <v>259687.719258378</v>
      </c>
      <c r="F23" s="4" t="n">
        <v>375320.615932717</v>
      </c>
      <c r="G23" s="4" t="n">
        <v>377068.219372121</v>
      </c>
      <c r="H23" s="4" t="n">
        <v>398715.503513791</v>
      </c>
      <c r="I23" s="4" t="n">
        <v>528835.311960595</v>
      </c>
      <c r="K23" t="inlineStr">
        <is>
          <t>v3 · DCF!C22:I22</t>
        </is>
      </c>
    </row>
    <row r="24">
      <c r="A24" t="inlineStr">
        <is>
          <t>Fracción de año</t>
        </is>
      </c>
      <c r="C24" s="4" t="n">
        <v>0.5</v>
      </c>
      <c r="D24" s="4" t="n">
        <v>1</v>
      </c>
      <c r="E24" s="4" t="n">
        <v>1</v>
      </c>
      <c r="F24" s="4" t="n">
        <v>1</v>
      </c>
      <c r="G24" s="4" t="n">
        <v>1</v>
      </c>
      <c r="H24" s="4" t="n">
        <v>1</v>
      </c>
      <c r="K24" t="inlineStr">
        <is>
          <t>v3 · DCF!C26:H26</t>
        </is>
      </c>
    </row>
    <row r="25">
      <c r="A25" t="inlineStr">
        <is>
          <t>τ: años a mitad de período desde 30-06-26</t>
        </is>
      </c>
      <c r="C25" s="4" t="n">
        <v>0.25</v>
      </c>
      <c r="D25" s="4" t="n">
        <v>1</v>
      </c>
      <c r="E25" s="4" t="n">
        <v>2</v>
      </c>
      <c r="F25" s="4" t="n">
        <v>3</v>
      </c>
      <c r="G25" s="4" t="n">
        <v>4</v>
      </c>
      <c r="H25" s="4" t="n">
        <v>5</v>
      </c>
      <c r="I25" s="4" t="n">
        <v>6</v>
      </c>
      <c r="K25" t="inlineStr">
        <is>
          <t>Convención de mitad de período del DCF</t>
        </is>
      </c>
    </row>
    <row r="26">
      <c r="A26" t="inlineStr">
        <is>
          <t>Ke nominal CLP</t>
        </is>
      </c>
      <c r="C26" s="4" t="n">
        <v>0.117033041180547</v>
      </c>
      <c r="D26" s="4" t="n">
        <v>0.117479013178444</v>
      </c>
      <c r="E26" s="4" t="n">
        <v>0.11792498517634</v>
      </c>
      <c r="F26" s="4" t="n">
        <v>0.118370957174237</v>
      </c>
      <c r="G26" s="4" t="n">
        <v>0.118816929172134</v>
      </c>
      <c r="H26" s="4" t="n">
        <v>0.119262901170031</v>
      </c>
      <c r="I26" s="4" t="n">
        <v>0.119262901170031</v>
      </c>
      <c r="K26" t="inlineStr">
        <is>
          <t>v3 · WACC!C39:I39</t>
        </is>
      </c>
    </row>
    <row r="27">
      <c r="A27" t="inlineStr">
        <is>
          <t>Kd real (UF)</t>
        </is>
      </c>
      <c r="C27" s="4" t="n">
        <v>0.0362592187808888</v>
      </c>
      <c r="D27" s="4" t="n">
        <v>0.0367776563426664</v>
      </c>
      <c r="E27" s="4" t="n">
        <v>0.037296093904444</v>
      </c>
      <c r="F27" s="4" t="n">
        <v>0.0378145314662216</v>
      </c>
      <c r="G27" s="4" t="n">
        <v>0.0383329690279992</v>
      </c>
      <c r="H27" s="4" t="n">
        <v>0.0388514065897768</v>
      </c>
      <c r="I27" s="4" t="n">
        <v>0.0388514065897768</v>
      </c>
      <c r="K27" t="inlineStr">
        <is>
          <t>v3 · WACC!C40:I40</t>
        </is>
      </c>
    </row>
    <row r="28">
      <c r="A28" t="inlineStr">
        <is>
          <t>D/V</t>
        </is>
      </c>
      <c r="C28" s="4" t="n">
        <v>0.171864958306498</v>
      </c>
      <c r="D28" s="4" t="n">
        <v>0.182384862157361</v>
      </c>
      <c r="E28" s="4" t="n">
        <v>0.192640847271158</v>
      </c>
      <c r="F28" s="4" t="n">
        <v>0.202642722227619</v>
      </c>
      <c r="G28" s="4" t="n">
        <v>0.212399815504365</v>
      </c>
      <c r="H28" s="4" t="n">
        <v>0.221921004496352</v>
      </c>
      <c r="I28" s="4" t="n">
        <v>0.221921004496352</v>
      </c>
      <c r="K28" t="inlineStr">
        <is>
          <t>v3 · WACC!C35:I35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Cálculo por escenario (réplica del DCF v3 con Δ tasa real y Δ inflación)</t>
        </is>
      </c>
    </row>
    <row r="2">
      <c r="A2" t="inlineStr">
        <is>
          <t>Cada fila es un escenario completo: WACC por período, factores de descuento, flujos ajustados, valor terminal y valor por acción.</t>
        </is>
      </c>
    </row>
    <row r="4">
      <c r="A4" t="inlineStr">
        <is>
          <t>Δ tasa real (pb)</t>
        </is>
      </c>
      <c r="B4" t="inlineStr">
        <is>
          <t>Δ inflación (pb)</t>
        </is>
      </c>
      <c r="C4" t="inlineStr">
        <is>
          <t>θ</t>
        </is>
      </c>
      <c r="D4" t="inlineStr">
        <is>
          <t>Escenario</t>
        </is>
      </c>
      <c r="E4" t="inlineStr">
        <is>
          <t>WACC 2S26E</t>
        </is>
      </c>
      <c r="F4" t="inlineStr">
        <is>
          <t>WACC 2027E</t>
        </is>
      </c>
      <c r="G4" t="inlineStr">
        <is>
          <t>WACC 2028E</t>
        </is>
      </c>
      <c r="H4" t="inlineStr">
        <is>
          <t>WACC 2029E</t>
        </is>
      </c>
      <c r="I4" t="inlineStr">
        <is>
          <t>WACC 2030E</t>
        </is>
      </c>
      <c r="J4" t="inlineStr">
        <is>
          <t>WACC 2031E</t>
        </is>
      </c>
      <c r="K4" t="inlineStr">
        <is>
          <t>WACC Terminal</t>
        </is>
      </c>
      <c r="L4" t="inlineStr">
        <is>
          <t>Factor cierre 1</t>
        </is>
      </c>
      <c r="M4" t="inlineStr">
        <is>
          <t>Factor cierre 2</t>
        </is>
      </c>
      <c r="N4" t="inlineStr">
        <is>
          <t>Factor cierre 3</t>
        </is>
      </c>
      <c r="O4" t="inlineStr">
        <is>
          <t>Factor cierre 4</t>
        </is>
      </c>
      <c r="P4" t="inlineStr">
        <is>
          <t>Factor cierre 5</t>
        </is>
      </c>
      <c r="Q4" t="inlineStr">
        <is>
          <t>Factor cierre 6</t>
        </is>
      </c>
      <c r="R4" t="inlineStr">
        <is>
          <t>Factor medio 1</t>
        </is>
      </c>
      <c r="S4" t="inlineStr">
        <is>
          <t>Factor medio 2</t>
        </is>
      </c>
      <c r="T4" t="inlineStr">
        <is>
          <t>Factor medio 3</t>
        </is>
      </c>
      <c r="U4" t="inlineStr">
        <is>
          <t>Factor medio 4</t>
        </is>
      </c>
      <c r="V4" t="inlineStr">
        <is>
          <t>Factor medio 5</t>
        </is>
      </c>
      <c r="W4" t="inlineStr">
        <is>
          <t>Factor medio 6</t>
        </is>
      </c>
      <c r="X4" t="inlineStr">
        <is>
          <t>FCFF aj. 2S26E</t>
        </is>
      </c>
      <c r="Y4" t="inlineStr">
        <is>
          <t>FCFF aj. 2027E</t>
        </is>
      </c>
      <c r="Z4" t="inlineStr">
        <is>
          <t>FCFF aj. 2028E</t>
        </is>
      </c>
      <c r="AA4" t="inlineStr">
        <is>
          <t>FCFF aj. 2029E</t>
        </is>
      </c>
      <c r="AB4" t="inlineStr">
        <is>
          <t>FCFF aj. 2030E</t>
        </is>
      </c>
      <c r="AC4" t="inlineStr">
        <is>
          <t>FCFF aj. 2031E</t>
        </is>
      </c>
      <c r="AD4" t="inlineStr">
        <is>
          <t>FCFF aj. Terminal</t>
        </is>
      </c>
      <c r="AE4" t="inlineStr">
        <is>
          <t>VP explícito</t>
        </is>
      </c>
      <c r="AF4" t="inlineStr">
        <is>
          <t>g terminal</t>
        </is>
      </c>
      <c r="AG4" t="inlineStr">
        <is>
          <t>Valor terminal</t>
        </is>
      </c>
      <c r="AH4" t="inlineStr">
        <is>
          <t>VP valor terminal</t>
        </is>
      </c>
      <c r="AI4" t="inlineStr">
        <is>
          <t>Valor por acción (CLP)</t>
        </is>
      </c>
      <c r="AJ4" t="inlineStr">
        <is>
          <t>Variación vs base</t>
        </is>
      </c>
    </row>
    <row r="5">
      <c r="A5" t="n">
        <v>0</v>
      </c>
      <c r="B5" t="n">
        <v>0</v>
      </c>
      <c r="C5">
        <f>Supuestos!$B$13</f>
        <v/>
      </c>
      <c r="D5" t="inlineStr">
        <is>
          <t>Base</t>
        </is>
      </c>
      <c r="E5">
        <f>(1-Supuestos!C$28)*((1+((1+Supuestos!C$26)/(1+Supuestos!$B$4)-1+Supuestos!$B$14*$A5/10000))*(1+Supuestos!$B$4+$B5/10000)-1)+Supuestos!C$28*((1+Supuestos!C$27+$A5/10000)*(1+Supuestos!$B$4+$B5/10000)-1)*(1-Supuestos!$B$6)</f>
        <v/>
      </c>
      <c r="F5">
        <f>(1-Supuestos!D$28)*((1+((1+Supuestos!D$26)/(1+Supuestos!$B$4)-1+Supuestos!$B$14*$A5/10000))*(1+Supuestos!$B$4+$B5/10000)-1)+Supuestos!D$28*((1+Supuestos!D$27+$A5/10000)*(1+Supuestos!$B$4+$B5/10000)-1)*(1-Supuestos!$B$6)</f>
        <v/>
      </c>
      <c r="G5">
        <f>(1-Supuestos!E$28)*((1+((1+Supuestos!E$26)/(1+Supuestos!$B$4)-1+Supuestos!$B$14*$A5/10000))*(1+Supuestos!$B$4+$B5/10000)-1)+Supuestos!E$28*((1+Supuestos!E$27+$A5/10000)*(1+Supuestos!$B$4+$B5/10000)-1)*(1-Supuestos!$B$6)</f>
        <v/>
      </c>
      <c r="H5">
        <f>(1-Supuestos!F$28)*((1+((1+Supuestos!F$26)/(1+Supuestos!$B$4)-1+Supuestos!$B$14*$A5/10000))*(1+Supuestos!$B$4+$B5/10000)-1)+Supuestos!F$28*((1+Supuestos!F$27+$A5/10000)*(1+Supuestos!$B$4+$B5/10000)-1)*(1-Supuestos!$B$6)</f>
        <v/>
      </c>
      <c r="I5">
        <f>(1-Supuestos!G$28)*((1+((1+Supuestos!G$26)/(1+Supuestos!$B$4)-1+Supuestos!$B$14*$A5/10000))*(1+Supuestos!$B$4+$B5/10000)-1)+Supuestos!G$28*((1+Supuestos!G$27+$A5/10000)*(1+Supuestos!$B$4+$B5/10000)-1)*(1-Supuestos!$B$6)</f>
        <v/>
      </c>
      <c r="J5">
        <f>(1-Supuestos!H$28)*((1+((1+Supuestos!H$26)/(1+Supuestos!$B$4)-1+Supuestos!$B$14*$A5/10000))*(1+Supuestos!$B$4+$B5/10000)-1)+Supuestos!H$28*((1+Supuestos!H$27+$A5/10000)*(1+Supuestos!$B$4+$B5/10000)-1)*(1-Supuestos!$B$6)</f>
        <v/>
      </c>
      <c r="K5">
        <f>(1-Supuestos!I$28)*((1+((1+Supuestos!I$26)/(1+Supuestos!$B$4)-1+Supuestos!$B$14*$A5/10000))*(1+Supuestos!$B$4+$B5/10000)-1)+Supuestos!I$28*((1+Supuestos!I$27+$A5/10000)*(1+Supuestos!$B$4+$B5/10000)-1)*(1-Supuestos!$B$6)</f>
        <v/>
      </c>
      <c r="L5">
        <f>(1+E5)^-Supuestos!C$24</f>
        <v/>
      </c>
      <c r="M5">
        <f>L5*(1+F5)^-Supuestos!D$24</f>
        <v/>
      </c>
      <c r="N5">
        <f>M5*(1+G5)^-Supuestos!E$24</f>
        <v/>
      </c>
      <c r="O5">
        <f>N5*(1+H5)^-Supuestos!F$24</f>
        <v/>
      </c>
      <c r="P5">
        <f>O5*(1+I5)^-Supuestos!G$24</f>
        <v/>
      </c>
      <c r="Q5">
        <f>P5*(1+J5)^-Supuestos!H$24</f>
        <v/>
      </c>
      <c r="R5">
        <f>(1+E5)^-(Supuestos!C$24/2)</f>
        <v/>
      </c>
      <c r="S5">
        <f>L5*(1+F5)^-(Supuestos!D$24/2)</f>
        <v/>
      </c>
      <c r="T5">
        <f>M5*(1+G5)^-(Supuestos!E$24/2)</f>
        <v/>
      </c>
      <c r="U5">
        <f>N5*(1+H5)^-(Supuestos!F$24/2)</f>
        <v/>
      </c>
      <c r="V5">
        <f>O5*(1+I5)^-(Supuestos!G$24/2)</f>
        <v/>
      </c>
      <c r="W5">
        <f>P5*(1+J5)^-(Supuestos!H$24/2)</f>
        <v/>
      </c>
      <c r="X5">
        <f>Supuestos!C$23*(1-$C5+$C5*((1+Supuestos!$B$4+$B5/10000)/(1+Supuestos!$B$4))^Supuestos!C$25)</f>
        <v/>
      </c>
      <c r="Y5">
        <f>Supuestos!D$23*(1-$C5+$C5*((1+Supuestos!$B$4+$B5/10000)/(1+Supuestos!$B$4))^Supuestos!D$25)</f>
        <v/>
      </c>
      <c r="Z5">
        <f>Supuestos!E$23*(1-$C5+$C5*((1+Supuestos!$B$4+$B5/10000)/(1+Supuestos!$B$4))^Supuestos!E$25)</f>
        <v/>
      </c>
      <c r="AA5">
        <f>Supuestos!F$23*(1-$C5+$C5*((1+Supuestos!$B$4+$B5/10000)/(1+Supuestos!$B$4))^Supuestos!F$25)</f>
        <v/>
      </c>
      <c r="AB5">
        <f>Supuestos!G$23*(1-$C5+$C5*((1+Supuestos!$B$4+$B5/10000)/(1+Supuestos!$B$4))^Supuestos!G$25)</f>
        <v/>
      </c>
      <c r="AC5">
        <f>Supuestos!H$23*(1-$C5+$C5*((1+Supuestos!$B$4+$B5/10000)/(1+Supuestos!$B$4))^Supuestos!H$25)</f>
        <v/>
      </c>
      <c r="AD5">
        <f>Supuestos!I$23*(1-$C5+$C5*((1+Supuestos!$B$4+$B5/10000)/(1+Supuestos!$B$4))^Supuestos!I$25)</f>
        <v/>
      </c>
      <c r="AE5">
        <f>SUMPRODUCT(X5:AC5,R5:W5)</f>
        <v/>
      </c>
      <c r="AF5">
        <f>(1+Supuestos!$B$5)/(1+Supuestos!$B$4)*(1+Supuestos!$B$4+$B5/10000)-1</f>
        <v/>
      </c>
      <c r="AG5">
        <f>AD5/(K5-AF5)</f>
        <v/>
      </c>
      <c r="AH5">
        <f>AG5*Q5</f>
        <v/>
      </c>
      <c r="AI5">
        <f>(AE5+AH5-Supuestos!$B$7-Supuestos!$B$8)/Supuestos!$B$9</f>
        <v/>
      </c>
      <c r="AJ5">
        <f>AI5/AI$5-1</f>
        <v/>
      </c>
    </row>
    <row r="6">
      <c r="A6" t="n">
        <v>-150</v>
      </c>
      <c r="B6" t="n">
        <v>-100</v>
      </c>
      <c r="C6">
        <f>Supuestos!$B$13</f>
        <v/>
      </c>
      <c r="D6" t="inlineStr">
        <is>
          <t>Grilla</t>
        </is>
      </c>
      <c r="E6">
        <f>(1-Supuestos!C$28)*((1+((1+Supuestos!C$26)/(1+Supuestos!$B$4)-1+Supuestos!$B$14*$A6/10000))*(1+Supuestos!$B$4+$B6/10000)-1)+Supuestos!C$28*((1+Supuestos!C$27+$A6/10000)*(1+Supuestos!$B$4+$B6/10000)-1)*(1-Supuestos!$B$6)</f>
        <v/>
      </c>
      <c r="F6">
        <f>(1-Supuestos!D$28)*((1+((1+Supuestos!D$26)/(1+Supuestos!$B$4)-1+Supuestos!$B$14*$A6/10000))*(1+Supuestos!$B$4+$B6/10000)-1)+Supuestos!D$28*((1+Supuestos!D$27+$A6/10000)*(1+Supuestos!$B$4+$B6/10000)-1)*(1-Supuestos!$B$6)</f>
        <v/>
      </c>
      <c r="G6">
        <f>(1-Supuestos!E$28)*((1+((1+Supuestos!E$26)/(1+Supuestos!$B$4)-1+Supuestos!$B$14*$A6/10000))*(1+Supuestos!$B$4+$B6/10000)-1)+Supuestos!E$28*((1+Supuestos!E$27+$A6/10000)*(1+Supuestos!$B$4+$B6/10000)-1)*(1-Supuestos!$B$6)</f>
        <v/>
      </c>
      <c r="H6">
        <f>(1-Supuestos!F$28)*((1+((1+Supuestos!F$26)/(1+Supuestos!$B$4)-1+Supuestos!$B$14*$A6/10000))*(1+Supuestos!$B$4+$B6/10000)-1)+Supuestos!F$28*((1+Supuestos!F$27+$A6/10000)*(1+Supuestos!$B$4+$B6/10000)-1)*(1-Supuestos!$B$6)</f>
        <v/>
      </c>
      <c r="I6">
        <f>(1-Supuestos!G$28)*((1+((1+Supuestos!G$26)/(1+Supuestos!$B$4)-1+Supuestos!$B$14*$A6/10000))*(1+Supuestos!$B$4+$B6/10000)-1)+Supuestos!G$28*((1+Supuestos!G$27+$A6/10000)*(1+Supuestos!$B$4+$B6/10000)-1)*(1-Supuestos!$B$6)</f>
        <v/>
      </c>
      <c r="J6">
        <f>(1-Supuestos!H$28)*((1+((1+Supuestos!H$26)/(1+Supuestos!$B$4)-1+Supuestos!$B$14*$A6/10000))*(1+Supuestos!$B$4+$B6/10000)-1)+Supuestos!H$28*((1+Supuestos!H$27+$A6/10000)*(1+Supuestos!$B$4+$B6/10000)-1)*(1-Supuestos!$B$6)</f>
        <v/>
      </c>
      <c r="K6">
        <f>(1-Supuestos!I$28)*((1+((1+Supuestos!I$26)/(1+Supuestos!$B$4)-1+Supuestos!$B$14*$A6/10000))*(1+Supuestos!$B$4+$B6/10000)-1)+Supuestos!I$28*((1+Supuestos!I$27+$A6/10000)*(1+Supuestos!$B$4+$B6/10000)-1)*(1-Supuestos!$B$6)</f>
        <v/>
      </c>
      <c r="L6">
        <f>(1+E6)^-Supuestos!C$24</f>
        <v/>
      </c>
      <c r="M6">
        <f>L6*(1+F6)^-Supuestos!D$24</f>
        <v/>
      </c>
      <c r="N6">
        <f>M6*(1+G6)^-Supuestos!E$24</f>
        <v/>
      </c>
      <c r="O6">
        <f>N6*(1+H6)^-Supuestos!F$24</f>
        <v/>
      </c>
      <c r="P6">
        <f>O6*(1+I6)^-Supuestos!G$24</f>
        <v/>
      </c>
      <c r="Q6">
        <f>P6*(1+J6)^-Supuestos!H$24</f>
        <v/>
      </c>
      <c r="R6">
        <f>(1+E6)^-(Supuestos!C$24/2)</f>
        <v/>
      </c>
      <c r="S6">
        <f>L6*(1+F6)^-(Supuestos!D$24/2)</f>
        <v/>
      </c>
      <c r="T6">
        <f>M6*(1+G6)^-(Supuestos!E$24/2)</f>
        <v/>
      </c>
      <c r="U6">
        <f>N6*(1+H6)^-(Supuestos!F$24/2)</f>
        <v/>
      </c>
      <c r="V6">
        <f>O6*(1+I6)^-(Supuestos!G$24/2)</f>
        <v/>
      </c>
      <c r="W6">
        <f>P6*(1+J6)^-(Supuestos!H$24/2)</f>
        <v/>
      </c>
      <c r="X6">
        <f>Supuestos!C$23*(1-$C6+$C6*((1+Supuestos!$B$4+$B6/10000)/(1+Supuestos!$B$4))^Supuestos!C$25)</f>
        <v/>
      </c>
      <c r="Y6">
        <f>Supuestos!D$23*(1-$C6+$C6*((1+Supuestos!$B$4+$B6/10000)/(1+Supuestos!$B$4))^Supuestos!D$25)</f>
        <v/>
      </c>
      <c r="Z6">
        <f>Supuestos!E$23*(1-$C6+$C6*((1+Supuestos!$B$4+$B6/10000)/(1+Supuestos!$B$4))^Supuestos!E$25)</f>
        <v/>
      </c>
      <c r="AA6">
        <f>Supuestos!F$23*(1-$C6+$C6*((1+Supuestos!$B$4+$B6/10000)/(1+Supuestos!$B$4))^Supuestos!F$25)</f>
        <v/>
      </c>
      <c r="AB6">
        <f>Supuestos!G$23*(1-$C6+$C6*((1+Supuestos!$B$4+$B6/10000)/(1+Supuestos!$B$4))^Supuestos!G$25)</f>
        <v/>
      </c>
      <c r="AC6">
        <f>Supuestos!H$23*(1-$C6+$C6*((1+Supuestos!$B$4+$B6/10000)/(1+Supuestos!$B$4))^Supuestos!H$25)</f>
        <v/>
      </c>
      <c r="AD6">
        <f>Supuestos!I$23*(1-$C6+$C6*((1+Supuestos!$B$4+$B6/10000)/(1+Supuestos!$B$4))^Supuestos!I$25)</f>
        <v/>
      </c>
      <c r="AE6">
        <f>SUMPRODUCT(X6:AC6,R6:W6)</f>
        <v/>
      </c>
      <c r="AF6">
        <f>(1+Supuestos!$B$5)/(1+Supuestos!$B$4)*(1+Supuestos!$B$4+$B6/10000)-1</f>
        <v/>
      </c>
      <c r="AG6">
        <f>AD6/(K6-AF6)</f>
        <v/>
      </c>
      <c r="AH6">
        <f>AG6*Q6</f>
        <v/>
      </c>
      <c r="AI6">
        <f>(AE6+AH6-Supuestos!$B$7-Supuestos!$B$8)/Supuestos!$B$9</f>
        <v/>
      </c>
      <c r="AJ6">
        <f>AI6/AI$5-1</f>
        <v/>
      </c>
    </row>
    <row r="7">
      <c r="A7" t="n">
        <v>-100</v>
      </c>
      <c r="B7" t="n">
        <v>-100</v>
      </c>
      <c r="C7">
        <f>Supuestos!$B$13</f>
        <v/>
      </c>
      <c r="D7" t="inlineStr">
        <is>
          <t>Grilla</t>
        </is>
      </c>
      <c r="E7">
        <f>(1-Supuestos!C$28)*((1+((1+Supuestos!C$26)/(1+Supuestos!$B$4)-1+Supuestos!$B$14*$A7/10000))*(1+Supuestos!$B$4+$B7/10000)-1)+Supuestos!C$28*((1+Supuestos!C$27+$A7/10000)*(1+Supuestos!$B$4+$B7/10000)-1)*(1-Supuestos!$B$6)</f>
        <v/>
      </c>
      <c r="F7">
        <f>(1-Supuestos!D$28)*((1+((1+Supuestos!D$26)/(1+Supuestos!$B$4)-1+Supuestos!$B$14*$A7/10000))*(1+Supuestos!$B$4+$B7/10000)-1)+Supuestos!D$28*((1+Supuestos!D$27+$A7/10000)*(1+Supuestos!$B$4+$B7/10000)-1)*(1-Supuestos!$B$6)</f>
        <v/>
      </c>
      <c r="G7">
        <f>(1-Supuestos!E$28)*((1+((1+Supuestos!E$26)/(1+Supuestos!$B$4)-1+Supuestos!$B$14*$A7/10000))*(1+Supuestos!$B$4+$B7/10000)-1)+Supuestos!E$28*((1+Supuestos!E$27+$A7/10000)*(1+Supuestos!$B$4+$B7/10000)-1)*(1-Supuestos!$B$6)</f>
        <v/>
      </c>
      <c r="H7">
        <f>(1-Supuestos!F$28)*((1+((1+Supuestos!F$26)/(1+Supuestos!$B$4)-1+Supuestos!$B$14*$A7/10000))*(1+Supuestos!$B$4+$B7/10000)-1)+Supuestos!F$28*((1+Supuestos!F$27+$A7/10000)*(1+Supuestos!$B$4+$B7/10000)-1)*(1-Supuestos!$B$6)</f>
        <v/>
      </c>
      <c r="I7">
        <f>(1-Supuestos!G$28)*((1+((1+Supuestos!G$26)/(1+Supuestos!$B$4)-1+Supuestos!$B$14*$A7/10000))*(1+Supuestos!$B$4+$B7/10000)-1)+Supuestos!G$28*((1+Supuestos!G$27+$A7/10000)*(1+Supuestos!$B$4+$B7/10000)-1)*(1-Supuestos!$B$6)</f>
        <v/>
      </c>
      <c r="J7">
        <f>(1-Supuestos!H$28)*((1+((1+Supuestos!H$26)/(1+Supuestos!$B$4)-1+Supuestos!$B$14*$A7/10000))*(1+Supuestos!$B$4+$B7/10000)-1)+Supuestos!H$28*((1+Supuestos!H$27+$A7/10000)*(1+Supuestos!$B$4+$B7/10000)-1)*(1-Supuestos!$B$6)</f>
        <v/>
      </c>
      <c r="K7">
        <f>(1-Supuestos!I$28)*((1+((1+Supuestos!I$26)/(1+Supuestos!$B$4)-1+Supuestos!$B$14*$A7/10000))*(1+Supuestos!$B$4+$B7/10000)-1)+Supuestos!I$28*((1+Supuestos!I$27+$A7/10000)*(1+Supuestos!$B$4+$B7/10000)-1)*(1-Supuestos!$B$6)</f>
        <v/>
      </c>
      <c r="L7">
        <f>(1+E7)^-Supuestos!C$24</f>
        <v/>
      </c>
      <c r="M7">
        <f>L7*(1+F7)^-Supuestos!D$24</f>
        <v/>
      </c>
      <c r="N7">
        <f>M7*(1+G7)^-Supuestos!E$24</f>
        <v/>
      </c>
      <c r="O7">
        <f>N7*(1+H7)^-Supuestos!F$24</f>
        <v/>
      </c>
      <c r="P7">
        <f>O7*(1+I7)^-Supuestos!G$24</f>
        <v/>
      </c>
      <c r="Q7">
        <f>P7*(1+J7)^-Supuestos!H$24</f>
        <v/>
      </c>
      <c r="R7">
        <f>(1+E7)^-(Supuestos!C$24/2)</f>
        <v/>
      </c>
      <c r="S7">
        <f>L7*(1+F7)^-(Supuestos!D$24/2)</f>
        <v/>
      </c>
      <c r="T7">
        <f>M7*(1+G7)^-(Supuestos!E$24/2)</f>
        <v/>
      </c>
      <c r="U7">
        <f>N7*(1+H7)^-(Supuestos!F$24/2)</f>
        <v/>
      </c>
      <c r="V7">
        <f>O7*(1+I7)^-(Supuestos!G$24/2)</f>
        <v/>
      </c>
      <c r="W7">
        <f>P7*(1+J7)^-(Supuestos!H$24/2)</f>
        <v/>
      </c>
      <c r="X7">
        <f>Supuestos!C$23*(1-$C7+$C7*((1+Supuestos!$B$4+$B7/10000)/(1+Supuestos!$B$4))^Supuestos!C$25)</f>
        <v/>
      </c>
      <c r="Y7">
        <f>Supuestos!D$23*(1-$C7+$C7*((1+Supuestos!$B$4+$B7/10000)/(1+Supuestos!$B$4))^Supuestos!D$25)</f>
        <v/>
      </c>
      <c r="Z7">
        <f>Supuestos!E$23*(1-$C7+$C7*((1+Supuestos!$B$4+$B7/10000)/(1+Supuestos!$B$4))^Supuestos!E$25)</f>
        <v/>
      </c>
      <c r="AA7">
        <f>Supuestos!F$23*(1-$C7+$C7*((1+Supuestos!$B$4+$B7/10000)/(1+Supuestos!$B$4))^Supuestos!F$25)</f>
        <v/>
      </c>
      <c r="AB7">
        <f>Supuestos!G$23*(1-$C7+$C7*((1+Supuestos!$B$4+$B7/10000)/(1+Supuestos!$B$4))^Supuestos!G$25)</f>
        <v/>
      </c>
      <c r="AC7">
        <f>Supuestos!H$23*(1-$C7+$C7*((1+Supuestos!$B$4+$B7/10000)/(1+Supuestos!$B$4))^Supuestos!H$25)</f>
        <v/>
      </c>
      <c r="AD7">
        <f>Supuestos!I$23*(1-$C7+$C7*((1+Supuestos!$B$4+$B7/10000)/(1+Supuestos!$B$4))^Supuestos!I$25)</f>
        <v/>
      </c>
      <c r="AE7">
        <f>SUMPRODUCT(X7:AC7,R7:W7)</f>
        <v/>
      </c>
      <c r="AF7">
        <f>(1+Supuestos!$B$5)/(1+Supuestos!$B$4)*(1+Supuestos!$B$4+$B7/10000)-1</f>
        <v/>
      </c>
      <c r="AG7">
        <f>AD7/(K7-AF7)</f>
        <v/>
      </c>
      <c r="AH7">
        <f>AG7*Q7</f>
        <v/>
      </c>
      <c r="AI7">
        <f>(AE7+AH7-Supuestos!$B$7-Supuestos!$B$8)/Supuestos!$B$9</f>
        <v/>
      </c>
      <c r="AJ7">
        <f>AI7/AI$5-1</f>
        <v/>
      </c>
    </row>
    <row r="8">
      <c r="A8" t="n">
        <v>-50</v>
      </c>
      <c r="B8" t="n">
        <v>-100</v>
      </c>
      <c r="C8">
        <f>Supuestos!$B$13</f>
        <v/>
      </c>
      <c r="D8" t="inlineStr">
        <is>
          <t>Grilla</t>
        </is>
      </c>
      <c r="E8">
        <f>(1-Supuestos!C$28)*((1+((1+Supuestos!C$26)/(1+Supuestos!$B$4)-1+Supuestos!$B$14*$A8/10000))*(1+Supuestos!$B$4+$B8/10000)-1)+Supuestos!C$28*((1+Supuestos!C$27+$A8/10000)*(1+Supuestos!$B$4+$B8/10000)-1)*(1-Supuestos!$B$6)</f>
        <v/>
      </c>
      <c r="F8">
        <f>(1-Supuestos!D$28)*((1+((1+Supuestos!D$26)/(1+Supuestos!$B$4)-1+Supuestos!$B$14*$A8/10000))*(1+Supuestos!$B$4+$B8/10000)-1)+Supuestos!D$28*((1+Supuestos!D$27+$A8/10000)*(1+Supuestos!$B$4+$B8/10000)-1)*(1-Supuestos!$B$6)</f>
        <v/>
      </c>
      <c r="G8">
        <f>(1-Supuestos!E$28)*((1+((1+Supuestos!E$26)/(1+Supuestos!$B$4)-1+Supuestos!$B$14*$A8/10000))*(1+Supuestos!$B$4+$B8/10000)-1)+Supuestos!E$28*((1+Supuestos!E$27+$A8/10000)*(1+Supuestos!$B$4+$B8/10000)-1)*(1-Supuestos!$B$6)</f>
        <v/>
      </c>
      <c r="H8">
        <f>(1-Supuestos!F$28)*((1+((1+Supuestos!F$26)/(1+Supuestos!$B$4)-1+Supuestos!$B$14*$A8/10000))*(1+Supuestos!$B$4+$B8/10000)-1)+Supuestos!F$28*((1+Supuestos!F$27+$A8/10000)*(1+Supuestos!$B$4+$B8/10000)-1)*(1-Supuestos!$B$6)</f>
        <v/>
      </c>
      <c r="I8">
        <f>(1-Supuestos!G$28)*((1+((1+Supuestos!G$26)/(1+Supuestos!$B$4)-1+Supuestos!$B$14*$A8/10000))*(1+Supuestos!$B$4+$B8/10000)-1)+Supuestos!G$28*((1+Supuestos!G$27+$A8/10000)*(1+Supuestos!$B$4+$B8/10000)-1)*(1-Supuestos!$B$6)</f>
        <v/>
      </c>
      <c r="J8">
        <f>(1-Supuestos!H$28)*((1+((1+Supuestos!H$26)/(1+Supuestos!$B$4)-1+Supuestos!$B$14*$A8/10000))*(1+Supuestos!$B$4+$B8/10000)-1)+Supuestos!H$28*((1+Supuestos!H$27+$A8/10000)*(1+Supuestos!$B$4+$B8/10000)-1)*(1-Supuestos!$B$6)</f>
        <v/>
      </c>
      <c r="K8">
        <f>(1-Supuestos!I$28)*((1+((1+Supuestos!I$26)/(1+Supuestos!$B$4)-1+Supuestos!$B$14*$A8/10000))*(1+Supuestos!$B$4+$B8/10000)-1)+Supuestos!I$28*((1+Supuestos!I$27+$A8/10000)*(1+Supuestos!$B$4+$B8/10000)-1)*(1-Supuestos!$B$6)</f>
        <v/>
      </c>
      <c r="L8">
        <f>(1+E8)^-Supuestos!C$24</f>
        <v/>
      </c>
      <c r="M8">
        <f>L8*(1+F8)^-Supuestos!D$24</f>
        <v/>
      </c>
      <c r="N8">
        <f>M8*(1+G8)^-Supuestos!E$24</f>
        <v/>
      </c>
      <c r="O8">
        <f>N8*(1+H8)^-Supuestos!F$24</f>
        <v/>
      </c>
      <c r="P8">
        <f>O8*(1+I8)^-Supuestos!G$24</f>
        <v/>
      </c>
      <c r="Q8">
        <f>P8*(1+J8)^-Supuestos!H$24</f>
        <v/>
      </c>
      <c r="R8">
        <f>(1+E8)^-(Supuestos!C$24/2)</f>
        <v/>
      </c>
      <c r="S8">
        <f>L8*(1+F8)^-(Supuestos!D$24/2)</f>
        <v/>
      </c>
      <c r="T8">
        <f>M8*(1+G8)^-(Supuestos!E$24/2)</f>
        <v/>
      </c>
      <c r="U8">
        <f>N8*(1+H8)^-(Supuestos!F$24/2)</f>
        <v/>
      </c>
      <c r="V8">
        <f>O8*(1+I8)^-(Supuestos!G$24/2)</f>
        <v/>
      </c>
      <c r="W8">
        <f>P8*(1+J8)^-(Supuestos!H$24/2)</f>
        <v/>
      </c>
      <c r="X8">
        <f>Supuestos!C$23*(1-$C8+$C8*((1+Supuestos!$B$4+$B8/10000)/(1+Supuestos!$B$4))^Supuestos!C$25)</f>
        <v/>
      </c>
      <c r="Y8">
        <f>Supuestos!D$23*(1-$C8+$C8*((1+Supuestos!$B$4+$B8/10000)/(1+Supuestos!$B$4))^Supuestos!D$25)</f>
        <v/>
      </c>
      <c r="Z8">
        <f>Supuestos!E$23*(1-$C8+$C8*((1+Supuestos!$B$4+$B8/10000)/(1+Supuestos!$B$4))^Supuestos!E$25)</f>
        <v/>
      </c>
      <c r="AA8">
        <f>Supuestos!F$23*(1-$C8+$C8*((1+Supuestos!$B$4+$B8/10000)/(1+Supuestos!$B$4))^Supuestos!F$25)</f>
        <v/>
      </c>
      <c r="AB8">
        <f>Supuestos!G$23*(1-$C8+$C8*((1+Supuestos!$B$4+$B8/10000)/(1+Supuestos!$B$4))^Supuestos!G$25)</f>
        <v/>
      </c>
      <c r="AC8">
        <f>Supuestos!H$23*(1-$C8+$C8*((1+Supuestos!$B$4+$B8/10000)/(1+Supuestos!$B$4))^Supuestos!H$25)</f>
        <v/>
      </c>
      <c r="AD8">
        <f>Supuestos!I$23*(1-$C8+$C8*((1+Supuestos!$B$4+$B8/10000)/(1+Supuestos!$B$4))^Supuestos!I$25)</f>
        <v/>
      </c>
      <c r="AE8">
        <f>SUMPRODUCT(X8:AC8,R8:W8)</f>
        <v/>
      </c>
      <c r="AF8">
        <f>(1+Supuestos!$B$5)/(1+Supuestos!$B$4)*(1+Supuestos!$B$4+$B8/10000)-1</f>
        <v/>
      </c>
      <c r="AG8">
        <f>AD8/(K8-AF8)</f>
        <v/>
      </c>
      <c r="AH8">
        <f>AG8*Q8</f>
        <v/>
      </c>
      <c r="AI8">
        <f>(AE8+AH8-Supuestos!$B$7-Supuestos!$B$8)/Supuestos!$B$9</f>
        <v/>
      </c>
      <c r="AJ8">
        <f>AI8/AI$5-1</f>
        <v/>
      </c>
    </row>
    <row r="9">
      <c r="A9" t="n">
        <v>0</v>
      </c>
      <c r="B9" t="n">
        <v>-100</v>
      </c>
      <c r="C9">
        <f>Supuestos!$B$13</f>
        <v/>
      </c>
      <c r="D9" t="inlineStr">
        <is>
          <t>Grilla</t>
        </is>
      </c>
      <c r="E9">
        <f>(1-Supuestos!C$28)*((1+((1+Supuestos!C$26)/(1+Supuestos!$B$4)-1+Supuestos!$B$14*$A9/10000))*(1+Supuestos!$B$4+$B9/10000)-1)+Supuestos!C$28*((1+Supuestos!C$27+$A9/10000)*(1+Supuestos!$B$4+$B9/10000)-1)*(1-Supuestos!$B$6)</f>
        <v/>
      </c>
      <c r="F9">
        <f>(1-Supuestos!D$28)*((1+((1+Supuestos!D$26)/(1+Supuestos!$B$4)-1+Supuestos!$B$14*$A9/10000))*(1+Supuestos!$B$4+$B9/10000)-1)+Supuestos!D$28*((1+Supuestos!D$27+$A9/10000)*(1+Supuestos!$B$4+$B9/10000)-1)*(1-Supuestos!$B$6)</f>
        <v/>
      </c>
      <c r="G9">
        <f>(1-Supuestos!E$28)*((1+((1+Supuestos!E$26)/(1+Supuestos!$B$4)-1+Supuestos!$B$14*$A9/10000))*(1+Supuestos!$B$4+$B9/10000)-1)+Supuestos!E$28*((1+Supuestos!E$27+$A9/10000)*(1+Supuestos!$B$4+$B9/10000)-1)*(1-Supuestos!$B$6)</f>
        <v/>
      </c>
      <c r="H9">
        <f>(1-Supuestos!F$28)*((1+((1+Supuestos!F$26)/(1+Supuestos!$B$4)-1+Supuestos!$B$14*$A9/10000))*(1+Supuestos!$B$4+$B9/10000)-1)+Supuestos!F$28*((1+Supuestos!F$27+$A9/10000)*(1+Supuestos!$B$4+$B9/10000)-1)*(1-Supuestos!$B$6)</f>
        <v/>
      </c>
      <c r="I9">
        <f>(1-Supuestos!G$28)*((1+((1+Supuestos!G$26)/(1+Supuestos!$B$4)-1+Supuestos!$B$14*$A9/10000))*(1+Supuestos!$B$4+$B9/10000)-1)+Supuestos!G$28*((1+Supuestos!G$27+$A9/10000)*(1+Supuestos!$B$4+$B9/10000)-1)*(1-Supuestos!$B$6)</f>
        <v/>
      </c>
      <c r="J9">
        <f>(1-Supuestos!H$28)*((1+((1+Supuestos!H$26)/(1+Supuestos!$B$4)-1+Supuestos!$B$14*$A9/10000))*(1+Supuestos!$B$4+$B9/10000)-1)+Supuestos!H$28*((1+Supuestos!H$27+$A9/10000)*(1+Supuestos!$B$4+$B9/10000)-1)*(1-Supuestos!$B$6)</f>
        <v/>
      </c>
      <c r="K9">
        <f>(1-Supuestos!I$28)*((1+((1+Supuestos!I$26)/(1+Supuestos!$B$4)-1+Supuestos!$B$14*$A9/10000))*(1+Supuestos!$B$4+$B9/10000)-1)+Supuestos!I$28*((1+Supuestos!I$27+$A9/10000)*(1+Supuestos!$B$4+$B9/10000)-1)*(1-Supuestos!$B$6)</f>
        <v/>
      </c>
      <c r="L9">
        <f>(1+E9)^-Supuestos!C$24</f>
        <v/>
      </c>
      <c r="M9">
        <f>L9*(1+F9)^-Supuestos!D$24</f>
        <v/>
      </c>
      <c r="N9">
        <f>M9*(1+G9)^-Supuestos!E$24</f>
        <v/>
      </c>
      <c r="O9">
        <f>N9*(1+H9)^-Supuestos!F$24</f>
        <v/>
      </c>
      <c r="P9">
        <f>O9*(1+I9)^-Supuestos!G$24</f>
        <v/>
      </c>
      <c r="Q9">
        <f>P9*(1+J9)^-Supuestos!H$24</f>
        <v/>
      </c>
      <c r="R9">
        <f>(1+E9)^-(Supuestos!C$24/2)</f>
        <v/>
      </c>
      <c r="S9">
        <f>L9*(1+F9)^-(Supuestos!D$24/2)</f>
        <v/>
      </c>
      <c r="T9">
        <f>M9*(1+G9)^-(Supuestos!E$24/2)</f>
        <v/>
      </c>
      <c r="U9">
        <f>N9*(1+H9)^-(Supuestos!F$24/2)</f>
        <v/>
      </c>
      <c r="V9">
        <f>O9*(1+I9)^-(Supuestos!G$24/2)</f>
        <v/>
      </c>
      <c r="W9">
        <f>P9*(1+J9)^-(Supuestos!H$24/2)</f>
        <v/>
      </c>
      <c r="X9">
        <f>Supuestos!C$23*(1-$C9+$C9*((1+Supuestos!$B$4+$B9/10000)/(1+Supuestos!$B$4))^Supuestos!C$25)</f>
        <v/>
      </c>
      <c r="Y9">
        <f>Supuestos!D$23*(1-$C9+$C9*((1+Supuestos!$B$4+$B9/10000)/(1+Supuestos!$B$4))^Supuestos!D$25)</f>
        <v/>
      </c>
      <c r="Z9">
        <f>Supuestos!E$23*(1-$C9+$C9*((1+Supuestos!$B$4+$B9/10000)/(1+Supuestos!$B$4))^Supuestos!E$25)</f>
        <v/>
      </c>
      <c r="AA9">
        <f>Supuestos!F$23*(1-$C9+$C9*((1+Supuestos!$B$4+$B9/10000)/(1+Supuestos!$B$4))^Supuestos!F$25)</f>
        <v/>
      </c>
      <c r="AB9">
        <f>Supuestos!G$23*(1-$C9+$C9*((1+Supuestos!$B$4+$B9/10000)/(1+Supuestos!$B$4))^Supuestos!G$25)</f>
        <v/>
      </c>
      <c r="AC9">
        <f>Supuestos!H$23*(1-$C9+$C9*((1+Supuestos!$B$4+$B9/10000)/(1+Supuestos!$B$4))^Supuestos!H$25)</f>
        <v/>
      </c>
      <c r="AD9">
        <f>Supuestos!I$23*(1-$C9+$C9*((1+Supuestos!$B$4+$B9/10000)/(1+Supuestos!$B$4))^Supuestos!I$25)</f>
        <v/>
      </c>
      <c r="AE9">
        <f>SUMPRODUCT(X9:AC9,R9:W9)</f>
        <v/>
      </c>
      <c r="AF9">
        <f>(1+Supuestos!$B$5)/(1+Supuestos!$B$4)*(1+Supuestos!$B$4+$B9/10000)-1</f>
        <v/>
      </c>
      <c r="AG9">
        <f>AD9/(K9-AF9)</f>
        <v/>
      </c>
      <c r="AH9">
        <f>AG9*Q9</f>
        <v/>
      </c>
      <c r="AI9">
        <f>(AE9+AH9-Supuestos!$B$7-Supuestos!$B$8)/Supuestos!$B$9</f>
        <v/>
      </c>
      <c r="AJ9">
        <f>AI9/AI$5-1</f>
        <v/>
      </c>
    </row>
    <row r="10">
      <c r="A10" t="n">
        <v>50</v>
      </c>
      <c r="B10" t="n">
        <v>-100</v>
      </c>
      <c r="C10">
        <f>Supuestos!$B$13</f>
        <v/>
      </c>
      <c r="D10" t="inlineStr">
        <is>
          <t>Grilla</t>
        </is>
      </c>
      <c r="E10">
        <f>(1-Supuestos!C$28)*((1+((1+Supuestos!C$26)/(1+Supuestos!$B$4)-1+Supuestos!$B$14*$A10/10000))*(1+Supuestos!$B$4+$B10/10000)-1)+Supuestos!C$28*((1+Supuestos!C$27+$A10/10000)*(1+Supuestos!$B$4+$B10/10000)-1)*(1-Supuestos!$B$6)</f>
        <v/>
      </c>
      <c r="F10">
        <f>(1-Supuestos!D$28)*((1+((1+Supuestos!D$26)/(1+Supuestos!$B$4)-1+Supuestos!$B$14*$A10/10000))*(1+Supuestos!$B$4+$B10/10000)-1)+Supuestos!D$28*((1+Supuestos!D$27+$A10/10000)*(1+Supuestos!$B$4+$B10/10000)-1)*(1-Supuestos!$B$6)</f>
        <v/>
      </c>
      <c r="G10">
        <f>(1-Supuestos!E$28)*((1+((1+Supuestos!E$26)/(1+Supuestos!$B$4)-1+Supuestos!$B$14*$A10/10000))*(1+Supuestos!$B$4+$B10/10000)-1)+Supuestos!E$28*((1+Supuestos!E$27+$A10/10000)*(1+Supuestos!$B$4+$B10/10000)-1)*(1-Supuestos!$B$6)</f>
        <v/>
      </c>
      <c r="H10">
        <f>(1-Supuestos!F$28)*((1+((1+Supuestos!F$26)/(1+Supuestos!$B$4)-1+Supuestos!$B$14*$A10/10000))*(1+Supuestos!$B$4+$B10/10000)-1)+Supuestos!F$28*((1+Supuestos!F$27+$A10/10000)*(1+Supuestos!$B$4+$B10/10000)-1)*(1-Supuestos!$B$6)</f>
        <v/>
      </c>
      <c r="I10">
        <f>(1-Supuestos!G$28)*((1+((1+Supuestos!G$26)/(1+Supuestos!$B$4)-1+Supuestos!$B$14*$A10/10000))*(1+Supuestos!$B$4+$B10/10000)-1)+Supuestos!G$28*((1+Supuestos!G$27+$A10/10000)*(1+Supuestos!$B$4+$B10/10000)-1)*(1-Supuestos!$B$6)</f>
        <v/>
      </c>
      <c r="J10">
        <f>(1-Supuestos!H$28)*((1+((1+Supuestos!H$26)/(1+Supuestos!$B$4)-1+Supuestos!$B$14*$A10/10000))*(1+Supuestos!$B$4+$B10/10000)-1)+Supuestos!H$28*((1+Supuestos!H$27+$A10/10000)*(1+Supuestos!$B$4+$B10/10000)-1)*(1-Supuestos!$B$6)</f>
        <v/>
      </c>
      <c r="K10">
        <f>(1-Supuestos!I$28)*((1+((1+Supuestos!I$26)/(1+Supuestos!$B$4)-1+Supuestos!$B$14*$A10/10000))*(1+Supuestos!$B$4+$B10/10000)-1)+Supuestos!I$28*((1+Supuestos!I$27+$A10/10000)*(1+Supuestos!$B$4+$B10/10000)-1)*(1-Supuestos!$B$6)</f>
        <v/>
      </c>
      <c r="L10">
        <f>(1+E10)^-Supuestos!C$24</f>
        <v/>
      </c>
      <c r="M10">
        <f>L10*(1+F10)^-Supuestos!D$24</f>
        <v/>
      </c>
      <c r="N10">
        <f>M10*(1+G10)^-Supuestos!E$24</f>
        <v/>
      </c>
      <c r="O10">
        <f>N10*(1+H10)^-Supuestos!F$24</f>
        <v/>
      </c>
      <c r="P10">
        <f>O10*(1+I10)^-Supuestos!G$24</f>
        <v/>
      </c>
      <c r="Q10">
        <f>P10*(1+J10)^-Supuestos!H$24</f>
        <v/>
      </c>
      <c r="R10">
        <f>(1+E10)^-(Supuestos!C$24/2)</f>
        <v/>
      </c>
      <c r="S10">
        <f>L10*(1+F10)^-(Supuestos!D$24/2)</f>
        <v/>
      </c>
      <c r="T10">
        <f>M10*(1+G10)^-(Supuestos!E$24/2)</f>
        <v/>
      </c>
      <c r="U10">
        <f>N10*(1+H10)^-(Supuestos!F$24/2)</f>
        <v/>
      </c>
      <c r="V10">
        <f>O10*(1+I10)^-(Supuestos!G$24/2)</f>
        <v/>
      </c>
      <c r="W10">
        <f>P10*(1+J10)^-(Supuestos!H$24/2)</f>
        <v/>
      </c>
      <c r="X10">
        <f>Supuestos!C$23*(1-$C10+$C10*((1+Supuestos!$B$4+$B10/10000)/(1+Supuestos!$B$4))^Supuestos!C$25)</f>
        <v/>
      </c>
      <c r="Y10">
        <f>Supuestos!D$23*(1-$C10+$C10*((1+Supuestos!$B$4+$B10/10000)/(1+Supuestos!$B$4))^Supuestos!D$25)</f>
        <v/>
      </c>
      <c r="Z10">
        <f>Supuestos!E$23*(1-$C10+$C10*((1+Supuestos!$B$4+$B10/10000)/(1+Supuestos!$B$4))^Supuestos!E$25)</f>
        <v/>
      </c>
      <c r="AA10">
        <f>Supuestos!F$23*(1-$C10+$C10*((1+Supuestos!$B$4+$B10/10000)/(1+Supuestos!$B$4))^Supuestos!F$25)</f>
        <v/>
      </c>
      <c r="AB10">
        <f>Supuestos!G$23*(1-$C10+$C10*((1+Supuestos!$B$4+$B10/10000)/(1+Supuestos!$B$4))^Supuestos!G$25)</f>
        <v/>
      </c>
      <c r="AC10">
        <f>Supuestos!H$23*(1-$C10+$C10*((1+Supuestos!$B$4+$B10/10000)/(1+Supuestos!$B$4))^Supuestos!H$25)</f>
        <v/>
      </c>
      <c r="AD10">
        <f>Supuestos!I$23*(1-$C10+$C10*((1+Supuestos!$B$4+$B10/10000)/(1+Supuestos!$B$4))^Supuestos!I$25)</f>
        <v/>
      </c>
      <c r="AE10">
        <f>SUMPRODUCT(X10:AC10,R10:W10)</f>
        <v/>
      </c>
      <c r="AF10">
        <f>(1+Supuestos!$B$5)/(1+Supuestos!$B$4)*(1+Supuestos!$B$4+$B10/10000)-1</f>
        <v/>
      </c>
      <c r="AG10">
        <f>AD10/(K10-AF10)</f>
        <v/>
      </c>
      <c r="AH10">
        <f>AG10*Q10</f>
        <v/>
      </c>
      <c r="AI10">
        <f>(AE10+AH10-Supuestos!$B$7-Supuestos!$B$8)/Supuestos!$B$9</f>
        <v/>
      </c>
      <c r="AJ10">
        <f>AI10/AI$5-1</f>
        <v/>
      </c>
    </row>
    <row r="11">
      <c r="A11" t="n">
        <v>100</v>
      </c>
      <c r="B11" t="n">
        <v>-100</v>
      </c>
      <c r="C11">
        <f>Supuestos!$B$13</f>
        <v/>
      </c>
      <c r="D11" t="inlineStr">
        <is>
          <t>Grilla</t>
        </is>
      </c>
      <c r="E11">
        <f>(1-Supuestos!C$28)*((1+((1+Supuestos!C$26)/(1+Supuestos!$B$4)-1+Supuestos!$B$14*$A11/10000))*(1+Supuestos!$B$4+$B11/10000)-1)+Supuestos!C$28*((1+Supuestos!C$27+$A11/10000)*(1+Supuestos!$B$4+$B11/10000)-1)*(1-Supuestos!$B$6)</f>
        <v/>
      </c>
      <c r="F11">
        <f>(1-Supuestos!D$28)*((1+((1+Supuestos!D$26)/(1+Supuestos!$B$4)-1+Supuestos!$B$14*$A11/10000))*(1+Supuestos!$B$4+$B11/10000)-1)+Supuestos!D$28*((1+Supuestos!D$27+$A11/10000)*(1+Supuestos!$B$4+$B11/10000)-1)*(1-Supuestos!$B$6)</f>
        <v/>
      </c>
      <c r="G11">
        <f>(1-Supuestos!E$28)*((1+((1+Supuestos!E$26)/(1+Supuestos!$B$4)-1+Supuestos!$B$14*$A11/10000))*(1+Supuestos!$B$4+$B11/10000)-1)+Supuestos!E$28*((1+Supuestos!E$27+$A11/10000)*(1+Supuestos!$B$4+$B11/10000)-1)*(1-Supuestos!$B$6)</f>
        <v/>
      </c>
      <c r="H11">
        <f>(1-Supuestos!F$28)*((1+((1+Supuestos!F$26)/(1+Supuestos!$B$4)-1+Supuestos!$B$14*$A11/10000))*(1+Supuestos!$B$4+$B11/10000)-1)+Supuestos!F$28*((1+Supuestos!F$27+$A11/10000)*(1+Supuestos!$B$4+$B11/10000)-1)*(1-Supuestos!$B$6)</f>
        <v/>
      </c>
      <c r="I11">
        <f>(1-Supuestos!G$28)*((1+((1+Supuestos!G$26)/(1+Supuestos!$B$4)-1+Supuestos!$B$14*$A11/10000))*(1+Supuestos!$B$4+$B11/10000)-1)+Supuestos!G$28*((1+Supuestos!G$27+$A11/10000)*(1+Supuestos!$B$4+$B11/10000)-1)*(1-Supuestos!$B$6)</f>
        <v/>
      </c>
      <c r="J11">
        <f>(1-Supuestos!H$28)*((1+((1+Supuestos!H$26)/(1+Supuestos!$B$4)-1+Supuestos!$B$14*$A11/10000))*(1+Supuestos!$B$4+$B11/10000)-1)+Supuestos!H$28*((1+Supuestos!H$27+$A11/10000)*(1+Supuestos!$B$4+$B11/10000)-1)*(1-Supuestos!$B$6)</f>
        <v/>
      </c>
      <c r="K11">
        <f>(1-Supuestos!I$28)*((1+((1+Supuestos!I$26)/(1+Supuestos!$B$4)-1+Supuestos!$B$14*$A11/10000))*(1+Supuestos!$B$4+$B11/10000)-1)+Supuestos!I$28*((1+Supuestos!I$27+$A11/10000)*(1+Supuestos!$B$4+$B11/10000)-1)*(1-Supuestos!$B$6)</f>
        <v/>
      </c>
      <c r="L11">
        <f>(1+E11)^-Supuestos!C$24</f>
        <v/>
      </c>
      <c r="M11">
        <f>L11*(1+F11)^-Supuestos!D$24</f>
        <v/>
      </c>
      <c r="N11">
        <f>M11*(1+G11)^-Supuestos!E$24</f>
        <v/>
      </c>
      <c r="O11">
        <f>N11*(1+H11)^-Supuestos!F$24</f>
        <v/>
      </c>
      <c r="P11">
        <f>O11*(1+I11)^-Supuestos!G$24</f>
        <v/>
      </c>
      <c r="Q11">
        <f>P11*(1+J11)^-Supuestos!H$24</f>
        <v/>
      </c>
      <c r="R11">
        <f>(1+E11)^-(Supuestos!C$24/2)</f>
        <v/>
      </c>
      <c r="S11">
        <f>L11*(1+F11)^-(Supuestos!D$24/2)</f>
        <v/>
      </c>
      <c r="T11">
        <f>M11*(1+G11)^-(Supuestos!E$24/2)</f>
        <v/>
      </c>
      <c r="U11">
        <f>N11*(1+H11)^-(Supuestos!F$24/2)</f>
        <v/>
      </c>
      <c r="V11">
        <f>O11*(1+I11)^-(Supuestos!G$24/2)</f>
        <v/>
      </c>
      <c r="W11">
        <f>P11*(1+J11)^-(Supuestos!H$24/2)</f>
        <v/>
      </c>
      <c r="X11">
        <f>Supuestos!C$23*(1-$C11+$C11*((1+Supuestos!$B$4+$B11/10000)/(1+Supuestos!$B$4))^Supuestos!C$25)</f>
        <v/>
      </c>
      <c r="Y11">
        <f>Supuestos!D$23*(1-$C11+$C11*((1+Supuestos!$B$4+$B11/10000)/(1+Supuestos!$B$4))^Supuestos!D$25)</f>
        <v/>
      </c>
      <c r="Z11">
        <f>Supuestos!E$23*(1-$C11+$C11*((1+Supuestos!$B$4+$B11/10000)/(1+Supuestos!$B$4))^Supuestos!E$25)</f>
        <v/>
      </c>
      <c r="AA11">
        <f>Supuestos!F$23*(1-$C11+$C11*((1+Supuestos!$B$4+$B11/10000)/(1+Supuestos!$B$4))^Supuestos!F$25)</f>
        <v/>
      </c>
      <c r="AB11">
        <f>Supuestos!G$23*(1-$C11+$C11*((1+Supuestos!$B$4+$B11/10000)/(1+Supuestos!$B$4))^Supuestos!G$25)</f>
        <v/>
      </c>
      <c r="AC11">
        <f>Supuestos!H$23*(1-$C11+$C11*((1+Supuestos!$B$4+$B11/10000)/(1+Supuestos!$B$4))^Supuestos!H$25)</f>
        <v/>
      </c>
      <c r="AD11">
        <f>Supuestos!I$23*(1-$C11+$C11*((1+Supuestos!$B$4+$B11/10000)/(1+Supuestos!$B$4))^Supuestos!I$25)</f>
        <v/>
      </c>
      <c r="AE11">
        <f>SUMPRODUCT(X11:AC11,R11:W11)</f>
        <v/>
      </c>
      <c r="AF11">
        <f>(1+Supuestos!$B$5)/(1+Supuestos!$B$4)*(1+Supuestos!$B$4+$B11/10000)-1</f>
        <v/>
      </c>
      <c r="AG11">
        <f>AD11/(K11-AF11)</f>
        <v/>
      </c>
      <c r="AH11">
        <f>AG11*Q11</f>
        <v/>
      </c>
      <c r="AI11">
        <f>(AE11+AH11-Supuestos!$B$7-Supuestos!$B$8)/Supuestos!$B$9</f>
        <v/>
      </c>
      <c r="AJ11">
        <f>AI11/AI$5-1</f>
        <v/>
      </c>
    </row>
    <row r="12">
      <c r="A12" t="n">
        <v>150</v>
      </c>
      <c r="B12" t="n">
        <v>-100</v>
      </c>
      <c r="C12">
        <f>Supuestos!$B$13</f>
        <v/>
      </c>
      <c r="D12" t="inlineStr">
        <is>
          <t>Grilla</t>
        </is>
      </c>
      <c r="E12">
        <f>(1-Supuestos!C$28)*((1+((1+Supuestos!C$26)/(1+Supuestos!$B$4)-1+Supuestos!$B$14*$A12/10000))*(1+Supuestos!$B$4+$B12/10000)-1)+Supuestos!C$28*((1+Supuestos!C$27+$A12/10000)*(1+Supuestos!$B$4+$B12/10000)-1)*(1-Supuestos!$B$6)</f>
        <v/>
      </c>
      <c r="F12">
        <f>(1-Supuestos!D$28)*((1+((1+Supuestos!D$26)/(1+Supuestos!$B$4)-1+Supuestos!$B$14*$A12/10000))*(1+Supuestos!$B$4+$B12/10000)-1)+Supuestos!D$28*((1+Supuestos!D$27+$A12/10000)*(1+Supuestos!$B$4+$B12/10000)-1)*(1-Supuestos!$B$6)</f>
        <v/>
      </c>
      <c r="G12">
        <f>(1-Supuestos!E$28)*((1+((1+Supuestos!E$26)/(1+Supuestos!$B$4)-1+Supuestos!$B$14*$A12/10000))*(1+Supuestos!$B$4+$B12/10000)-1)+Supuestos!E$28*((1+Supuestos!E$27+$A12/10000)*(1+Supuestos!$B$4+$B12/10000)-1)*(1-Supuestos!$B$6)</f>
        <v/>
      </c>
      <c r="H12">
        <f>(1-Supuestos!F$28)*((1+((1+Supuestos!F$26)/(1+Supuestos!$B$4)-1+Supuestos!$B$14*$A12/10000))*(1+Supuestos!$B$4+$B12/10000)-1)+Supuestos!F$28*((1+Supuestos!F$27+$A12/10000)*(1+Supuestos!$B$4+$B12/10000)-1)*(1-Supuestos!$B$6)</f>
        <v/>
      </c>
      <c r="I12">
        <f>(1-Supuestos!G$28)*((1+((1+Supuestos!G$26)/(1+Supuestos!$B$4)-1+Supuestos!$B$14*$A12/10000))*(1+Supuestos!$B$4+$B12/10000)-1)+Supuestos!G$28*((1+Supuestos!G$27+$A12/10000)*(1+Supuestos!$B$4+$B12/10000)-1)*(1-Supuestos!$B$6)</f>
        <v/>
      </c>
      <c r="J12">
        <f>(1-Supuestos!H$28)*((1+((1+Supuestos!H$26)/(1+Supuestos!$B$4)-1+Supuestos!$B$14*$A12/10000))*(1+Supuestos!$B$4+$B12/10000)-1)+Supuestos!H$28*((1+Supuestos!H$27+$A12/10000)*(1+Supuestos!$B$4+$B12/10000)-1)*(1-Supuestos!$B$6)</f>
        <v/>
      </c>
      <c r="K12">
        <f>(1-Supuestos!I$28)*((1+((1+Supuestos!I$26)/(1+Supuestos!$B$4)-1+Supuestos!$B$14*$A12/10000))*(1+Supuestos!$B$4+$B12/10000)-1)+Supuestos!I$28*((1+Supuestos!I$27+$A12/10000)*(1+Supuestos!$B$4+$B12/10000)-1)*(1-Supuestos!$B$6)</f>
        <v/>
      </c>
      <c r="L12">
        <f>(1+E12)^-Supuestos!C$24</f>
        <v/>
      </c>
      <c r="M12">
        <f>L12*(1+F12)^-Supuestos!D$24</f>
        <v/>
      </c>
      <c r="N12">
        <f>M12*(1+G12)^-Supuestos!E$24</f>
        <v/>
      </c>
      <c r="O12">
        <f>N12*(1+H12)^-Supuestos!F$24</f>
        <v/>
      </c>
      <c r="P12">
        <f>O12*(1+I12)^-Supuestos!G$24</f>
        <v/>
      </c>
      <c r="Q12">
        <f>P12*(1+J12)^-Supuestos!H$24</f>
        <v/>
      </c>
      <c r="R12">
        <f>(1+E12)^-(Supuestos!C$24/2)</f>
        <v/>
      </c>
      <c r="S12">
        <f>L12*(1+F12)^-(Supuestos!D$24/2)</f>
        <v/>
      </c>
      <c r="T12">
        <f>M12*(1+G12)^-(Supuestos!E$24/2)</f>
        <v/>
      </c>
      <c r="U12">
        <f>N12*(1+H12)^-(Supuestos!F$24/2)</f>
        <v/>
      </c>
      <c r="V12">
        <f>O12*(1+I12)^-(Supuestos!G$24/2)</f>
        <v/>
      </c>
      <c r="W12">
        <f>P12*(1+J12)^-(Supuestos!H$24/2)</f>
        <v/>
      </c>
      <c r="X12">
        <f>Supuestos!C$23*(1-$C12+$C12*((1+Supuestos!$B$4+$B12/10000)/(1+Supuestos!$B$4))^Supuestos!C$25)</f>
        <v/>
      </c>
      <c r="Y12">
        <f>Supuestos!D$23*(1-$C12+$C12*((1+Supuestos!$B$4+$B12/10000)/(1+Supuestos!$B$4))^Supuestos!D$25)</f>
        <v/>
      </c>
      <c r="Z12">
        <f>Supuestos!E$23*(1-$C12+$C12*((1+Supuestos!$B$4+$B12/10000)/(1+Supuestos!$B$4))^Supuestos!E$25)</f>
        <v/>
      </c>
      <c r="AA12">
        <f>Supuestos!F$23*(1-$C12+$C12*((1+Supuestos!$B$4+$B12/10000)/(1+Supuestos!$B$4))^Supuestos!F$25)</f>
        <v/>
      </c>
      <c r="AB12">
        <f>Supuestos!G$23*(1-$C12+$C12*((1+Supuestos!$B$4+$B12/10000)/(1+Supuestos!$B$4))^Supuestos!G$25)</f>
        <v/>
      </c>
      <c r="AC12">
        <f>Supuestos!H$23*(1-$C12+$C12*((1+Supuestos!$B$4+$B12/10000)/(1+Supuestos!$B$4))^Supuestos!H$25)</f>
        <v/>
      </c>
      <c r="AD12">
        <f>Supuestos!I$23*(1-$C12+$C12*((1+Supuestos!$B$4+$B12/10000)/(1+Supuestos!$B$4))^Supuestos!I$25)</f>
        <v/>
      </c>
      <c r="AE12">
        <f>SUMPRODUCT(X12:AC12,R12:W12)</f>
        <v/>
      </c>
      <c r="AF12">
        <f>(1+Supuestos!$B$5)/(1+Supuestos!$B$4)*(1+Supuestos!$B$4+$B12/10000)-1</f>
        <v/>
      </c>
      <c r="AG12">
        <f>AD12/(K12-AF12)</f>
        <v/>
      </c>
      <c r="AH12">
        <f>AG12*Q12</f>
        <v/>
      </c>
      <c r="AI12">
        <f>(AE12+AH12-Supuestos!$B$7-Supuestos!$B$8)/Supuestos!$B$9</f>
        <v/>
      </c>
      <c r="AJ12">
        <f>AI12/AI$5-1</f>
        <v/>
      </c>
    </row>
    <row r="13">
      <c r="A13" t="n">
        <v>-150</v>
      </c>
      <c r="B13" t="n">
        <v>-50</v>
      </c>
      <c r="C13">
        <f>Supuestos!$B$13</f>
        <v/>
      </c>
      <c r="D13" t="inlineStr">
        <is>
          <t>Grilla</t>
        </is>
      </c>
      <c r="E13">
        <f>(1-Supuestos!C$28)*((1+((1+Supuestos!C$26)/(1+Supuestos!$B$4)-1+Supuestos!$B$14*$A13/10000))*(1+Supuestos!$B$4+$B13/10000)-1)+Supuestos!C$28*((1+Supuestos!C$27+$A13/10000)*(1+Supuestos!$B$4+$B13/10000)-1)*(1-Supuestos!$B$6)</f>
        <v/>
      </c>
      <c r="F13">
        <f>(1-Supuestos!D$28)*((1+((1+Supuestos!D$26)/(1+Supuestos!$B$4)-1+Supuestos!$B$14*$A13/10000))*(1+Supuestos!$B$4+$B13/10000)-1)+Supuestos!D$28*((1+Supuestos!D$27+$A13/10000)*(1+Supuestos!$B$4+$B13/10000)-1)*(1-Supuestos!$B$6)</f>
        <v/>
      </c>
      <c r="G13">
        <f>(1-Supuestos!E$28)*((1+((1+Supuestos!E$26)/(1+Supuestos!$B$4)-1+Supuestos!$B$14*$A13/10000))*(1+Supuestos!$B$4+$B13/10000)-1)+Supuestos!E$28*((1+Supuestos!E$27+$A13/10000)*(1+Supuestos!$B$4+$B13/10000)-1)*(1-Supuestos!$B$6)</f>
        <v/>
      </c>
      <c r="H13">
        <f>(1-Supuestos!F$28)*((1+((1+Supuestos!F$26)/(1+Supuestos!$B$4)-1+Supuestos!$B$14*$A13/10000))*(1+Supuestos!$B$4+$B13/10000)-1)+Supuestos!F$28*((1+Supuestos!F$27+$A13/10000)*(1+Supuestos!$B$4+$B13/10000)-1)*(1-Supuestos!$B$6)</f>
        <v/>
      </c>
      <c r="I13">
        <f>(1-Supuestos!G$28)*((1+((1+Supuestos!G$26)/(1+Supuestos!$B$4)-1+Supuestos!$B$14*$A13/10000))*(1+Supuestos!$B$4+$B13/10000)-1)+Supuestos!G$28*((1+Supuestos!G$27+$A13/10000)*(1+Supuestos!$B$4+$B13/10000)-1)*(1-Supuestos!$B$6)</f>
        <v/>
      </c>
      <c r="J13">
        <f>(1-Supuestos!H$28)*((1+((1+Supuestos!H$26)/(1+Supuestos!$B$4)-1+Supuestos!$B$14*$A13/10000))*(1+Supuestos!$B$4+$B13/10000)-1)+Supuestos!H$28*((1+Supuestos!H$27+$A13/10000)*(1+Supuestos!$B$4+$B13/10000)-1)*(1-Supuestos!$B$6)</f>
        <v/>
      </c>
      <c r="K13">
        <f>(1-Supuestos!I$28)*((1+((1+Supuestos!I$26)/(1+Supuestos!$B$4)-1+Supuestos!$B$14*$A13/10000))*(1+Supuestos!$B$4+$B13/10000)-1)+Supuestos!I$28*((1+Supuestos!I$27+$A13/10000)*(1+Supuestos!$B$4+$B13/10000)-1)*(1-Supuestos!$B$6)</f>
        <v/>
      </c>
      <c r="L13">
        <f>(1+E13)^-Supuestos!C$24</f>
        <v/>
      </c>
      <c r="M13">
        <f>L13*(1+F13)^-Supuestos!D$24</f>
        <v/>
      </c>
      <c r="N13">
        <f>M13*(1+G13)^-Supuestos!E$24</f>
        <v/>
      </c>
      <c r="O13">
        <f>N13*(1+H13)^-Supuestos!F$24</f>
        <v/>
      </c>
      <c r="P13">
        <f>O13*(1+I13)^-Supuestos!G$24</f>
        <v/>
      </c>
      <c r="Q13">
        <f>P13*(1+J13)^-Supuestos!H$24</f>
        <v/>
      </c>
      <c r="R13">
        <f>(1+E13)^-(Supuestos!C$24/2)</f>
        <v/>
      </c>
      <c r="S13">
        <f>L13*(1+F13)^-(Supuestos!D$24/2)</f>
        <v/>
      </c>
      <c r="T13">
        <f>M13*(1+G13)^-(Supuestos!E$24/2)</f>
        <v/>
      </c>
      <c r="U13">
        <f>N13*(1+H13)^-(Supuestos!F$24/2)</f>
        <v/>
      </c>
      <c r="V13">
        <f>O13*(1+I13)^-(Supuestos!G$24/2)</f>
        <v/>
      </c>
      <c r="W13">
        <f>P13*(1+J13)^-(Supuestos!H$24/2)</f>
        <v/>
      </c>
      <c r="X13">
        <f>Supuestos!C$23*(1-$C13+$C13*((1+Supuestos!$B$4+$B13/10000)/(1+Supuestos!$B$4))^Supuestos!C$25)</f>
        <v/>
      </c>
      <c r="Y13">
        <f>Supuestos!D$23*(1-$C13+$C13*((1+Supuestos!$B$4+$B13/10000)/(1+Supuestos!$B$4))^Supuestos!D$25)</f>
        <v/>
      </c>
      <c r="Z13">
        <f>Supuestos!E$23*(1-$C13+$C13*((1+Supuestos!$B$4+$B13/10000)/(1+Supuestos!$B$4))^Supuestos!E$25)</f>
        <v/>
      </c>
      <c r="AA13">
        <f>Supuestos!F$23*(1-$C13+$C13*((1+Supuestos!$B$4+$B13/10000)/(1+Supuestos!$B$4))^Supuestos!F$25)</f>
        <v/>
      </c>
      <c r="AB13">
        <f>Supuestos!G$23*(1-$C13+$C13*((1+Supuestos!$B$4+$B13/10000)/(1+Supuestos!$B$4))^Supuestos!G$25)</f>
        <v/>
      </c>
      <c r="AC13">
        <f>Supuestos!H$23*(1-$C13+$C13*((1+Supuestos!$B$4+$B13/10000)/(1+Supuestos!$B$4))^Supuestos!H$25)</f>
        <v/>
      </c>
      <c r="AD13">
        <f>Supuestos!I$23*(1-$C13+$C13*((1+Supuestos!$B$4+$B13/10000)/(1+Supuestos!$B$4))^Supuestos!I$25)</f>
        <v/>
      </c>
      <c r="AE13">
        <f>SUMPRODUCT(X13:AC13,R13:W13)</f>
        <v/>
      </c>
      <c r="AF13">
        <f>(1+Supuestos!$B$5)/(1+Supuestos!$B$4)*(1+Supuestos!$B$4+$B13/10000)-1</f>
        <v/>
      </c>
      <c r="AG13">
        <f>AD13/(K13-AF13)</f>
        <v/>
      </c>
      <c r="AH13">
        <f>AG13*Q13</f>
        <v/>
      </c>
      <c r="AI13">
        <f>(AE13+AH13-Supuestos!$B$7-Supuestos!$B$8)/Supuestos!$B$9</f>
        <v/>
      </c>
      <c r="AJ13">
        <f>AI13/AI$5-1</f>
        <v/>
      </c>
    </row>
    <row r="14">
      <c r="A14" t="n">
        <v>-100</v>
      </c>
      <c r="B14" t="n">
        <v>-50</v>
      </c>
      <c r="C14">
        <f>Supuestos!$B$13</f>
        <v/>
      </c>
      <c r="D14" t="inlineStr">
        <is>
          <t>Grilla</t>
        </is>
      </c>
      <c r="E14">
        <f>(1-Supuestos!C$28)*((1+((1+Supuestos!C$26)/(1+Supuestos!$B$4)-1+Supuestos!$B$14*$A14/10000))*(1+Supuestos!$B$4+$B14/10000)-1)+Supuestos!C$28*((1+Supuestos!C$27+$A14/10000)*(1+Supuestos!$B$4+$B14/10000)-1)*(1-Supuestos!$B$6)</f>
        <v/>
      </c>
      <c r="F14">
        <f>(1-Supuestos!D$28)*((1+((1+Supuestos!D$26)/(1+Supuestos!$B$4)-1+Supuestos!$B$14*$A14/10000))*(1+Supuestos!$B$4+$B14/10000)-1)+Supuestos!D$28*((1+Supuestos!D$27+$A14/10000)*(1+Supuestos!$B$4+$B14/10000)-1)*(1-Supuestos!$B$6)</f>
        <v/>
      </c>
      <c r="G14">
        <f>(1-Supuestos!E$28)*((1+((1+Supuestos!E$26)/(1+Supuestos!$B$4)-1+Supuestos!$B$14*$A14/10000))*(1+Supuestos!$B$4+$B14/10000)-1)+Supuestos!E$28*((1+Supuestos!E$27+$A14/10000)*(1+Supuestos!$B$4+$B14/10000)-1)*(1-Supuestos!$B$6)</f>
        <v/>
      </c>
      <c r="H14">
        <f>(1-Supuestos!F$28)*((1+((1+Supuestos!F$26)/(1+Supuestos!$B$4)-1+Supuestos!$B$14*$A14/10000))*(1+Supuestos!$B$4+$B14/10000)-1)+Supuestos!F$28*((1+Supuestos!F$27+$A14/10000)*(1+Supuestos!$B$4+$B14/10000)-1)*(1-Supuestos!$B$6)</f>
        <v/>
      </c>
      <c r="I14">
        <f>(1-Supuestos!G$28)*((1+((1+Supuestos!G$26)/(1+Supuestos!$B$4)-1+Supuestos!$B$14*$A14/10000))*(1+Supuestos!$B$4+$B14/10000)-1)+Supuestos!G$28*((1+Supuestos!G$27+$A14/10000)*(1+Supuestos!$B$4+$B14/10000)-1)*(1-Supuestos!$B$6)</f>
        <v/>
      </c>
      <c r="J14">
        <f>(1-Supuestos!H$28)*((1+((1+Supuestos!H$26)/(1+Supuestos!$B$4)-1+Supuestos!$B$14*$A14/10000))*(1+Supuestos!$B$4+$B14/10000)-1)+Supuestos!H$28*((1+Supuestos!H$27+$A14/10000)*(1+Supuestos!$B$4+$B14/10000)-1)*(1-Supuestos!$B$6)</f>
        <v/>
      </c>
      <c r="K14">
        <f>(1-Supuestos!I$28)*((1+((1+Supuestos!I$26)/(1+Supuestos!$B$4)-1+Supuestos!$B$14*$A14/10000))*(1+Supuestos!$B$4+$B14/10000)-1)+Supuestos!I$28*((1+Supuestos!I$27+$A14/10000)*(1+Supuestos!$B$4+$B14/10000)-1)*(1-Supuestos!$B$6)</f>
        <v/>
      </c>
      <c r="L14">
        <f>(1+E14)^-Supuestos!C$24</f>
        <v/>
      </c>
      <c r="M14">
        <f>L14*(1+F14)^-Supuestos!D$24</f>
        <v/>
      </c>
      <c r="N14">
        <f>M14*(1+G14)^-Supuestos!E$24</f>
        <v/>
      </c>
      <c r="O14">
        <f>N14*(1+H14)^-Supuestos!F$24</f>
        <v/>
      </c>
      <c r="P14">
        <f>O14*(1+I14)^-Supuestos!G$24</f>
        <v/>
      </c>
      <c r="Q14">
        <f>P14*(1+J14)^-Supuestos!H$24</f>
        <v/>
      </c>
      <c r="R14">
        <f>(1+E14)^-(Supuestos!C$24/2)</f>
        <v/>
      </c>
      <c r="S14">
        <f>L14*(1+F14)^-(Supuestos!D$24/2)</f>
        <v/>
      </c>
      <c r="T14">
        <f>M14*(1+G14)^-(Supuestos!E$24/2)</f>
        <v/>
      </c>
      <c r="U14">
        <f>N14*(1+H14)^-(Supuestos!F$24/2)</f>
        <v/>
      </c>
      <c r="V14">
        <f>O14*(1+I14)^-(Supuestos!G$24/2)</f>
        <v/>
      </c>
      <c r="W14">
        <f>P14*(1+J14)^-(Supuestos!H$24/2)</f>
        <v/>
      </c>
      <c r="X14">
        <f>Supuestos!C$23*(1-$C14+$C14*((1+Supuestos!$B$4+$B14/10000)/(1+Supuestos!$B$4))^Supuestos!C$25)</f>
        <v/>
      </c>
      <c r="Y14">
        <f>Supuestos!D$23*(1-$C14+$C14*((1+Supuestos!$B$4+$B14/10000)/(1+Supuestos!$B$4))^Supuestos!D$25)</f>
        <v/>
      </c>
      <c r="Z14">
        <f>Supuestos!E$23*(1-$C14+$C14*((1+Supuestos!$B$4+$B14/10000)/(1+Supuestos!$B$4))^Supuestos!E$25)</f>
        <v/>
      </c>
      <c r="AA14">
        <f>Supuestos!F$23*(1-$C14+$C14*((1+Supuestos!$B$4+$B14/10000)/(1+Supuestos!$B$4))^Supuestos!F$25)</f>
        <v/>
      </c>
      <c r="AB14">
        <f>Supuestos!G$23*(1-$C14+$C14*((1+Supuestos!$B$4+$B14/10000)/(1+Supuestos!$B$4))^Supuestos!G$25)</f>
        <v/>
      </c>
      <c r="AC14">
        <f>Supuestos!H$23*(1-$C14+$C14*((1+Supuestos!$B$4+$B14/10000)/(1+Supuestos!$B$4))^Supuestos!H$25)</f>
        <v/>
      </c>
      <c r="AD14">
        <f>Supuestos!I$23*(1-$C14+$C14*((1+Supuestos!$B$4+$B14/10000)/(1+Supuestos!$B$4))^Supuestos!I$25)</f>
        <v/>
      </c>
      <c r="AE14">
        <f>SUMPRODUCT(X14:AC14,R14:W14)</f>
        <v/>
      </c>
      <c r="AF14">
        <f>(1+Supuestos!$B$5)/(1+Supuestos!$B$4)*(1+Supuestos!$B$4+$B14/10000)-1</f>
        <v/>
      </c>
      <c r="AG14">
        <f>AD14/(K14-AF14)</f>
        <v/>
      </c>
      <c r="AH14">
        <f>AG14*Q14</f>
        <v/>
      </c>
      <c r="AI14">
        <f>(AE14+AH14-Supuestos!$B$7-Supuestos!$B$8)/Supuestos!$B$9</f>
        <v/>
      </c>
      <c r="AJ14">
        <f>AI14/AI$5-1</f>
        <v/>
      </c>
    </row>
    <row r="15">
      <c r="A15" t="n">
        <v>-50</v>
      </c>
      <c r="B15" t="n">
        <v>-50</v>
      </c>
      <c r="C15">
        <f>Supuestos!$B$13</f>
        <v/>
      </c>
      <c r="D15" t="inlineStr">
        <is>
          <t>Grilla</t>
        </is>
      </c>
      <c r="E15">
        <f>(1-Supuestos!C$28)*((1+((1+Supuestos!C$26)/(1+Supuestos!$B$4)-1+Supuestos!$B$14*$A15/10000))*(1+Supuestos!$B$4+$B15/10000)-1)+Supuestos!C$28*((1+Supuestos!C$27+$A15/10000)*(1+Supuestos!$B$4+$B15/10000)-1)*(1-Supuestos!$B$6)</f>
        <v/>
      </c>
      <c r="F15">
        <f>(1-Supuestos!D$28)*((1+((1+Supuestos!D$26)/(1+Supuestos!$B$4)-1+Supuestos!$B$14*$A15/10000))*(1+Supuestos!$B$4+$B15/10000)-1)+Supuestos!D$28*((1+Supuestos!D$27+$A15/10000)*(1+Supuestos!$B$4+$B15/10000)-1)*(1-Supuestos!$B$6)</f>
        <v/>
      </c>
      <c r="G15">
        <f>(1-Supuestos!E$28)*((1+((1+Supuestos!E$26)/(1+Supuestos!$B$4)-1+Supuestos!$B$14*$A15/10000))*(1+Supuestos!$B$4+$B15/10000)-1)+Supuestos!E$28*((1+Supuestos!E$27+$A15/10000)*(1+Supuestos!$B$4+$B15/10000)-1)*(1-Supuestos!$B$6)</f>
        <v/>
      </c>
      <c r="H15">
        <f>(1-Supuestos!F$28)*((1+((1+Supuestos!F$26)/(1+Supuestos!$B$4)-1+Supuestos!$B$14*$A15/10000))*(1+Supuestos!$B$4+$B15/10000)-1)+Supuestos!F$28*((1+Supuestos!F$27+$A15/10000)*(1+Supuestos!$B$4+$B15/10000)-1)*(1-Supuestos!$B$6)</f>
        <v/>
      </c>
      <c r="I15">
        <f>(1-Supuestos!G$28)*((1+((1+Supuestos!G$26)/(1+Supuestos!$B$4)-1+Supuestos!$B$14*$A15/10000))*(1+Supuestos!$B$4+$B15/10000)-1)+Supuestos!G$28*((1+Supuestos!G$27+$A15/10000)*(1+Supuestos!$B$4+$B15/10000)-1)*(1-Supuestos!$B$6)</f>
        <v/>
      </c>
      <c r="J15">
        <f>(1-Supuestos!H$28)*((1+((1+Supuestos!H$26)/(1+Supuestos!$B$4)-1+Supuestos!$B$14*$A15/10000))*(1+Supuestos!$B$4+$B15/10000)-1)+Supuestos!H$28*((1+Supuestos!H$27+$A15/10000)*(1+Supuestos!$B$4+$B15/10000)-1)*(1-Supuestos!$B$6)</f>
        <v/>
      </c>
      <c r="K15">
        <f>(1-Supuestos!I$28)*((1+((1+Supuestos!I$26)/(1+Supuestos!$B$4)-1+Supuestos!$B$14*$A15/10000))*(1+Supuestos!$B$4+$B15/10000)-1)+Supuestos!I$28*((1+Supuestos!I$27+$A15/10000)*(1+Supuestos!$B$4+$B15/10000)-1)*(1-Supuestos!$B$6)</f>
        <v/>
      </c>
      <c r="L15">
        <f>(1+E15)^-Supuestos!C$24</f>
        <v/>
      </c>
      <c r="M15">
        <f>L15*(1+F15)^-Supuestos!D$24</f>
        <v/>
      </c>
      <c r="N15">
        <f>M15*(1+G15)^-Supuestos!E$24</f>
        <v/>
      </c>
      <c r="O15">
        <f>N15*(1+H15)^-Supuestos!F$24</f>
        <v/>
      </c>
      <c r="P15">
        <f>O15*(1+I15)^-Supuestos!G$24</f>
        <v/>
      </c>
      <c r="Q15">
        <f>P15*(1+J15)^-Supuestos!H$24</f>
        <v/>
      </c>
      <c r="R15">
        <f>(1+E15)^-(Supuestos!C$24/2)</f>
        <v/>
      </c>
      <c r="S15">
        <f>L15*(1+F15)^-(Supuestos!D$24/2)</f>
        <v/>
      </c>
      <c r="T15">
        <f>M15*(1+G15)^-(Supuestos!E$24/2)</f>
        <v/>
      </c>
      <c r="U15">
        <f>N15*(1+H15)^-(Supuestos!F$24/2)</f>
        <v/>
      </c>
      <c r="V15">
        <f>O15*(1+I15)^-(Supuestos!G$24/2)</f>
        <v/>
      </c>
      <c r="W15">
        <f>P15*(1+J15)^-(Supuestos!H$24/2)</f>
        <v/>
      </c>
      <c r="X15">
        <f>Supuestos!C$23*(1-$C15+$C15*((1+Supuestos!$B$4+$B15/10000)/(1+Supuestos!$B$4))^Supuestos!C$25)</f>
        <v/>
      </c>
      <c r="Y15">
        <f>Supuestos!D$23*(1-$C15+$C15*((1+Supuestos!$B$4+$B15/10000)/(1+Supuestos!$B$4))^Supuestos!D$25)</f>
        <v/>
      </c>
      <c r="Z15">
        <f>Supuestos!E$23*(1-$C15+$C15*((1+Supuestos!$B$4+$B15/10000)/(1+Supuestos!$B$4))^Supuestos!E$25)</f>
        <v/>
      </c>
      <c r="AA15">
        <f>Supuestos!F$23*(1-$C15+$C15*((1+Supuestos!$B$4+$B15/10000)/(1+Supuestos!$B$4))^Supuestos!F$25)</f>
        <v/>
      </c>
      <c r="AB15">
        <f>Supuestos!G$23*(1-$C15+$C15*((1+Supuestos!$B$4+$B15/10000)/(1+Supuestos!$B$4))^Supuestos!G$25)</f>
        <v/>
      </c>
      <c r="AC15">
        <f>Supuestos!H$23*(1-$C15+$C15*((1+Supuestos!$B$4+$B15/10000)/(1+Supuestos!$B$4))^Supuestos!H$25)</f>
        <v/>
      </c>
      <c r="AD15">
        <f>Supuestos!I$23*(1-$C15+$C15*((1+Supuestos!$B$4+$B15/10000)/(1+Supuestos!$B$4))^Supuestos!I$25)</f>
        <v/>
      </c>
      <c r="AE15">
        <f>SUMPRODUCT(X15:AC15,R15:W15)</f>
        <v/>
      </c>
      <c r="AF15">
        <f>(1+Supuestos!$B$5)/(1+Supuestos!$B$4)*(1+Supuestos!$B$4+$B15/10000)-1</f>
        <v/>
      </c>
      <c r="AG15">
        <f>AD15/(K15-AF15)</f>
        <v/>
      </c>
      <c r="AH15">
        <f>AG15*Q15</f>
        <v/>
      </c>
      <c r="AI15">
        <f>(AE15+AH15-Supuestos!$B$7-Supuestos!$B$8)/Supuestos!$B$9</f>
        <v/>
      </c>
      <c r="AJ15">
        <f>AI15/AI$5-1</f>
        <v/>
      </c>
    </row>
    <row r="16">
      <c r="A16" t="n">
        <v>0</v>
      </c>
      <c r="B16" t="n">
        <v>-50</v>
      </c>
      <c r="C16">
        <f>Supuestos!$B$13</f>
        <v/>
      </c>
      <c r="D16" t="inlineStr">
        <is>
          <t>Grilla</t>
        </is>
      </c>
      <c r="E16">
        <f>(1-Supuestos!C$28)*((1+((1+Supuestos!C$26)/(1+Supuestos!$B$4)-1+Supuestos!$B$14*$A16/10000))*(1+Supuestos!$B$4+$B16/10000)-1)+Supuestos!C$28*((1+Supuestos!C$27+$A16/10000)*(1+Supuestos!$B$4+$B16/10000)-1)*(1-Supuestos!$B$6)</f>
        <v/>
      </c>
      <c r="F16">
        <f>(1-Supuestos!D$28)*((1+((1+Supuestos!D$26)/(1+Supuestos!$B$4)-1+Supuestos!$B$14*$A16/10000))*(1+Supuestos!$B$4+$B16/10000)-1)+Supuestos!D$28*((1+Supuestos!D$27+$A16/10000)*(1+Supuestos!$B$4+$B16/10000)-1)*(1-Supuestos!$B$6)</f>
        <v/>
      </c>
      <c r="G16">
        <f>(1-Supuestos!E$28)*((1+((1+Supuestos!E$26)/(1+Supuestos!$B$4)-1+Supuestos!$B$14*$A16/10000))*(1+Supuestos!$B$4+$B16/10000)-1)+Supuestos!E$28*((1+Supuestos!E$27+$A16/10000)*(1+Supuestos!$B$4+$B16/10000)-1)*(1-Supuestos!$B$6)</f>
        <v/>
      </c>
      <c r="H16">
        <f>(1-Supuestos!F$28)*((1+((1+Supuestos!F$26)/(1+Supuestos!$B$4)-1+Supuestos!$B$14*$A16/10000))*(1+Supuestos!$B$4+$B16/10000)-1)+Supuestos!F$28*((1+Supuestos!F$27+$A16/10000)*(1+Supuestos!$B$4+$B16/10000)-1)*(1-Supuestos!$B$6)</f>
        <v/>
      </c>
      <c r="I16">
        <f>(1-Supuestos!G$28)*((1+((1+Supuestos!G$26)/(1+Supuestos!$B$4)-1+Supuestos!$B$14*$A16/10000))*(1+Supuestos!$B$4+$B16/10000)-1)+Supuestos!G$28*((1+Supuestos!G$27+$A16/10000)*(1+Supuestos!$B$4+$B16/10000)-1)*(1-Supuestos!$B$6)</f>
        <v/>
      </c>
      <c r="J16">
        <f>(1-Supuestos!H$28)*((1+((1+Supuestos!H$26)/(1+Supuestos!$B$4)-1+Supuestos!$B$14*$A16/10000))*(1+Supuestos!$B$4+$B16/10000)-1)+Supuestos!H$28*((1+Supuestos!H$27+$A16/10000)*(1+Supuestos!$B$4+$B16/10000)-1)*(1-Supuestos!$B$6)</f>
        <v/>
      </c>
      <c r="K16">
        <f>(1-Supuestos!I$28)*((1+((1+Supuestos!I$26)/(1+Supuestos!$B$4)-1+Supuestos!$B$14*$A16/10000))*(1+Supuestos!$B$4+$B16/10000)-1)+Supuestos!I$28*((1+Supuestos!I$27+$A16/10000)*(1+Supuestos!$B$4+$B16/10000)-1)*(1-Supuestos!$B$6)</f>
        <v/>
      </c>
      <c r="L16">
        <f>(1+E16)^-Supuestos!C$24</f>
        <v/>
      </c>
      <c r="M16">
        <f>L16*(1+F16)^-Supuestos!D$24</f>
        <v/>
      </c>
      <c r="N16">
        <f>M16*(1+G16)^-Supuestos!E$24</f>
        <v/>
      </c>
      <c r="O16">
        <f>N16*(1+H16)^-Supuestos!F$24</f>
        <v/>
      </c>
      <c r="P16">
        <f>O16*(1+I16)^-Supuestos!G$24</f>
        <v/>
      </c>
      <c r="Q16">
        <f>P16*(1+J16)^-Supuestos!H$24</f>
        <v/>
      </c>
      <c r="R16">
        <f>(1+E16)^-(Supuestos!C$24/2)</f>
        <v/>
      </c>
      <c r="S16">
        <f>L16*(1+F16)^-(Supuestos!D$24/2)</f>
        <v/>
      </c>
      <c r="T16">
        <f>M16*(1+G16)^-(Supuestos!E$24/2)</f>
        <v/>
      </c>
      <c r="U16">
        <f>N16*(1+H16)^-(Supuestos!F$24/2)</f>
        <v/>
      </c>
      <c r="V16">
        <f>O16*(1+I16)^-(Supuestos!G$24/2)</f>
        <v/>
      </c>
      <c r="W16">
        <f>P16*(1+J16)^-(Supuestos!H$24/2)</f>
        <v/>
      </c>
      <c r="X16">
        <f>Supuestos!C$23*(1-$C16+$C16*((1+Supuestos!$B$4+$B16/10000)/(1+Supuestos!$B$4))^Supuestos!C$25)</f>
        <v/>
      </c>
      <c r="Y16">
        <f>Supuestos!D$23*(1-$C16+$C16*((1+Supuestos!$B$4+$B16/10000)/(1+Supuestos!$B$4))^Supuestos!D$25)</f>
        <v/>
      </c>
      <c r="Z16">
        <f>Supuestos!E$23*(1-$C16+$C16*((1+Supuestos!$B$4+$B16/10000)/(1+Supuestos!$B$4))^Supuestos!E$25)</f>
        <v/>
      </c>
      <c r="AA16">
        <f>Supuestos!F$23*(1-$C16+$C16*((1+Supuestos!$B$4+$B16/10000)/(1+Supuestos!$B$4))^Supuestos!F$25)</f>
        <v/>
      </c>
      <c r="AB16">
        <f>Supuestos!G$23*(1-$C16+$C16*((1+Supuestos!$B$4+$B16/10000)/(1+Supuestos!$B$4))^Supuestos!G$25)</f>
        <v/>
      </c>
      <c r="AC16">
        <f>Supuestos!H$23*(1-$C16+$C16*((1+Supuestos!$B$4+$B16/10000)/(1+Supuestos!$B$4))^Supuestos!H$25)</f>
        <v/>
      </c>
      <c r="AD16">
        <f>Supuestos!I$23*(1-$C16+$C16*((1+Supuestos!$B$4+$B16/10000)/(1+Supuestos!$B$4))^Supuestos!I$25)</f>
        <v/>
      </c>
      <c r="AE16">
        <f>SUMPRODUCT(X16:AC16,R16:W16)</f>
        <v/>
      </c>
      <c r="AF16">
        <f>(1+Supuestos!$B$5)/(1+Supuestos!$B$4)*(1+Supuestos!$B$4+$B16/10000)-1</f>
        <v/>
      </c>
      <c r="AG16">
        <f>AD16/(K16-AF16)</f>
        <v/>
      </c>
      <c r="AH16">
        <f>AG16*Q16</f>
        <v/>
      </c>
      <c r="AI16">
        <f>(AE16+AH16-Supuestos!$B$7-Supuestos!$B$8)/Supuestos!$B$9</f>
        <v/>
      </c>
      <c r="AJ16">
        <f>AI16/AI$5-1</f>
        <v/>
      </c>
    </row>
    <row r="17">
      <c r="A17" t="n">
        <v>50</v>
      </c>
      <c r="B17" t="n">
        <v>-50</v>
      </c>
      <c r="C17">
        <f>Supuestos!$B$13</f>
        <v/>
      </c>
      <c r="D17" t="inlineStr">
        <is>
          <t>Grilla</t>
        </is>
      </c>
      <c r="E17">
        <f>(1-Supuestos!C$28)*((1+((1+Supuestos!C$26)/(1+Supuestos!$B$4)-1+Supuestos!$B$14*$A17/10000))*(1+Supuestos!$B$4+$B17/10000)-1)+Supuestos!C$28*((1+Supuestos!C$27+$A17/10000)*(1+Supuestos!$B$4+$B17/10000)-1)*(1-Supuestos!$B$6)</f>
        <v/>
      </c>
      <c r="F17">
        <f>(1-Supuestos!D$28)*((1+((1+Supuestos!D$26)/(1+Supuestos!$B$4)-1+Supuestos!$B$14*$A17/10000))*(1+Supuestos!$B$4+$B17/10000)-1)+Supuestos!D$28*((1+Supuestos!D$27+$A17/10000)*(1+Supuestos!$B$4+$B17/10000)-1)*(1-Supuestos!$B$6)</f>
        <v/>
      </c>
      <c r="G17">
        <f>(1-Supuestos!E$28)*((1+((1+Supuestos!E$26)/(1+Supuestos!$B$4)-1+Supuestos!$B$14*$A17/10000))*(1+Supuestos!$B$4+$B17/10000)-1)+Supuestos!E$28*((1+Supuestos!E$27+$A17/10000)*(1+Supuestos!$B$4+$B17/10000)-1)*(1-Supuestos!$B$6)</f>
        <v/>
      </c>
      <c r="H17">
        <f>(1-Supuestos!F$28)*((1+((1+Supuestos!F$26)/(1+Supuestos!$B$4)-1+Supuestos!$B$14*$A17/10000))*(1+Supuestos!$B$4+$B17/10000)-1)+Supuestos!F$28*((1+Supuestos!F$27+$A17/10000)*(1+Supuestos!$B$4+$B17/10000)-1)*(1-Supuestos!$B$6)</f>
        <v/>
      </c>
      <c r="I17">
        <f>(1-Supuestos!G$28)*((1+((1+Supuestos!G$26)/(1+Supuestos!$B$4)-1+Supuestos!$B$14*$A17/10000))*(1+Supuestos!$B$4+$B17/10000)-1)+Supuestos!G$28*((1+Supuestos!G$27+$A17/10000)*(1+Supuestos!$B$4+$B17/10000)-1)*(1-Supuestos!$B$6)</f>
        <v/>
      </c>
      <c r="J17">
        <f>(1-Supuestos!H$28)*((1+((1+Supuestos!H$26)/(1+Supuestos!$B$4)-1+Supuestos!$B$14*$A17/10000))*(1+Supuestos!$B$4+$B17/10000)-1)+Supuestos!H$28*((1+Supuestos!H$27+$A17/10000)*(1+Supuestos!$B$4+$B17/10000)-1)*(1-Supuestos!$B$6)</f>
        <v/>
      </c>
      <c r="K17">
        <f>(1-Supuestos!I$28)*((1+((1+Supuestos!I$26)/(1+Supuestos!$B$4)-1+Supuestos!$B$14*$A17/10000))*(1+Supuestos!$B$4+$B17/10000)-1)+Supuestos!I$28*((1+Supuestos!I$27+$A17/10000)*(1+Supuestos!$B$4+$B17/10000)-1)*(1-Supuestos!$B$6)</f>
        <v/>
      </c>
      <c r="L17">
        <f>(1+E17)^-Supuestos!C$24</f>
        <v/>
      </c>
      <c r="M17">
        <f>L17*(1+F17)^-Supuestos!D$24</f>
        <v/>
      </c>
      <c r="N17">
        <f>M17*(1+G17)^-Supuestos!E$24</f>
        <v/>
      </c>
      <c r="O17">
        <f>N17*(1+H17)^-Supuestos!F$24</f>
        <v/>
      </c>
      <c r="P17">
        <f>O17*(1+I17)^-Supuestos!G$24</f>
        <v/>
      </c>
      <c r="Q17">
        <f>P17*(1+J17)^-Supuestos!H$24</f>
        <v/>
      </c>
      <c r="R17">
        <f>(1+E17)^-(Supuestos!C$24/2)</f>
        <v/>
      </c>
      <c r="S17">
        <f>L17*(1+F17)^-(Supuestos!D$24/2)</f>
        <v/>
      </c>
      <c r="T17">
        <f>M17*(1+G17)^-(Supuestos!E$24/2)</f>
        <v/>
      </c>
      <c r="U17">
        <f>N17*(1+H17)^-(Supuestos!F$24/2)</f>
        <v/>
      </c>
      <c r="V17">
        <f>O17*(1+I17)^-(Supuestos!G$24/2)</f>
        <v/>
      </c>
      <c r="W17">
        <f>P17*(1+J17)^-(Supuestos!H$24/2)</f>
        <v/>
      </c>
      <c r="X17">
        <f>Supuestos!C$23*(1-$C17+$C17*((1+Supuestos!$B$4+$B17/10000)/(1+Supuestos!$B$4))^Supuestos!C$25)</f>
        <v/>
      </c>
      <c r="Y17">
        <f>Supuestos!D$23*(1-$C17+$C17*((1+Supuestos!$B$4+$B17/10000)/(1+Supuestos!$B$4))^Supuestos!D$25)</f>
        <v/>
      </c>
      <c r="Z17">
        <f>Supuestos!E$23*(1-$C17+$C17*((1+Supuestos!$B$4+$B17/10000)/(1+Supuestos!$B$4))^Supuestos!E$25)</f>
        <v/>
      </c>
      <c r="AA17">
        <f>Supuestos!F$23*(1-$C17+$C17*((1+Supuestos!$B$4+$B17/10000)/(1+Supuestos!$B$4))^Supuestos!F$25)</f>
        <v/>
      </c>
      <c r="AB17">
        <f>Supuestos!G$23*(1-$C17+$C17*((1+Supuestos!$B$4+$B17/10000)/(1+Supuestos!$B$4))^Supuestos!G$25)</f>
        <v/>
      </c>
      <c r="AC17">
        <f>Supuestos!H$23*(1-$C17+$C17*((1+Supuestos!$B$4+$B17/10000)/(1+Supuestos!$B$4))^Supuestos!H$25)</f>
        <v/>
      </c>
      <c r="AD17">
        <f>Supuestos!I$23*(1-$C17+$C17*((1+Supuestos!$B$4+$B17/10000)/(1+Supuestos!$B$4))^Supuestos!I$25)</f>
        <v/>
      </c>
      <c r="AE17">
        <f>SUMPRODUCT(X17:AC17,R17:W17)</f>
        <v/>
      </c>
      <c r="AF17">
        <f>(1+Supuestos!$B$5)/(1+Supuestos!$B$4)*(1+Supuestos!$B$4+$B17/10000)-1</f>
        <v/>
      </c>
      <c r="AG17">
        <f>AD17/(K17-AF17)</f>
        <v/>
      </c>
      <c r="AH17">
        <f>AG17*Q17</f>
        <v/>
      </c>
      <c r="AI17">
        <f>(AE17+AH17-Supuestos!$B$7-Supuestos!$B$8)/Supuestos!$B$9</f>
        <v/>
      </c>
      <c r="AJ17">
        <f>AI17/AI$5-1</f>
        <v/>
      </c>
    </row>
    <row r="18">
      <c r="A18" t="n">
        <v>100</v>
      </c>
      <c r="B18" t="n">
        <v>-50</v>
      </c>
      <c r="C18">
        <f>Supuestos!$B$13</f>
        <v/>
      </c>
      <c r="D18" t="inlineStr">
        <is>
          <t>Grilla</t>
        </is>
      </c>
      <c r="E18">
        <f>(1-Supuestos!C$28)*((1+((1+Supuestos!C$26)/(1+Supuestos!$B$4)-1+Supuestos!$B$14*$A18/10000))*(1+Supuestos!$B$4+$B18/10000)-1)+Supuestos!C$28*((1+Supuestos!C$27+$A18/10000)*(1+Supuestos!$B$4+$B18/10000)-1)*(1-Supuestos!$B$6)</f>
        <v/>
      </c>
      <c r="F18">
        <f>(1-Supuestos!D$28)*((1+((1+Supuestos!D$26)/(1+Supuestos!$B$4)-1+Supuestos!$B$14*$A18/10000))*(1+Supuestos!$B$4+$B18/10000)-1)+Supuestos!D$28*((1+Supuestos!D$27+$A18/10000)*(1+Supuestos!$B$4+$B18/10000)-1)*(1-Supuestos!$B$6)</f>
        <v/>
      </c>
      <c r="G18">
        <f>(1-Supuestos!E$28)*((1+((1+Supuestos!E$26)/(1+Supuestos!$B$4)-1+Supuestos!$B$14*$A18/10000))*(1+Supuestos!$B$4+$B18/10000)-1)+Supuestos!E$28*((1+Supuestos!E$27+$A18/10000)*(1+Supuestos!$B$4+$B18/10000)-1)*(1-Supuestos!$B$6)</f>
        <v/>
      </c>
      <c r="H18">
        <f>(1-Supuestos!F$28)*((1+((1+Supuestos!F$26)/(1+Supuestos!$B$4)-1+Supuestos!$B$14*$A18/10000))*(1+Supuestos!$B$4+$B18/10000)-1)+Supuestos!F$28*((1+Supuestos!F$27+$A18/10000)*(1+Supuestos!$B$4+$B18/10000)-1)*(1-Supuestos!$B$6)</f>
        <v/>
      </c>
      <c r="I18">
        <f>(1-Supuestos!G$28)*((1+((1+Supuestos!G$26)/(1+Supuestos!$B$4)-1+Supuestos!$B$14*$A18/10000))*(1+Supuestos!$B$4+$B18/10000)-1)+Supuestos!G$28*((1+Supuestos!G$27+$A18/10000)*(1+Supuestos!$B$4+$B18/10000)-1)*(1-Supuestos!$B$6)</f>
        <v/>
      </c>
      <c r="J18">
        <f>(1-Supuestos!H$28)*((1+((1+Supuestos!H$26)/(1+Supuestos!$B$4)-1+Supuestos!$B$14*$A18/10000))*(1+Supuestos!$B$4+$B18/10000)-1)+Supuestos!H$28*((1+Supuestos!H$27+$A18/10000)*(1+Supuestos!$B$4+$B18/10000)-1)*(1-Supuestos!$B$6)</f>
        <v/>
      </c>
      <c r="K18">
        <f>(1-Supuestos!I$28)*((1+((1+Supuestos!I$26)/(1+Supuestos!$B$4)-1+Supuestos!$B$14*$A18/10000))*(1+Supuestos!$B$4+$B18/10000)-1)+Supuestos!I$28*((1+Supuestos!I$27+$A18/10000)*(1+Supuestos!$B$4+$B18/10000)-1)*(1-Supuestos!$B$6)</f>
        <v/>
      </c>
      <c r="L18">
        <f>(1+E18)^-Supuestos!C$24</f>
        <v/>
      </c>
      <c r="M18">
        <f>L18*(1+F18)^-Supuestos!D$24</f>
        <v/>
      </c>
      <c r="N18">
        <f>M18*(1+G18)^-Supuestos!E$24</f>
        <v/>
      </c>
      <c r="O18">
        <f>N18*(1+H18)^-Supuestos!F$24</f>
        <v/>
      </c>
      <c r="P18">
        <f>O18*(1+I18)^-Supuestos!G$24</f>
        <v/>
      </c>
      <c r="Q18">
        <f>P18*(1+J18)^-Supuestos!H$24</f>
        <v/>
      </c>
      <c r="R18">
        <f>(1+E18)^-(Supuestos!C$24/2)</f>
        <v/>
      </c>
      <c r="S18">
        <f>L18*(1+F18)^-(Supuestos!D$24/2)</f>
        <v/>
      </c>
      <c r="T18">
        <f>M18*(1+G18)^-(Supuestos!E$24/2)</f>
        <v/>
      </c>
      <c r="U18">
        <f>N18*(1+H18)^-(Supuestos!F$24/2)</f>
        <v/>
      </c>
      <c r="V18">
        <f>O18*(1+I18)^-(Supuestos!G$24/2)</f>
        <v/>
      </c>
      <c r="W18">
        <f>P18*(1+J18)^-(Supuestos!H$24/2)</f>
        <v/>
      </c>
      <c r="X18">
        <f>Supuestos!C$23*(1-$C18+$C18*((1+Supuestos!$B$4+$B18/10000)/(1+Supuestos!$B$4))^Supuestos!C$25)</f>
        <v/>
      </c>
      <c r="Y18">
        <f>Supuestos!D$23*(1-$C18+$C18*((1+Supuestos!$B$4+$B18/10000)/(1+Supuestos!$B$4))^Supuestos!D$25)</f>
        <v/>
      </c>
      <c r="Z18">
        <f>Supuestos!E$23*(1-$C18+$C18*((1+Supuestos!$B$4+$B18/10000)/(1+Supuestos!$B$4))^Supuestos!E$25)</f>
        <v/>
      </c>
      <c r="AA18">
        <f>Supuestos!F$23*(1-$C18+$C18*((1+Supuestos!$B$4+$B18/10000)/(1+Supuestos!$B$4))^Supuestos!F$25)</f>
        <v/>
      </c>
      <c r="AB18">
        <f>Supuestos!G$23*(1-$C18+$C18*((1+Supuestos!$B$4+$B18/10000)/(1+Supuestos!$B$4))^Supuestos!G$25)</f>
        <v/>
      </c>
      <c r="AC18">
        <f>Supuestos!H$23*(1-$C18+$C18*((1+Supuestos!$B$4+$B18/10000)/(1+Supuestos!$B$4))^Supuestos!H$25)</f>
        <v/>
      </c>
      <c r="AD18">
        <f>Supuestos!I$23*(1-$C18+$C18*((1+Supuestos!$B$4+$B18/10000)/(1+Supuestos!$B$4))^Supuestos!I$25)</f>
        <v/>
      </c>
      <c r="AE18">
        <f>SUMPRODUCT(X18:AC18,R18:W18)</f>
        <v/>
      </c>
      <c r="AF18">
        <f>(1+Supuestos!$B$5)/(1+Supuestos!$B$4)*(1+Supuestos!$B$4+$B18/10000)-1</f>
        <v/>
      </c>
      <c r="AG18">
        <f>AD18/(K18-AF18)</f>
        <v/>
      </c>
      <c r="AH18">
        <f>AG18*Q18</f>
        <v/>
      </c>
      <c r="AI18">
        <f>(AE18+AH18-Supuestos!$B$7-Supuestos!$B$8)/Supuestos!$B$9</f>
        <v/>
      </c>
      <c r="AJ18">
        <f>AI18/AI$5-1</f>
        <v/>
      </c>
    </row>
    <row r="19">
      <c r="A19" t="n">
        <v>150</v>
      </c>
      <c r="B19" t="n">
        <v>-50</v>
      </c>
      <c r="C19">
        <f>Supuestos!$B$13</f>
        <v/>
      </c>
      <c r="D19" t="inlineStr">
        <is>
          <t>Grilla</t>
        </is>
      </c>
      <c r="E19">
        <f>(1-Supuestos!C$28)*((1+((1+Supuestos!C$26)/(1+Supuestos!$B$4)-1+Supuestos!$B$14*$A19/10000))*(1+Supuestos!$B$4+$B19/10000)-1)+Supuestos!C$28*((1+Supuestos!C$27+$A19/10000)*(1+Supuestos!$B$4+$B19/10000)-1)*(1-Supuestos!$B$6)</f>
        <v/>
      </c>
      <c r="F19">
        <f>(1-Supuestos!D$28)*((1+((1+Supuestos!D$26)/(1+Supuestos!$B$4)-1+Supuestos!$B$14*$A19/10000))*(1+Supuestos!$B$4+$B19/10000)-1)+Supuestos!D$28*((1+Supuestos!D$27+$A19/10000)*(1+Supuestos!$B$4+$B19/10000)-1)*(1-Supuestos!$B$6)</f>
        <v/>
      </c>
      <c r="G19">
        <f>(1-Supuestos!E$28)*((1+((1+Supuestos!E$26)/(1+Supuestos!$B$4)-1+Supuestos!$B$14*$A19/10000))*(1+Supuestos!$B$4+$B19/10000)-1)+Supuestos!E$28*((1+Supuestos!E$27+$A19/10000)*(1+Supuestos!$B$4+$B19/10000)-1)*(1-Supuestos!$B$6)</f>
        <v/>
      </c>
      <c r="H19">
        <f>(1-Supuestos!F$28)*((1+((1+Supuestos!F$26)/(1+Supuestos!$B$4)-1+Supuestos!$B$14*$A19/10000))*(1+Supuestos!$B$4+$B19/10000)-1)+Supuestos!F$28*((1+Supuestos!F$27+$A19/10000)*(1+Supuestos!$B$4+$B19/10000)-1)*(1-Supuestos!$B$6)</f>
        <v/>
      </c>
      <c r="I19">
        <f>(1-Supuestos!G$28)*((1+((1+Supuestos!G$26)/(1+Supuestos!$B$4)-1+Supuestos!$B$14*$A19/10000))*(1+Supuestos!$B$4+$B19/10000)-1)+Supuestos!G$28*((1+Supuestos!G$27+$A19/10000)*(1+Supuestos!$B$4+$B19/10000)-1)*(1-Supuestos!$B$6)</f>
        <v/>
      </c>
      <c r="J19">
        <f>(1-Supuestos!H$28)*((1+((1+Supuestos!H$26)/(1+Supuestos!$B$4)-1+Supuestos!$B$14*$A19/10000))*(1+Supuestos!$B$4+$B19/10000)-1)+Supuestos!H$28*((1+Supuestos!H$27+$A19/10000)*(1+Supuestos!$B$4+$B19/10000)-1)*(1-Supuestos!$B$6)</f>
        <v/>
      </c>
      <c r="K19">
        <f>(1-Supuestos!I$28)*((1+((1+Supuestos!I$26)/(1+Supuestos!$B$4)-1+Supuestos!$B$14*$A19/10000))*(1+Supuestos!$B$4+$B19/10000)-1)+Supuestos!I$28*((1+Supuestos!I$27+$A19/10000)*(1+Supuestos!$B$4+$B19/10000)-1)*(1-Supuestos!$B$6)</f>
        <v/>
      </c>
      <c r="L19">
        <f>(1+E19)^-Supuestos!C$24</f>
        <v/>
      </c>
      <c r="M19">
        <f>L19*(1+F19)^-Supuestos!D$24</f>
        <v/>
      </c>
      <c r="N19">
        <f>M19*(1+G19)^-Supuestos!E$24</f>
        <v/>
      </c>
      <c r="O19">
        <f>N19*(1+H19)^-Supuestos!F$24</f>
        <v/>
      </c>
      <c r="P19">
        <f>O19*(1+I19)^-Supuestos!G$24</f>
        <v/>
      </c>
      <c r="Q19">
        <f>P19*(1+J19)^-Supuestos!H$24</f>
        <v/>
      </c>
      <c r="R19">
        <f>(1+E19)^-(Supuestos!C$24/2)</f>
        <v/>
      </c>
      <c r="S19">
        <f>L19*(1+F19)^-(Supuestos!D$24/2)</f>
        <v/>
      </c>
      <c r="T19">
        <f>M19*(1+G19)^-(Supuestos!E$24/2)</f>
        <v/>
      </c>
      <c r="U19">
        <f>N19*(1+H19)^-(Supuestos!F$24/2)</f>
        <v/>
      </c>
      <c r="V19">
        <f>O19*(1+I19)^-(Supuestos!G$24/2)</f>
        <v/>
      </c>
      <c r="W19">
        <f>P19*(1+J19)^-(Supuestos!H$24/2)</f>
        <v/>
      </c>
      <c r="X19">
        <f>Supuestos!C$23*(1-$C19+$C19*((1+Supuestos!$B$4+$B19/10000)/(1+Supuestos!$B$4))^Supuestos!C$25)</f>
        <v/>
      </c>
      <c r="Y19">
        <f>Supuestos!D$23*(1-$C19+$C19*((1+Supuestos!$B$4+$B19/10000)/(1+Supuestos!$B$4))^Supuestos!D$25)</f>
        <v/>
      </c>
      <c r="Z19">
        <f>Supuestos!E$23*(1-$C19+$C19*((1+Supuestos!$B$4+$B19/10000)/(1+Supuestos!$B$4))^Supuestos!E$25)</f>
        <v/>
      </c>
      <c r="AA19">
        <f>Supuestos!F$23*(1-$C19+$C19*((1+Supuestos!$B$4+$B19/10000)/(1+Supuestos!$B$4))^Supuestos!F$25)</f>
        <v/>
      </c>
      <c r="AB19">
        <f>Supuestos!G$23*(1-$C19+$C19*((1+Supuestos!$B$4+$B19/10000)/(1+Supuestos!$B$4))^Supuestos!G$25)</f>
        <v/>
      </c>
      <c r="AC19">
        <f>Supuestos!H$23*(1-$C19+$C19*((1+Supuestos!$B$4+$B19/10000)/(1+Supuestos!$B$4))^Supuestos!H$25)</f>
        <v/>
      </c>
      <c r="AD19">
        <f>Supuestos!I$23*(1-$C19+$C19*((1+Supuestos!$B$4+$B19/10000)/(1+Supuestos!$B$4))^Supuestos!I$25)</f>
        <v/>
      </c>
      <c r="AE19">
        <f>SUMPRODUCT(X19:AC19,R19:W19)</f>
        <v/>
      </c>
      <c r="AF19">
        <f>(1+Supuestos!$B$5)/(1+Supuestos!$B$4)*(1+Supuestos!$B$4+$B19/10000)-1</f>
        <v/>
      </c>
      <c r="AG19">
        <f>AD19/(K19-AF19)</f>
        <v/>
      </c>
      <c r="AH19">
        <f>AG19*Q19</f>
        <v/>
      </c>
      <c r="AI19">
        <f>(AE19+AH19-Supuestos!$B$7-Supuestos!$B$8)/Supuestos!$B$9</f>
        <v/>
      </c>
      <c r="AJ19">
        <f>AI19/AI$5-1</f>
        <v/>
      </c>
    </row>
    <row r="20">
      <c r="A20" t="n">
        <v>-150</v>
      </c>
      <c r="B20" t="n">
        <v>0</v>
      </c>
      <c r="C20">
        <f>Supuestos!$B$13</f>
        <v/>
      </c>
      <c r="D20" t="inlineStr">
        <is>
          <t>Grilla</t>
        </is>
      </c>
      <c r="E20">
        <f>(1-Supuestos!C$28)*((1+((1+Supuestos!C$26)/(1+Supuestos!$B$4)-1+Supuestos!$B$14*$A20/10000))*(1+Supuestos!$B$4+$B20/10000)-1)+Supuestos!C$28*((1+Supuestos!C$27+$A20/10000)*(1+Supuestos!$B$4+$B20/10000)-1)*(1-Supuestos!$B$6)</f>
        <v/>
      </c>
      <c r="F20">
        <f>(1-Supuestos!D$28)*((1+((1+Supuestos!D$26)/(1+Supuestos!$B$4)-1+Supuestos!$B$14*$A20/10000))*(1+Supuestos!$B$4+$B20/10000)-1)+Supuestos!D$28*((1+Supuestos!D$27+$A20/10000)*(1+Supuestos!$B$4+$B20/10000)-1)*(1-Supuestos!$B$6)</f>
        <v/>
      </c>
      <c r="G20">
        <f>(1-Supuestos!E$28)*((1+((1+Supuestos!E$26)/(1+Supuestos!$B$4)-1+Supuestos!$B$14*$A20/10000))*(1+Supuestos!$B$4+$B20/10000)-1)+Supuestos!E$28*((1+Supuestos!E$27+$A20/10000)*(1+Supuestos!$B$4+$B20/10000)-1)*(1-Supuestos!$B$6)</f>
        <v/>
      </c>
      <c r="H20">
        <f>(1-Supuestos!F$28)*((1+((1+Supuestos!F$26)/(1+Supuestos!$B$4)-1+Supuestos!$B$14*$A20/10000))*(1+Supuestos!$B$4+$B20/10000)-1)+Supuestos!F$28*((1+Supuestos!F$27+$A20/10000)*(1+Supuestos!$B$4+$B20/10000)-1)*(1-Supuestos!$B$6)</f>
        <v/>
      </c>
      <c r="I20">
        <f>(1-Supuestos!G$28)*((1+((1+Supuestos!G$26)/(1+Supuestos!$B$4)-1+Supuestos!$B$14*$A20/10000))*(1+Supuestos!$B$4+$B20/10000)-1)+Supuestos!G$28*((1+Supuestos!G$27+$A20/10000)*(1+Supuestos!$B$4+$B20/10000)-1)*(1-Supuestos!$B$6)</f>
        <v/>
      </c>
      <c r="J20">
        <f>(1-Supuestos!H$28)*((1+((1+Supuestos!H$26)/(1+Supuestos!$B$4)-1+Supuestos!$B$14*$A20/10000))*(1+Supuestos!$B$4+$B20/10000)-1)+Supuestos!H$28*((1+Supuestos!H$27+$A20/10000)*(1+Supuestos!$B$4+$B20/10000)-1)*(1-Supuestos!$B$6)</f>
        <v/>
      </c>
      <c r="K20">
        <f>(1-Supuestos!I$28)*((1+((1+Supuestos!I$26)/(1+Supuestos!$B$4)-1+Supuestos!$B$14*$A20/10000))*(1+Supuestos!$B$4+$B20/10000)-1)+Supuestos!I$28*((1+Supuestos!I$27+$A20/10000)*(1+Supuestos!$B$4+$B20/10000)-1)*(1-Supuestos!$B$6)</f>
        <v/>
      </c>
      <c r="L20">
        <f>(1+E20)^-Supuestos!C$24</f>
        <v/>
      </c>
      <c r="M20">
        <f>L20*(1+F20)^-Supuestos!D$24</f>
        <v/>
      </c>
      <c r="N20">
        <f>M20*(1+G20)^-Supuestos!E$24</f>
        <v/>
      </c>
      <c r="O20">
        <f>N20*(1+H20)^-Supuestos!F$24</f>
        <v/>
      </c>
      <c r="P20">
        <f>O20*(1+I20)^-Supuestos!G$24</f>
        <v/>
      </c>
      <c r="Q20">
        <f>P20*(1+J20)^-Supuestos!H$24</f>
        <v/>
      </c>
      <c r="R20">
        <f>(1+E20)^-(Supuestos!C$24/2)</f>
        <v/>
      </c>
      <c r="S20">
        <f>L20*(1+F20)^-(Supuestos!D$24/2)</f>
        <v/>
      </c>
      <c r="T20">
        <f>M20*(1+G20)^-(Supuestos!E$24/2)</f>
        <v/>
      </c>
      <c r="U20">
        <f>N20*(1+H20)^-(Supuestos!F$24/2)</f>
        <v/>
      </c>
      <c r="V20">
        <f>O20*(1+I20)^-(Supuestos!G$24/2)</f>
        <v/>
      </c>
      <c r="W20">
        <f>P20*(1+J20)^-(Supuestos!H$24/2)</f>
        <v/>
      </c>
      <c r="X20">
        <f>Supuestos!C$23*(1-$C20+$C20*((1+Supuestos!$B$4+$B20/10000)/(1+Supuestos!$B$4))^Supuestos!C$25)</f>
        <v/>
      </c>
      <c r="Y20">
        <f>Supuestos!D$23*(1-$C20+$C20*((1+Supuestos!$B$4+$B20/10000)/(1+Supuestos!$B$4))^Supuestos!D$25)</f>
        <v/>
      </c>
      <c r="Z20">
        <f>Supuestos!E$23*(1-$C20+$C20*((1+Supuestos!$B$4+$B20/10000)/(1+Supuestos!$B$4))^Supuestos!E$25)</f>
        <v/>
      </c>
      <c r="AA20">
        <f>Supuestos!F$23*(1-$C20+$C20*((1+Supuestos!$B$4+$B20/10000)/(1+Supuestos!$B$4))^Supuestos!F$25)</f>
        <v/>
      </c>
      <c r="AB20">
        <f>Supuestos!G$23*(1-$C20+$C20*((1+Supuestos!$B$4+$B20/10000)/(1+Supuestos!$B$4))^Supuestos!G$25)</f>
        <v/>
      </c>
      <c r="AC20">
        <f>Supuestos!H$23*(1-$C20+$C20*((1+Supuestos!$B$4+$B20/10000)/(1+Supuestos!$B$4))^Supuestos!H$25)</f>
        <v/>
      </c>
      <c r="AD20">
        <f>Supuestos!I$23*(1-$C20+$C20*((1+Supuestos!$B$4+$B20/10000)/(1+Supuestos!$B$4))^Supuestos!I$25)</f>
        <v/>
      </c>
      <c r="AE20">
        <f>SUMPRODUCT(X20:AC20,R20:W20)</f>
        <v/>
      </c>
      <c r="AF20">
        <f>(1+Supuestos!$B$5)/(1+Supuestos!$B$4)*(1+Supuestos!$B$4+$B20/10000)-1</f>
        <v/>
      </c>
      <c r="AG20">
        <f>AD20/(K20-AF20)</f>
        <v/>
      </c>
      <c r="AH20">
        <f>AG20*Q20</f>
        <v/>
      </c>
      <c r="AI20">
        <f>(AE20+AH20-Supuestos!$B$7-Supuestos!$B$8)/Supuestos!$B$9</f>
        <v/>
      </c>
      <c r="AJ20">
        <f>AI20/AI$5-1</f>
        <v/>
      </c>
    </row>
    <row r="21">
      <c r="A21" t="n">
        <v>-100</v>
      </c>
      <c r="B21" t="n">
        <v>0</v>
      </c>
      <c r="C21">
        <f>Supuestos!$B$13</f>
        <v/>
      </c>
      <c r="D21" t="inlineStr">
        <is>
          <t>Grilla</t>
        </is>
      </c>
      <c r="E21">
        <f>(1-Supuestos!C$28)*((1+((1+Supuestos!C$26)/(1+Supuestos!$B$4)-1+Supuestos!$B$14*$A21/10000))*(1+Supuestos!$B$4+$B21/10000)-1)+Supuestos!C$28*((1+Supuestos!C$27+$A21/10000)*(1+Supuestos!$B$4+$B21/10000)-1)*(1-Supuestos!$B$6)</f>
        <v/>
      </c>
      <c r="F21">
        <f>(1-Supuestos!D$28)*((1+((1+Supuestos!D$26)/(1+Supuestos!$B$4)-1+Supuestos!$B$14*$A21/10000))*(1+Supuestos!$B$4+$B21/10000)-1)+Supuestos!D$28*((1+Supuestos!D$27+$A21/10000)*(1+Supuestos!$B$4+$B21/10000)-1)*(1-Supuestos!$B$6)</f>
        <v/>
      </c>
      <c r="G21">
        <f>(1-Supuestos!E$28)*((1+((1+Supuestos!E$26)/(1+Supuestos!$B$4)-1+Supuestos!$B$14*$A21/10000))*(1+Supuestos!$B$4+$B21/10000)-1)+Supuestos!E$28*((1+Supuestos!E$27+$A21/10000)*(1+Supuestos!$B$4+$B21/10000)-1)*(1-Supuestos!$B$6)</f>
        <v/>
      </c>
      <c r="H21">
        <f>(1-Supuestos!F$28)*((1+((1+Supuestos!F$26)/(1+Supuestos!$B$4)-1+Supuestos!$B$14*$A21/10000))*(1+Supuestos!$B$4+$B21/10000)-1)+Supuestos!F$28*((1+Supuestos!F$27+$A21/10000)*(1+Supuestos!$B$4+$B21/10000)-1)*(1-Supuestos!$B$6)</f>
        <v/>
      </c>
      <c r="I21">
        <f>(1-Supuestos!G$28)*((1+((1+Supuestos!G$26)/(1+Supuestos!$B$4)-1+Supuestos!$B$14*$A21/10000))*(1+Supuestos!$B$4+$B21/10000)-1)+Supuestos!G$28*((1+Supuestos!G$27+$A21/10000)*(1+Supuestos!$B$4+$B21/10000)-1)*(1-Supuestos!$B$6)</f>
        <v/>
      </c>
      <c r="J21">
        <f>(1-Supuestos!H$28)*((1+((1+Supuestos!H$26)/(1+Supuestos!$B$4)-1+Supuestos!$B$14*$A21/10000))*(1+Supuestos!$B$4+$B21/10000)-1)+Supuestos!H$28*((1+Supuestos!H$27+$A21/10000)*(1+Supuestos!$B$4+$B21/10000)-1)*(1-Supuestos!$B$6)</f>
        <v/>
      </c>
      <c r="K21">
        <f>(1-Supuestos!I$28)*((1+((1+Supuestos!I$26)/(1+Supuestos!$B$4)-1+Supuestos!$B$14*$A21/10000))*(1+Supuestos!$B$4+$B21/10000)-1)+Supuestos!I$28*((1+Supuestos!I$27+$A21/10000)*(1+Supuestos!$B$4+$B21/10000)-1)*(1-Supuestos!$B$6)</f>
        <v/>
      </c>
      <c r="L21">
        <f>(1+E21)^-Supuestos!C$24</f>
        <v/>
      </c>
      <c r="M21">
        <f>L21*(1+F21)^-Supuestos!D$24</f>
        <v/>
      </c>
      <c r="N21">
        <f>M21*(1+G21)^-Supuestos!E$24</f>
        <v/>
      </c>
      <c r="O21">
        <f>N21*(1+H21)^-Supuestos!F$24</f>
        <v/>
      </c>
      <c r="P21">
        <f>O21*(1+I21)^-Supuestos!G$24</f>
        <v/>
      </c>
      <c r="Q21">
        <f>P21*(1+J21)^-Supuestos!H$24</f>
        <v/>
      </c>
      <c r="R21">
        <f>(1+E21)^-(Supuestos!C$24/2)</f>
        <v/>
      </c>
      <c r="S21">
        <f>L21*(1+F21)^-(Supuestos!D$24/2)</f>
        <v/>
      </c>
      <c r="T21">
        <f>M21*(1+G21)^-(Supuestos!E$24/2)</f>
        <v/>
      </c>
      <c r="U21">
        <f>N21*(1+H21)^-(Supuestos!F$24/2)</f>
        <v/>
      </c>
      <c r="V21">
        <f>O21*(1+I21)^-(Supuestos!G$24/2)</f>
        <v/>
      </c>
      <c r="W21">
        <f>P21*(1+J21)^-(Supuestos!H$24/2)</f>
        <v/>
      </c>
      <c r="X21">
        <f>Supuestos!C$23*(1-$C21+$C21*((1+Supuestos!$B$4+$B21/10000)/(1+Supuestos!$B$4))^Supuestos!C$25)</f>
        <v/>
      </c>
      <c r="Y21">
        <f>Supuestos!D$23*(1-$C21+$C21*((1+Supuestos!$B$4+$B21/10000)/(1+Supuestos!$B$4))^Supuestos!D$25)</f>
        <v/>
      </c>
      <c r="Z21">
        <f>Supuestos!E$23*(1-$C21+$C21*((1+Supuestos!$B$4+$B21/10000)/(1+Supuestos!$B$4))^Supuestos!E$25)</f>
        <v/>
      </c>
      <c r="AA21">
        <f>Supuestos!F$23*(1-$C21+$C21*((1+Supuestos!$B$4+$B21/10000)/(1+Supuestos!$B$4))^Supuestos!F$25)</f>
        <v/>
      </c>
      <c r="AB21">
        <f>Supuestos!G$23*(1-$C21+$C21*((1+Supuestos!$B$4+$B21/10000)/(1+Supuestos!$B$4))^Supuestos!G$25)</f>
        <v/>
      </c>
      <c r="AC21">
        <f>Supuestos!H$23*(1-$C21+$C21*((1+Supuestos!$B$4+$B21/10000)/(1+Supuestos!$B$4))^Supuestos!H$25)</f>
        <v/>
      </c>
      <c r="AD21">
        <f>Supuestos!I$23*(1-$C21+$C21*((1+Supuestos!$B$4+$B21/10000)/(1+Supuestos!$B$4))^Supuestos!I$25)</f>
        <v/>
      </c>
      <c r="AE21">
        <f>SUMPRODUCT(X21:AC21,R21:W21)</f>
        <v/>
      </c>
      <c r="AF21">
        <f>(1+Supuestos!$B$5)/(1+Supuestos!$B$4)*(1+Supuestos!$B$4+$B21/10000)-1</f>
        <v/>
      </c>
      <c r="AG21">
        <f>AD21/(K21-AF21)</f>
        <v/>
      </c>
      <c r="AH21">
        <f>AG21*Q21</f>
        <v/>
      </c>
      <c r="AI21">
        <f>(AE21+AH21-Supuestos!$B$7-Supuestos!$B$8)/Supuestos!$B$9</f>
        <v/>
      </c>
      <c r="AJ21">
        <f>AI21/AI$5-1</f>
        <v/>
      </c>
    </row>
    <row r="22">
      <c r="A22" t="n">
        <v>-50</v>
      </c>
      <c r="B22" t="n">
        <v>0</v>
      </c>
      <c r="C22">
        <f>Supuestos!$B$13</f>
        <v/>
      </c>
      <c r="D22" t="inlineStr">
        <is>
          <t>Grilla</t>
        </is>
      </c>
      <c r="E22">
        <f>(1-Supuestos!C$28)*((1+((1+Supuestos!C$26)/(1+Supuestos!$B$4)-1+Supuestos!$B$14*$A22/10000))*(1+Supuestos!$B$4+$B22/10000)-1)+Supuestos!C$28*((1+Supuestos!C$27+$A22/10000)*(1+Supuestos!$B$4+$B22/10000)-1)*(1-Supuestos!$B$6)</f>
        <v/>
      </c>
      <c r="F22">
        <f>(1-Supuestos!D$28)*((1+((1+Supuestos!D$26)/(1+Supuestos!$B$4)-1+Supuestos!$B$14*$A22/10000))*(1+Supuestos!$B$4+$B22/10000)-1)+Supuestos!D$28*((1+Supuestos!D$27+$A22/10000)*(1+Supuestos!$B$4+$B22/10000)-1)*(1-Supuestos!$B$6)</f>
        <v/>
      </c>
      <c r="G22">
        <f>(1-Supuestos!E$28)*((1+((1+Supuestos!E$26)/(1+Supuestos!$B$4)-1+Supuestos!$B$14*$A22/10000))*(1+Supuestos!$B$4+$B22/10000)-1)+Supuestos!E$28*((1+Supuestos!E$27+$A22/10000)*(1+Supuestos!$B$4+$B22/10000)-1)*(1-Supuestos!$B$6)</f>
        <v/>
      </c>
      <c r="H22">
        <f>(1-Supuestos!F$28)*((1+((1+Supuestos!F$26)/(1+Supuestos!$B$4)-1+Supuestos!$B$14*$A22/10000))*(1+Supuestos!$B$4+$B22/10000)-1)+Supuestos!F$28*((1+Supuestos!F$27+$A22/10000)*(1+Supuestos!$B$4+$B22/10000)-1)*(1-Supuestos!$B$6)</f>
        <v/>
      </c>
      <c r="I22">
        <f>(1-Supuestos!G$28)*((1+((1+Supuestos!G$26)/(1+Supuestos!$B$4)-1+Supuestos!$B$14*$A22/10000))*(1+Supuestos!$B$4+$B22/10000)-1)+Supuestos!G$28*((1+Supuestos!G$27+$A22/10000)*(1+Supuestos!$B$4+$B22/10000)-1)*(1-Supuestos!$B$6)</f>
        <v/>
      </c>
      <c r="J22">
        <f>(1-Supuestos!H$28)*((1+((1+Supuestos!H$26)/(1+Supuestos!$B$4)-1+Supuestos!$B$14*$A22/10000))*(1+Supuestos!$B$4+$B22/10000)-1)+Supuestos!H$28*((1+Supuestos!H$27+$A22/10000)*(1+Supuestos!$B$4+$B22/10000)-1)*(1-Supuestos!$B$6)</f>
        <v/>
      </c>
      <c r="K22">
        <f>(1-Supuestos!I$28)*((1+((1+Supuestos!I$26)/(1+Supuestos!$B$4)-1+Supuestos!$B$14*$A22/10000))*(1+Supuestos!$B$4+$B22/10000)-1)+Supuestos!I$28*((1+Supuestos!I$27+$A22/10000)*(1+Supuestos!$B$4+$B22/10000)-1)*(1-Supuestos!$B$6)</f>
        <v/>
      </c>
      <c r="L22">
        <f>(1+E22)^-Supuestos!C$24</f>
        <v/>
      </c>
      <c r="M22">
        <f>L22*(1+F22)^-Supuestos!D$24</f>
        <v/>
      </c>
      <c r="N22">
        <f>M22*(1+G22)^-Supuestos!E$24</f>
        <v/>
      </c>
      <c r="O22">
        <f>N22*(1+H22)^-Supuestos!F$24</f>
        <v/>
      </c>
      <c r="P22">
        <f>O22*(1+I22)^-Supuestos!G$24</f>
        <v/>
      </c>
      <c r="Q22">
        <f>P22*(1+J22)^-Supuestos!H$24</f>
        <v/>
      </c>
      <c r="R22">
        <f>(1+E22)^-(Supuestos!C$24/2)</f>
        <v/>
      </c>
      <c r="S22">
        <f>L22*(1+F22)^-(Supuestos!D$24/2)</f>
        <v/>
      </c>
      <c r="T22">
        <f>M22*(1+G22)^-(Supuestos!E$24/2)</f>
        <v/>
      </c>
      <c r="U22">
        <f>N22*(1+H22)^-(Supuestos!F$24/2)</f>
        <v/>
      </c>
      <c r="V22">
        <f>O22*(1+I22)^-(Supuestos!G$24/2)</f>
        <v/>
      </c>
      <c r="W22">
        <f>P22*(1+J22)^-(Supuestos!H$24/2)</f>
        <v/>
      </c>
      <c r="X22">
        <f>Supuestos!C$23*(1-$C22+$C22*((1+Supuestos!$B$4+$B22/10000)/(1+Supuestos!$B$4))^Supuestos!C$25)</f>
        <v/>
      </c>
      <c r="Y22">
        <f>Supuestos!D$23*(1-$C22+$C22*((1+Supuestos!$B$4+$B22/10000)/(1+Supuestos!$B$4))^Supuestos!D$25)</f>
        <v/>
      </c>
      <c r="Z22">
        <f>Supuestos!E$23*(1-$C22+$C22*((1+Supuestos!$B$4+$B22/10000)/(1+Supuestos!$B$4))^Supuestos!E$25)</f>
        <v/>
      </c>
      <c r="AA22">
        <f>Supuestos!F$23*(1-$C22+$C22*((1+Supuestos!$B$4+$B22/10000)/(1+Supuestos!$B$4))^Supuestos!F$25)</f>
        <v/>
      </c>
      <c r="AB22">
        <f>Supuestos!G$23*(1-$C22+$C22*((1+Supuestos!$B$4+$B22/10000)/(1+Supuestos!$B$4))^Supuestos!G$25)</f>
        <v/>
      </c>
      <c r="AC22">
        <f>Supuestos!H$23*(1-$C22+$C22*((1+Supuestos!$B$4+$B22/10000)/(1+Supuestos!$B$4))^Supuestos!H$25)</f>
        <v/>
      </c>
      <c r="AD22">
        <f>Supuestos!I$23*(1-$C22+$C22*((1+Supuestos!$B$4+$B22/10000)/(1+Supuestos!$B$4))^Supuestos!I$25)</f>
        <v/>
      </c>
      <c r="AE22">
        <f>SUMPRODUCT(X22:AC22,R22:W22)</f>
        <v/>
      </c>
      <c r="AF22">
        <f>(1+Supuestos!$B$5)/(1+Supuestos!$B$4)*(1+Supuestos!$B$4+$B22/10000)-1</f>
        <v/>
      </c>
      <c r="AG22">
        <f>AD22/(K22-AF22)</f>
        <v/>
      </c>
      <c r="AH22">
        <f>AG22*Q22</f>
        <v/>
      </c>
      <c r="AI22">
        <f>(AE22+AH22-Supuestos!$B$7-Supuestos!$B$8)/Supuestos!$B$9</f>
        <v/>
      </c>
      <c r="AJ22">
        <f>AI22/AI$5-1</f>
        <v/>
      </c>
    </row>
    <row r="23">
      <c r="A23" t="n">
        <v>0</v>
      </c>
      <c r="B23" t="n">
        <v>0</v>
      </c>
      <c r="C23">
        <f>Supuestos!$B$13</f>
        <v/>
      </c>
      <c r="D23" t="inlineStr">
        <is>
          <t>Grilla</t>
        </is>
      </c>
      <c r="E23">
        <f>(1-Supuestos!C$28)*((1+((1+Supuestos!C$26)/(1+Supuestos!$B$4)-1+Supuestos!$B$14*$A23/10000))*(1+Supuestos!$B$4+$B23/10000)-1)+Supuestos!C$28*((1+Supuestos!C$27+$A23/10000)*(1+Supuestos!$B$4+$B23/10000)-1)*(1-Supuestos!$B$6)</f>
        <v/>
      </c>
      <c r="F23">
        <f>(1-Supuestos!D$28)*((1+((1+Supuestos!D$26)/(1+Supuestos!$B$4)-1+Supuestos!$B$14*$A23/10000))*(1+Supuestos!$B$4+$B23/10000)-1)+Supuestos!D$28*((1+Supuestos!D$27+$A23/10000)*(1+Supuestos!$B$4+$B23/10000)-1)*(1-Supuestos!$B$6)</f>
        <v/>
      </c>
      <c r="G23">
        <f>(1-Supuestos!E$28)*((1+((1+Supuestos!E$26)/(1+Supuestos!$B$4)-1+Supuestos!$B$14*$A23/10000))*(1+Supuestos!$B$4+$B23/10000)-1)+Supuestos!E$28*((1+Supuestos!E$27+$A23/10000)*(1+Supuestos!$B$4+$B23/10000)-1)*(1-Supuestos!$B$6)</f>
        <v/>
      </c>
      <c r="H23">
        <f>(1-Supuestos!F$28)*((1+((1+Supuestos!F$26)/(1+Supuestos!$B$4)-1+Supuestos!$B$14*$A23/10000))*(1+Supuestos!$B$4+$B23/10000)-1)+Supuestos!F$28*((1+Supuestos!F$27+$A23/10000)*(1+Supuestos!$B$4+$B23/10000)-1)*(1-Supuestos!$B$6)</f>
        <v/>
      </c>
      <c r="I23">
        <f>(1-Supuestos!G$28)*((1+((1+Supuestos!G$26)/(1+Supuestos!$B$4)-1+Supuestos!$B$14*$A23/10000))*(1+Supuestos!$B$4+$B23/10000)-1)+Supuestos!G$28*((1+Supuestos!G$27+$A23/10000)*(1+Supuestos!$B$4+$B23/10000)-1)*(1-Supuestos!$B$6)</f>
        <v/>
      </c>
      <c r="J23">
        <f>(1-Supuestos!H$28)*((1+((1+Supuestos!H$26)/(1+Supuestos!$B$4)-1+Supuestos!$B$14*$A23/10000))*(1+Supuestos!$B$4+$B23/10000)-1)+Supuestos!H$28*((1+Supuestos!H$27+$A23/10000)*(1+Supuestos!$B$4+$B23/10000)-1)*(1-Supuestos!$B$6)</f>
        <v/>
      </c>
      <c r="K23">
        <f>(1-Supuestos!I$28)*((1+((1+Supuestos!I$26)/(1+Supuestos!$B$4)-1+Supuestos!$B$14*$A23/10000))*(1+Supuestos!$B$4+$B23/10000)-1)+Supuestos!I$28*((1+Supuestos!I$27+$A23/10000)*(1+Supuestos!$B$4+$B23/10000)-1)*(1-Supuestos!$B$6)</f>
        <v/>
      </c>
      <c r="L23">
        <f>(1+E23)^-Supuestos!C$24</f>
        <v/>
      </c>
      <c r="M23">
        <f>L23*(1+F23)^-Supuestos!D$24</f>
        <v/>
      </c>
      <c r="N23">
        <f>M23*(1+G23)^-Supuestos!E$24</f>
        <v/>
      </c>
      <c r="O23">
        <f>N23*(1+H23)^-Supuestos!F$24</f>
        <v/>
      </c>
      <c r="P23">
        <f>O23*(1+I23)^-Supuestos!G$24</f>
        <v/>
      </c>
      <c r="Q23">
        <f>P23*(1+J23)^-Supuestos!H$24</f>
        <v/>
      </c>
      <c r="R23">
        <f>(1+E23)^-(Supuestos!C$24/2)</f>
        <v/>
      </c>
      <c r="S23">
        <f>L23*(1+F23)^-(Supuestos!D$24/2)</f>
        <v/>
      </c>
      <c r="T23">
        <f>M23*(1+G23)^-(Supuestos!E$24/2)</f>
        <v/>
      </c>
      <c r="U23">
        <f>N23*(1+H23)^-(Supuestos!F$24/2)</f>
        <v/>
      </c>
      <c r="V23">
        <f>O23*(1+I23)^-(Supuestos!G$24/2)</f>
        <v/>
      </c>
      <c r="W23">
        <f>P23*(1+J23)^-(Supuestos!H$24/2)</f>
        <v/>
      </c>
      <c r="X23">
        <f>Supuestos!C$23*(1-$C23+$C23*((1+Supuestos!$B$4+$B23/10000)/(1+Supuestos!$B$4))^Supuestos!C$25)</f>
        <v/>
      </c>
      <c r="Y23">
        <f>Supuestos!D$23*(1-$C23+$C23*((1+Supuestos!$B$4+$B23/10000)/(1+Supuestos!$B$4))^Supuestos!D$25)</f>
        <v/>
      </c>
      <c r="Z23">
        <f>Supuestos!E$23*(1-$C23+$C23*((1+Supuestos!$B$4+$B23/10000)/(1+Supuestos!$B$4))^Supuestos!E$25)</f>
        <v/>
      </c>
      <c r="AA23">
        <f>Supuestos!F$23*(1-$C23+$C23*((1+Supuestos!$B$4+$B23/10000)/(1+Supuestos!$B$4))^Supuestos!F$25)</f>
        <v/>
      </c>
      <c r="AB23">
        <f>Supuestos!G$23*(1-$C23+$C23*((1+Supuestos!$B$4+$B23/10000)/(1+Supuestos!$B$4))^Supuestos!G$25)</f>
        <v/>
      </c>
      <c r="AC23">
        <f>Supuestos!H$23*(1-$C23+$C23*((1+Supuestos!$B$4+$B23/10000)/(1+Supuestos!$B$4))^Supuestos!H$25)</f>
        <v/>
      </c>
      <c r="AD23">
        <f>Supuestos!I$23*(1-$C23+$C23*((1+Supuestos!$B$4+$B23/10000)/(1+Supuestos!$B$4))^Supuestos!I$25)</f>
        <v/>
      </c>
      <c r="AE23">
        <f>SUMPRODUCT(X23:AC23,R23:W23)</f>
        <v/>
      </c>
      <c r="AF23">
        <f>(1+Supuestos!$B$5)/(1+Supuestos!$B$4)*(1+Supuestos!$B$4+$B23/10000)-1</f>
        <v/>
      </c>
      <c r="AG23">
        <f>AD23/(K23-AF23)</f>
        <v/>
      </c>
      <c r="AH23">
        <f>AG23*Q23</f>
        <v/>
      </c>
      <c r="AI23">
        <f>(AE23+AH23-Supuestos!$B$7-Supuestos!$B$8)/Supuestos!$B$9</f>
        <v/>
      </c>
      <c r="AJ23">
        <f>AI23/AI$5-1</f>
        <v/>
      </c>
    </row>
    <row r="24">
      <c r="A24" t="n">
        <v>50</v>
      </c>
      <c r="B24" t="n">
        <v>0</v>
      </c>
      <c r="C24">
        <f>Supuestos!$B$13</f>
        <v/>
      </c>
      <c r="D24" t="inlineStr">
        <is>
          <t>Grilla</t>
        </is>
      </c>
      <c r="E24">
        <f>(1-Supuestos!C$28)*((1+((1+Supuestos!C$26)/(1+Supuestos!$B$4)-1+Supuestos!$B$14*$A24/10000))*(1+Supuestos!$B$4+$B24/10000)-1)+Supuestos!C$28*((1+Supuestos!C$27+$A24/10000)*(1+Supuestos!$B$4+$B24/10000)-1)*(1-Supuestos!$B$6)</f>
        <v/>
      </c>
      <c r="F24">
        <f>(1-Supuestos!D$28)*((1+((1+Supuestos!D$26)/(1+Supuestos!$B$4)-1+Supuestos!$B$14*$A24/10000))*(1+Supuestos!$B$4+$B24/10000)-1)+Supuestos!D$28*((1+Supuestos!D$27+$A24/10000)*(1+Supuestos!$B$4+$B24/10000)-1)*(1-Supuestos!$B$6)</f>
        <v/>
      </c>
      <c r="G24">
        <f>(1-Supuestos!E$28)*((1+((1+Supuestos!E$26)/(1+Supuestos!$B$4)-1+Supuestos!$B$14*$A24/10000))*(1+Supuestos!$B$4+$B24/10000)-1)+Supuestos!E$28*((1+Supuestos!E$27+$A24/10000)*(1+Supuestos!$B$4+$B24/10000)-1)*(1-Supuestos!$B$6)</f>
        <v/>
      </c>
      <c r="H24">
        <f>(1-Supuestos!F$28)*((1+((1+Supuestos!F$26)/(1+Supuestos!$B$4)-1+Supuestos!$B$14*$A24/10000))*(1+Supuestos!$B$4+$B24/10000)-1)+Supuestos!F$28*((1+Supuestos!F$27+$A24/10000)*(1+Supuestos!$B$4+$B24/10000)-1)*(1-Supuestos!$B$6)</f>
        <v/>
      </c>
      <c r="I24">
        <f>(1-Supuestos!G$28)*((1+((1+Supuestos!G$26)/(1+Supuestos!$B$4)-1+Supuestos!$B$14*$A24/10000))*(1+Supuestos!$B$4+$B24/10000)-1)+Supuestos!G$28*((1+Supuestos!G$27+$A24/10000)*(1+Supuestos!$B$4+$B24/10000)-1)*(1-Supuestos!$B$6)</f>
        <v/>
      </c>
      <c r="J24">
        <f>(1-Supuestos!H$28)*((1+((1+Supuestos!H$26)/(1+Supuestos!$B$4)-1+Supuestos!$B$14*$A24/10000))*(1+Supuestos!$B$4+$B24/10000)-1)+Supuestos!H$28*((1+Supuestos!H$27+$A24/10000)*(1+Supuestos!$B$4+$B24/10000)-1)*(1-Supuestos!$B$6)</f>
        <v/>
      </c>
      <c r="K24">
        <f>(1-Supuestos!I$28)*((1+((1+Supuestos!I$26)/(1+Supuestos!$B$4)-1+Supuestos!$B$14*$A24/10000))*(1+Supuestos!$B$4+$B24/10000)-1)+Supuestos!I$28*((1+Supuestos!I$27+$A24/10000)*(1+Supuestos!$B$4+$B24/10000)-1)*(1-Supuestos!$B$6)</f>
        <v/>
      </c>
      <c r="L24">
        <f>(1+E24)^-Supuestos!C$24</f>
        <v/>
      </c>
      <c r="M24">
        <f>L24*(1+F24)^-Supuestos!D$24</f>
        <v/>
      </c>
      <c r="N24">
        <f>M24*(1+G24)^-Supuestos!E$24</f>
        <v/>
      </c>
      <c r="O24">
        <f>N24*(1+H24)^-Supuestos!F$24</f>
        <v/>
      </c>
      <c r="P24">
        <f>O24*(1+I24)^-Supuestos!G$24</f>
        <v/>
      </c>
      <c r="Q24">
        <f>P24*(1+J24)^-Supuestos!H$24</f>
        <v/>
      </c>
      <c r="R24">
        <f>(1+E24)^-(Supuestos!C$24/2)</f>
        <v/>
      </c>
      <c r="S24">
        <f>L24*(1+F24)^-(Supuestos!D$24/2)</f>
        <v/>
      </c>
      <c r="T24">
        <f>M24*(1+G24)^-(Supuestos!E$24/2)</f>
        <v/>
      </c>
      <c r="U24">
        <f>N24*(1+H24)^-(Supuestos!F$24/2)</f>
        <v/>
      </c>
      <c r="V24">
        <f>O24*(1+I24)^-(Supuestos!G$24/2)</f>
        <v/>
      </c>
      <c r="W24">
        <f>P24*(1+J24)^-(Supuestos!H$24/2)</f>
        <v/>
      </c>
      <c r="X24">
        <f>Supuestos!C$23*(1-$C24+$C24*((1+Supuestos!$B$4+$B24/10000)/(1+Supuestos!$B$4))^Supuestos!C$25)</f>
        <v/>
      </c>
      <c r="Y24">
        <f>Supuestos!D$23*(1-$C24+$C24*((1+Supuestos!$B$4+$B24/10000)/(1+Supuestos!$B$4))^Supuestos!D$25)</f>
        <v/>
      </c>
      <c r="Z24">
        <f>Supuestos!E$23*(1-$C24+$C24*((1+Supuestos!$B$4+$B24/10000)/(1+Supuestos!$B$4))^Supuestos!E$25)</f>
        <v/>
      </c>
      <c r="AA24">
        <f>Supuestos!F$23*(1-$C24+$C24*((1+Supuestos!$B$4+$B24/10000)/(1+Supuestos!$B$4))^Supuestos!F$25)</f>
        <v/>
      </c>
      <c r="AB24">
        <f>Supuestos!G$23*(1-$C24+$C24*((1+Supuestos!$B$4+$B24/10000)/(1+Supuestos!$B$4))^Supuestos!G$25)</f>
        <v/>
      </c>
      <c r="AC24">
        <f>Supuestos!H$23*(1-$C24+$C24*((1+Supuestos!$B$4+$B24/10000)/(1+Supuestos!$B$4))^Supuestos!H$25)</f>
        <v/>
      </c>
      <c r="AD24">
        <f>Supuestos!I$23*(1-$C24+$C24*((1+Supuestos!$B$4+$B24/10000)/(1+Supuestos!$B$4))^Supuestos!I$25)</f>
        <v/>
      </c>
      <c r="AE24">
        <f>SUMPRODUCT(X24:AC24,R24:W24)</f>
        <v/>
      </c>
      <c r="AF24">
        <f>(1+Supuestos!$B$5)/(1+Supuestos!$B$4)*(1+Supuestos!$B$4+$B24/10000)-1</f>
        <v/>
      </c>
      <c r="AG24">
        <f>AD24/(K24-AF24)</f>
        <v/>
      </c>
      <c r="AH24">
        <f>AG24*Q24</f>
        <v/>
      </c>
      <c r="AI24">
        <f>(AE24+AH24-Supuestos!$B$7-Supuestos!$B$8)/Supuestos!$B$9</f>
        <v/>
      </c>
      <c r="AJ24">
        <f>AI24/AI$5-1</f>
        <v/>
      </c>
    </row>
    <row r="25">
      <c r="A25" t="n">
        <v>100</v>
      </c>
      <c r="B25" t="n">
        <v>0</v>
      </c>
      <c r="C25">
        <f>Supuestos!$B$13</f>
        <v/>
      </c>
      <c r="D25" t="inlineStr">
        <is>
          <t>Grilla</t>
        </is>
      </c>
      <c r="E25">
        <f>(1-Supuestos!C$28)*((1+((1+Supuestos!C$26)/(1+Supuestos!$B$4)-1+Supuestos!$B$14*$A25/10000))*(1+Supuestos!$B$4+$B25/10000)-1)+Supuestos!C$28*((1+Supuestos!C$27+$A25/10000)*(1+Supuestos!$B$4+$B25/10000)-1)*(1-Supuestos!$B$6)</f>
        <v/>
      </c>
      <c r="F25">
        <f>(1-Supuestos!D$28)*((1+((1+Supuestos!D$26)/(1+Supuestos!$B$4)-1+Supuestos!$B$14*$A25/10000))*(1+Supuestos!$B$4+$B25/10000)-1)+Supuestos!D$28*((1+Supuestos!D$27+$A25/10000)*(1+Supuestos!$B$4+$B25/10000)-1)*(1-Supuestos!$B$6)</f>
        <v/>
      </c>
      <c r="G25">
        <f>(1-Supuestos!E$28)*((1+((1+Supuestos!E$26)/(1+Supuestos!$B$4)-1+Supuestos!$B$14*$A25/10000))*(1+Supuestos!$B$4+$B25/10000)-1)+Supuestos!E$28*((1+Supuestos!E$27+$A25/10000)*(1+Supuestos!$B$4+$B25/10000)-1)*(1-Supuestos!$B$6)</f>
        <v/>
      </c>
      <c r="H25">
        <f>(1-Supuestos!F$28)*((1+((1+Supuestos!F$26)/(1+Supuestos!$B$4)-1+Supuestos!$B$14*$A25/10000))*(1+Supuestos!$B$4+$B25/10000)-1)+Supuestos!F$28*((1+Supuestos!F$27+$A25/10000)*(1+Supuestos!$B$4+$B25/10000)-1)*(1-Supuestos!$B$6)</f>
        <v/>
      </c>
      <c r="I25">
        <f>(1-Supuestos!G$28)*((1+((1+Supuestos!G$26)/(1+Supuestos!$B$4)-1+Supuestos!$B$14*$A25/10000))*(1+Supuestos!$B$4+$B25/10000)-1)+Supuestos!G$28*((1+Supuestos!G$27+$A25/10000)*(1+Supuestos!$B$4+$B25/10000)-1)*(1-Supuestos!$B$6)</f>
        <v/>
      </c>
      <c r="J25">
        <f>(1-Supuestos!H$28)*((1+((1+Supuestos!H$26)/(1+Supuestos!$B$4)-1+Supuestos!$B$14*$A25/10000))*(1+Supuestos!$B$4+$B25/10000)-1)+Supuestos!H$28*((1+Supuestos!H$27+$A25/10000)*(1+Supuestos!$B$4+$B25/10000)-1)*(1-Supuestos!$B$6)</f>
        <v/>
      </c>
      <c r="K25">
        <f>(1-Supuestos!I$28)*((1+((1+Supuestos!I$26)/(1+Supuestos!$B$4)-1+Supuestos!$B$14*$A25/10000))*(1+Supuestos!$B$4+$B25/10000)-1)+Supuestos!I$28*((1+Supuestos!I$27+$A25/10000)*(1+Supuestos!$B$4+$B25/10000)-1)*(1-Supuestos!$B$6)</f>
        <v/>
      </c>
      <c r="L25">
        <f>(1+E25)^-Supuestos!C$24</f>
        <v/>
      </c>
      <c r="M25">
        <f>L25*(1+F25)^-Supuestos!D$24</f>
        <v/>
      </c>
      <c r="N25">
        <f>M25*(1+G25)^-Supuestos!E$24</f>
        <v/>
      </c>
      <c r="O25">
        <f>N25*(1+H25)^-Supuestos!F$24</f>
        <v/>
      </c>
      <c r="P25">
        <f>O25*(1+I25)^-Supuestos!G$24</f>
        <v/>
      </c>
      <c r="Q25">
        <f>P25*(1+J25)^-Supuestos!H$24</f>
        <v/>
      </c>
      <c r="R25">
        <f>(1+E25)^-(Supuestos!C$24/2)</f>
        <v/>
      </c>
      <c r="S25">
        <f>L25*(1+F25)^-(Supuestos!D$24/2)</f>
        <v/>
      </c>
      <c r="T25">
        <f>M25*(1+G25)^-(Supuestos!E$24/2)</f>
        <v/>
      </c>
      <c r="U25">
        <f>N25*(1+H25)^-(Supuestos!F$24/2)</f>
        <v/>
      </c>
      <c r="V25">
        <f>O25*(1+I25)^-(Supuestos!G$24/2)</f>
        <v/>
      </c>
      <c r="W25">
        <f>P25*(1+J25)^-(Supuestos!H$24/2)</f>
        <v/>
      </c>
      <c r="X25">
        <f>Supuestos!C$23*(1-$C25+$C25*((1+Supuestos!$B$4+$B25/10000)/(1+Supuestos!$B$4))^Supuestos!C$25)</f>
        <v/>
      </c>
      <c r="Y25">
        <f>Supuestos!D$23*(1-$C25+$C25*((1+Supuestos!$B$4+$B25/10000)/(1+Supuestos!$B$4))^Supuestos!D$25)</f>
        <v/>
      </c>
      <c r="Z25">
        <f>Supuestos!E$23*(1-$C25+$C25*((1+Supuestos!$B$4+$B25/10000)/(1+Supuestos!$B$4))^Supuestos!E$25)</f>
        <v/>
      </c>
      <c r="AA25">
        <f>Supuestos!F$23*(1-$C25+$C25*((1+Supuestos!$B$4+$B25/10000)/(1+Supuestos!$B$4))^Supuestos!F$25)</f>
        <v/>
      </c>
      <c r="AB25">
        <f>Supuestos!G$23*(1-$C25+$C25*((1+Supuestos!$B$4+$B25/10000)/(1+Supuestos!$B$4))^Supuestos!G$25)</f>
        <v/>
      </c>
      <c r="AC25">
        <f>Supuestos!H$23*(1-$C25+$C25*((1+Supuestos!$B$4+$B25/10000)/(1+Supuestos!$B$4))^Supuestos!H$25)</f>
        <v/>
      </c>
      <c r="AD25">
        <f>Supuestos!I$23*(1-$C25+$C25*((1+Supuestos!$B$4+$B25/10000)/(1+Supuestos!$B$4))^Supuestos!I$25)</f>
        <v/>
      </c>
      <c r="AE25">
        <f>SUMPRODUCT(X25:AC25,R25:W25)</f>
        <v/>
      </c>
      <c r="AF25">
        <f>(1+Supuestos!$B$5)/(1+Supuestos!$B$4)*(1+Supuestos!$B$4+$B25/10000)-1</f>
        <v/>
      </c>
      <c r="AG25">
        <f>AD25/(K25-AF25)</f>
        <v/>
      </c>
      <c r="AH25">
        <f>AG25*Q25</f>
        <v/>
      </c>
      <c r="AI25">
        <f>(AE25+AH25-Supuestos!$B$7-Supuestos!$B$8)/Supuestos!$B$9</f>
        <v/>
      </c>
      <c r="AJ25">
        <f>AI25/AI$5-1</f>
        <v/>
      </c>
    </row>
    <row r="26">
      <c r="A26" t="n">
        <v>150</v>
      </c>
      <c r="B26" t="n">
        <v>0</v>
      </c>
      <c r="C26">
        <f>Supuestos!$B$13</f>
        <v/>
      </c>
      <c r="D26" t="inlineStr">
        <is>
          <t>Grilla</t>
        </is>
      </c>
      <c r="E26">
        <f>(1-Supuestos!C$28)*((1+((1+Supuestos!C$26)/(1+Supuestos!$B$4)-1+Supuestos!$B$14*$A26/10000))*(1+Supuestos!$B$4+$B26/10000)-1)+Supuestos!C$28*((1+Supuestos!C$27+$A26/10000)*(1+Supuestos!$B$4+$B26/10000)-1)*(1-Supuestos!$B$6)</f>
        <v/>
      </c>
      <c r="F26">
        <f>(1-Supuestos!D$28)*((1+((1+Supuestos!D$26)/(1+Supuestos!$B$4)-1+Supuestos!$B$14*$A26/10000))*(1+Supuestos!$B$4+$B26/10000)-1)+Supuestos!D$28*((1+Supuestos!D$27+$A26/10000)*(1+Supuestos!$B$4+$B26/10000)-1)*(1-Supuestos!$B$6)</f>
        <v/>
      </c>
      <c r="G26">
        <f>(1-Supuestos!E$28)*((1+((1+Supuestos!E$26)/(1+Supuestos!$B$4)-1+Supuestos!$B$14*$A26/10000))*(1+Supuestos!$B$4+$B26/10000)-1)+Supuestos!E$28*((1+Supuestos!E$27+$A26/10000)*(1+Supuestos!$B$4+$B26/10000)-1)*(1-Supuestos!$B$6)</f>
        <v/>
      </c>
      <c r="H26">
        <f>(1-Supuestos!F$28)*((1+((1+Supuestos!F$26)/(1+Supuestos!$B$4)-1+Supuestos!$B$14*$A26/10000))*(1+Supuestos!$B$4+$B26/10000)-1)+Supuestos!F$28*((1+Supuestos!F$27+$A26/10000)*(1+Supuestos!$B$4+$B26/10000)-1)*(1-Supuestos!$B$6)</f>
        <v/>
      </c>
      <c r="I26">
        <f>(1-Supuestos!G$28)*((1+((1+Supuestos!G$26)/(1+Supuestos!$B$4)-1+Supuestos!$B$14*$A26/10000))*(1+Supuestos!$B$4+$B26/10000)-1)+Supuestos!G$28*((1+Supuestos!G$27+$A26/10000)*(1+Supuestos!$B$4+$B26/10000)-1)*(1-Supuestos!$B$6)</f>
        <v/>
      </c>
      <c r="J26">
        <f>(1-Supuestos!H$28)*((1+((1+Supuestos!H$26)/(1+Supuestos!$B$4)-1+Supuestos!$B$14*$A26/10000))*(1+Supuestos!$B$4+$B26/10000)-1)+Supuestos!H$28*((1+Supuestos!H$27+$A26/10000)*(1+Supuestos!$B$4+$B26/10000)-1)*(1-Supuestos!$B$6)</f>
        <v/>
      </c>
      <c r="K26">
        <f>(1-Supuestos!I$28)*((1+((1+Supuestos!I$26)/(1+Supuestos!$B$4)-1+Supuestos!$B$14*$A26/10000))*(1+Supuestos!$B$4+$B26/10000)-1)+Supuestos!I$28*((1+Supuestos!I$27+$A26/10000)*(1+Supuestos!$B$4+$B26/10000)-1)*(1-Supuestos!$B$6)</f>
        <v/>
      </c>
      <c r="L26">
        <f>(1+E26)^-Supuestos!C$24</f>
        <v/>
      </c>
      <c r="M26">
        <f>L26*(1+F26)^-Supuestos!D$24</f>
        <v/>
      </c>
      <c r="N26">
        <f>M26*(1+G26)^-Supuestos!E$24</f>
        <v/>
      </c>
      <c r="O26">
        <f>N26*(1+H26)^-Supuestos!F$24</f>
        <v/>
      </c>
      <c r="P26">
        <f>O26*(1+I26)^-Supuestos!G$24</f>
        <v/>
      </c>
      <c r="Q26">
        <f>P26*(1+J26)^-Supuestos!H$24</f>
        <v/>
      </c>
      <c r="R26">
        <f>(1+E26)^-(Supuestos!C$24/2)</f>
        <v/>
      </c>
      <c r="S26">
        <f>L26*(1+F26)^-(Supuestos!D$24/2)</f>
        <v/>
      </c>
      <c r="T26">
        <f>M26*(1+G26)^-(Supuestos!E$24/2)</f>
        <v/>
      </c>
      <c r="U26">
        <f>N26*(1+H26)^-(Supuestos!F$24/2)</f>
        <v/>
      </c>
      <c r="V26">
        <f>O26*(1+I26)^-(Supuestos!G$24/2)</f>
        <v/>
      </c>
      <c r="W26">
        <f>P26*(1+J26)^-(Supuestos!H$24/2)</f>
        <v/>
      </c>
      <c r="X26">
        <f>Supuestos!C$23*(1-$C26+$C26*((1+Supuestos!$B$4+$B26/10000)/(1+Supuestos!$B$4))^Supuestos!C$25)</f>
        <v/>
      </c>
      <c r="Y26">
        <f>Supuestos!D$23*(1-$C26+$C26*((1+Supuestos!$B$4+$B26/10000)/(1+Supuestos!$B$4))^Supuestos!D$25)</f>
        <v/>
      </c>
      <c r="Z26">
        <f>Supuestos!E$23*(1-$C26+$C26*((1+Supuestos!$B$4+$B26/10000)/(1+Supuestos!$B$4))^Supuestos!E$25)</f>
        <v/>
      </c>
      <c r="AA26">
        <f>Supuestos!F$23*(1-$C26+$C26*((1+Supuestos!$B$4+$B26/10000)/(1+Supuestos!$B$4))^Supuestos!F$25)</f>
        <v/>
      </c>
      <c r="AB26">
        <f>Supuestos!G$23*(1-$C26+$C26*((1+Supuestos!$B$4+$B26/10000)/(1+Supuestos!$B$4))^Supuestos!G$25)</f>
        <v/>
      </c>
      <c r="AC26">
        <f>Supuestos!H$23*(1-$C26+$C26*((1+Supuestos!$B$4+$B26/10000)/(1+Supuestos!$B$4))^Supuestos!H$25)</f>
        <v/>
      </c>
      <c r="AD26">
        <f>Supuestos!I$23*(1-$C26+$C26*((1+Supuestos!$B$4+$B26/10000)/(1+Supuestos!$B$4))^Supuestos!I$25)</f>
        <v/>
      </c>
      <c r="AE26">
        <f>SUMPRODUCT(X26:AC26,R26:W26)</f>
        <v/>
      </c>
      <c r="AF26">
        <f>(1+Supuestos!$B$5)/(1+Supuestos!$B$4)*(1+Supuestos!$B$4+$B26/10000)-1</f>
        <v/>
      </c>
      <c r="AG26">
        <f>AD26/(K26-AF26)</f>
        <v/>
      </c>
      <c r="AH26">
        <f>AG26*Q26</f>
        <v/>
      </c>
      <c r="AI26">
        <f>(AE26+AH26-Supuestos!$B$7-Supuestos!$B$8)/Supuestos!$B$9</f>
        <v/>
      </c>
      <c r="AJ26">
        <f>AI26/AI$5-1</f>
        <v/>
      </c>
    </row>
    <row r="27">
      <c r="A27" t="n">
        <v>-150</v>
      </c>
      <c r="B27" t="n">
        <v>50</v>
      </c>
      <c r="C27">
        <f>Supuestos!$B$13</f>
        <v/>
      </c>
      <c r="D27" t="inlineStr">
        <is>
          <t>Grilla</t>
        </is>
      </c>
      <c r="E27">
        <f>(1-Supuestos!C$28)*((1+((1+Supuestos!C$26)/(1+Supuestos!$B$4)-1+Supuestos!$B$14*$A27/10000))*(1+Supuestos!$B$4+$B27/10000)-1)+Supuestos!C$28*((1+Supuestos!C$27+$A27/10000)*(1+Supuestos!$B$4+$B27/10000)-1)*(1-Supuestos!$B$6)</f>
        <v/>
      </c>
      <c r="F27">
        <f>(1-Supuestos!D$28)*((1+((1+Supuestos!D$26)/(1+Supuestos!$B$4)-1+Supuestos!$B$14*$A27/10000))*(1+Supuestos!$B$4+$B27/10000)-1)+Supuestos!D$28*((1+Supuestos!D$27+$A27/10000)*(1+Supuestos!$B$4+$B27/10000)-1)*(1-Supuestos!$B$6)</f>
        <v/>
      </c>
      <c r="G27">
        <f>(1-Supuestos!E$28)*((1+((1+Supuestos!E$26)/(1+Supuestos!$B$4)-1+Supuestos!$B$14*$A27/10000))*(1+Supuestos!$B$4+$B27/10000)-1)+Supuestos!E$28*((1+Supuestos!E$27+$A27/10000)*(1+Supuestos!$B$4+$B27/10000)-1)*(1-Supuestos!$B$6)</f>
        <v/>
      </c>
      <c r="H27">
        <f>(1-Supuestos!F$28)*((1+((1+Supuestos!F$26)/(1+Supuestos!$B$4)-1+Supuestos!$B$14*$A27/10000))*(1+Supuestos!$B$4+$B27/10000)-1)+Supuestos!F$28*((1+Supuestos!F$27+$A27/10000)*(1+Supuestos!$B$4+$B27/10000)-1)*(1-Supuestos!$B$6)</f>
        <v/>
      </c>
      <c r="I27">
        <f>(1-Supuestos!G$28)*((1+((1+Supuestos!G$26)/(1+Supuestos!$B$4)-1+Supuestos!$B$14*$A27/10000))*(1+Supuestos!$B$4+$B27/10000)-1)+Supuestos!G$28*((1+Supuestos!G$27+$A27/10000)*(1+Supuestos!$B$4+$B27/10000)-1)*(1-Supuestos!$B$6)</f>
        <v/>
      </c>
      <c r="J27">
        <f>(1-Supuestos!H$28)*((1+((1+Supuestos!H$26)/(1+Supuestos!$B$4)-1+Supuestos!$B$14*$A27/10000))*(1+Supuestos!$B$4+$B27/10000)-1)+Supuestos!H$28*((1+Supuestos!H$27+$A27/10000)*(1+Supuestos!$B$4+$B27/10000)-1)*(1-Supuestos!$B$6)</f>
        <v/>
      </c>
      <c r="K27">
        <f>(1-Supuestos!I$28)*((1+((1+Supuestos!I$26)/(1+Supuestos!$B$4)-1+Supuestos!$B$14*$A27/10000))*(1+Supuestos!$B$4+$B27/10000)-1)+Supuestos!I$28*((1+Supuestos!I$27+$A27/10000)*(1+Supuestos!$B$4+$B27/10000)-1)*(1-Supuestos!$B$6)</f>
        <v/>
      </c>
      <c r="L27">
        <f>(1+E27)^-Supuestos!C$24</f>
        <v/>
      </c>
      <c r="M27">
        <f>L27*(1+F27)^-Supuestos!D$24</f>
        <v/>
      </c>
      <c r="N27">
        <f>M27*(1+G27)^-Supuestos!E$24</f>
        <v/>
      </c>
      <c r="O27">
        <f>N27*(1+H27)^-Supuestos!F$24</f>
        <v/>
      </c>
      <c r="P27">
        <f>O27*(1+I27)^-Supuestos!G$24</f>
        <v/>
      </c>
      <c r="Q27">
        <f>P27*(1+J27)^-Supuestos!H$24</f>
        <v/>
      </c>
      <c r="R27">
        <f>(1+E27)^-(Supuestos!C$24/2)</f>
        <v/>
      </c>
      <c r="S27">
        <f>L27*(1+F27)^-(Supuestos!D$24/2)</f>
        <v/>
      </c>
      <c r="T27">
        <f>M27*(1+G27)^-(Supuestos!E$24/2)</f>
        <v/>
      </c>
      <c r="U27">
        <f>N27*(1+H27)^-(Supuestos!F$24/2)</f>
        <v/>
      </c>
      <c r="V27">
        <f>O27*(1+I27)^-(Supuestos!G$24/2)</f>
        <v/>
      </c>
      <c r="W27">
        <f>P27*(1+J27)^-(Supuestos!H$24/2)</f>
        <v/>
      </c>
      <c r="X27">
        <f>Supuestos!C$23*(1-$C27+$C27*((1+Supuestos!$B$4+$B27/10000)/(1+Supuestos!$B$4))^Supuestos!C$25)</f>
        <v/>
      </c>
      <c r="Y27">
        <f>Supuestos!D$23*(1-$C27+$C27*((1+Supuestos!$B$4+$B27/10000)/(1+Supuestos!$B$4))^Supuestos!D$25)</f>
        <v/>
      </c>
      <c r="Z27">
        <f>Supuestos!E$23*(1-$C27+$C27*((1+Supuestos!$B$4+$B27/10000)/(1+Supuestos!$B$4))^Supuestos!E$25)</f>
        <v/>
      </c>
      <c r="AA27">
        <f>Supuestos!F$23*(1-$C27+$C27*((1+Supuestos!$B$4+$B27/10000)/(1+Supuestos!$B$4))^Supuestos!F$25)</f>
        <v/>
      </c>
      <c r="AB27">
        <f>Supuestos!G$23*(1-$C27+$C27*((1+Supuestos!$B$4+$B27/10000)/(1+Supuestos!$B$4))^Supuestos!G$25)</f>
        <v/>
      </c>
      <c r="AC27">
        <f>Supuestos!H$23*(1-$C27+$C27*((1+Supuestos!$B$4+$B27/10000)/(1+Supuestos!$B$4))^Supuestos!H$25)</f>
        <v/>
      </c>
      <c r="AD27">
        <f>Supuestos!I$23*(1-$C27+$C27*((1+Supuestos!$B$4+$B27/10000)/(1+Supuestos!$B$4))^Supuestos!I$25)</f>
        <v/>
      </c>
      <c r="AE27">
        <f>SUMPRODUCT(X27:AC27,R27:W27)</f>
        <v/>
      </c>
      <c r="AF27">
        <f>(1+Supuestos!$B$5)/(1+Supuestos!$B$4)*(1+Supuestos!$B$4+$B27/10000)-1</f>
        <v/>
      </c>
      <c r="AG27">
        <f>AD27/(K27-AF27)</f>
        <v/>
      </c>
      <c r="AH27">
        <f>AG27*Q27</f>
        <v/>
      </c>
      <c r="AI27">
        <f>(AE27+AH27-Supuestos!$B$7-Supuestos!$B$8)/Supuestos!$B$9</f>
        <v/>
      </c>
      <c r="AJ27">
        <f>AI27/AI$5-1</f>
        <v/>
      </c>
    </row>
    <row r="28">
      <c r="A28" t="n">
        <v>-100</v>
      </c>
      <c r="B28" t="n">
        <v>50</v>
      </c>
      <c r="C28">
        <f>Supuestos!$B$13</f>
        <v/>
      </c>
      <c r="D28" t="inlineStr">
        <is>
          <t>Grilla</t>
        </is>
      </c>
      <c r="E28">
        <f>(1-Supuestos!C$28)*((1+((1+Supuestos!C$26)/(1+Supuestos!$B$4)-1+Supuestos!$B$14*$A28/10000))*(1+Supuestos!$B$4+$B28/10000)-1)+Supuestos!C$28*((1+Supuestos!C$27+$A28/10000)*(1+Supuestos!$B$4+$B28/10000)-1)*(1-Supuestos!$B$6)</f>
        <v/>
      </c>
      <c r="F28">
        <f>(1-Supuestos!D$28)*((1+((1+Supuestos!D$26)/(1+Supuestos!$B$4)-1+Supuestos!$B$14*$A28/10000))*(1+Supuestos!$B$4+$B28/10000)-1)+Supuestos!D$28*((1+Supuestos!D$27+$A28/10000)*(1+Supuestos!$B$4+$B28/10000)-1)*(1-Supuestos!$B$6)</f>
        <v/>
      </c>
      <c r="G28">
        <f>(1-Supuestos!E$28)*((1+((1+Supuestos!E$26)/(1+Supuestos!$B$4)-1+Supuestos!$B$14*$A28/10000))*(1+Supuestos!$B$4+$B28/10000)-1)+Supuestos!E$28*((1+Supuestos!E$27+$A28/10000)*(1+Supuestos!$B$4+$B28/10000)-1)*(1-Supuestos!$B$6)</f>
        <v/>
      </c>
      <c r="H28">
        <f>(1-Supuestos!F$28)*((1+((1+Supuestos!F$26)/(1+Supuestos!$B$4)-1+Supuestos!$B$14*$A28/10000))*(1+Supuestos!$B$4+$B28/10000)-1)+Supuestos!F$28*((1+Supuestos!F$27+$A28/10000)*(1+Supuestos!$B$4+$B28/10000)-1)*(1-Supuestos!$B$6)</f>
        <v/>
      </c>
      <c r="I28">
        <f>(1-Supuestos!G$28)*((1+((1+Supuestos!G$26)/(1+Supuestos!$B$4)-1+Supuestos!$B$14*$A28/10000))*(1+Supuestos!$B$4+$B28/10000)-1)+Supuestos!G$28*((1+Supuestos!G$27+$A28/10000)*(1+Supuestos!$B$4+$B28/10000)-1)*(1-Supuestos!$B$6)</f>
        <v/>
      </c>
      <c r="J28">
        <f>(1-Supuestos!H$28)*((1+((1+Supuestos!H$26)/(1+Supuestos!$B$4)-1+Supuestos!$B$14*$A28/10000))*(1+Supuestos!$B$4+$B28/10000)-1)+Supuestos!H$28*((1+Supuestos!H$27+$A28/10000)*(1+Supuestos!$B$4+$B28/10000)-1)*(1-Supuestos!$B$6)</f>
        <v/>
      </c>
      <c r="K28">
        <f>(1-Supuestos!I$28)*((1+((1+Supuestos!I$26)/(1+Supuestos!$B$4)-1+Supuestos!$B$14*$A28/10000))*(1+Supuestos!$B$4+$B28/10000)-1)+Supuestos!I$28*((1+Supuestos!I$27+$A28/10000)*(1+Supuestos!$B$4+$B28/10000)-1)*(1-Supuestos!$B$6)</f>
        <v/>
      </c>
      <c r="L28">
        <f>(1+E28)^-Supuestos!C$24</f>
        <v/>
      </c>
      <c r="M28">
        <f>L28*(1+F28)^-Supuestos!D$24</f>
        <v/>
      </c>
      <c r="N28">
        <f>M28*(1+G28)^-Supuestos!E$24</f>
        <v/>
      </c>
      <c r="O28">
        <f>N28*(1+H28)^-Supuestos!F$24</f>
        <v/>
      </c>
      <c r="P28">
        <f>O28*(1+I28)^-Supuestos!G$24</f>
        <v/>
      </c>
      <c r="Q28">
        <f>P28*(1+J28)^-Supuestos!H$24</f>
        <v/>
      </c>
      <c r="R28">
        <f>(1+E28)^-(Supuestos!C$24/2)</f>
        <v/>
      </c>
      <c r="S28">
        <f>L28*(1+F28)^-(Supuestos!D$24/2)</f>
        <v/>
      </c>
      <c r="T28">
        <f>M28*(1+G28)^-(Supuestos!E$24/2)</f>
        <v/>
      </c>
      <c r="U28">
        <f>N28*(1+H28)^-(Supuestos!F$24/2)</f>
        <v/>
      </c>
      <c r="V28">
        <f>O28*(1+I28)^-(Supuestos!G$24/2)</f>
        <v/>
      </c>
      <c r="W28">
        <f>P28*(1+J28)^-(Supuestos!H$24/2)</f>
        <v/>
      </c>
      <c r="X28">
        <f>Supuestos!C$23*(1-$C28+$C28*((1+Supuestos!$B$4+$B28/10000)/(1+Supuestos!$B$4))^Supuestos!C$25)</f>
        <v/>
      </c>
      <c r="Y28">
        <f>Supuestos!D$23*(1-$C28+$C28*((1+Supuestos!$B$4+$B28/10000)/(1+Supuestos!$B$4))^Supuestos!D$25)</f>
        <v/>
      </c>
      <c r="Z28">
        <f>Supuestos!E$23*(1-$C28+$C28*((1+Supuestos!$B$4+$B28/10000)/(1+Supuestos!$B$4))^Supuestos!E$25)</f>
        <v/>
      </c>
      <c r="AA28">
        <f>Supuestos!F$23*(1-$C28+$C28*((1+Supuestos!$B$4+$B28/10000)/(1+Supuestos!$B$4))^Supuestos!F$25)</f>
        <v/>
      </c>
      <c r="AB28">
        <f>Supuestos!G$23*(1-$C28+$C28*((1+Supuestos!$B$4+$B28/10000)/(1+Supuestos!$B$4))^Supuestos!G$25)</f>
        <v/>
      </c>
      <c r="AC28">
        <f>Supuestos!H$23*(1-$C28+$C28*((1+Supuestos!$B$4+$B28/10000)/(1+Supuestos!$B$4))^Supuestos!H$25)</f>
        <v/>
      </c>
      <c r="AD28">
        <f>Supuestos!I$23*(1-$C28+$C28*((1+Supuestos!$B$4+$B28/10000)/(1+Supuestos!$B$4))^Supuestos!I$25)</f>
        <v/>
      </c>
      <c r="AE28">
        <f>SUMPRODUCT(X28:AC28,R28:W28)</f>
        <v/>
      </c>
      <c r="AF28">
        <f>(1+Supuestos!$B$5)/(1+Supuestos!$B$4)*(1+Supuestos!$B$4+$B28/10000)-1</f>
        <v/>
      </c>
      <c r="AG28">
        <f>AD28/(K28-AF28)</f>
        <v/>
      </c>
      <c r="AH28">
        <f>AG28*Q28</f>
        <v/>
      </c>
      <c r="AI28">
        <f>(AE28+AH28-Supuestos!$B$7-Supuestos!$B$8)/Supuestos!$B$9</f>
        <v/>
      </c>
      <c r="AJ28">
        <f>AI28/AI$5-1</f>
        <v/>
      </c>
    </row>
    <row r="29">
      <c r="A29" t="n">
        <v>-50</v>
      </c>
      <c r="B29" t="n">
        <v>50</v>
      </c>
      <c r="C29">
        <f>Supuestos!$B$13</f>
        <v/>
      </c>
      <c r="D29" t="inlineStr">
        <is>
          <t>Grilla</t>
        </is>
      </c>
      <c r="E29">
        <f>(1-Supuestos!C$28)*((1+((1+Supuestos!C$26)/(1+Supuestos!$B$4)-1+Supuestos!$B$14*$A29/10000))*(1+Supuestos!$B$4+$B29/10000)-1)+Supuestos!C$28*((1+Supuestos!C$27+$A29/10000)*(1+Supuestos!$B$4+$B29/10000)-1)*(1-Supuestos!$B$6)</f>
        <v/>
      </c>
      <c r="F29">
        <f>(1-Supuestos!D$28)*((1+((1+Supuestos!D$26)/(1+Supuestos!$B$4)-1+Supuestos!$B$14*$A29/10000))*(1+Supuestos!$B$4+$B29/10000)-1)+Supuestos!D$28*((1+Supuestos!D$27+$A29/10000)*(1+Supuestos!$B$4+$B29/10000)-1)*(1-Supuestos!$B$6)</f>
        <v/>
      </c>
      <c r="G29">
        <f>(1-Supuestos!E$28)*((1+((1+Supuestos!E$26)/(1+Supuestos!$B$4)-1+Supuestos!$B$14*$A29/10000))*(1+Supuestos!$B$4+$B29/10000)-1)+Supuestos!E$28*((1+Supuestos!E$27+$A29/10000)*(1+Supuestos!$B$4+$B29/10000)-1)*(1-Supuestos!$B$6)</f>
        <v/>
      </c>
      <c r="H29">
        <f>(1-Supuestos!F$28)*((1+((1+Supuestos!F$26)/(1+Supuestos!$B$4)-1+Supuestos!$B$14*$A29/10000))*(1+Supuestos!$B$4+$B29/10000)-1)+Supuestos!F$28*((1+Supuestos!F$27+$A29/10000)*(1+Supuestos!$B$4+$B29/10000)-1)*(1-Supuestos!$B$6)</f>
        <v/>
      </c>
      <c r="I29">
        <f>(1-Supuestos!G$28)*((1+((1+Supuestos!G$26)/(1+Supuestos!$B$4)-1+Supuestos!$B$14*$A29/10000))*(1+Supuestos!$B$4+$B29/10000)-1)+Supuestos!G$28*((1+Supuestos!G$27+$A29/10000)*(1+Supuestos!$B$4+$B29/10000)-1)*(1-Supuestos!$B$6)</f>
        <v/>
      </c>
      <c r="J29">
        <f>(1-Supuestos!H$28)*((1+((1+Supuestos!H$26)/(1+Supuestos!$B$4)-1+Supuestos!$B$14*$A29/10000))*(1+Supuestos!$B$4+$B29/10000)-1)+Supuestos!H$28*((1+Supuestos!H$27+$A29/10000)*(1+Supuestos!$B$4+$B29/10000)-1)*(1-Supuestos!$B$6)</f>
        <v/>
      </c>
      <c r="K29">
        <f>(1-Supuestos!I$28)*((1+((1+Supuestos!I$26)/(1+Supuestos!$B$4)-1+Supuestos!$B$14*$A29/10000))*(1+Supuestos!$B$4+$B29/10000)-1)+Supuestos!I$28*((1+Supuestos!I$27+$A29/10000)*(1+Supuestos!$B$4+$B29/10000)-1)*(1-Supuestos!$B$6)</f>
        <v/>
      </c>
      <c r="L29">
        <f>(1+E29)^-Supuestos!C$24</f>
        <v/>
      </c>
      <c r="M29">
        <f>L29*(1+F29)^-Supuestos!D$24</f>
        <v/>
      </c>
      <c r="N29">
        <f>M29*(1+G29)^-Supuestos!E$24</f>
        <v/>
      </c>
      <c r="O29">
        <f>N29*(1+H29)^-Supuestos!F$24</f>
        <v/>
      </c>
      <c r="P29">
        <f>O29*(1+I29)^-Supuestos!G$24</f>
        <v/>
      </c>
      <c r="Q29">
        <f>P29*(1+J29)^-Supuestos!H$24</f>
        <v/>
      </c>
      <c r="R29">
        <f>(1+E29)^-(Supuestos!C$24/2)</f>
        <v/>
      </c>
      <c r="S29">
        <f>L29*(1+F29)^-(Supuestos!D$24/2)</f>
        <v/>
      </c>
      <c r="T29">
        <f>M29*(1+G29)^-(Supuestos!E$24/2)</f>
        <v/>
      </c>
      <c r="U29">
        <f>N29*(1+H29)^-(Supuestos!F$24/2)</f>
        <v/>
      </c>
      <c r="V29">
        <f>O29*(1+I29)^-(Supuestos!G$24/2)</f>
        <v/>
      </c>
      <c r="W29">
        <f>P29*(1+J29)^-(Supuestos!H$24/2)</f>
        <v/>
      </c>
      <c r="X29">
        <f>Supuestos!C$23*(1-$C29+$C29*((1+Supuestos!$B$4+$B29/10000)/(1+Supuestos!$B$4))^Supuestos!C$25)</f>
        <v/>
      </c>
      <c r="Y29">
        <f>Supuestos!D$23*(1-$C29+$C29*((1+Supuestos!$B$4+$B29/10000)/(1+Supuestos!$B$4))^Supuestos!D$25)</f>
        <v/>
      </c>
      <c r="Z29">
        <f>Supuestos!E$23*(1-$C29+$C29*((1+Supuestos!$B$4+$B29/10000)/(1+Supuestos!$B$4))^Supuestos!E$25)</f>
        <v/>
      </c>
      <c r="AA29">
        <f>Supuestos!F$23*(1-$C29+$C29*((1+Supuestos!$B$4+$B29/10000)/(1+Supuestos!$B$4))^Supuestos!F$25)</f>
        <v/>
      </c>
      <c r="AB29">
        <f>Supuestos!G$23*(1-$C29+$C29*((1+Supuestos!$B$4+$B29/10000)/(1+Supuestos!$B$4))^Supuestos!G$25)</f>
        <v/>
      </c>
      <c r="AC29">
        <f>Supuestos!H$23*(1-$C29+$C29*((1+Supuestos!$B$4+$B29/10000)/(1+Supuestos!$B$4))^Supuestos!H$25)</f>
        <v/>
      </c>
      <c r="AD29">
        <f>Supuestos!I$23*(1-$C29+$C29*((1+Supuestos!$B$4+$B29/10000)/(1+Supuestos!$B$4))^Supuestos!I$25)</f>
        <v/>
      </c>
      <c r="AE29">
        <f>SUMPRODUCT(X29:AC29,R29:W29)</f>
        <v/>
      </c>
      <c r="AF29">
        <f>(1+Supuestos!$B$5)/(1+Supuestos!$B$4)*(1+Supuestos!$B$4+$B29/10000)-1</f>
        <v/>
      </c>
      <c r="AG29">
        <f>AD29/(K29-AF29)</f>
        <v/>
      </c>
      <c r="AH29">
        <f>AG29*Q29</f>
        <v/>
      </c>
      <c r="AI29">
        <f>(AE29+AH29-Supuestos!$B$7-Supuestos!$B$8)/Supuestos!$B$9</f>
        <v/>
      </c>
      <c r="AJ29">
        <f>AI29/AI$5-1</f>
        <v/>
      </c>
    </row>
    <row r="30">
      <c r="A30" t="n">
        <v>0</v>
      </c>
      <c r="B30" t="n">
        <v>50</v>
      </c>
      <c r="C30">
        <f>Supuestos!$B$13</f>
        <v/>
      </c>
      <c r="D30" t="inlineStr">
        <is>
          <t>Grilla</t>
        </is>
      </c>
      <c r="E30">
        <f>(1-Supuestos!C$28)*((1+((1+Supuestos!C$26)/(1+Supuestos!$B$4)-1+Supuestos!$B$14*$A30/10000))*(1+Supuestos!$B$4+$B30/10000)-1)+Supuestos!C$28*((1+Supuestos!C$27+$A30/10000)*(1+Supuestos!$B$4+$B30/10000)-1)*(1-Supuestos!$B$6)</f>
        <v/>
      </c>
      <c r="F30">
        <f>(1-Supuestos!D$28)*((1+((1+Supuestos!D$26)/(1+Supuestos!$B$4)-1+Supuestos!$B$14*$A30/10000))*(1+Supuestos!$B$4+$B30/10000)-1)+Supuestos!D$28*((1+Supuestos!D$27+$A30/10000)*(1+Supuestos!$B$4+$B30/10000)-1)*(1-Supuestos!$B$6)</f>
        <v/>
      </c>
      <c r="G30">
        <f>(1-Supuestos!E$28)*((1+((1+Supuestos!E$26)/(1+Supuestos!$B$4)-1+Supuestos!$B$14*$A30/10000))*(1+Supuestos!$B$4+$B30/10000)-1)+Supuestos!E$28*((1+Supuestos!E$27+$A30/10000)*(1+Supuestos!$B$4+$B30/10000)-1)*(1-Supuestos!$B$6)</f>
        <v/>
      </c>
      <c r="H30">
        <f>(1-Supuestos!F$28)*((1+((1+Supuestos!F$26)/(1+Supuestos!$B$4)-1+Supuestos!$B$14*$A30/10000))*(1+Supuestos!$B$4+$B30/10000)-1)+Supuestos!F$28*((1+Supuestos!F$27+$A30/10000)*(1+Supuestos!$B$4+$B30/10000)-1)*(1-Supuestos!$B$6)</f>
        <v/>
      </c>
      <c r="I30">
        <f>(1-Supuestos!G$28)*((1+((1+Supuestos!G$26)/(1+Supuestos!$B$4)-1+Supuestos!$B$14*$A30/10000))*(1+Supuestos!$B$4+$B30/10000)-1)+Supuestos!G$28*((1+Supuestos!G$27+$A30/10000)*(1+Supuestos!$B$4+$B30/10000)-1)*(1-Supuestos!$B$6)</f>
        <v/>
      </c>
      <c r="J30">
        <f>(1-Supuestos!H$28)*((1+((1+Supuestos!H$26)/(1+Supuestos!$B$4)-1+Supuestos!$B$14*$A30/10000))*(1+Supuestos!$B$4+$B30/10000)-1)+Supuestos!H$28*((1+Supuestos!H$27+$A30/10000)*(1+Supuestos!$B$4+$B30/10000)-1)*(1-Supuestos!$B$6)</f>
        <v/>
      </c>
      <c r="K30">
        <f>(1-Supuestos!I$28)*((1+((1+Supuestos!I$26)/(1+Supuestos!$B$4)-1+Supuestos!$B$14*$A30/10000))*(1+Supuestos!$B$4+$B30/10000)-1)+Supuestos!I$28*((1+Supuestos!I$27+$A30/10000)*(1+Supuestos!$B$4+$B30/10000)-1)*(1-Supuestos!$B$6)</f>
        <v/>
      </c>
      <c r="L30">
        <f>(1+E30)^-Supuestos!C$24</f>
        <v/>
      </c>
      <c r="M30">
        <f>L30*(1+F30)^-Supuestos!D$24</f>
        <v/>
      </c>
      <c r="N30">
        <f>M30*(1+G30)^-Supuestos!E$24</f>
        <v/>
      </c>
      <c r="O30">
        <f>N30*(1+H30)^-Supuestos!F$24</f>
        <v/>
      </c>
      <c r="P30">
        <f>O30*(1+I30)^-Supuestos!G$24</f>
        <v/>
      </c>
      <c r="Q30">
        <f>P30*(1+J30)^-Supuestos!H$24</f>
        <v/>
      </c>
      <c r="R30">
        <f>(1+E30)^-(Supuestos!C$24/2)</f>
        <v/>
      </c>
      <c r="S30">
        <f>L30*(1+F30)^-(Supuestos!D$24/2)</f>
        <v/>
      </c>
      <c r="T30">
        <f>M30*(1+G30)^-(Supuestos!E$24/2)</f>
        <v/>
      </c>
      <c r="U30">
        <f>N30*(1+H30)^-(Supuestos!F$24/2)</f>
        <v/>
      </c>
      <c r="V30">
        <f>O30*(1+I30)^-(Supuestos!G$24/2)</f>
        <v/>
      </c>
      <c r="W30">
        <f>P30*(1+J30)^-(Supuestos!H$24/2)</f>
        <v/>
      </c>
      <c r="X30">
        <f>Supuestos!C$23*(1-$C30+$C30*((1+Supuestos!$B$4+$B30/10000)/(1+Supuestos!$B$4))^Supuestos!C$25)</f>
        <v/>
      </c>
      <c r="Y30">
        <f>Supuestos!D$23*(1-$C30+$C30*((1+Supuestos!$B$4+$B30/10000)/(1+Supuestos!$B$4))^Supuestos!D$25)</f>
        <v/>
      </c>
      <c r="Z30">
        <f>Supuestos!E$23*(1-$C30+$C30*((1+Supuestos!$B$4+$B30/10000)/(1+Supuestos!$B$4))^Supuestos!E$25)</f>
        <v/>
      </c>
      <c r="AA30">
        <f>Supuestos!F$23*(1-$C30+$C30*((1+Supuestos!$B$4+$B30/10000)/(1+Supuestos!$B$4))^Supuestos!F$25)</f>
        <v/>
      </c>
      <c r="AB30">
        <f>Supuestos!G$23*(1-$C30+$C30*((1+Supuestos!$B$4+$B30/10000)/(1+Supuestos!$B$4))^Supuestos!G$25)</f>
        <v/>
      </c>
      <c r="AC30">
        <f>Supuestos!H$23*(1-$C30+$C30*((1+Supuestos!$B$4+$B30/10000)/(1+Supuestos!$B$4))^Supuestos!H$25)</f>
        <v/>
      </c>
      <c r="AD30">
        <f>Supuestos!I$23*(1-$C30+$C30*((1+Supuestos!$B$4+$B30/10000)/(1+Supuestos!$B$4))^Supuestos!I$25)</f>
        <v/>
      </c>
      <c r="AE30">
        <f>SUMPRODUCT(X30:AC30,R30:W30)</f>
        <v/>
      </c>
      <c r="AF30">
        <f>(1+Supuestos!$B$5)/(1+Supuestos!$B$4)*(1+Supuestos!$B$4+$B30/10000)-1</f>
        <v/>
      </c>
      <c r="AG30">
        <f>AD30/(K30-AF30)</f>
        <v/>
      </c>
      <c r="AH30">
        <f>AG30*Q30</f>
        <v/>
      </c>
      <c r="AI30">
        <f>(AE30+AH30-Supuestos!$B$7-Supuestos!$B$8)/Supuestos!$B$9</f>
        <v/>
      </c>
      <c r="AJ30">
        <f>AI30/AI$5-1</f>
        <v/>
      </c>
    </row>
    <row r="31">
      <c r="A31" t="n">
        <v>50</v>
      </c>
      <c r="B31" t="n">
        <v>50</v>
      </c>
      <c r="C31">
        <f>Supuestos!$B$13</f>
        <v/>
      </c>
      <c r="D31" t="inlineStr">
        <is>
          <t>Grilla</t>
        </is>
      </c>
      <c r="E31">
        <f>(1-Supuestos!C$28)*((1+((1+Supuestos!C$26)/(1+Supuestos!$B$4)-1+Supuestos!$B$14*$A31/10000))*(1+Supuestos!$B$4+$B31/10000)-1)+Supuestos!C$28*((1+Supuestos!C$27+$A31/10000)*(1+Supuestos!$B$4+$B31/10000)-1)*(1-Supuestos!$B$6)</f>
        <v/>
      </c>
      <c r="F31">
        <f>(1-Supuestos!D$28)*((1+((1+Supuestos!D$26)/(1+Supuestos!$B$4)-1+Supuestos!$B$14*$A31/10000))*(1+Supuestos!$B$4+$B31/10000)-1)+Supuestos!D$28*((1+Supuestos!D$27+$A31/10000)*(1+Supuestos!$B$4+$B31/10000)-1)*(1-Supuestos!$B$6)</f>
        <v/>
      </c>
      <c r="G31">
        <f>(1-Supuestos!E$28)*((1+((1+Supuestos!E$26)/(1+Supuestos!$B$4)-1+Supuestos!$B$14*$A31/10000))*(1+Supuestos!$B$4+$B31/10000)-1)+Supuestos!E$28*((1+Supuestos!E$27+$A31/10000)*(1+Supuestos!$B$4+$B31/10000)-1)*(1-Supuestos!$B$6)</f>
        <v/>
      </c>
      <c r="H31">
        <f>(1-Supuestos!F$28)*((1+((1+Supuestos!F$26)/(1+Supuestos!$B$4)-1+Supuestos!$B$14*$A31/10000))*(1+Supuestos!$B$4+$B31/10000)-1)+Supuestos!F$28*((1+Supuestos!F$27+$A31/10000)*(1+Supuestos!$B$4+$B31/10000)-1)*(1-Supuestos!$B$6)</f>
        <v/>
      </c>
      <c r="I31">
        <f>(1-Supuestos!G$28)*((1+((1+Supuestos!G$26)/(1+Supuestos!$B$4)-1+Supuestos!$B$14*$A31/10000))*(1+Supuestos!$B$4+$B31/10000)-1)+Supuestos!G$28*((1+Supuestos!G$27+$A31/10000)*(1+Supuestos!$B$4+$B31/10000)-1)*(1-Supuestos!$B$6)</f>
        <v/>
      </c>
      <c r="J31">
        <f>(1-Supuestos!H$28)*((1+((1+Supuestos!H$26)/(1+Supuestos!$B$4)-1+Supuestos!$B$14*$A31/10000))*(1+Supuestos!$B$4+$B31/10000)-1)+Supuestos!H$28*((1+Supuestos!H$27+$A31/10000)*(1+Supuestos!$B$4+$B31/10000)-1)*(1-Supuestos!$B$6)</f>
        <v/>
      </c>
      <c r="K31">
        <f>(1-Supuestos!I$28)*((1+((1+Supuestos!I$26)/(1+Supuestos!$B$4)-1+Supuestos!$B$14*$A31/10000))*(1+Supuestos!$B$4+$B31/10000)-1)+Supuestos!I$28*((1+Supuestos!I$27+$A31/10000)*(1+Supuestos!$B$4+$B31/10000)-1)*(1-Supuestos!$B$6)</f>
        <v/>
      </c>
      <c r="L31">
        <f>(1+E31)^-Supuestos!C$24</f>
        <v/>
      </c>
      <c r="M31">
        <f>L31*(1+F31)^-Supuestos!D$24</f>
        <v/>
      </c>
      <c r="N31">
        <f>M31*(1+G31)^-Supuestos!E$24</f>
        <v/>
      </c>
      <c r="O31">
        <f>N31*(1+H31)^-Supuestos!F$24</f>
        <v/>
      </c>
      <c r="P31">
        <f>O31*(1+I31)^-Supuestos!G$24</f>
        <v/>
      </c>
      <c r="Q31">
        <f>P31*(1+J31)^-Supuestos!H$24</f>
        <v/>
      </c>
      <c r="R31">
        <f>(1+E31)^-(Supuestos!C$24/2)</f>
        <v/>
      </c>
      <c r="S31">
        <f>L31*(1+F31)^-(Supuestos!D$24/2)</f>
        <v/>
      </c>
      <c r="T31">
        <f>M31*(1+G31)^-(Supuestos!E$24/2)</f>
        <v/>
      </c>
      <c r="U31">
        <f>N31*(1+H31)^-(Supuestos!F$24/2)</f>
        <v/>
      </c>
      <c r="V31">
        <f>O31*(1+I31)^-(Supuestos!G$24/2)</f>
        <v/>
      </c>
      <c r="W31">
        <f>P31*(1+J31)^-(Supuestos!H$24/2)</f>
        <v/>
      </c>
      <c r="X31">
        <f>Supuestos!C$23*(1-$C31+$C31*((1+Supuestos!$B$4+$B31/10000)/(1+Supuestos!$B$4))^Supuestos!C$25)</f>
        <v/>
      </c>
      <c r="Y31">
        <f>Supuestos!D$23*(1-$C31+$C31*((1+Supuestos!$B$4+$B31/10000)/(1+Supuestos!$B$4))^Supuestos!D$25)</f>
        <v/>
      </c>
      <c r="Z31">
        <f>Supuestos!E$23*(1-$C31+$C31*((1+Supuestos!$B$4+$B31/10000)/(1+Supuestos!$B$4))^Supuestos!E$25)</f>
        <v/>
      </c>
      <c r="AA31">
        <f>Supuestos!F$23*(1-$C31+$C31*((1+Supuestos!$B$4+$B31/10000)/(1+Supuestos!$B$4))^Supuestos!F$25)</f>
        <v/>
      </c>
      <c r="AB31">
        <f>Supuestos!G$23*(1-$C31+$C31*((1+Supuestos!$B$4+$B31/10000)/(1+Supuestos!$B$4))^Supuestos!G$25)</f>
        <v/>
      </c>
      <c r="AC31">
        <f>Supuestos!H$23*(1-$C31+$C31*((1+Supuestos!$B$4+$B31/10000)/(1+Supuestos!$B$4))^Supuestos!H$25)</f>
        <v/>
      </c>
      <c r="AD31">
        <f>Supuestos!I$23*(1-$C31+$C31*((1+Supuestos!$B$4+$B31/10000)/(1+Supuestos!$B$4))^Supuestos!I$25)</f>
        <v/>
      </c>
      <c r="AE31">
        <f>SUMPRODUCT(X31:AC31,R31:W31)</f>
        <v/>
      </c>
      <c r="AF31">
        <f>(1+Supuestos!$B$5)/(1+Supuestos!$B$4)*(1+Supuestos!$B$4+$B31/10000)-1</f>
        <v/>
      </c>
      <c r="AG31">
        <f>AD31/(K31-AF31)</f>
        <v/>
      </c>
      <c r="AH31">
        <f>AG31*Q31</f>
        <v/>
      </c>
      <c r="AI31">
        <f>(AE31+AH31-Supuestos!$B$7-Supuestos!$B$8)/Supuestos!$B$9</f>
        <v/>
      </c>
      <c r="AJ31">
        <f>AI31/AI$5-1</f>
        <v/>
      </c>
    </row>
    <row r="32">
      <c r="A32" t="n">
        <v>100</v>
      </c>
      <c r="B32" t="n">
        <v>50</v>
      </c>
      <c r="C32">
        <f>Supuestos!$B$13</f>
        <v/>
      </c>
      <c r="D32" t="inlineStr">
        <is>
          <t>Grilla</t>
        </is>
      </c>
      <c r="E32">
        <f>(1-Supuestos!C$28)*((1+((1+Supuestos!C$26)/(1+Supuestos!$B$4)-1+Supuestos!$B$14*$A32/10000))*(1+Supuestos!$B$4+$B32/10000)-1)+Supuestos!C$28*((1+Supuestos!C$27+$A32/10000)*(1+Supuestos!$B$4+$B32/10000)-1)*(1-Supuestos!$B$6)</f>
        <v/>
      </c>
      <c r="F32">
        <f>(1-Supuestos!D$28)*((1+((1+Supuestos!D$26)/(1+Supuestos!$B$4)-1+Supuestos!$B$14*$A32/10000))*(1+Supuestos!$B$4+$B32/10000)-1)+Supuestos!D$28*((1+Supuestos!D$27+$A32/10000)*(1+Supuestos!$B$4+$B32/10000)-1)*(1-Supuestos!$B$6)</f>
        <v/>
      </c>
      <c r="G32">
        <f>(1-Supuestos!E$28)*((1+((1+Supuestos!E$26)/(1+Supuestos!$B$4)-1+Supuestos!$B$14*$A32/10000))*(1+Supuestos!$B$4+$B32/10000)-1)+Supuestos!E$28*((1+Supuestos!E$27+$A32/10000)*(1+Supuestos!$B$4+$B32/10000)-1)*(1-Supuestos!$B$6)</f>
        <v/>
      </c>
      <c r="H32">
        <f>(1-Supuestos!F$28)*((1+((1+Supuestos!F$26)/(1+Supuestos!$B$4)-1+Supuestos!$B$14*$A32/10000))*(1+Supuestos!$B$4+$B32/10000)-1)+Supuestos!F$28*((1+Supuestos!F$27+$A32/10000)*(1+Supuestos!$B$4+$B32/10000)-1)*(1-Supuestos!$B$6)</f>
        <v/>
      </c>
      <c r="I32">
        <f>(1-Supuestos!G$28)*((1+((1+Supuestos!G$26)/(1+Supuestos!$B$4)-1+Supuestos!$B$14*$A32/10000))*(1+Supuestos!$B$4+$B32/10000)-1)+Supuestos!G$28*((1+Supuestos!G$27+$A32/10000)*(1+Supuestos!$B$4+$B32/10000)-1)*(1-Supuestos!$B$6)</f>
        <v/>
      </c>
      <c r="J32">
        <f>(1-Supuestos!H$28)*((1+((1+Supuestos!H$26)/(1+Supuestos!$B$4)-1+Supuestos!$B$14*$A32/10000))*(1+Supuestos!$B$4+$B32/10000)-1)+Supuestos!H$28*((1+Supuestos!H$27+$A32/10000)*(1+Supuestos!$B$4+$B32/10000)-1)*(1-Supuestos!$B$6)</f>
        <v/>
      </c>
      <c r="K32">
        <f>(1-Supuestos!I$28)*((1+((1+Supuestos!I$26)/(1+Supuestos!$B$4)-1+Supuestos!$B$14*$A32/10000))*(1+Supuestos!$B$4+$B32/10000)-1)+Supuestos!I$28*((1+Supuestos!I$27+$A32/10000)*(1+Supuestos!$B$4+$B32/10000)-1)*(1-Supuestos!$B$6)</f>
        <v/>
      </c>
      <c r="L32">
        <f>(1+E32)^-Supuestos!C$24</f>
        <v/>
      </c>
      <c r="M32">
        <f>L32*(1+F32)^-Supuestos!D$24</f>
        <v/>
      </c>
      <c r="N32">
        <f>M32*(1+G32)^-Supuestos!E$24</f>
        <v/>
      </c>
      <c r="O32">
        <f>N32*(1+H32)^-Supuestos!F$24</f>
        <v/>
      </c>
      <c r="P32">
        <f>O32*(1+I32)^-Supuestos!G$24</f>
        <v/>
      </c>
      <c r="Q32">
        <f>P32*(1+J32)^-Supuestos!H$24</f>
        <v/>
      </c>
      <c r="R32">
        <f>(1+E32)^-(Supuestos!C$24/2)</f>
        <v/>
      </c>
      <c r="S32">
        <f>L32*(1+F32)^-(Supuestos!D$24/2)</f>
        <v/>
      </c>
      <c r="T32">
        <f>M32*(1+G32)^-(Supuestos!E$24/2)</f>
        <v/>
      </c>
      <c r="U32">
        <f>N32*(1+H32)^-(Supuestos!F$24/2)</f>
        <v/>
      </c>
      <c r="V32">
        <f>O32*(1+I32)^-(Supuestos!G$24/2)</f>
        <v/>
      </c>
      <c r="W32">
        <f>P32*(1+J32)^-(Supuestos!H$24/2)</f>
        <v/>
      </c>
      <c r="X32">
        <f>Supuestos!C$23*(1-$C32+$C32*((1+Supuestos!$B$4+$B32/10000)/(1+Supuestos!$B$4))^Supuestos!C$25)</f>
        <v/>
      </c>
      <c r="Y32">
        <f>Supuestos!D$23*(1-$C32+$C32*((1+Supuestos!$B$4+$B32/10000)/(1+Supuestos!$B$4))^Supuestos!D$25)</f>
        <v/>
      </c>
      <c r="Z32">
        <f>Supuestos!E$23*(1-$C32+$C32*((1+Supuestos!$B$4+$B32/10000)/(1+Supuestos!$B$4))^Supuestos!E$25)</f>
        <v/>
      </c>
      <c r="AA32">
        <f>Supuestos!F$23*(1-$C32+$C32*((1+Supuestos!$B$4+$B32/10000)/(1+Supuestos!$B$4))^Supuestos!F$25)</f>
        <v/>
      </c>
      <c r="AB32">
        <f>Supuestos!G$23*(1-$C32+$C32*((1+Supuestos!$B$4+$B32/10000)/(1+Supuestos!$B$4))^Supuestos!G$25)</f>
        <v/>
      </c>
      <c r="AC32">
        <f>Supuestos!H$23*(1-$C32+$C32*((1+Supuestos!$B$4+$B32/10000)/(1+Supuestos!$B$4))^Supuestos!H$25)</f>
        <v/>
      </c>
      <c r="AD32">
        <f>Supuestos!I$23*(1-$C32+$C32*((1+Supuestos!$B$4+$B32/10000)/(1+Supuestos!$B$4))^Supuestos!I$25)</f>
        <v/>
      </c>
      <c r="AE32">
        <f>SUMPRODUCT(X32:AC32,R32:W32)</f>
        <v/>
      </c>
      <c r="AF32">
        <f>(1+Supuestos!$B$5)/(1+Supuestos!$B$4)*(1+Supuestos!$B$4+$B32/10000)-1</f>
        <v/>
      </c>
      <c r="AG32">
        <f>AD32/(K32-AF32)</f>
        <v/>
      </c>
      <c r="AH32">
        <f>AG32*Q32</f>
        <v/>
      </c>
      <c r="AI32">
        <f>(AE32+AH32-Supuestos!$B$7-Supuestos!$B$8)/Supuestos!$B$9</f>
        <v/>
      </c>
      <c r="AJ32">
        <f>AI32/AI$5-1</f>
        <v/>
      </c>
    </row>
    <row r="33">
      <c r="A33" t="n">
        <v>150</v>
      </c>
      <c r="B33" t="n">
        <v>50</v>
      </c>
      <c r="C33">
        <f>Supuestos!$B$13</f>
        <v/>
      </c>
      <c r="D33" t="inlineStr">
        <is>
          <t>Grilla</t>
        </is>
      </c>
      <c r="E33">
        <f>(1-Supuestos!C$28)*((1+((1+Supuestos!C$26)/(1+Supuestos!$B$4)-1+Supuestos!$B$14*$A33/10000))*(1+Supuestos!$B$4+$B33/10000)-1)+Supuestos!C$28*((1+Supuestos!C$27+$A33/10000)*(1+Supuestos!$B$4+$B33/10000)-1)*(1-Supuestos!$B$6)</f>
        <v/>
      </c>
      <c r="F33">
        <f>(1-Supuestos!D$28)*((1+((1+Supuestos!D$26)/(1+Supuestos!$B$4)-1+Supuestos!$B$14*$A33/10000))*(1+Supuestos!$B$4+$B33/10000)-1)+Supuestos!D$28*((1+Supuestos!D$27+$A33/10000)*(1+Supuestos!$B$4+$B33/10000)-1)*(1-Supuestos!$B$6)</f>
        <v/>
      </c>
      <c r="G33">
        <f>(1-Supuestos!E$28)*((1+((1+Supuestos!E$26)/(1+Supuestos!$B$4)-1+Supuestos!$B$14*$A33/10000))*(1+Supuestos!$B$4+$B33/10000)-1)+Supuestos!E$28*((1+Supuestos!E$27+$A33/10000)*(1+Supuestos!$B$4+$B33/10000)-1)*(1-Supuestos!$B$6)</f>
        <v/>
      </c>
      <c r="H33">
        <f>(1-Supuestos!F$28)*((1+((1+Supuestos!F$26)/(1+Supuestos!$B$4)-1+Supuestos!$B$14*$A33/10000))*(1+Supuestos!$B$4+$B33/10000)-1)+Supuestos!F$28*((1+Supuestos!F$27+$A33/10000)*(1+Supuestos!$B$4+$B33/10000)-1)*(1-Supuestos!$B$6)</f>
        <v/>
      </c>
      <c r="I33">
        <f>(1-Supuestos!G$28)*((1+((1+Supuestos!G$26)/(1+Supuestos!$B$4)-1+Supuestos!$B$14*$A33/10000))*(1+Supuestos!$B$4+$B33/10000)-1)+Supuestos!G$28*((1+Supuestos!G$27+$A33/10000)*(1+Supuestos!$B$4+$B33/10000)-1)*(1-Supuestos!$B$6)</f>
        <v/>
      </c>
      <c r="J33">
        <f>(1-Supuestos!H$28)*((1+((1+Supuestos!H$26)/(1+Supuestos!$B$4)-1+Supuestos!$B$14*$A33/10000))*(1+Supuestos!$B$4+$B33/10000)-1)+Supuestos!H$28*((1+Supuestos!H$27+$A33/10000)*(1+Supuestos!$B$4+$B33/10000)-1)*(1-Supuestos!$B$6)</f>
        <v/>
      </c>
      <c r="K33">
        <f>(1-Supuestos!I$28)*((1+((1+Supuestos!I$26)/(1+Supuestos!$B$4)-1+Supuestos!$B$14*$A33/10000))*(1+Supuestos!$B$4+$B33/10000)-1)+Supuestos!I$28*((1+Supuestos!I$27+$A33/10000)*(1+Supuestos!$B$4+$B33/10000)-1)*(1-Supuestos!$B$6)</f>
        <v/>
      </c>
      <c r="L33">
        <f>(1+E33)^-Supuestos!C$24</f>
        <v/>
      </c>
      <c r="M33">
        <f>L33*(1+F33)^-Supuestos!D$24</f>
        <v/>
      </c>
      <c r="N33">
        <f>M33*(1+G33)^-Supuestos!E$24</f>
        <v/>
      </c>
      <c r="O33">
        <f>N33*(1+H33)^-Supuestos!F$24</f>
        <v/>
      </c>
      <c r="P33">
        <f>O33*(1+I33)^-Supuestos!G$24</f>
        <v/>
      </c>
      <c r="Q33">
        <f>P33*(1+J33)^-Supuestos!H$24</f>
        <v/>
      </c>
      <c r="R33">
        <f>(1+E33)^-(Supuestos!C$24/2)</f>
        <v/>
      </c>
      <c r="S33">
        <f>L33*(1+F33)^-(Supuestos!D$24/2)</f>
        <v/>
      </c>
      <c r="T33">
        <f>M33*(1+G33)^-(Supuestos!E$24/2)</f>
        <v/>
      </c>
      <c r="U33">
        <f>N33*(1+H33)^-(Supuestos!F$24/2)</f>
        <v/>
      </c>
      <c r="V33">
        <f>O33*(1+I33)^-(Supuestos!G$24/2)</f>
        <v/>
      </c>
      <c r="W33">
        <f>P33*(1+J33)^-(Supuestos!H$24/2)</f>
        <v/>
      </c>
      <c r="X33">
        <f>Supuestos!C$23*(1-$C33+$C33*((1+Supuestos!$B$4+$B33/10000)/(1+Supuestos!$B$4))^Supuestos!C$25)</f>
        <v/>
      </c>
      <c r="Y33">
        <f>Supuestos!D$23*(1-$C33+$C33*((1+Supuestos!$B$4+$B33/10000)/(1+Supuestos!$B$4))^Supuestos!D$25)</f>
        <v/>
      </c>
      <c r="Z33">
        <f>Supuestos!E$23*(1-$C33+$C33*((1+Supuestos!$B$4+$B33/10000)/(1+Supuestos!$B$4))^Supuestos!E$25)</f>
        <v/>
      </c>
      <c r="AA33">
        <f>Supuestos!F$23*(1-$C33+$C33*((1+Supuestos!$B$4+$B33/10000)/(1+Supuestos!$B$4))^Supuestos!F$25)</f>
        <v/>
      </c>
      <c r="AB33">
        <f>Supuestos!G$23*(1-$C33+$C33*((1+Supuestos!$B$4+$B33/10000)/(1+Supuestos!$B$4))^Supuestos!G$25)</f>
        <v/>
      </c>
      <c r="AC33">
        <f>Supuestos!H$23*(1-$C33+$C33*((1+Supuestos!$B$4+$B33/10000)/(1+Supuestos!$B$4))^Supuestos!H$25)</f>
        <v/>
      </c>
      <c r="AD33">
        <f>Supuestos!I$23*(1-$C33+$C33*((1+Supuestos!$B$4+$B33/10000)/(1+Supuestos!$B$4))^Supuestos!I$25)</f>
        <v/>
      </c>
      <c r="AE33">
        <f>SUMPRODUCT(X33:AC33,R33:W33)</f>
        <v/>
      </c>
      <c r="AF33">
        <f>(1+Supuestos!$B$5)/(1+Supuestos!$B$4)*(1+Supuestos!$B$4+$B33/10000)-1</f>
        <v/>
      </c>
      <c r="AG33">
        <f>AD33/(K33-AF33)</f>
        <v/>
      </c>
      <c r="AH33">
        <f>AG33*Q33</f>
        <v/>
      </c>
      <c r="AI33">
        <f>(AE33+AH33-Supuestos!$B$7-Supuestos!$B$8)/Supuestos!$B$9</f>
        <v/>
      </c>
      <c r="AJ33">
        <f>AI33/AI$5-1</f>
        <v/>
      </c>
    </row>
    <row r="34">
      <c r="A34" t="n">
        <v>-150</v>
      </c>
      <c r="B34" t="n">
        <v>100</v>
      </c>
      <c r="C34">
        <f>Supuestos!$B$13</f>
        <v/>
      </c>
      <c r="D34" t="inlineStr">
        <is>
          <t>Grilla</t>
        </is>
      </c>
      <c r="E34">
        <f>(1-Supuestos!C$28)*((1+((1+Supuestos!C$26)/(1+Supuestos!$B$4)-1+Supuestos!$B$14*$A34/10000))*(1+Supuestos!$B$4+$B34/10000)-1)+Supuestos!C$28*((1+Supuestos!C$27+$A34/10000)*(1+Supuestos!$B$4+$B34/10000)-1)*(1-Supuestos!$B$6)</f>
        <v/>
      </c>
      <c r="F34">
        <f>(1-Supuestos!D$28)*((1+((1+Supuestos!D$26)/(1+Supuestos!$B$4)-1+Supuestos!$B$14*$A34/10000))*(1+Supuestos!$B$4+$B34/10000)-1)+Supuestos!D$28*((1+Supuestos!D$27+$A34/10000)*(1+Supuestos!$B$4+$B34/10000)-1)*(1-Supuestos!$B$6)</f>
        <v/>
      </c>
      <c r="G34">
        <f>(1-Supuestos!E$28)*((1+((1+Supuestos!E$26)/(1+Supuestos!$B$4)-1+Supuestos!$B$14*$A34/10000))*(1+Supuestos!$B$4+$B34/10000)-1)+Supuestos!E$28*((1+Supuestos!E$27+$A34/10000)*(1+Supuestos!$B$4+$B34/10000)-1)*(1-Supuestos!$B$6)</f>
        <v/>
      </c>
      <c r="H34">
        <f>(1-Supuestos!F$28)*((1+((1+Supuestos!F$26)/(1+Supuestos!$B$4)-1+Supuestos!$B$14*$A34/10000))*(1+Supuestos!$B$4+$B34/10000)-1)+Supuestos!F$28*((1+Supuestos!F$27+$A34/10000)*(1+Supuestos!$B$4+$B34/10000)-1)*(1-Supuestos!$B$6)</f>
        <v/>
      </c>
      <c r="I34">
        <f>(1-Supuestos!G$28)*((1+((1+Supuestos!G$26)/(1+Supuestos!$B$4)-1+Supuestos!$B$14*$A34/10000))*(1+Supuestos!$B$4+$B34/10000)-1)+Supuestos!G$28*((1+Supuestos!G$27+$A34/10000)*(1+Supuestos!$B$4+$B34/10000)-1)*(1-Supuestos!$B$6)</f>
        <v/>
      </c>
      <c r="J34">
        <f>(1-Supuestos!H$28)*((1+((1+Supuestos!H$26)/(1+Supuestos!$B$4)-1+Supuestos!$B$14*$A34/10000))*(1+Supuestos!$B$4+$B34/10000)-1)+Supuestos!H$28*((1+Supuestos!H$27+$A34/10000)*(1+Supuestos!$B$4+$B34/10000)-1)*(1-Supuestos!$B$6)</f>
        <v/>
      </c>
      <c r="K34">
        <f>(1-Supuestos!I$28)*((1+((1+Supuestos!I$26)/(1+Supuestos!$B$4)-1+Supuestos!$B$14*$A34/10000))*(1+Supuestos!$B$4+$B34/10000)-1)+Supuestos!I$28*((1+Supuestos!I$27+$A34/10000)*(1+Supuestos!$B$4+$B34/10000)-1)*(1-Supuestos!$B$6)</f>
        <v/>
      </c>
      <c r="L34">
        <f>(1+E34)^-Supuestos!C$24</f>
        <v/>
      </c>
      <c r="M34">
        <f>L34*(1+F34)^-Supuestos!D$24</f>
        <v/>
      </c>
      <c r="N34">
        <f>M34*(1+G34)^-Supuestos!E$24</f>
        <v/>
      </c>
      <c r="O34">
        <f>N34*(1+H34)^-Supuestos!F$24</f>
        <v/>
      </c>
      <c r="P34">
        <f>O34*(1+I34)^-Supuestos!G$24</f>
        <v/>
      </c>
      <c r="Q34">
        <f>P34*(1+J34)^-Supuestos!H$24</f>
        <v/>
      </c>
      <c r="R34">
        <f>(1+E34)^-(Supuestos!C$24/2)</f>
        <v/>
      </c>
      <c r="S34">
        <f>L34*(1+F34)^-(Supuestos!D$24/2)</f>
        <v/>
      </c>
      <c r="T34">
        <f>M34*(1+G34)^-(Supuestos!E$24/2)</f>
        <v/>
      </c>
      <c r="U34">
        <f>N34*(1+H34)^-(Supuestos!F$24/2)</f>
        <v/>
      </c>
      <c r="V34">
        <f>O34*(1+I34)^-(Supuestos!G$24/2)</f>
        <v/>
      </c>
      <c r="W34">
        <f>P34*(1+J34)^-(Supuestos!H$24/2)</f>
        <v/>
      </c>
      <c r="X34">
        <f>Supuestos!C$23*(1-$C34+$C34*((1+Supuestos!$B$4+$B34/10000)/(1+Supuestos!$B$4))^Supuestos!C$25)</f>
        <v/>
      </c>
      <c r="Y34">
        <f>Supuestos!D$23*(1-$C34+$C34*((1+Supuestos!$B$4+$B34/10000)/(1+Supuestos!$B$4))^Supuestos!D$25)</f>
        <v/>
      </c>
      <c r="Z34">
        <f>Supuestos!E$23*(1-$C34+$C34*((1+Supuestos!$B$4+$B34/10000)/(1+Supuestos!$B$4))^Supuestos!E$25)</f>
        <v/>
      </c>
      <c r="AA34">
        <f>Supuestos!F$23*(1-$C34+$C34*((1+Supuestos!$B$4+$B34/10000)/(1+Supuestos!$B$4))^Supuestos!F$25)</f>
        <v/>
      </c>
      <c r="AB34">
        <f>Supuestos!G$23*(1-$C34+$C34*((1+Supuestos!$B$4+$B34/10000)/(1+Supuestos!$B$4))^Supuestos!G$25)</f>
        <v/>
      </c>
      <c r="AC34">
        <f>Supuestos!H$23*(1-$C34+$C34*((1+Supuestos!$B$4+$B34/10000)/(1+Supuestos!$B$4))^Supuestos!H$25)</f>
        <v/>
      </c>
      <c r="AD34">
        <f>Supuestos!I$23*(1-$C34+$C34*((1+Supuestos!$B$4+$B34/10000)/(1+Supuestos!$B$4))^Supuestos!I$25)</f>
        <v/>
      </c>
      <c r="AE34">
        <f>SUMPRODUCT(X34:AC34,R34:W34)</f>
        <v/>
      </c>
      <c r="AF34">
        <f>(1+Supuestos!$B$5)/(1+Supuestos!$B$4)*(1+Supuestos!$B$4+$B34/10000)-1</f>
        <v/>
      </c>
      <c r="AG34">
        <f>AD34/(K34-AF34)</f>
        <v/>
      </c>
      <c r="AH34">
        <f>AG34*Q34</f>
        <v/>
      </c>
      <c r="AI34">
        <f>(AE34+AH34-Supuestos!$B$7-Supuestos!$B$8)/Supuestos!$B$9</f>
        <v/>
      </c>
      <c r="AJ34">
        <f>AI34/AI$5-1</f>
        <v/>
      </c>
    </row>
    <row r="35">
      <c r="A35" t="n">
        <v>-100</v>
      </c>
      <c r="B35" t="n">
        <v>100</v>
      </c>
      <c r="C35">
        <f>Supuestos!$B$13</f>
        <v/>
      </c>
      <c r="D35" t="inlineStr">
        <is>
          <t>Grilla</t>
        </is>
      </c>
      <c r="E35">
        <f>(1-Supuestos!C$28)*((1+((1+Supuestos!C$26)/(1+Supuestos!$B$4)-1+Supuestos!$B$14*$A35/10000))*(1+Supuestos!$B$4+$B35/10000)-1)+Supuestos!C$28*((1+Supuestos!C$27+$A35/10000)*(1+Supuestos!$B$4+$B35/10000)-1)*(1-Supuestos!$B$6)</f>
        <v/>
      </c>
      <c r="F35">
        <f>(1-Supuestos!D$28)*((1+((1+Supuestos!D$26)/(1+Supuestos!$B$4)-1+Supuestos!$B$14*$A35/10000))*(1+Supuestos!$B$4+$B35/10000)-1)+Supuestos!D$28*((1+Supuestos!D$27+$A35/10000)*(1+Supuestos!$B$4+$B35/10000)-1)*(1-Supuestos!$B$6)</f>
        <v/>
      </c>
      <c r="G35">
        <f>(1-Supuestos!E$28)*((1+((1+Supuestos!E$26)/(1+Supuestos!$B$4)-1+Supuestos!$B$14*$A35/10000))*(1+Supuestos!$B$4+$B35/10000)-1)+Supuestos!E$28*((1+Supuestos!E$27+$A35/10000)*(1+Supuestos!$B$4+$B35/10000)-1)*(1-Supuestos!$B$6)</f>
        <v/>
      </c>
      <c r="H35">
        <f>(1-Supuestos!F$28)*((1+((1+Supuestos!F$26)/(1+Supuestos!$B$4)-1+Supuestos!$B$14*$A35/10000))*(1+Supuestos!$B$4+$B35/10000)-1)+Supuestos!F$28*((1+Supuestos!F$27+$A35/10000)*(1+Supuestos!$B$4+$B35/10000)-1)*(1-Supuestos!$B$6)</f>
        <v/>
      </c>
      <c r="I35">
        <f>(1-Supuestos!G$28)*((1+((1+Supuestos!G$26)/(1+Supuestos!$B$4)-1+Supuestos!$B$14*$A35/10000))*(1+Supuestos!$B$4+$B35/10000)-1)+Supuestos!G$28*((1+Supuestos!G$27+$A35/10000)*(1+Supuestos!$B$4+$B35/10000)-1)*(1-Supuestos!$B$6)</f>
        <v/>
      </c>
      <c r="J35">
        <f>(1-Supuestos!H$28)*((1+((1+Supuestos!H$26)/(1+Supuestos!$B$4)-1+Supuestos!$B$14*$A35/10000))*(1+Supuestos!$B$4+$B35/10000)-1)+Supuestos!H$28*((1+Supuestos!H$27+$A35/10000)*(1+Supuestos!$B$4+$B35/10000)-1)*(1-Supuestos!$B$6)</f>
        <v/>
      </c>
      <c r="K35">
        <f>(1-Supuestos!I$28)*((1+((1+Supuestos!I$26)/(1+Supuestos!$B$4)-1+Supuestos!$B$14*$A35/10000))*(1+Supuestos!$B$4+$B35/10000)-1)+Supuestos!I$28*((1+Supuestos!I$27+$A35/10000)*(1+Supuestos!$B$4+$B35/10000)-1)*(1-Supuestos!$B$6)</f>
        <v/>
      </c>
      <c r="L35">
        <f>(1+E35)^-Supuestos!C$24</f>
        <v/>
      </c>
      <c r="M35">
        <f>L35*(1+F35)^-Supuestos!D$24</f>
        <v/>
      </c>
      <c r="N35">
        <f>M35*(1+G35)^-Supuestos!E$24</f>
        <v/>
      </c>
      <c r="O35">
        <f>N35*(1+H35)^-Supuestos!F$24</f>
        <v/>
      </c>
      <c r="P35">
        <f>O35*(1+I35)^-Supuestos!G$24</f>
        <v/>
      </c>
      <c r="Q35">
        <f>P35*(1+J35)^-Supuestos!H$24</f>
        <v/>
      </c>
      <c r="R35">
        <f>(1+E35)^-(Supuestos!C$24/2)</f>
        <v/>
      </c>
      <c r="S35">
        <f>L35*(1+F35)^-(Supuestos!D$24/2)</f>
        <v/>
      </c>
      <c r="T35">
        <f>M35*(1+G35)^-(Supuestos!E$24/2)</f>
        <v/>
      </c>
      <c r="U35">
        <f>N35*(1+H35)^-(Supuestos!F$24/2)</f>
        <v/>
      </c>
      <c r="V35">
        <f>O35*(1+I35)^-(Supuestos!G$24/2)</f>
        <v/>
      </c>
      <c r="W35">
        <f>P35*(1+J35)^-(Supuestos!H$24/2)</f>
        <v/>
      </c>
      <c r="X35">
        <f>Supuestos!C$23*(1-$C35+$C35*((1+Supuestos!$B$4+$B35/10000)/(1+Supuestos!$B$4))^Supuestos!C$25)</f>
        <v/>
      </c>
      <c r="Y35">
        <f>Supuestos!D$23*(1-$C35+$C35*((1+Supuestos!$B$4+$B35/10000)/(1+Supuestos!$B$4))^Supuestos!D$25)</f>
        <v/>
      </c>
      <c r="Z35">
        <f>Supuestos!E$23*(1-$C35+$C35*((1+Supuestos!$B$4+$B35/10000)/(1+Supuestos!$B$4))^Supuestos!E$25)</f>
        <v/>
      </c>
      <c r="AA35">
        <f>Supuestos!F$23*(1-$C35+$C35*((1+Supuestos!$B$4+$B35/10000)/(1+Supuestos!$B$4))^Supuestos!F$25)</f>
        <v/>
      </c>
      <c r="AB35">
        <f>Supuestos!G$23*(1-$C35+$C35*((1+Supuestos!$B$4+$B35/10000)/(1+Supuestos!$B$4))^Supuestos!G$25)</f>
        <v/>
      </c>
      <c r="AC35">
        <f>Supuestos!H$23*(1-$C35+$C35*((1+Supuestos!$B$4+$B35/10000)/(1+Supuestos!$B$4))^Supuestos!H$25)</f>
        <v/>
      </c>
      <c r="AD35">
        <f>Supuestos!I$23*(1-$C35+$C35*((1+Supuestos!$B$4+$B35/10000)/(1+Supuestos!$B$4))^Supuestos!I$25)</f>
        <v/>
      </c>
      <c r="AE35">
        <f>SUMPRODUCT(X35:AC35,R35:W35)</f>
        <v/>
      </c>
      <c r="AF35">
        <f>(1+Supuestos!$B$5)/(1+Supuestos!$B$4)*(1+Supuestos!$B$4+$B35/10000)-1</f>
        <v/>
      </c>
      <c r="AG35">
        <f>AD35/(K35-AF35)</f>
        <v/>
      </c>
      <c r="AH35">
        <f>AG35*Q35</f>
        <v/>
      </c>
      <c r="AI35">
        <f>(AE35+AH35-Supuestos!$B$7-Supuestos!$B$8)/Supuestos!$B$9</f>
        <v/>
      </c>
      <c r="AJ35">
        <f>AI35/AI$5-1</f>
        <v/>
      </c>
    </row>
    <row r="36">
      <c r="A36" t="n">
        <v>-50</v>
      </c>
      <c r="B36" t="n">
        <v>100</v>
      </c>
      <c r="C36">
        <f>Supuestos!$B$13</f>
        <v/>
      </c>
      <c r="D36" t="inlineStr">
        <is>
          <t>Grilla</t>
        </is>
      </c>
      <c r="E36">
        <f>(1-Supuestos!C$28)*((1+((1+Supuestos!C$26)/(1+Supuestos!$B$4)-1+Supuestos!$B$14*$A36/10000))*(1+Supuestos!$B$4+$B36/10000)-1)+Supuestos!C$28*((1+Supuestos!C$27+$A36/10000)*(1+Supuestos!$B$4+$B36/10000)-1)*(1-Supuestos!$B$6)</f>
        <v/>
      </c>
      <c r="F36">
        <f>(1-Supuestos!D$28)*((1+((1+Supuestos!D$26)/(1+Supuestos!$B$4)-1+Supuestos!$B$14*$A36/10000))*(1+Supuestos!$B$4+$B36/10000)-1)+Supuestos!D$28*((1+Supuestos!D$27+$A36/10000)*(1+Supuestos!$B$4+$B36/10000)-1)*(1-Supuestos!$B$6)</f>
        <v/>
      </c>
      <c r="G36">
        <f>(1-Supuestos!E$28)*((1+((1+Supuestos!E$26)/(1+Supuestos!$B$4)-1+Supuestos!$B$14*$A36/10000))*(1+Supuestos!$B$4+$B36/10000)-1)+Supuestos!E$28*((1+Supuestos!E$27+$A36/10000)*(1+Supuestos!$B$4+$B36/10000)-1)*(1-Supuestos!$B$6)</f>
        <v/>
      </c>
      <c r="H36">
        <f>(1-Supuestos!F$28)*((1+((1+Supuestos!F$26)/(1+Supuestos!$B$4)-1+Supuestos!$B$14*$A36/10000))*(1+Supuestos!$B$4+$B36/10000)-1)+Supuestos!F$28*((1+Supuestos!F$27+$A36/10000)*(1+Supuestos!$B$4+$B36/10000)-1)*(1-Supuestos!$B$6)</f>
        <v/>
      </c>
      <c r="I36">
        <f>(1-Supuestos!G$28)*((1+((1+Supuestos!G$26)/(1+Supuestos!$B$4)-1+Supuestos!$B$14*$A36/10000))*(1+Supuestos!$B$4+$B36/10000)-1)+Supuestos!G$28*((1+Supuestos!G$27+$A36/10000)*(1+Supuestos!$B$4+$B36/10000)-1)*(1-Supuestos!$B$6)</f>
        <v/>
      </c>
      <c r="J36">
        <f>(1-Supuestos!H$28)*((1+((1+Supuestos!H$26)/(1+Supuestos!$B$4)-1+Supuestos!$B$14*$A36/10000))*(1+Supuestos!$B$4+$B36/10000)-1)+Supuestos!H$28*((1+Supuestos!H$27+$A36/10000)*(1+Supuestos!$B$4+$B36/10000)-1)*(1-Supuestos!$B$6)</f>
        <v/>
      </c>
      <c r="K36">
        <f>(1-Supuestos!I$28)*((1+((1+Supuestos!I$26)/(1+Supuestos!$B$4)-1+Supuestos!$B$14*$A36/10000))*(1+Supuestos!$B$4+$B36/10000)-1)+Supuestos!I$28*((1+Supuestos!I$27+$A36/10000)*(1+Supuestos!$B$4+$B36/10000)-1)*(1-Supuestos!$B$6)</f>
        <v/>
      </c>
      <c r="L36">
        <f>(1+E36)^-Supuestos!C$24</f>
        <v/>
      </c>
      <c r="M36">
        <f>L36*(1+F36)^-Supuestos!D$24</f>
        <v/>
      </c>
      <c r="N36">
        <f>M36*(1+G36)^-Supuestos!E$24</f>
        <v/>
      </c>
      <c r="O36">
        <f>N36*(1+H36)^-Supuestos!F$24</f>
        <v/>
      </c>
      <c r="P36">
        <f>O36*(1+I36)^-Supuestos!G$24</f>
        <v/>
      </c>
      <c r="Q36">
        <f>P36*(1+J36)^-Supuestos!H$24</f>
        <v/>
      </c>
      <c r="R36">
        <f>(1+E36)^-(Supuestos!C$24/2)</f>
        <v/>
      </c>
      <c r="S36">
        <f>L36*(1+F36)^-(Supuestos!D$24/2)</f>
        <v/>
      </c>
      <c r="T36">
        <f>M36*(1+G36)^-(Supuestos!E$24/2)</f>
        <v/>
      </c>
      <c r="U36">
        <f>N36*(1+H36)^-(Supuestos!F$24/2)</f>
        <v/>
      </c>
      <c r="V36">
        <f>O36*(1+I36)^-(Supuestos!G$24/2)</f>
        <v/>
      </c>
      <c r="W36">
        <f>P36*(1+J36)^-(Supuestos!H$24/2)</f>
        <v/>
      </c>
      <c r="X36">
        <f>Supuestos!C$23*(1-$C36+$C36*((1+Supuestos!$B$4+$B36/10000)/(1+Supuestos!$B$4))^Supuestos!C$25)</f>
        <v/>
      </c>
      <c r="Y36">
        <f>Supuestos!D$23*(1-$C36+$C36*((1+Supuestos!$B$4+$B36/10000)/(1+Supuestos!$B$4))^Supuestos!D$25)</f>
        <v/>
      </c>
      <c r="Z36">
        <f>Supuestos!E$23*(1-$C36+$C36*((1+Supuestos!$B$4+$B36/10000)/(1+Supuestos!$B$4))^Supuestos!E$25)</f>
        <v/>
      </c>
      <c r="AA36">
        <f>Supuestos!F$23*(1-$C36+$C36*((1+Supuestos!$B$4+$B36/10000)/(1+Supuestos!$B$4))^Supuestos!F$25)</f>
        <v/>
      </c>
      <c r="AB36">
        <f>Supuestos!G$23*(1-$C36+$C36*((1+Supuestos!$B$4+$B36/10000)/(1+Supuestos!$B$4))^Supuestos!G$25)</f>
        <v/>
      </c>
      <c r="AC36">
        <f>Supuestos!H$23*(1-$C36+$C36*((1+Supuestos!$B$4+$B36/10000)/(1+Supuestos!$B$4))^Supuestos!H$25)</f>
        <v/>
      </c>
      <c r="AD36">
        <f>Supuestos!I$23*(1-$C36+$C36*((1+Supuestos!$B$4+$B36/10000)/(1+Supuestos!$B$4))^Supuestos!I$25)</f>
        <v/>
      </c>
      <c r="AE36">
        <f>SUMPRODUCT(X36:AC36,R36:W36)</f>
        <v/>
      </c>
      <c r="AF36">
        <f>(1+Supuestos!$B$5)/(1+Supuestos!$B$4)*(1+Supuestos!$B$4+$B36/10000)-1</f>
        <v/>
      </c>
      <c r="AG36">
        <f>AD36/(K36-AF36)</f>
        <v/>
      </c>
      <c r="AH36">
        <f>AG36*Q36</f>
        <v/>
      </c>
      <c r="AI36">
        <f>(AE36+AH36-Supuestos!$B$7-Supuestos!$B$8)/Supuestos!$B$9</f>
        <v/>
      </c>
      <c r="AJ36">
        <f>AI36/AI$5-1</f>
        <v/>
      </c>
    </row>
    <row r="37">
      <c r="A37" t="n">
        <v>0</v>
      </c>
      <c r="B37" t="n">
        <v>100</v>
      </c>
      <c r="C37">
        <f>Supuestos!$B$13</f>
        <v/>
      </c>
      <c r="D37" t="inlineStr">
        <is>
          <t>Grilla</t>
        </is>
      </c>
      <c r="E37">
        <f>(1-Supuestos!C$28)*((1+((1+Supuestos!C$26)/(1+Supuestos!$B$4)-1+Supuestos!$B$14*$A37/10000))*(1+Supuestos!$B$4+$B37/10000)-1)+Supuestos!C$28*((1+Supuestos!C$27+$A37/10000)*(1+Supuestos!$B$4+$B37/10000)-1)*(1-Supuestos!$B$6)</f>
        <v/>
      </c>
      <c r="F37">
        <f>(1-Supuestos!D$28)*((1+((1+Supuestos!D$26)/(1+Supuestos!$B$4)-1+Supuestos!$B$14*$A37/10000))*(1+Supuestos!$B$4+$B37/10000)-1)+Supuestos!D$28*((1+Supuestos!D$27+$A37/10000)*(1+Supuestos!$B$4+$B37/10000)-1)*(1-Supuestos!$B$6)</f>
        <v/>
      </c>
      <c r="G37">
        <f>(1-Supuestos!E$28)*((1+((1+Supuestos!E$26)/(1+Supuestos!$B$4)-1+Supuestos!$B$14*$A37/10000))*(1+Supuestos!$B$4+$B37/10000)-1)+Supuestos!E$28*((1+Supuestos!E$27+$A37/10000)*(1+Supuestos!$B$4+$B37/10000)-1)*(1-Supuestos!$B$6)</f>
        <v/>
      </c>
      <c r="H37">
        <f>(1-Supuestos!F$28)*((1+((1+Supuestos!F$26)/(1+Supuestos!$B$4)-1+Supuestos!$B$14*$A37/10000))*(1+Supuestos!$B$4+$B37/10000)-1)+Supuestos!F$28*((1+Supuestos!F$27+$A37/10000)*(1+Supuestos!$B$4+$B37/10000)-1)*(1-Supuestos!$B$6)</f>
        <v/>
      </c>
      <c r="I37">
        <f>(1-Supuestos!G$28)*((1+((1+Supuestos!G$26)/(1+Supuestos!$B$4)-1+Supuestos!$B$14*$A37/10000))*(1+Supuestos!$B$4+$B37/10000)-1)+Supuestos!G$28*((1+Supuestos!G$27+$A37/10000)*(1+Supuestos!$B$4+$B37/10000)-1)*(1-Supuestos!$B$6)</f>
        <v/>
      </c>
      <c r="J37">
        <f>(1-Supuestos!H$28)*((1+((1+Supuestos!H$26)/(1+Supuestos!$B$4)-1+Supuestos!$B$14*$A37/10000))*(1+Supuestos!$B$4+$B37/10000)-1)+Supuestos!H$28*((1+Supuestos!H$27+$A37/10000)*(1+Supuestos!$B$4+$B37/10000)-1)*(1-Supuestos!$B$6)</f>
        <v/>
      </c>
      <c r="K37">
        <f>(1-Supuestos!I$28)*((1+((1+Supuestos!I$26)/(1+Supuestos!$B$4)-1+Supuestos!$B$14*$A37/10000))*(1+Supuestos!$B$4+$B37/10000)-1)+Supuestos!I$28*((1+Supuestos!I$27+$A37/10000)*(1+Supuestos!$B$4+$B37/10000)-1)*(1-Supuestos!$B$6)</f>
        <v/>
      </c>
      <c r="L37">
        <f>(1+E37)^-Supuestos!C$24</f>
        <v/>
      </c>
      <c r="M37">
        <f>L37*(1+F37)^-Supuestos!D$24</f>
        <v/>
      </c>
      <c r="N37">
        <f>M37*(1+G37)^-Supuestos!E$24</f>
        <v/>
      </c>
      <c r="O37">
        <f>N37*(1+H37)^-Supuestos!F$24</f>
        <v/>
      </c>
      <c r="P37">
        <f>O37*(1+I37)^-Supuestos!G$24</f>
        <v/>
      </c>
      <c r="Q37">
        <f>P37*(1+J37)^-Supuestos!H$24</f>
        <v/>
      </c>
      <c r="R37">
        <f>(1+E37)^-(Supuestos!C$24/2)</f>
        <v/>
      </c>
      <c r="S37">
        <f>L37*(1+F37)^-(Supuestos!D$24/2)</f>
        <v/>
      </c>
      <c r="T37">
        <f>M37*(1+G37)^-(Supuestos!E$24/2)</f>
        <v/>
      </c>
      <c r="U37">
        <f>N37*(1+H37)^-(Supuestos!F$24/2)</f>
        <v/>
      </c>
      <c r="V37">
        <f>O37*(1+I37)^-(Supuestos!G$24/2)</f>
        <v/>
      </c>
      <c r="W37">
        <f>P37*(1+J37)^-(Supuestos!H$24/2)</f>
        <v/>
      </c>
      <c r="X37">
        <f>Supuestos!C$23*(1-$C37+$C37*((1+Supuestos!$B$4+$B37/10000)/(1+Supuestos!$B$4))^Supuestos!C$25)</f>
        <v/>
      </c>
      <c r="Y37">
        <f>Supuestos!D$23*(1-$C37+$C37*((1+Supuestos!$B$4+$B37/10000)/(1+Supuestos!$B$4))^Supuestos!D$25)</f>
        <v/>
      </c>
      <c r="Z37">
        <f>Supuestos!E$23*(1-$C37+$C37*((1+Supuestos!$B$4+$B37/10000)/(1+Supuestos!$B$4))^Supuestos!E$25)</f>
        <v/>
      </c>
      <c r="AA37">
        <f>Supuestos!F$23*(1-$C37+$C37*((1+Supuestos!$B$4+$B37/10000)/(1+Supuestos!$B$4))^Supuestos!F$25)</f>
        <v/>
      </c>
      <c r="AB37">
        <f>Supuestos!G$23*(1-$C37+$C37*((1+Supuestos!$B$4+$B37/10000)/(1+Supuestos!$B$4))^Supuestos!G$25)</f>
        <v/>
      </c>
      <c r="AC37">
        <f>Supuestos!H$23*(1-$C37+$C37*((1+Supuestos!$B$4+$B37/10000)/(1+Supuestos!$B$4))^Supuestos!H$25)</f>
        <v/>
      </c>
      <c r="AD37">
        <f>Supuestos!I$23*(1-$C37+$C37*((1+Supuestos!$B$4+$B37/10000)/(1+Supuestos!$B$4))^Supuestos!I$25)</f>
        <v/>
      </c>
      <c r="AE37">
        <f>SUMPRODUCT(X37:AC37,R37:W37)</f>
        <v/>
      </c>
      <c r="AF37">
        <f>(1+Supuestos!$B$5)/(1+Supuestos!$B$4)*(1+Supuestos!$B$4+$B37/10000)-1</f>
        <v/>
      </c>
      <c r="AG37">
        <f>AD37/(K37-AF37)</f>
        <v/>
      </c>
      <c r="AH37">
        <f>AG37*Q37</f>
        <v/>
      </c>
      <c r="AI37">
        <f>(AE37+AH37-Supuestos!$B$7-Supuestos!$B$8)/Supuestos!$B$9</f>
        <v/>
      </c>
      <c r="AJ37">
        <f>AI37/AI$5-1</f>
        <v/>
      </c>
    </row>
    <row r="38">
      <c r="A38" t="n">
        <v>50</v>
      </c>
      <c r="B38" t="n">
        <v>100</v>
      </c>
      <c r="C38">
        <f>Supuestos!$B$13</f>
        <v/>
      </c>
      <c r="D38" t="inlineStr">
        <is>
          <t>Grilla</t>
        </is>
      </c>
      <c r="E38">
        <f>(1-Supuestos!C$28)*((1+((1+Supuestos!C$26)/(1+Supuestos!$B$4)-1+Supuestos!$B$14*$A38/10000))*(1+Supuestos!$B$4+$B38/10000)-1)+Supuestos!C$28*((1+Supuestos!C$27+$A38/10000)*(1+Supuestos!$B$4+$B38/10000)-1)*(1-Supuestos!$B$6)</f>
        <v/>
      </c>
      <c r="F38">
        <f>(1-Supuestos!D$28)*((1+((1+Supuestos!D$26)/(1+Supuestos!$B$4)-1+Supuestos!$B$14*$A38/10000))*(1+Supuestos!$B$4+$B38/10000)-1)+Supuestos!D$28*((1+Supuestos!D$27+$A38/10000)*(1+Supuestos!$B$4+$B38/10000)-1)*(1-Supuestos!$B$6)</f>
        <v/>
      </c>
      <c r="G38">
        <f>(1-Supuestos!E$28)*((1+((1+Supuestos!E$26)/(1+Supuestos!$B$4)-1+Supuestos!$B$14*$A38/10000))*(1+Supuestos!$B$4+$B38/10000)-1)+Supuestos!E$28*((1+Supuestos!E$27+$A38/10000)*(1+Supuestos!$B$4+$B38/10000)-1)*(1-Supuestos!$B$6)</f>
        <v/>
      </c>
      <c r="H38">
        <f>(1-Supuestos!F$28)*((1+((1+Supuestos!F$26)/(1+Supuestos!$B$4)-1+Supuestos!$B$14*$A38/10000))*(1+Supuestos!$B$4+$B38/10000)-1)+Supuestos!F$28*((1+Supuestos!F$27+$A38/10000)*(1+Supuestos!$B$4+$B38/10000)-1)*(1-Supuestos!$B$6)</f>
        <v/>
      </c>
      <c r="I38">
        <f>(1-Supuestos!G$28)*((1+((1+Supuestos!G$26)/(1+Supuestos!$B$4)-1+Supuestos!$B$14*$A38/10000))*(1+Supuestos!$B$4+$B38/10000)-1)+Supuestos!G$28*((1+Supuestos!G$27+$A38/10000)*(1+Supuestos!$B$4+$B38/10000)-1)*(1-Supuestos!$B$6)</f>
        <v/>
      </c>
      <c r="J38">
        <f>(1-Supuestos!H$28)*((1+((1+Supuestos!H$26)/(1+Supuestos!$B$4)-1+Supuestos!$B$14*$A38/10000))*(1+Supuestos!$B$4+$B38/10000)-1)+Supuestos!H$28*((1+Supuestos!H$27+$A38/10000)*(1+Supuestos!$B$4+$B38/10000)-1)*(1-Supuestos!$B$6)</f>
        <v/>
      </c>
      <c r="K38">
        <f>(1-Supuestos!I$28)*((1+((1+Supuestos!I$26)/(1+Supuestos!$B$4)-1+Supuestos!$B$14*$A38/10000))*(1+Supuestos!$B$4+$B38/10000)-1)+Supuestos!I$28*((1+Supuestos!I$27+$A38/10000)*(1+Supuestos!$B$4+$B38/10000)-1)*(1-Supuestos!$B$6)</f>
        <v/>
      </c>
      <c r="L38">
        <f>(1+E38)^-Supuestos!C$24</f>
        <v/>
      </c>
      <c r="M38">
        <f>L38*(1+F38)^-Supuestos!D$24</f>
        <v/>
      </c>
      <c r="N38">
        <f>M38*(1+G38)^-Supuestos!E$24</f>
        <v/>
      </c>
      <c r="O38">
        <f>N38*(1+H38)^-Supuestos!F$24</f>
        <v/>
      </c>
      <c r="P38">
        <f>O38*(1+I38)^-Supuestos!G$24</f>
        <v/>
      </c>
      <c r="Q38">
        <f>P38*(1+J38)^-Supuestos!H$24</f>
        <v/>
      </c>
      <c r="R38">
        <f>(1+E38)^-(Supuestos!C$24/2)</f>
        <v/>
      </c>
      <c r="S38">
        <f>L38*(1+F38)^-(Supuestos!D$24/2)</f>
        <v/>
      </c>
      <c r="T38">
        <f>M38*(1+G38)^-(Supuestos!E$24/2)</f>
        <v/>
      </c>
      <c r="U38">
        <f>N38*(1+H38)^-(Supuestos!F$24/2)</f>
        <v/>
      </c>
      <c r="V38">
        <f>O38*(1+I38)^-(Supuestos!G$24/2)</f>
        <v/>
      </c>
      <c r="W38">
        <f>P38*(1+J38)^-(Supuestos!H$24/2)</f>
        <v/>
      </c>
      <c r="X38">
        <f>Supuestos!C$23*(1-$C38+$C38*((1+Supuestos!$B$4+$B38/10000)/(1+Supuestos!$B$4))^Supuestos!C$25)</f>
        <v/>
      </c>
      <c r="Y38">
        <f>Supuestos!D$23*(1-$C38+$C38*((1+Supuestos!$B$4+$B38/10000)/(1+Supuestos!$B$4))^Supuestos!D$25)</f>
        <v/>
      </c>
      <c r="Z38">
        <f>Supuestos!E$23*(1-$C38+$C38*((1+Supuestos!$B$4+$B38/10000)/(1+Supuestos!$B$4))^Supuestos!E$25)</f>
        <v/>
      </c>
      <c r="AA38">
        <f>Supuestos!F$23*(1-$C38+$C38*((1+Supuestos!$B$4+$B38/10000)/(1+Supuestos!$B$4))^Supuestos!F$25)</f>
        <v/>
      </c>
      <c r="AB38">
        <f>Supuestos!G$23*(1-$C38+$C38*((1+Supuestos!$B$4+$B38/10000)/(1+Supuestos!$B$4))^Supuestos!G$25)</f>
        <v/>
      </c>
      <c r="AC38">
        <f>Supuestos!H$23*(1-$C38+$C38*((1+Supuestos!$B$4+$B38/10000)/(1+Supuestos!$B$4))^Supuestos!H$25)</f>
        <v/>
      </c>
      <c r="AD38">
        <f>Supuestos!I$23*(1-$C38+$C38*((1+Supuestos!$B$4+$B38/10000)/(1+Supuestos!$B$4))^Supuestos!I$25)</f>
        <v/>
      </c>
      <c r="AE38">
        <f>SUMPRODUCT(X38:AC38,R38:W38)</f>
        <v/>
      </c>
      <c r="AF38">
        <f>(1+Supuestos!$B$5)/(1+Supuestos!$B$4)*(1+Supuestos!$B$4+$B38/10000)-1</f>
        <v/>
      </c>
      <c r="AG38">
        <f>AD38/(K38-AF38)</f>
        <v/>
      </c>
      <c r="AH38">
        <f>AG38*Q38</f>
        <v/>
      </c>
      <c r="AI38">
        <f>(AE38+AH38-Supuestos!$B$7-Supuestos!$B$8)/Supuestos!$B$9</f>
        <v/>
      </c>
      <c r="AJ38">
        <f>AI38/AI$5-1</f>
        <v/>
      </c>
    </row>
    <row r="39">
      <c r="A39" t="n">
        <v>100</v>
      </c>
      <c r="B39" t="n">
        <v>100</v>
      </c>
      <c r="C39">
        <f>Supuestos!$B$13</f>
        <v/>
      </c>
      <c r="D39" t="inlineStr">
        <is>
          <t>Grilla</t>
        </is>
      </c>
      <c r="E39">
        <f>(1-Supuestos!C$28)*((1+((1+Supuestos!C$26)/(1+Supuestos!$B$4)-1+Supuestos!$B$14*$A39/10000))*(1+Supuestos!$B$4+$B39/10000)-1)+Supuestos!C$28*((1+Supuestos!C$27+$A39/10000)*(1+Supuestos!$B$4+$B39/10000)-1)*(1-Supuestos!$B$6)</f>
        <v/>
      </c>
      <c r="F39">
        <f>(1-Supuestos!D$28)*((1+((1+Supuestos!D$26)/(1+Supuestos!$B$4)-1+Supuestos!$B$14*$A39/10000))*(1+Supuestos!$B$4+$B39/10000)-1)+Supuestos!D$28*((1+Supuestos!D$27+$A39/10000)*(1+Supuestos!$B$4+$B39/10000)-1)*(1-Supuestos!$B$6)</f>
        <v/>
      </c>
      <c r="G39">
        <f>(1-Supuestos!E$28)*((1+((1+Supuestos!E$26)/(1+Supuestos!$B$4)-1+Supuestos!$B$14*$A39/10000))*(1+Supuestos!$B$4+$B39/10000)-1)+Supuestos!E$28*((1+Supuestos!E$27+$A39/10000)*(1+Supuestos!$B$4+$B39/10000)-1)*(1-Supuestos!$B$6)</f>
        <v/>
      </c>
      <c r="H39">
        <f>(1-Supuestos!F$28)*((1+((1+Supuestos!F$26)/(1+Supuestos!$B$4)-1+Supuestos!$B$14*$A39/10000))*(1+Supuestos!$B$4+$B39/10000)-1)+Supuestos!F$28*((1+Supuestos!F$27+$A39/10000)*(1+Supuestos!$B$4+$B39/10000)-1)*(1-Supuestos!$B$6)</f>
        <v/>
      </c>
      <c r="I39">
        <f>(1-Supuestos!G$28)*((1+((1+Supuestos!G$26)/(1+Supuestos!$B$4)-1+Supuestos!$B$14*$A39/10000))*(1+Supuestos!$B$4+$B39/10000)-1)+Supuestos!G$28*((1+Supuestos!G$27+$A39/10000)*(1+Supuestos!$B$4+$B39/10000)-1)*(1-Supuestos!$B$6)</f>
        <v/>
      </c>
      <c r="J39">
        <f>(1-Supuestos!H$28)*((1+((1+Supuestos!H$26)/(1+Supuestos!$B$4)-1+Supuestos!$B$14*$A39/10000))*(1+Supuestos!$B$4+$B39/10000)-1)+Supuestos!H$28*((1+Supuestos!H$27+$A39/10000)*(1+Supuestos!$B$4+$B39/10000)-1)*(1-Supuestos!$B$6)</f>
        <v/>
      </c>
      <c r="K39">
        <f>(1-Supuestos!I$28)*((1+((1+Supuestos!I$26)/(1+Supuestos!$B$4)-1+Supuestos!$B$14*$A39/10000))*(1+Supuestos!$B$4+$B39/10000)-1)+Supuestos!I$28*((1+Supuestos!I$27+$A39/10000)*(1+Supuestos!$B$4+$B39/10000)-1)*(1-Supuestos!$B$6)</f>
        <v/>
      </c>
      <c r="L39">
        <f>(1+E39)^-Supuestos!C$24</f>
        <v/>
      </c>
      <c r="M39">
        <f>L39*(1+F39)^-Supuestos!D$24</f>
        <v/>
      </c>
      <c r="N39">
        <f>M39*(1+G39)^-Supuestos!E$24</f>
        <v/>
      </c>
      <c r="O39">
        <f>N39*(1+H39)^-Supuestos!F$24</f>
        <v/>
      </c>
      <c r="P39">
        <f>O39*(1+I39)^-Supuestos!G$24</f>
        <v/>
      </c>
      <c r="Q39">
        <f>P39*(1+J39)^-Supuestos!H$24</f>
        <v/>
      </c>
      <c r="R39">
        <f>(1+E39)^-(Supuestos!C$24/2)</f>
        <v/>
      </c>
      <c r="S39">
        <f>L39*(1+F39)^-(Supuestos!D$24/2)</f>
        <v/>
      </c>
      <c r="T39">
        <f>M39*(1+G39)^-(Supuestos!E$24/2)</f>
        <v/>
      </c>
      <c r="U39">
        <f>N39*(1+H39)^-(Supuestos!F$24/2)</f>
        <v/>
      </c>
      <c r="V39">
        <f>O39*(1+I39)^-(Supuestos!G$24/2)</f>
        <v/>
      </c>
      <c r="W39">
        <f>P39*(1+J39)^-(Supuestos!H$24/2)</f>
        <v/>
      </c>
      <c r="X39">
        <f>Supuestos!C$23*(1-$C39+$C39*((1+Supuestos!$B$4+$B39/10000)/(1+Supuestos!$B$4))^Supuestos!C$25)</f>
        <v/>
      </c>
      <c r="Y39">
        <f>Supuestos!D$23*(1-$C39+$C39*((1+Supuestos!$B$4+$B39/10000)/(1+Supuestos!$B$4))^Supuestos!D$25)</f>
        <v/>
      </c>
      <c r="Z39">
        <f>Supuestos!E$23*(1-$C39+$C39*((1+Supuestos!$B$4+$B39/10000)/(1+Supuestos!$B$4))^Supuestos!E$25)</f>
        <v/>
      </c>
      <c r="AA39">
        <f>Supuestos!F$23*(1-$C39+$C39*((1+Supuestos!$B$4+$B39/10000)/(1+Supuestos!$B$4))^Supuestos!F$25)</f>
        <v/>
      </c>
      <c r="AB39">
        <f>Supuestos!G$23*(1-$C39+$C39*((1+Supuestos!$B$4+$B39/10000)/(1+Supuestos!$B$4))^Supuestos!G$25)</f>
        <v/>
      </c>
      <c r="AC39">
        <f>Supuestos!H$23*(1-$C39+$C39*((1+Supuestos!$B$4+$B39/10000)/(1+Supuestos!$B$4))^Supuestos!H$25)</f>
        <v/>
      </c>
      <c r="AD39">
        <f>Supuestos!I$23*(1-$C39+$C39*((1+Supuestos!$B$4+$B39/10000)/(1+Supuestos!$B$4))^Supuestos!I$25)</f>
        <v/>
      </c>
      <c r="AE39">
        <f>SUMPRODUCT(X39:AC39,R39:W39)</f>
        <v/>
      </c>
      <c r="AF39">
        <f>(1+Supuestos!$B$5)/(1+Supuestos!$B$4)*(1+Supuestos!$B$4+$B39/10000)-1</f>
        <v/>
      </c>
      <c r="AG39">
        <f>AD39/(K39-AF39)</f>
        <v/>
      </c>
      <c r="AH39">
        <f>AG39*Q39</f>
        <v/>
      </c>
      <c r="AI39">
        <f>(AE39+AH39-Supuestos!$B$7-Supuestos!$B$8)/Supuestos!$B$9</f>
        <v/>
      </c>
      <c r="AJ39">
        <f>AI39/AI$5-1</f>
        <v/>
      </c>
    </row>
    <row r="40">
      <c r="A40" t="n">
        <v>150</v>
      </c>
      <c r="B40" t="n">
        <v>100</v>
      </c>
      <c r="C40">
        <f>Supuestos!$B$13</f>
        <v/>
      </c>
      <c r="D40" t="inlineStr">
        <is>
          <t>Grilla</t>
        </is>
      </c>
      <c r="E40">
        <f>(1-Supuestos!C$28)*((1+((1+Supuestos!C$26)/(1+Supuestos!$B$4)-1+Supuestos!$B$14*$A40/10000))*(1+Supuestos!$B$4+$B40/10000)-1)+Supuestos!C$28*((1+Supuestos!C$27+$A40/10000)*(1+Supuestos!$B$4+$B40/10000)-1)*(1-Supuestos!$B$6)</f>
        <v/>
      </c>
      <c r="F40">
        <f>(1-Supuestos!D$28)*((1+((1+Supuestos!D$26)/(1+Supuestos!$B$4)-1+Supuestos!$B$14*$A40/10000))*(1+Supuestos!$B$4+$B40/10000)-1)+Supuestos!D$28*((1+Supuestos!D$27+$A40/10000)*(1+Supuestos!$B$4+$B40/10000)-1)*(1-Supuestos!$B$6)</f>
        <v/>
      </c>
      <c r="G40">
        <f>(1-Supuestos!E$28)*((1+((1+Supuestos!E$26)/(1+Supuestos!$B$4)-1+Supuestos!$B$14*$A40/10000))*(1+Supuestos!$B$4+$B40/10000)-1)+Supuestos!E$28*((1+Supuestos!E$27+$A40/10000)*(1+Supuestos!$B$4+$B40/10000)-1)*(1-Supuestos!$B$6)</f>
        <v/>
      </c>
      <c r="H40">
        <f>(1-Supuestos!F$28)*((1+((1+Supuestos!F$26)/(1+Supuestos!$B$4)-1+Supuestos!$B$14*$A40/10000))*(1+Supuestos!$B$4+$B40/10000)-1)+Supuestos!F$28*((1+Supuestos!F$27+$A40/10000)*(1+Supuestos!$B$4+$B40/10000)-1)*(1-Supuestos!$B$6)</f>
        <v/>
      </c>
      <c r="I40">
        <f>(1-Supuestos!G$28)*((1+((1+Supuestos!G$26)/(1+Supuestos!$B$4)-1+Supuestos!$B$14*$A40/10000))*(1+Supuestos!$B$4+$B40/10000)-1)+Supuestos!G$28*((1+Supuestos!G$27+$A40/10000)*(1+Supuestos!$B$4+$B40/10000)-1)*(1-Supuestos!$B$6)</f>
        <v/>
      </c>
      <c r="J40">
        <f>(1-Supuestos!H$28)*((1+((1+Supuestos!H$26)/(1+Supuestos!$B$4)-1+Supuestos!$B$14*$A40/10000))*(1+Supuestos!$B$4+$B40/10000)-1)+Supuestos!H$28*((1+Supuestos!H$27+$A40/10000)*(1+Supuestos!$B$4+$B40/10000)-1)*(1-Supuestos!$B$6)</f>
        <v/>
      </c>
      <c r="K40">
        <f>(1-Supuestos!I$28)*((1+((1+Supuestos!I$26)/(1+Supuestos!$B$4)-1+Supuestos!$B$14*$A40/10000))*(1+Supuestos!$B$4+$B40/10000)-1)+Supuestos!I$28*((1+Supuestos!I$27+$A40/10000)*(1+Supuestos!$B$4+$B40/10000)-1)*(1-Supuestos!$B$6)</f>
        <v/>
      </c>
      <c r="L40">
        <f>(1+E40)^-Supuestos!C$24</f>
        <v/>
      </c>
      <c r="M40">
        <f>L40*(1+F40)^-Supuestos!D$24</f>
        <v/>
      </c>
      <c r="N40">
        <f>M40*(1+G40)^-Supuestos!E$24</f>
        <v/>
      </c>
      <c r="O40">
        <f>N40*(1+H40)^-Supuestos!F$24</f>
        <v/>
      </c>
      <c r="P40">
        <f>O40*(1+I40)^-Supuestos!G$24</f>
        <v/>
      </c>
      <c r="Q40">
        <f>P40*(1+J40)^-Supuestos!H$24</f>
        <v/>
      </c>
      <c r="R40">
        <f>(1+E40)^-(Supuestos!C$24/2)</f>
        <v/>
      </c>
      <c r="S40">
        <f>L40*(1+F40)^-(Supuestos!D$24/2)</f>
        <v/>
      </c>
      <c r="T40">
        <f>M40*(1+G40)^-(Supuestos!E$24/2)</f>
        <v/>
      </c>
      <c r="U40">
        <f>N40*(1+H40)^-(Supuestos!F$24/2)</f>
        <v/>
      </c>
      <c r="V40">
        <f>O40*(1+I40)^-(Supuestos!G$24/2)</f>
        <v/>
      </c>
      <c r="W40">
        <f>P40*(1+J40)^-(Supuestos!H$24/2)</f>
        <v/>
      </c>
      <c r="X40">
        <f>Supuestos!C$23*(1-$C40+$C40*((1+Supuestos!$B$4+$B40/10000)/(1+Supuestos!$B$4))^Supuestos!C$25)</f>
        <v/>
      </c>
      <c r="Y40">
        <f>Supuestos!D$23*(1-$C40+$C40*((1+Supuestos!$B$4+$B40/10000)/(1+Supuestos!$B$4))^Supuestos!D$25)</f>
        <v/>
      </c>
      <c r="Z40">
        <f>Supuestos!E$23*(1-$C40+$C40*((1+Supuestos!$B$4+$B40/10000)/(1+Supuestos!$B$4))^Supuestos!E$25)</f>
        <v/>
      </c>
      <c r="AA40">
        <f>Supuestos!F$23*(1-$C40+$C40*((1+Supuestos!$B$4+$B40/10000)/(1+Supuestos!$B$4))^Supuestos!F$25)</f>
        <v/>
      </c>
      <c r="AB40">
        <f>Supuestos!G$23*(1-$C40+$C40*((1+Supuestos!$B$4+$B40/10000)/(1+Supuestos!$B$4))^Supuestos!G$25)</f>
        <v/>
      </c>
      <c r="AC40">
        <f>Supuestos!H$23*(1-$C40+$C40*((1+Supuestos!$B$4+$B40/10000)/(1+Supuestos!$B$4))^Supuestos!H$25)</f>
        <v/>
      </c>
      <c r="AD40">
        <f>Supuestos!I$23*(1-$C40+$C40*((1+Supuestos!$B$4+$B40/10000)/(1+Supuestos!$B$4))^Supuestos!I$25)</f>
        <v/>
      </c>
      <c r="AE40">
        <f>SUMPRODUCT(X40:AC40,R40:W40)</f>
        <v/>
      </c>
      <c r="AF40">
        <f>(1+Supuestos!$B$5)/(1+Supuestos!$B$4)*(1+Supuestos!$B$4+$B40/10000)-1</f>
        <v/>
      </c>
      <c r="AG40">
        <f>AD40/(K40-AF40)</f>
        <v/>
      </c>
      <c r="AH40">
        <f>AG40*Q40</f>
        <v/>
      </c>
      <c r="AI40">
        <f>(AE40+AH40-Supuestos!$B$7-Supuestos!$B$8)/Supuestos!$B$9</f>
        <v/>
      </c>
      <c r="AJ40">
        <f>AI40/AI$5-1</f>
        <v/>
      </c>
    </row>
    <row r="41">
      <c r="A41" t="n">
        <v>100</v>
      </c>
      <c r="B41" t="n">
        <v>0</v>
      </c>
      <c r="C41" t="n">
        <v>1</v>
      </c>
      <c r="D41" t="inlineStr">
        <is>
          <t>Mix Δi=+100 θ=1.0</t>
        </is>
      </c>
      <c r="E41">
        <f>(1-Supuestos!C$28)*((1+((1+Supuestos!C$26)/(1+Supuestos!$B$4)-1+Supuestos!$B$14*$A41/10000))*(1+Supuestos!$B$4+$B41/10000)-1)+Supuestos!C$28*((1+Supuestos!C$27+$A41/10000)*(1+Supuestos!$B$4+$B41/10000)-1)*(1-Supuestos!$B$6)</f>
        <v/>
      </c>
      <c r="F41">
        <f>(1-Supuestos!D$28)*((1+((1+Supuestos!D$26)/(1+Supuestos!$B$4)-1+Supuestos!$B$14*$A41/10000))*(1+Supuestos!$B$4+$B41/10000)-1)+Supuestos!D$28*((1+Supuestos!D$27+$A41/10000)*(1+Supuestos!$B$4+$B41/10000)-1)*(1-Supuestos!$B$6)</f>
        <v/>
      </c>
      <c r="G41">
        <f>(1-Supuestos!E$28)*((1+((1+Supuestos!E$26)/(1+Supuestos!$B$4)-1+Supuestos!$B$14*$A41/10000))*(1+Supuestos!$B$4+$B41/10000)-1)+Supuestos!E$28*((1+Supuestos!E$27+$A41/10000)*(1+Supuestos!$B$4+$B41/10000)-1)*(1-Supuestos!$B$6)</f>
        <v/>
      </c>
      <c r="H41">
        <f>(1-Supuestos!F$28)*((1+((1+Supuestos!F$26)/(1+Supuestos!$B$4)-1+Supuestos!$B$14*$A41/10000))*(1+Supuestos!$B$4+$B41/10000)-1)+Supuestos!F$28*((1+Supuestos!F$27+$A41/10000)*(1+Supuestos!$B$4+$B41/10000)-1)*(1-Supuestos!$B$6)</f>
        <v/>
      </c>
      <c r="I41">
        <f>(1-Supuestos!G$28)*((1+((1+Supuestos!G$26)/(1+Supuestos!$B$4)-1+Supuestos!$B$14*$A41/10000))*(1+Supuestos!$B$4+$B41/10000)-1)+Supuestos!G$28*((1+Supuestos!G$27+$A41/10000)*(1+Supuestos!$B$4+$B41/10000)-1)*(1-Supuestos!$B$6)</f>
        <v/>
      </c>
      <c r="J41">
        <f>(1-Supuestos!H$28)*((1+((1+Supuestos!H$26)/(1+Supuestos!$B$4)-1+Supuestos!$B$14*$A41/10000))*(1+Supuestos!$B$4+$B41/10000)-1)+Supuestos!H$28*((1+Supuestos!H$27+$A41/10000)*(1+Supuestos!$B$4+$B41/10000)-1)*(1-Supuestos!$B$6)</f>
        <v/>
      </c>
      <c r="K41">
        <f>(1-Supuestos!I$28)*((1+((1+Supuestos!I$26)/(1+Supuestos!$B$4)-1+Supuestos!$B$14*$A41/10000))*(1+Supuestos!$B$4+$B41/10000)-1)+Supuestos!I$28*((1+Supuestos!I$27+$A41/10000)*(1+Supuestos!$B$4+$B41/10000)-1)*(1-Supuestos!$B$6)</f>
        <v/>
      </c>
      <c r="L41">
        <f>(1+E41)^-Supuestos!C$24</f>
        <v/>
      </c>
      <c r="M41">
        <f>L41*(1+F41)^-Supuestos!D$24</f>
        <v/>
      </c>
      <c r="N41">
        <f>M41*(1+G41)^-Supuestos!E$24</f>
        <v/>
      </c>
      <c r="O41">
        <f>N41*(1+H41)^-Supuestos!F$24</f>
        <v/>
      </c>
      <c r="P41">
        <f>O41*(1+I41)^-Supuestos!G$24</f>
        <v/>
      </c>
      <c r="Q41">
        <f>P41*(1+J41)^-Supuestos!H$24</f>
        <v/>
      </c>
      <c r="R41">
        <f>(1+E41)^-(Supuestos!C$24/2)</f>
        <v/>
      </c>
      <c r="S41">
        <f>L41*(1+F41)^-(Supuestos!D$24/2)</f>
        <v/>
      </c>
      <c r="T41">
        <f>M41*(1+G41)^-(Supuestos!E$24/2)</f>
        <v/>
      </c>
      <c r="U41">
        <f>N41*(1+H41)^-(Supuestos!F$24/2)</f>
        <v/>
      </c>
      <c r="V41">
        <f>O41*(1+I41)^-(Supuestos!G$24/2)</f>
        <v/>
      </c>
      <c r="W41">
        <f>P41*(1+J41)^-(Supuestos!H$24/2)</f>
        <v/>
      </c>
      <c r="X41">
        <f>Supuestos!C$23*(1-$C41+$C41*((1+Supuestos!$B$4+$B41/10000)/(1+Supuestos!$B$4))^Supuestos!C$25)</f>
        <v/>
      </c>
      <c r="Y41">
        <f>Supuestos!D$23*(1-$C41+$C41*((1+Supuestos!$B$4+$B41/10000)/(1+Supuestos!$B$4))^Supuestos!D$25)</f>
        <v/>
      </c>
      <c r="Z41">
        <f>Supuestos!E$23*(1-$C41+$C41*((1+Supuestos!$B$4+$B41/10000)/(1+Supuestos!$B$4))^Supuestos!E$25)</f>
        <v/>
      </c>
      <c r="AA41">
        <f>Supuestos!F$23*(1-$C41+$C41*((1+Supuestos!$B$4+$B41/10000)/(1+Supuestos!$B$4))^Supuestos!F$25)</f>
        <v/>
      </c>
      <c r="AB41">
        <f>Supuestos!G$23*(1-$C41+$C41*((1+Supuestos!$B$4+$B41/10000)/(1+Supuestos!$B$4))^Supuestos!G$25)</f>
        <v/>
      </c>
      <c r="AC41">
        <f>Supuestos!H$23*(1-$C41+$C41*((1+Supuestos!$B$4+$B41/10000)/(1+Supuestos!$B$4))^Supuestos!H$25)</f>
        <v/>
      </c>
      <c r="AD41">
        <f>Supuestos!I$23*(1-$C41+$C41*((1+Supuestos!$B$4+$B41/10000)/(1+Supuestos!$B$4))^Supuestos!I$25)</f>
        <v/>
      </c>
      <c r="AE41">
        <f>SUMPRODUCT(X41:AC41,R41:W41)</f>
        <v/>
      </c>
      <c r="AF41">
        <f>(1+Supuestos!$B$5)/(1+Supuestos!$B$4)*(1+Supuestos!$B$4+$B41/10000)-1</f>
        <v/>
      </c>
      <c r="AG41">
        <f>AD41/(K41-AF41)</f>
        <v/>
      </c>
      <c r="AH41">
        <f>AG41*Q41</f>
        <v/>
      </c>
      <c r="AI41">
        <f>(AE41+AH41-Supuestos!$B$7-Supuestos!$B$8)/Supuestos!$B$9</f>
        <v/>
      </c>
      <c r="AJ41">
        <f>AI41/AI$5-1</f>
        <v/>
      </c>
    </row>
    <row r="42">
      <c r="A42" t="n">
        <v>90</v>
      </c>
      <c r="B42" t="n">
        <v>10</v>
      </c>
      <c r="C42" t="n">
        <v>1</v>
      </c>
      <c r="D42" t="inlineStr">
        <is>
          <t>Mix Δi=+100 θ=1.0</t>
        </is>
      </c>
      <c r="E42">
        <f>(1-Supuestos!C$28)*((1+((1+Supuestos!C$26)/(1+Supuestos!$B$4)-1+Supuestos!$B$14*$A42/10000))*(1+Supuestos!$B$4+$B42/10000)-1)+Supuestos!C$28*((1+Supuestos!C$27+$A42/10000)*(1+Supuestos!$B$4+$B42/10000)-1)*(1-Supuestos!$B$6)</f>
        <v/>
      </c>
      <c r="F42">
        <f>(1-Supuestos!D$28)*((1+((1+Supuestos!D$26)/(1+Supuestos!$B$4)-1+Supuestos!$B$14*$A42/10000))*(1+Supuestos!$B$4+$B42/10000)-1)+Supuestos!D$28*((1+Supuestos!D$27+$A42/10000)*(1+Supuestos!$B$4+$B42/10000)-1)*(1-Supuestos!$B$6)</f>
        <v/>
      </c>
      <c r="G42">
        <f>(1-Supuestos!E$28)*((1+((1+Supuestos!E$26)/(1+Supuestos!$B$4)-1+Supuestos!$B$14*$A42/10000))*(1+Supuestos!$B$4+$B42/10000)-1)+Supuestos!E$28*((1+Supuestos!E$27+$A42/10000)*(1+Supuestos!$B$4+$B42/10000)-1)*(1-Supuestos!$B$6)</f>
        <v/>
      </c>
      <c r="H42">
        <f>(1-Supuestos!F$28)*((1+((1+Supuestos!F$26)/(1+Supuestos!$B$4)-1+Supuestos!$B$14*$A42/10000))*(1+Supuestos!$B$4+$B42/10000)-1)+Supuestos!F$28*((1+Supuestos!F$27+$A42/10000)*(1+Supuestos!$B$4+$B42/10000)-1)*(1-Supuestos!$B$6)</f>
        <v/>
      </c>
      <c r="I42">
        <f>(1-Supuestos!G$28)*((1+((1+Supuestos!G$26)/(1+Supuestos!$B$4)-1+Supuestos!$B$14*$A42/10000))*(1+Supuestos!$B$4+$B42/10000)-1)+Supuestos!G$28*((1+Supuestos!G$27+$A42/10000)*(1+Supuestos!$B$4+$B42/10000)-1)*(1-Supuestos!$B$6)</f>
        <v/>
      </c>
      <c r="J42">
        <f>(1-Supuestos!H$28)*((1+((1+Supuestos!H$26)/(1+Supuestos!$B$4)-1+Supuestos!$B$14*$A42/10000))*(1+Supuestos!$B$4+$B42/10000)-1)+Supuestos!H$28*((1+Supuestos!H$27+$A42/10000)*(1+Supuestos!$B$4+$B42/10000)-1)*(1-Supuestos!$B$6)</f>
        <v/>
      </c>
      <c r="K42">
        <f>(1-Supuestos!I$28)*((1+((1+Supuestos!I$26)/(1+Supuestos!$B$4)-1+Supuestos!$B$14*$A42/10000))*(1+Supuestos!$B$4+$B42/10000)-1)+Supuestos!I$28*((1+Supuestos!I$27+$A42/10000)*(1+Supuestos!$B$4+$B42/10000)-1)*(1-Supuestos!$B$6)</f>
        <v/>
      </c>
      <c r="L42">
        <f>(1+E42)^-Supuestos!C$24</f>
        <v/>
      </c>
      <c r="M42">
        <f>L42*(1+F42)^-Supuestos!D$24</f>
        <v/>
      </c>
      <c r="N42">
        <f>M42*(1+G42)^-Supuestos!E$24</f>
        <v/>
      </c>
      <c r="O42">
        <f>N42*(1+H42)^-Supuestos!F$24</f>
        <v/>
      </c>
      <c r="P42">
        <f>O42*(1+I42)^-Supuestos!G$24</f>
        <v/>
      </c>
      <c r="Q42">
        <f>P42*(1+J42)^-Supuestos!H$24</f>
        <v/>
      </c>
      <c r="R42">
        <f>(1+E42)^-(Supuestos!C$24/2)</f>
        <v/>
      </c>
      <c r="S42">
        <f>L42*(1+F42)^-(Supuestos!D$24/2)</f>
        <v/>
      </c>
      <c r="T42">
        <f>M42*(1+G42)^-(Supuestos!E$24/2)</f>
        <v/>
      </c>
      <c r="U42">
        <f>N42*(1+H42)^-(Supuestos!F$24/2)</f>
        <v/>
      </c>
      <c r="V42">
        <f>O42*(1+I42)^-(Supuestos!G$24/2)</f>
        <v/>
      </c>
      <c r="W42">
        <f>P42*(1+J42)^-(Supuestos!H$24/2)</f>
        <v/>
      </c>
      <c r="X42">
        <f>Supuestos!C$23*(1-$C42+$C42*((1+Supuestos!$B$4+$B42/10000)/(1+Supuestos!$B$4))^Supuestos!C$25)</f>
        <v/>
      </c>
      <c r="Y42">
        <f>Supuestos!D$23*(1-$C42+$C42*((1+Supuestos!$B$4+$B42/10000)/(1+Supuestos!$B$4))^Supuestos!D$25)</f>
        <v/>
      </c>
      <c r="Z42">
        <f>Supuestos!E$23*(1-$C42+$C42*((1+Supuestos!$B$4+$B42/10000)/(1+Supuestos!$B$4))^Supuestos!E$25)</f>
        <v/>
      </c>
      <c r="AA42">
        <f>Supuestos!F$23*(1-$C42+$C42*((1+Supuestos!$B$4+$B42/10000)/(1+Supuestos!$B$4))^Supuestos!F$25)</f>
        <v/>
      </c>
      <c r="AB42">
        <f>Supuestos!G$23*(1-$C42+$C42*((1+Supuestos!$B$4+$B42/10000)/(1+Supuestos!$B$4))^Supuestos!G$25)</f>
        <v/>
      </c>
      <c r="AC42">
        <f>Supuestos!H$23*(1-$C42+$C42*((1+Supuestos!$B$4+$B42/10000)/(1+Supuestos!$B$4))^Supuestos!H$25)</f>
        <v/>
      </c>
      <c r="AD42">
        <f>Supuestos!I$23*(1-$C42+$C42*((1+Supuestos!$B$4+$B42/10000)/(1+Supuestos!$B$4))^Supuestos!I$25)</f>
        <v/>
      </c>
      <c r="AE42">
        <f>SUMPRODUCT(X42:AC42,R42:W42)</f>
        <v/>
      </c>
      <c r="AF42">
        <f>(1+Supuestos!$B$5)/(1+Supuestos!$B$4)*(1+Supuestos!$B$4+$B42/10000)-1</f>
        <v/>
      </c>
      <c r="AG42">
        <f>AD42/(K42-AF42)</f>
        <v/>
      </c>
      <c r="AH42">
        <f>AG42*Q42</f>
        <v/>
      </c>
      <c r="AI42">
        <f>(AE42+AH42-Supuestos!$B$7-Supuestos!$B$8)/Supuestos!$B$9</f>
        <v/>
      </c>
      <c r="AJ42">
        <f>AI42/AI$5-1</f>
        <v/>
      </c>
    </row>
    <row r="43">
      <c r="A43" t="n">
        <v>80</v>
      </c>
      <c r="B43" t="n">
        <v>20</v>
      </c>
      <c r="C43" t="n">
        <v>1</v>
      </c>
      <c r="D43" t="inlineStr">
        <is>
          <t>Mix Δi=+100 θ=1.0</t>
        </is>
      </c>
      <c r="E43">
        <f>(1-Supuestos!C$28)*((1+((1+Supuestos!C$26)/(1+Supuestos!$B$4)-1+Supuestos!$B$14*$A43/10000))*(1+Supuestos!$B$4+$B43/10000)-1)+Supuestos!C$28*((1+Supuestos!C$27+$A43/10000)*(1+Supuestos!$B$4+$B43/10000)-1)*(1-Supuestos!$B$6)</f>
        <v/>
      </c>
      <c r="F43">
        <f>(1-Supuestos!D$28)*((1+((1+Supuestos!D$26)/(1+Supuestos!$B$4)-1+Supuestos!$B$14*$A43/10000))*(1+Supuestos!$B$4+$B43/10000)-1)+Supuestos!D$28*((1+Supuestos!D$27+$A43/10000)*(1+Supuestos!$B$4+$B43/10000)-1)*(1-Supuestos!$B$6)</f>
        <v/>
      </c>
      <c r="G43">
        <f>(1-Supuestos!E$28)*((1+((1+Supuestos!E$26)/(1+Supuestos!$B$4)-1+Supuestos!$B$14*$A43/10000))*(1+Supuestos!$B$4+$B43/10000)-1)+Supuestos!E$28*((1+Supuestos!E$27+$A43/10000)*(1+Supuestos!$B$4+$B43/10000)-1)*(1-Supuestos!$B$6)</f>
        <v/>
      </c>
      <c r="H43">
        <f>(1-Supuestos!F$28)*((1+((1+Supuestos!F$26)/(1+Supuestos!$B$4)-1+Supuestos!$B$14*$A43/10000))*(1+Supuestos!$B$4+$B43/10000)-1)+Supuestos!F$28*((1+Supuestos!F$27+$A43/10000)*(1+Supuestos!$B$4+$B43/10000)-1)*(1-Supuestos!$B$6)</f>
        <v/>
      </c>
      <c r="I43">
        <f>(1-Supuestos!G$28)*((1+((1+Supuestos!G$26)/(1+Supuestos!$B$4)-1+Supuestos!$B$14*$A43/10000))*(1+Supuestos!$B$4+$B43/10000)-1)+Supuestos!G$28*((1+Supuestos!G$27+$A43/10000)*(1+Supuestos!$B$4+$B43/10000)-1)*(1-Supuestos!$B$6)</f>
        <v/>
      </c>
      <c r="J43">
        <f>(1-Supuestos!H$28)*((1+((1+Supuestos!H$26)/(1+Supuestos!$B$4)-1+Supuestos!$B$14*$A43/10000))*(1+Supuestos!$B$4+$B43/10000)-1)+Supuestos!H$28*((1+Supuestos!H$27+$A43/10000)*(1+Supuestos!$B$4+$B43/10000)-1)*(1-Supuestos!$B$6)</f>
        <v/>
      </c>
      <c r="K43">
        <f>(1-Supuestos!I$28)*((1+((1+Supuestos!I$26)/(1+Supuestos!$B$4)-1+Supuestos!$B$14*$A43/10000))*(1+Supuestos!$B$4+$B43/10000)-1)+Supuestos!I$28*((1+Supuestos!I$27+$A43/10000)*(1+Supuestos!$B$4+$B43/10000)-1)*(1-Supuestos!$B$6)</f>
        <v/>
      </c>
      <c r="L43">
        <f>(1+E43)^-Supuestos!C$24</f>
        <v/>
      </c>
      <c r="M43">
        <f>L43*(1+F43)^-Supuestos!D$24</f>
        <v/>
      </c>
      <c r="N43">
        <f>M43*(1+G43)^-Supuestos!E$24</f>
        <v/>
      </c>
      <c r="O43">
        <f>N43*(1+H43)^-Supuestos!F$24</f>
        <v/>
      </c>
      <c r="P43">
        <f>O43*(1+I43)^-Supuestos!G$24</f>
        <v/>
      </c>
      <c r="Q43">
        <f>P43*(1+J43)^-Supuestos!H$24</f>
        <v/>
      </c>
      <c r="R43">
        <f>(1+E43)^-(Supuestos!C$24/2)</f>
        <v/>
      </c>
      <c r="S43">
        <f>L43*(1+F43)^-(Supuestos!D$24/2)</f>
        <v/>
      </c>
      <c r="T43">
        <f>M43*(1+G43)^-(Supuestos!E$24/2)</f>
        <v/>
      </c>
      <c r="U43">
        <f>N43*(1+H43)^-(Supuestos!F$24/2)</f>
        <v/>
      </c>
      <c r="V43">
        <f>O43*(1+I43)^-(Supuestos!G$24/2)</f>
        <v/>
      </c>
      <c r="W43">
        <f>P43*(1+J43)^-(Supuestos!H$24/2)</f>
        <v/>
      </c>
      <c r="X43">
        <f>Supuestos!C$23*(1-$C43+$C43*((1+Supuestos!$B$4+$B43/10000)/(1+Supuestos!$B$4))^Supuestos!C$25)</f>
        <v/>
      </c>
      <c r="Y43">
        <f>Supuestos!D$23*(1-$C43+$C43*((1+Supuestos!$B$4+$B43/10000)/(1+Supuestos!$B$4))^Supuestos!D$25)</f>
        <v/>
      </c>
      <c r="Z43">
        <f>Supuestos!E$23*(1-$C43+$C43*((1+Supuestos!$B$4+$B43/10000)/(1+Supuestos!$B$4))^Supuestos!E$25)</f>
        <v/>
      </c>
      <c r="AA43">
        <f>Supuestos!F$23*(1-$C43+$C43*((1+Supuestos!$B$4+$B43/10000)/(1+Supuestos!$B$4))^Supuestos!F$25)</f>
        <v/>
      </c>
      <c r="AB43">
        <f>Supuestos!G$23*(1-$C43+$C43*((1+Supuestos!$B$4+$B43/10000)/(1+Supuestos!$B$4))^Supuestos!G$25)</f>
        <v/>
      </c>
      <c r="AC43">
        <f>Supuestos!H$23*(1-$C43+$C43*((1+Supuestos!$B$4+$B43/10000)/(1+Supuestos!$B$4))^Supuestos!H$25)</f>
        <v/>
      </c>
      <c r="AD43">
        <f>Supuestos!I$23*(1-$C43+$C43*((1+Supuestos!$B$4+$B43/10000)/(1+Supuestos!$B$4))^Supuestos!I$25)</f>
        <v/>
      </c>
      <c r="AE43">
        <f>SUMPRODUCT(X43:AC43,R43:W43)</f>
        <v/>
      </c>
      <c r="AF43">
        <f>(1+Supuestos!$B$5)/(1+Supuestos!$B$4)*(1+Supuestos!$B$4+$B43/10000)-1</f>
        <v/>
      </c>
      <c r="AG43">
        <f>AD43/(K43-AF43)</f>
        <v/>
      </c>
      <c r="AH43">
        <f>AG43*Q43</f>
        <v/>
      </c>
      <c r="AI43">
        <f>(AE43+AH43-Supuestos!$B$7-Supuestos!$B$8)/Supuestos!$B$9</f>
        <v/>
      </c>
      <c r="AJ43">
        <f>AI43/AI$5-1</f>
        <v/>
      </c>
    </row>
    <row r="44">
      <c r="A44" t="n">
        <v>70</v>
      </c>
      <c r="B44" t="n">
        <v>30</v>
      </c>
      <c r="C44" t="n">
        <v>1</v>
      </c>
      <c r="D44" t="inlineStr">
        <is>
          <t>Mix Δi=+100 θ=1.0</t>
        </is>
      </c>
      <c r="E44">
        <f>(1-Supuestos!C$28)*((1+((1+Supuestos!C$26)/(1+Supuestos!$B$4)-1+Supuestos!$B$14*$A44/10000))*(1+Supuestos!$B$4+$B44/10000)-1)+Supuestos!C$28*((1+Supuestos!C$27+$A44/10000)*(1+Supuestos!$B$4+$B44/10000)-1)*(1-Supuestos!$B$6)</f>
        <v/>
      </c>
      <c r="F44">
        <f>(1-Supuestos!D$28)*((1+((1+Supuestos!D$26)/(1+Supuestos!$B$4)-1+Supuestos!$B$14*$A44/10000))*(1+Supuestos!$B$4+$B44/10000)-1)+Supuestos!D$28*((1+Supuestos!D$27+$A44/10000)*(1+Supuestos!$B$4+$B44/10000)-1)*(1-Supuestos!$B$6)</f>
        <v/>
      </c>
      <c r="G44">
        <f>(1-Supuestos!E$28)*((1+((1+Supuestos!E$26)/(1+Supuestos!$B$4)-1+Supuestos!$B$14*$A44/10000))*(1+Supuestos!$B$4+$B44/10000)-1)+Supuestos!E$28*((1+Supuestos!E$27+$A44/10000)*(1+Supuestos!$B$4+$B44/10000)-1)*(1-Supuestos!$B$6)</f>
        <v/>
      </c>
      <c r="H44">
        <f>(1-Supuestos!F$28)*((1+((1+Supuestos!F$26)/(1+Supuestos!$B$4)-1+Supuestos!$B$14*$A44/10000))*(1+Supuestos!$B$4+$B44/10000)-1)+Supuestos!F$28*((1+Supuestos!F$27+$A44/10000)*(1+Supuestos!$B$4+$B44/10000)-1)*(1-Supuestos!$B$6)</f>
        <v/>
      </c>
      <c r="I44">
        <f>(1-Supuestos!G$28)*((1+((1+Supuestos!G$26)/(1+Supuestos!$B$4)-1+Supuestos!$B$14*$A44/10000))*(1+Supuestos!$B$4+$B44/10000)-1)+Supuestos!G$28*((1+Supuestos!G$27+$A44/10000)*(1+Supuestos!$B$4+$B44/10000)-1)*(1-Supuestos!$B$6)</f>
        <v/>
      </c>
      <c r="J44">
        <f>(1-Supuestos!H$28)*((1+((1+Supuestos!H$26)/(1+Supuestos!$B$4)-1+Supuestos!$B$14*$A44/10000))*(1+Supuestos!$B$4+$B44/10000)-1)+Supuestos!H$28*((1+Supuestos!H$27+$A44/10000)*(1+Supuestos!$B$4+$B44/10000)-1)*(1-Supuestos!$B$6)</f>
        <v/>
      </c>
      <c r="K44">
        <f>(1-Supuestos!I$28)*((1+((1+Supuestos!I$26)/(1+Supuestos!$B$4)-1+Supuestos!$B$14*$A44/10000))*(1+Supuestos!$B$4+$B44/10000)-1)+Supuestos!I$28*((1+Supuestos!I$27+$A44/10000)*(1+Supuestos!$B$4+$B44/10000)-1)*(1-Supuestos!$B$6)</f>
        <v/>
      </c>
      <c r="L44">
        <f>(1+E44)^-Supuestos!C$24</f>
        <v/>
      </c>
      <c r="M44">
        <f>L44*(1+F44)^-Supuestos!D$24</f>
        <v/>
      </c>
      <c r="N44">
        <f>M44*(1+G44)^-Supuestos!E$24</f>
        <v/>
      </c>
      <c r="O44">
        <f>N44*(1+H44)^-Supuestos!F$24</f>
        <v/>
      </c>
      <c r="P44">
        <f>O44*(1+I44)^-Supuestos!G$24</f>
        <v/>
      </c>
      <c r="Q44">
        <f>P44*(1+J44)^-Supuestos!H$24</f>
        <v/>
      </c>
      <c r="R44">
        <f>(1+E44)^-(Supuestos!C$24/2)</f>
        <v/>
      </c>
      <c r="S44">
        <f>L44*(1+F44)^-(Supuestos!D$24/2)</f>
        <v/>
      </c>
      <c r="T44">
        <f>M44*(1+G44)^-(Supuestos!E$24/2)</f>
        <v/>
      </c>
      <c r="U44">
        <f>N44*(1+H44)^-(Supuestos!F$24/2)</f>
        <v/>
      </c>
      <c r="V44">
        <f>O44*(1+I44)^-(Supuestos!G$24/2)</f>
        <v/>
      </c>
      <c r="W44">
        <f>P44*(1+J44)^-(Supuestos!H$24/2)</f>
        <v/>
      </c>
      <c r="X44">
        <f>Supuestos!C$23*(1-$C44+$C44*((1+Supuestos!$B$4+$B44/10000)/(1+Supuestos!$B$4))^Supuestos!C$25)</f>
        <v/>
      </c>
      <c r="Y44">
        <f>Supuestos!D$23*(1-$C44+$C44*((1+Supuestos!$B$4+$B44/10000)/(1+Supuestos!$B$4))^Supuestos!D$25)</f>
        <v/>
      </c>
      <c r="Z44">
        <f>Supuestos!E$23*(1-$C44+$C44*((1+Supuestos!$B$4+$B44/10000)/(1+Supuestos!$B$4))^Supuestos!E$25)</f>
        <v/>
      </c>
      <c r="AA44">
        <f>Supuestos!F$23*(1-$C44+$C44*((1+Supuestos!$B$4+$B44/10000)/(1+Supuestos!$B$4))^Supuestos!F$25)</f>
        <v/>
      </c>
      <c r="AB44">
        <f>Supuestos!G$23*(1-$C44+$C44*((1+Supuestos!$B$4+$B44/10000)/(1+Supuestos!$B$4))^Supuestos!G$25)</f>
        <v/>
      </c>
      <c r="AC44">
        <f>Supuestos!H$23*(1-$C44+$C44*((1+Supuestos!$B$4+$B44/10000)/(1+Supuestos!$B$4))^Supuestos!H$25)</f>
        <v/>
      </c>
      <c r="AD44">
        <f>Supuestos!I$23*(1-$C44+$C44*((1+Supuestos!$B$4+$B44/10000)/(1+Supuestos!$B$4))^Supuestos!I$25)</f>
        <v/>
      </c>
      <c r="AE44">
        <f>SUMPRODUCT(X44:AC44,R44:W44)</f>
        <v/>
      </c>
      <c r="AF44">
        <f>(1+Supuestos!$B$5)/(1+Supuestos!$B$4)*(1+Supuestos!$B$4+$B44/10000)-1</f>
        <v/>
      </c>
      <c r="AG44">
        <f>AD44/(K44-AF44)</f>
        <v/>
      </c>
      <c r="AH44">
        <f>AG44*Q44</f>
        <v/>
      </c>
      <c r="AI44">
        <f>(AE44+AH44-Supuestos!$B$7-Supuestos!$B$8)/Supuestos!$B$9</f>
        <v/>
      </c>
      <c r="AJ44">
        <f>AI44/AI$5-1</f>
        <v/>
      </c>
    </row>
    <row r="45">
      <c r="A45" t="n">
        <v>60</v>
      </c>
      <c r="B45" t="n">
        <v>40</v>
      </c>
      <c r="C45" t="n">
        <v>1</v>
      </c>
      <c r="D45" t="inlineStr">
        <is>
          <t>Mix Δi=+100 θ=1.0</t>
        </is>
      </c>
      <c r="E45">
        <f>(1-Supuestos!C$28)*((1+((1+Supuestos!C$26)/(1+Supuestos!$B$4)-1+Supuestos!$B$14*$A45/10000))*(1+Supuestos!$B$4+$B45/10000)-1)+Supuestos!C$28*((1+Supuestos!C$27+$A45/10000)*(1+Supuestos!$B$4+$B45/10000)-1)*(1-Supuestos!$B$6)</f>
        <v/>
      </c>
      <c r="F45">
        <f>(1-Supuestos!D$28)*((1+((1+Supuestos!D$26)/(1+Supuestos!$B$4)-1+Supuestos!$B$14*$A45/10000))*(1+Supuestos!$B$4+$B45/10000)-1)+Supuestos!D$28*((1+Supuestos!D$27+$A45/10000)*(1+Supuestos!$B$4+$B45/10000)-1)*(1-Supuestos!$B$6)</f>
        <v/>
      </c>
      <c r="G45">
        <f>(1-Supuestos!E$28)*((1+((1+Supuestos!E$26)/(1+Supuestos!$B$4)-1+Supuestos!$B$14*$A45/10000))*(1+Supuestos!$B$4+$B45/10000)-1)+Supuestos!E$28*((1+Supuestos!E$27+$A45/10000)*(1+Supuestos!$B$4+$B45/10000)-1)*(1-Supuestos!$B$6)</f>
        <v/>
      </c>
      <c r="H45">
        <f>(1-Supuestos!F$28)*((1+((1+Supuestos!F$26)/(1+Supuestos!$B$4)-1+Supuestos!$B$14*$A45/10000))*(1+Supuestos!$B$4+$B45/10000)-1)+Supuestos!F$28*((1+Supuestos!F$27+$A45/10000)*(1+Supuestos!$B$4+$B45/10000)-1)*(1-Supuestos!$B$6)</f>
        <v/>
      </c>
      <c r="I45">
        <f>(1-Supuestos!G$28)*((1+((1+Supuestos!G$26)/(1+Supuestos!$B$4)-1+Supuestos!$B$14*$A45/10000))*(1+Supuestos!$B$4+$B45/10000)-1)+Supuestos!G$28*((1+Supuestos!G$27+$A45/10000)*(1+Supuestos!$B$4+$B45/10000)-1)*(1-Supuestos!$B$6)</f>
        <v/>
      </c>
      <c r="J45">
        <f>(1-Supuestos!H$28)*((1+((1+Supuestos!H$26)/(1+Supuestos!$B$4)-1+Supuestos!$B$14*$A45/10000))*(1+Supuestos!$B$4+$B45/10000)-1)+Supuestos!H$28*((1+Supuestos!H$27+$A45/10000)*(1+Supuestos!$B$4+$B45/10000)-1)*(1-Supuestos!$B$6)</f>
        <v/>
      </c>
      <c r="K45">
        <f>(1-Supuestos!I$28)*((1+((1+Supuestos!I$26)/(1+Supuestos!$B$4)-1+Supuestos!$B$14*$A45/10000))*(1+Supuestos!$B$4+$B45/10000)-1)+Supuestos!I$28*((1+Supuestos!I$27+$A45/10000)*(1+Supuestos!$B$4+$B45/10000)-1)*(1-Supuestos!$B$6)</f>
        <v/>
      </c>
      <c r="L45">
        <f>(1+E45)^-Supuestos!C$24</f>
        <v/>
      </c>
      <c r="M45">
        <f>L45*(1+F45)^-Supuestos!D$24</f>
        <v/>
      </c>
      <c r="N45">
        <f>M45*(1+G45)^-Supuestos!E$24</f>
        <v/>
      </c>
      <c r="O45">
        <f>N45*(1+H45)^-Supuestos!F$24</f>
        <v/>
      </c>
      <c r="P45">
        <f>O45*(1+I45)^-Supuestos!G$24</f>
        <v/>
      </c>
      <c r="Q45">
        <f>P45*(1+J45)^-Supuestos!H$24</f>
        <v/>
      </c>
      <c r="R45">
        <f>(1+E45)^-(Supuestos!C$24/2)</f>
        <v/>
      </c>
      <c r="S45">
        <f>L45*(1+F45)^-(Supuestos!D$24/2)</f>
        <v/>
      </c>
      <c r="T45">
        <f>M45*(1+G45)^-(Supuestos!E$24/2)</f>
        <v/>
      </c>
      <c r="U45">
        <f>N45*(1+H45)^-(Supuestos!F$24/2)</f>
        <v/>
      </c>
      <c r="V45">
        <f>O45*(1+I45)^-(Supuestos!G$24/2)</f>
        <v/>
      </c>
      <c r="W45">
        <f>P45*(1+J45)^-(Supuestos!H$24/2)</f>
        <v/>
      </c>
      <c r="X45">
        <f>Supuestos!C$23*(1-$C45+$C45*((1+Supuestos!$B$4+$B45/10000)/(1+Supuestos!$B$4))^Supuestos!C$25)</f>
        <v/>
      </c>
      <c r="Y45">
        <f>Supuestos!D$23*(1-$C45+$C45*((1+Supuestos!$B$4+$B45/10000)/(1+Supuestos!$B$4))^Supuestos!D$25)</f>
        <v/>
      </c>
      <c r="Z45">
        <f>Supuestos!E$23*(1-$C45+$C45*((1+Supuestos!$B$4+$B45/10000)/(1+Supuestos!$B$4))^Supuestos!E$25)</f>
        <v/>
      </c>
      <c r="AA45">
        <f>Supuestos!F$23*(1-$C45+$C45*((1+Supuestos!$B$4+$B45/10000)/(1+Supuestos!$B$4))^Supuestos!F$25)</f>
        <v/>
      </c>
      <c r="AB45">
        <f>Supuestos!G$23*(1-$C45+$C45*((1+Supuestos!$B$4+$B45/10000)/(1+Supuestos!$B$4))^Supuestos!G$25)</f>
        <v/>
      </c>
      <c r="AC45">
        <f>Supuestos!H$23*(1-$C45+$C45*((1+Supuestos!$B$4+$B45/10000)/(1+Supuestos!$B$4))^Supuestos!H$25)</f>
        <v/>
      </c>
      <c r="AD45">
        <f>Supuestos!I$23*(1-$C45+$C45*((1+Supuestos!$B$4+$B45/10000)/(1+Supuestos!$B$4))^Supuestos!I$25)</f>
        <v/>
      </c>
      <c r="AE45">
        <f>SUMPRODUCT(X45:AC45,R45:W45)</f>
        <v/>
      </c>
      <c r="AF45">
        <f>(1+Supuestos!$B$5)/(1+Supuestos!$B$4)*(1+Supuestos!$B$4+$B45/10000)-1</f>
        <v/>
      </c>
      <c r="AG45">
        <f>AD45/(K45-AF45)</f>
        <v/>
      </c>
      <c r="AH45">
        <f>AG45*Q45</f>
        <v/>
      </c>
      <c r="AI45">
        <f>(AE45+AH45-Supuestos!$B$7-Supuestos!$B$8)/Supuestos!$B$9</f>
        <v/>
      </c>
      <c r="AJ45">
        <f>AI45/AI$5-1</f>
        <v/>
      </c>
    </row>
    <row r="46">
      <c r="A46" t="n">
        <v>50</v>
      </c>
      <c r="B46" t="n">
        <v>50</v>
      </c>
      <c r="C46" t="n">
        <v>1</v>
      </c>
      <c r="D46" t="inlineStr">
        <is>
          <t>Mix Δi=+100 θ=1.0</t>
        </is>
      </c>
      <c r="E46">
        <f>(1-Supuestos!C$28)*((1+((1+Supuestos!C$26)/(1+Supuestos!$B$4)-1+Supuestos!$B$14*$A46/10000))*(1+Supuestos!$B$4+$B46/10000)-1)+Supuestos!C$28*((1+Supuestos!C$27+$A46/10000)*(1+Supuestos!$B$4+$B46/10000)-1)*(1-Supuestos!$B$6)</f>
        <v/>
      </c>
      <c r="F46">
        <f>(1-Supuestos!D$28)*((1+((1+Supuestos!D$26)/(1+Supuestos!$B$4)-1+Supuestos!$B$14*$A46/10000))*(1+Supuestos!$B$4+$B46/10000)-1)+Supuestos!D$28*((1+Supuestos!D$27+$A46/10000)*(1+Supuestos!$B$4+$B46/10000)-1)*(1-Supuestos!$B$6)</f>
        <v/>
      </c>
      <c r="G46">
        <f>(1-Supuestos!E$28)*((1+((1+Supuestos!E$26)/(1+Supuestos!$B$4)-1+Supuestos!$B$14*$A46/10000))*(1+Supuestos!$B$4+$B46/10000)-1)+Supuestos!E$28*((1+Supuestos!E$27+$A46/10000)*(1+Supuestos!$B$4+$B46/10000)-1)*(1-Supuestos!$B$6)</f>
        <v/>
      </c>
      <c r="H46">
        <f>(1-Supuestos!F$28)*((1+((1+Supuestos!F$26)/(1+Supuestos!$B$4)-1+Supuestos!$B$14*$A46/10000))*(1+Supuestos!$B$4+$B46/10000)-1)+Supuestos!F$28*((1+Supuestos!F$27+$A46/10000)*(1+Supuestos!$B$4+$B46/10000)-1)*(1-Supuestos!$B$6)</f>
        <v/>
      </c>
      <c r="I46">
        <f>(1-Supuestos!G$28)*((1+((1+Supuestos!G$26)/(1+Supuestos!$B$4)-1+Supuestos!$B$14*$A46/10000))*(1+Supuestos!$B$4+$B46/10000)-1)+Supuestos!G$28*((1+Supuestos!G$27+$A46/10000)*(1+Supuestos!$B$4+$B46/10000)-1)*(1-Supuestos!$B$6)</f>
        <v/>
      </c>
      <c r="J46">
        <f>(1-Supuestos!H$28)*((1+((1+Supuestos!H$26)/(1+Supuestos!$B$4)-1+Supuestos!$B$14*$A46/10000))*(1+Supuestos!$B$4+$B46/10000)-1)+Supuestos!H$28*((1+Supuestos!H$27+$A46/10000)*(1+Supuestos!$B$4+$B46/10000)-1)*(1-Supuestos!$B$6)</f>
        <v/>
      </c>
      <c r="K46">
        <f>(1-Supuestos!I$28)*((1+((1+Supuestos!I$26)/(1+Supuestos!$B$4)-1+Supuestos!$B$14*$A46/10000))*(1+Supuestos!$B$4+$B46/10000)-1)+Supuestos!I$28*((1+Supuestos!I$27+$A46/10000)*(1+Supuestos!$B$4+$B46/10000)-1)*(1-Supuestos!$B$6)</f>
        <v/>
      </c>
      <c r="L46">
        <f>(1+E46)^-Supuestos!C$24</f>
        <v/>
      </c>
      <c r="M46">
        <f>L46*(1+F46)^-Supuestos!D$24</f>
        <v/>
      </c>
      <c r="N46">
        <f>M46*(1+G46)^-Supuestos!E$24</f>
        <v/>
      </c>
      <c r="O46">
        <f>N46*(1+H46)^-Supuestos!F$24</f>
        <v/>
      </c>
      <c r="P46">
        <f>O46*(1+I46)^-Supuestos!G$24</f>
        <v/>
      </c>
      <c r="Q46">
        <f>P46*(1+J46)^-Supuestos!H$24</f>
        <v/>
      </c>
      <c r="R46">
        <f>(1+E46)^-(Supuestos!C$24/2)</f>
        <v/>
      </c>
      <c r="S46">
        <f>L46*(1+F46)^-(Supuestos!D$24/2)</f>
        <v/>
      </c>
      <c r="T46">
        <f>M46*(1+G46)^-(Supuestos!E$24/2)</f>
        <v/>
      </c>
      <c r="U46">
        <f>N46*(1+H46)^-(Supuestos!F$24/2)</f>
        <v/>
      </c>
      <c r="V46">
        <f>O46*(1+I46)^-(Supuestos!G$24/2)</f>
        <v/>
      </c>
      <c r="W46">
        <f>P46*(1+J46)^-(Supuestos!H$24/2)</f>
        <v/>
      </c>
      <c r="X46">
        <f>Supuestos!C$23*(1-$C46+$C46*((1+Supuestos!$B$4+$B46/10000)/(1+Supuestos!$B$4))^Supuestos!C$25)</f>
        <v/>
      </c>
      <c r="Y46">
        <f>Supuestos!D$23*(1-$C46+$C46*((1+Supuestos!$B$4+$B46/10000)/(1+Supuestos!$B$4))^Supuestos!D$25)</f>
        <v/>
      </c>
      <c r="Z46">
        <f>Supuestos!E$23*(1-$C46+$C46*((1+Supuestos!$B$4+$B46/10000)/(1+Supuestos!$B$4))^Supuestos!E$25)</f>
        <v/>
      </c>
      <c r="AA46">
        <f>Supuestos!F$23*(1-$C46+$C46*((1+Supuestos!$B$4+$B46/10000)/(1+Supuestos!$B$4))^Supuestos!F$25)</f>
        <v/>
      </c>
      <c r="AB46">
        <f>Supuestos!G$23*(1-$C46+$C46*((1+Supuestos!$B$4+$B46/10000)/(1+Supuestos!$B$4))^Supuestos!G$25)</f>
        <v/>
      </c>
      <c r="AC46">
        <f>Supuestos!H$23*(1-$C46+$C46*((1+Supuestos!$B$4+$B46/10000)/(1+Supuestos!$B$4))^Supuestos!H$25)</f>
        <v/>
      </c>
      <c r="AD46">
        <f>Supuestos!I$23*(1-$C46+$C46*((1+Supuestos!$B$4+$B46/10000)/(1+Supuestos!$B$4))^Supuestos!I$25)</f>
        <v/>
      </c>
      <c r="AE46">
        <f>SUMPRODUCT(X46:AC46,R46:W46)</f>
        <v/>
      </c>
      <c r="AF46">
        <f>(1+Supuestos!$B$5)/(1+Supuestos!$B$4)*(1+Supuestos!$B$4+$B46/10000)-1</f>
        <v/>
      </c>
      <c r="AG46">
        <f>AD46/(K46-AF46)</f>
        <v/>
      </c>
      <c r="AH46">
        <f>AG46*Q46</f>
        <v/>
      </c>
      <c r="AI46">
        <f>(AE46+AH46-Supuestos!$B$7-Supuestos!$B$8)/Supuestos!$B$9</f>
        <v/>
      </c>
      <c r="AJ46">
        <f>AI46/AI$5-1</f>
        <v/>
      </c>
    </row>
    <row r="47">
      <c r="A47" t="n">
        <v>40</v>
      </c>
      <c r="B47" t="n">
        <v>60</v>
      </c>
      <c r="C47" t="n">
        <v>1</v>
      </c>
      <c r="D47" t="inlineStr">
        <is>
          <t>Mix Δi=+100 θ=1.0</t>
        </is>
      </c>
      <c r="E47">
        <f>(1-Supuestos!C$28)*((1+((1+Supuestos!C$26)/(1+Supuestos!$B$4)-1+Supuestos!$B$14*$A47/10000))*(1+Supuestos!$B$4+$B47/10000)-1)+Supuestos!C$28*((1+Supuestos!C$27+$A47/10000)*(1+Supuestos!$B$4+$B47/10000)-1)*(1-Supuestos!$B$6)</f>
        <v/>
      </c>
      <c r="F47">
        <f>(1-Supuestos!D$28)*((1+((1+Supuestos!D$26)/(1+Supuestos!$B$4)-1+Supuestos!$B$14*$A47/10000))*(1+Supuestos!$B$4+$B47/10000)-1)+Supuestos!D$28*((1+Supuestos!D$27+$A47/10000)*(1+Supuestos!$B$4+$B47/10000)-1)*(1-Supuestos!$B$6)</f>
        <v/>
      </c>
      <c r="G47">
        <f>(1-Supuestos!E$28)*((1+((1+Supuestos!E$26)/(1+Supuestos!$B$4)-1+Supuestos!$B$14*$A47/10000))*(1+Supuestos!$B$4+$B47/10000)-1)+Supuestos!E$28*((1+Supuestos!E$27+$A47/10000)*(1+Supuestos!$B$4+$B47/10000)-1)*(1-Supuestos!$B$6)</f>
        <v/>
      </c>
      <c r="H47">
        <f>(1-Supuestos!F$28)*((1+((1+Supuestos!F$26)/(1+Supuestos!$B$4)-1+Supuestos!$B$14*$A47/10000))*(1+Supuestos!$B$4+$B47/10000)-1)+Supuestos!F$28*((1+Supuestos!F$27+$A47/10000)*(1+Supuestos!$B$4+$B47/10000)-1)*(1-Supuestos!$B$6)</f>
        <v/>
      </c>
      <c r="I47">
        <f>(1-Supuestos!G$28)*((1+((1+Supuestos!G$26)/(1+Supuestos!$B$4)-1+Supuestos!$B$14*$A47/10000))*(1+Supuestos!$B$4+$B47/10000)-1)+Supuestos!G$28*((1+Supuestos!G$27+$A47/10000)*(1+Supuestos!$B$4+$B47/10000)-1)*(1-Supuestos!$B$6)</f>
        <v/>
      </c>
      <c r="J47">
        <f>(1-Supuestos!H$28)*((1+((1+Supuestos!H$26)/(1+Supuestos!$B$4)-1+Supuestos!$B$14*$A47/10000))*(1+Supuestos!$B$4+$B47/10000)-1)+Supuestos!H$28*((1+Supuestos!H$27+$A47/10000)*(1+Supuestos!$B$4+$B47/10000)-1)*(1-Supuestos!$B$6)</f>
        <v/>
      </c>
      <c r="K47">
        <f>(1-Supuestos!I$28)*((1+((1+Supuestos!I$26)/(1+Supuestos!$B$4)-1+Supuestos!$B$14*$A47/10000))*(1+Supuestos!$B$4+$B47/10000)-1)+Supuestos!I$28*((1+Supuestos!I$27+$A47/10000)*(1+Supuestos!$B$4+$B47/10000)-1)*(1-Supuestos!$B$6)</f>
        <v/>
      </c>
      <c r="L47">
        <f>(1+E47)^-Supuestos!C$24</f>
        <v/>
      </c>
      <c r="M47">
        <f>L47*(1+F47)^-Supuestos!D$24</f>
        <v/>
      </c>
      <c r="N47">
        <f>M47*(1+G47)^-Supuestos!E$24</f>
        <v/>
      </c>
      <c r="O47">
        <f>N47*(1+H47)^-Supuestos!F$24</f>
        <v/>
      </c>
      <c r="P47">
        <f>O47*(1+I47)^-Supuestos!G$24</f>
        <v/>
      </c>
      <c r="Q47">
        <f>P47*(1+J47)^-Supuestos!H$24</f>
        <v/>
      </c>
      <c r="R47">
        <f>(1+E47)^-(Supuestos!C$24/2)</f>
        <v/>
      </c>
      <c r="S47">
        <f>L47*(1+F47)^-(Supuestos!D$24/2)</f>
        <v/>
      </c>
      <c r="T47">
        <f>M47*(1+G47)^-(Supuestos!E$24/2)</f>
        <v/>
      </c>
      <c r="U47">
        <f>N47*(1+H47)^-(Supuestos!F$24/2)</f>
        <v/>
      </c>
      <c r="V47">
        <f>O47*(1+I47)^-(Supuestos!G$24/2)</f>
        <v/>
      </c>
      <c r="W47">
        <f>P47*(1+J47)^-(Supuestos!H$24/2)</f>
        <v/>
      </c>
      <c r="X47">
        <f>Supuestos!C$23*(1-$C47+$C47*((1+Supuestos!$B$4+$B47/10000)/(1+Supuestos!$B$4))^Supuestos!C$25)</f>
        <v/>
      </c>
      <c r="Y47">
        <f>Supuestos!D$23*(1-$C47+$C47*((1+Supuestos!$B$4+$B47/10000)/(1+Supuestos!$B$4))^Supuestos!D$25)</f>
        <v/>
      </c>
      <c r="Z47">
        <f>Supuestos!E$23*(1-$C47+$C47*((1+Supuestos!$B$4+$B47/10000)/(1+Supuestos!$B$4))^Supuestos!E$25)</f>
        <v/>
      </c>
      <c r="AA47">
        <f>Supuestos!F$23*(1-$C47+$C47*((1+Supuestos!$B$4+$B47/10000)/(1+Supuestos!$B$4))^Supuestos!F$25)</f>
        <v/>
      </c>
      <c r="AB47">
        <f>Supuestos!G$23*(1-$C47+$C47*((1+Supuestos!$B$4+$B47/10000)/(1+Supuestos!$B$4))^Supuestos!G$25)</f>
        <v/>
      </c>
      <c r="AC47">
        <f>Supuestos!H$23*(1-$C47+$C47*((1+Supuestos!$B$4+$B47/10000)/(1+Supuestos!$B$4))^Supuestos!H$25)</f>
        <v/>
      </c>
      <c r="AD47">
        <f>Supuestos!I$23*(1-$C47+$C47*((1+Supuestos!$B$4+$B47/10000)/(1+Supuestos!$B$4))^Supuestos!I$25)</f>
        <v/>
      </c>
      <c r="AE47">
        <f>SUMPRODUCT(X47:AC47,R47:W47)</f>
        <v/>
      </c>
      <c r="AF47">
        <f>(1+Supuestos!$B$5)/(1+Supuestos!$B$4)*(1+Supuestos!$B$4+$B47/10000)-1</f>
        <v/>
      </c>
      <c r="AG47">
        <f>AD47/(K47-AF47)</f>
        <v/>
      </c>
      <c r="AH47">
        <f>AG47*Q47</f>
        <v/>
      </c>
      <c r="AI47">
        <f>(AE47+AH47-Supuestos!$B$7-Supuestos!$B$8)/Supuestos!$B$9</f>
        <v/>
      </c>
      <c r="AJ47">
        <f>AI47/AI$5-1</f>
        <v/>
      </c>
    </row>
    <row r="48">
      <c r="A48" t="n">
        <v>30</v>
      </c>
      <c r="B48" t="n">
        <v>70</v>
      </c>
      <c r="C48" t="n">
        <v>1</v>
      </c>
      <c r="D48" t="inlineStr">
        <is>
          <t>Mix Δi=+100 θ=1.0</t>
        </is>
      </c>
      <c r="E48">
        <f>(1-Supuestos!C$28)*((1+((1+Supuestos!C$26)/(1+Supuestos!$B$4)-1+Supuestos!$B$14*$A48/10000))*(1+Supuestos!$B$4+$B48/10000)-1)+Supuestos!C$28*((1+Supuestos!C$27+$A48/10000)*(1+Supuestos!$B$4+$B48/10000)-1)*(1-Supuestos!$B$6)</f>
        <v/>
      </c>
      <c r="F48">
        <f>(1-Supuestos!D$28)*((1+((1+Supuestos!D$26)/(1+Supuestos!$B$4)-1+Supuestos!$B$14*$A48/10000))*(1+Supuestos!$B$4+$B48/10000)-1)+Supuestos!D$28*((1+Supuestos!D$27+$A48/10000)*(1+Supuestos!$B$4+$B48/10000)-1)*(1-Supuestos!$B$6)</f>
        <v/>
      </c>
      <c r="G48">
        <f>(1-Supuestos!E$28)*((1+((1+Supuestos!E$26)/(1+Supuestos!$B$4)-1+Supuestos!$B$14*$A48/10000))*(1+Supuestos!$B$4+$B48/10000)-1)+Supuestos!E$28*((1+Supuestos!E$27+$A48/10000)*(1+Supuestos!$B$4+$B48/10000)-1)*(1-Supuestos!$B$6)</f>
        <v/>
      </c>
      <c r="H48">
        <f>(1-Supuestos!F$28)*((1+((1+Supuestos!F$26)/(1+Supuestos!$B$4)-1+Supuestos!$B$14*$A48/10000))*(1+Supuestos!$B$4+$B48/10000)-1)+Supuestos!F$28*((1+Supuestos!F$27+$A48/10000)*(1+Supuestos!$B$4+$B48/10000)-1)*(1-Supuestos!$B$6)</f>
        <v/>
      </c>
      <c r="I48">
        <f>(1-Supuestos!G$28)*((1+((1+Supuestos!G$26)/(1+Supuestos!$B$4)-1+Supuestos!$B$14*$A48/10000))*(1+Supuestos!$B$4+$B48/10000)-1)+Supuestos!G$28*((1+Supuestos!G$27+$A48/10000)*(1+Supuestos!$B$4+$B48/10000)-1)*(1-Supuestos!$B$6)</f>
        <v/>
      </c>
      <c r="J48">
        <f>(1-Supuestos!H$28)*((1+((1+Supuestos!H$26)/(1+Supuestos!$B$4)-1+Supuestos!$B$14*$A48/10000))*(1+Supuestos!$B$4+$B48/10000)-1)+Supuestos!H$28*((1+Supuestos!H$27+$A48/10000)*(1+Supuestos!$B$4+$B48/10000)-1)*(1-Supuestos!$B$6)</f>
        <v/>
      </c>
      <c r="K48">
        <f>(1-Supuestos!I$28)*((1+((1+Supuestos!I$26)/(1+Supuestos!$B$4)-1+Supuestos!$B$14*$A48/10000))*(1+Supuestos!$B$4+$B48/10000)-1)+Supuestos!I$28*((1+Supuestos!I$27+$A48/10000)*(1+Supuestos!$B$4+$B48/10000)-1)*(1-Supuestos!$B$6)</f>
        <v/>
      </c>
      <c r="L48">
        <f>(1+E48)^-Supuestos!C$24</f>
        <v/>
      </c>
      <c r="M48">
        <f>L48*(1+F48)^-Supuestos!D$24</f>
        <v/>
      </c>
      <c r="N48">
        <f>M48*(1+G48)^-Supuestos!E$24</f>
        <v/>
      </c>
      <c r="O48">
        <f>N48*(1+H48)^-Supuestos!F$24</f>
        <v/>
      </c>
      <c r="P48">
        <f>O48*(1+I48)^-Supuestos!G$24</f>
        <v/>
      </c>
      <c r="Q48">
        <f>P48*(1+J48)^-Supuestos!H$24</f>
        <v/>
      </c>
      <c r="R48">
        <f>(1+E48)^-(Supuestos!C$24/2)</f>
        <v/>
      </c>
      <c r="S48">
        <f>L48*(1+F48)^-(Supuestos!D$24/2)</f>
        <v/>
      </c>
      <c r="T48">
        <f>M48*(1+G48)^-(Supuestos!E$24/2)</f>
        <v/>
      </c>
      <c r="U48">
        <f>N48*(1+H48)^-(Supuestos!F$24/2)</f>
        <v/>
      </c>
      <c r="V48">
        <f>O48*(1+I48)^-(Supuestos!G$24/2)</f>
        <v/>
      </c>
      <c r="W48">
        <f>P48*(1+J48)^-(Supuestos!H$24/2)</f>
        <v/>
      </c>
      <c r="X48">
        <f>Supuestos!C$23*(1-$C48+$C48*((1+Supuestos!$B$4+$B48/10000)/(1+Supuestos!$B$4))^Supuestos!C$25)</f>
        <v/>
      </c>
      <c r="Y48">
        <f>Supuestos!D$23*(1-$C48+$C48*((1+Supuestos!$B$4+$B48/10000)/(1+Supuestos!$B$4))^Supuestos!D$25)</f>
        <v/>
      </c>
      <c r="Z48">
        <f>Supuestos!E$23*(1-$C48+$C48*((1+Supuestos!$B$4+$B48/10000)/(1+Supuestos!$B$4))^Supuestos!E$25)</f>
        <v/>
      </c>
      <c r="AA48">
        <f>Supuestos!F$23*(1-$C48+$C48*((1+Supuestos!$B$4+$B48/10000)/(1+Supuestos!$B$4))^Supuestos!F$25)</f>
        <v/>
      </c>
      <c r="AB48">
        <f>Supuestos!G$23*(1-$C48+$C48*((1+Supuestos!$B$4+$B48/10000)/(1+Supuestos!$B$4))^Supuestos!G$25)</f>
        <v/>
      </c>
      <c r="AC48">
        <f>Supuestos!H$23*(1-$C48+$C48*((1+Supuestos!$B$4+$B48/10000)/(1+Supuestos!$B$4))^Supuestos!H$25)</f>
        <v/>
      </c>
      <c r="AD48">
        <f>Supuestos!I$23*(1-$C48+$C48*((1+Supuestos!$B$4+$B48/10000)/(1+Supuestos!$B$4))^Supuestos!I$25)</f>
        <v/>
      </c>
      <c r="AE48">
        <f>SUMPRODUCT(X48:AC48,R48:W48)</f>
        <v/>
      </c>
      <c r="AF48">
        <f>(1+Supuestos!$B$5)/(1+Supuestos!$B$4)*(1+Supuestos!$B$4+$B48/10000)-1</f>
        <v/>
      </c>
      <c r="AG48">
        <f>AD48/(K48-AF48)</f>
        <v/>
      </c>
      <c r="AH48">
        <f>AG48*Q48</f>
        <v/>
      </c>
      <c r="AI48">
        <f>(AE48+AH48-Supuestos!$B$7-Supuestos!$B$8)/Supuestos!$B$9</f>
        <v/>
      </c>
      <c r="AJ48">
        <f>AI48/AI$5-1</f>
        <v/>
      </c>
    </row>
    <row r="49">
      <c r="A49" t="n">
        <v>20</v>
      </c>
      <c r="B49" t="n">
        <v>80</v>
      </c>
      <c r="C49" t="n">
        <v>1</v>
      </c>
      <c r="D49" t="inlineStr">
        <is>
          <t>Mix Δi=+100 θ=1.0</t>
        </is>
      </c>
      <c r="E49">
        <f>(1-Supuestos!C$28)*((1+((1+Supuestos!C$26)/(1+Supuestos!$B$4)-1+Supuestos!$B$14*$A49/10000))*(1+Supuestos!$B$4+$B49/10000)-1)+Supuestos!C$28*((1+Supuestos!C$27+$A49/10000)*(1+Supuestos!$B$4+$B49/10000)-1)*(1-Supuestos!$B$6)</f>
        <v/>
      </c>
      <c r="F49">
        <f>(1-Supuestos!D$28)*((1+((1+Supuestos!D$26)/(1+Supuestos!$B$4)-1+Supuestos!$B$14*$A49/10000))*(1+Supuestos!$B$4+$B49/10000)-1)+Supuestos!D$28*((1+Supuestos!D$27+$A49/10000)*(1+Supuestos!$B$4+$B49/10000)-1)*(1-Supuestos!$B$6)</f>
        <v/>
      </c>
      <c r="G49">
        <f>(1-Supuestos!E$28)*((1+((1+Supuestos!E$26)/(1+Supuestos!$B$4)-1+Supuestos!$B$14*$A49/10000))*(1+Supuestos!$B$4+$B49/10000)-1)+Supuestos!E$28*((1+Supuestos!E$27+$A49/10000)*(1+Supuestos!$B$4+$B49/10000)-1)*(1-Supuestos!$B$6)</f>
        <v/>
      </c>
      <c r="H49">
        <f>(1-Supuestos!F$28)*((1+((1+Supuestos!F$26)/(1+Supuestos!$B$4)-1+Supuestos!$B$14*$A49/10000))*(1+Supuestos!$B$4+$B49/10000)-1)+Supuestos!F$28*((1+Supuestos!F$27+$A49/10000)*(1+Supuestos!$B$4+$B49/10000)-1)*(1-Supuestos!$B$6)</f>
        <v/>
      </c>
      <c r="I49">
        <f>(1-Supuestos!G$28)*((1+((1+Supuestos!G$26)/(1+Supuestos!$B$4)-1+Supuestos!$B$14*$A49/10000))*(1+Supuestos!$B$4+$B49/10000)-1)+Supuestos!G$28*((1+Supuestos!G$27+$A49/10000)*(1+Supuestos!$B$4+$B49/10000)-1)*(1-Supuestos!$B$6)</f>
        <v/>
      </c>
      <c r="J49">
        <f>(1-Supuestos!H$28)*((1+((1+Supuestos!H$26)/(1+Supuestos!$B$4)-1+Supuestos!$B$14*$A49/10000))*(1+Supuestos!$B$4+$B49/10000)-1)+Supuestos!H$28*((1+Supuestos!H$27+$A49/10000)*(1+Supuestos!$B$4+$B49/10000)-1)*(1-Supuestos!$B$6)</f>
        <v/>
      </c>
      <c r="K49">
        <f>(1-Supuestos!I$28)*((1+((1+Supuestos!I$26)/(1+Supuestos!$B$4)-1+Supuestos!$B$14*$A49/10000))*(1+Supuestos!$B$4+$B49/10000)-1)+Supuestos!I$28*((1+Supuestos!I$27+$A49/10000)*(1+Supuestos!$B$4+$B49/10000)-1)*(1-Supuestos!$B$6)</f>
        <v/>
      </c>
      <c r="L49">
        <f>(1+E49)^-Supuestos!C$24</f>
        <v/>
      </c>
      <c r="M49">
        <f>L49*(1+F49)^-Supuestos!D$24</f>
        <v/>
      </c>
      <c r="N49">
        <f>M49*(1+G49)^-Supuestos!E$24</f>
        <v/>
      </c>
      <c r="O49">
        <f>N49*(1+H49)^-Supuestos!F$24</f>
        <v/>
      </c>
      <c r="P49">
        <f>O49*(1+I49)^-Supuestos!G$24</f>
        <v/>
      </c>
      <c r="Q49">
        <f>P49*(1+J49)^-Supuestos!H$24</f>
        <v/>
      </c>
      <c r="R49">
        <f>(1+E49)^-(Supuestos!C$24/2)</f>
        <v/>
      </c>
      <c r="S49">
        <f>L49*(1+F49)^-(Supuestos!D$24/2)</f>
        <v/>
      </c>
      <c r="T49">
        <f>M49*(1+G49)^-(Supuestos!E$24/2)</f>
        <v/>
      </c>
      <c r="U49">
        <f>N49*(1+H49)^-(Supuestos!F$24/2)</f>
        <v/>
      </c>
      <c r="V49">
        <f>O49*(1+I49)^-(Supuestos!G$24/2)</f>
        <v/>
      </c>
      <c r="W49">
        <f>P49*(1+J49)^-(Supuestos!H$24/2)</f>
        <v/>
      </c>
      <c r="X49">
        <f>Supuestos!C$23*(1-$C49+$C49*((1+Supuestos!$B$4+$B49/10000)/(1+Supuestos!$B$4))^Supuestos!C$25)</f>
        <v/>
      </c>
      <c r="Y49">
        <f>Supuestos!D$23*(1-$C49+$C49*((1+Supuestos!$B$4+$B49/10000)/(1+Supuestos!$B$4))^Supuestos!D$25)</f>
        <v/>
      </c>
      <c r="Z49">
        <f>Supuestos!E$23*(1-$C49+$C49*((1+Supuestos!$B$4+$B49/10000)/(1+Supuestos!$B$4))^Supuestos!E$25)</f>
        <v/>
      </c>
      <c r="AA49">
        <f>Supuestos!F$23*(1-$C49+$C49*((1+Supuestos!$B$4+$B49/10000)/(1+Supuestos!$B$4))^Supuestos!F$25)</f>
        <v/>
      </c>
      <c r="AB49">
        <f>Supuestos!G$23*(1-$C49+$C49*((1+Supuestos!$B$4+$B49/10000)/(1+Supuestos!$B$4))^Supuestos!G$25)</f>
        <v/>
      </c>
      <c r="AC49">
        <f>Supuestos!H$23*(1-$C49+$C49*((1+Supuestos!$B$4+$B49/10000)/(1+Supuestos!$B$4))^Supuestos!H$25)</f>
        <v/>
      </c>
      <c r="AD49">
        <f>Supuestos!I$23*(1-$C49+$C49*((1+Supuestos!$B$4+$B49/10000)/(1+Supuestos!$B$4))^Supuestos!I$25)</f>
        <v/>
      </c>
      <c r="AE49">
        <f>SUMPRODUCT(X49:AC49,R49:W49)</f>
        <v/>
      </c>
      <c r="AF49">
        <f>(1+Supuestos!$B$5)/(1+Supuestos!$B$4)*(1+Supuestos!$B$4+$B49/10000)-1</f>
        <v/>
      </c>
      <c r="AG49">
        <f>AD49/(K49-AF49)</f>
        <v/>
      </c>
      <c r="AH49">
        <f>AG49*Q49</f>
        <v/>
      </c>
      <c r="AI49">
        <f>(AE49+AH49-Supuestos!$B$7-Supuestos!$B$8)/Supuestos!$B$9</f>
        <v/>
      </c>
      <c r="AJ49">
        <f>AI49/AI$5-1</f>
        <v/>
      </c>
    </row>
    <row r="50">
      <c r="A50" t="n">
        <v>9.999999999999998</v>
      </c>
      <c r="B50" t="n">
        <v>90</v>
      </c>
      <c r="C50" t="n">
        <v>1</v>
      </c>
      <c r="D50" t="inlineStr">
        <is>
          <t>Mix Δi=+100 θ=1.0</t>
        </is>
      </c>
      <c r="E50">
        <f>(1-Supuestos!C$28)*((1+((1+Supuestos!C$26)/(1+Supuestos!$B$4)-1+Supuestos!$B$14*$A50/10000))*(1+Supuestos!$B$4+$B50/10000)-1)+Supuestos!C$28*((1+Supuestos!C$27+$A50/10000)*(1+Supuestos!$B$4+$B50/10000)-1)*(1-Supuestos!$B$6)</f>
        <v/>
      </c>
      <c r="F50">
        <f>(1-Supuestos!D$28)*((1+((1+Supuestos!D$26)/(1+Supuestos!$B$4)-1+Supuestos!$B$14*$A50/10000))*(1+Supuestos!$B$4+$B50/10000)-1)+Supuestos!D$28*((1+Supuestos!D$27+$A50/10000)*(1+Supuestos!$B$4+$B50/10000)-1)*(1-Supuestos!$B$6)</f>
        <v/>
      </c>
      <c r="G50">
        <f>(1-Supuestos!E$28)*((1+((1+Supuestos!E$26)/(1+Supuestos!$B$4)-1+Supuestos!$B$14*$A50/10000))*(1+Supuestos!$B$4+$B50/10000)-1)+Supuestos!E$28*((1+Supuestos!E$27+$A50/10000)*(1+Supuestos!$B$4+$B50/10000)-1)*(1-Supuestos!$B$6)</f>
        <v/>
      </c>
      <c r="H50">
        <f>(1-Supuestos!F$28)*((1+((1+Supuestos!F$26)/(1+Supuestos!$B$4)-1+Supuestos!$B$14*$A50/10000))*(1+Supuestos!$B$4+$B50/10000)-1)+Supuestos!F$28*((1+Supuestos!F$27+$A50/10000)*(1+Supuestos!$B$4+$B50/10000)-1)*(1-Supuestos!$B$6)</f>
        <v/>
      </c>
      <c r="I50">
        <f>(1-Supuestos!G$28)*((1+((1+Supuestos!G$26)/(1+Supuestos!$B$4)-1+Supuestos!$B$14*$A50/10000))*(1+Supuestos!$B$4+$B50/10000)-1)+Supuestos!G$28*((1+Supuestos!G$27+$A50/10000)*(1+Supuestos!$B$4+$B50/10000)-1)*(1-Supuestos!$B$6)</f>
        <v/>
      </c>
      <c r="J50">
        <f>(1-Supuestos!H$28)*((1+((1+Supuestos!H$26)/(1+Supuestos!$B$4)-1+Supuestos!$B$14*$A50/10000))*(1+Supuestos!$B$4+$B50/10000)-1)+Supuestos!H$28*((1+Supuestos!H$27+$A50/10000)*(1+Supuestos!$B$4+$B50/10000)-1)*(1-Supuestos!$B$6)</f>
        <v/>
      </c>
      <c r="K50">
        <f>(1-Supuestos!I$28)*((1+((1+Supuestos!I$26)/(1+Supuestos!$B$4)-1+Supuestos!$B$14*$A50/10000))*(1+Supuestos!$B$4+$B50/10000)-1)+Supuestos!I$28*((1+Supuestos!I$27+$A50/10000)*(1+Supuestos!$B$4+$B50/10000)-1)*(1-Supuestos!$B$6)</f>
        <v/>
      </c>
      <c r="L50">
        <f>(1+E50)^-Supuestos!C$24</f>
        <v/>
      </c>
      <c r="M50">
        <f>L50*(1+F50)^-Supuestos!D$24</f>
        <v/>
      </c>
      <c r="N50">
        <f>M50*(1+G50)^-Supuestos!E$24</f>
        <v/>
      </c>
      <c r="O50">
        <f>N50*(1+H50)^-Supuestos!F$24</f>
        <v/>
      </c>
      <c r="P50">
        <f>O50*(1+I50)^-Supuestos!G$24</f>
        <v/>
      </c>
      <c r="Q50">
        <f>P50*(1+J50)^-Supuestos!H$24</f>
        <v/>
      </c>
      <c r="R50">
        <f>(1+E50)^-(Supuestos!C$24/2)</f>
        <v/>
      </c>
      <c r="S50">
        <f>L50*(1+F50)^-(Supuestos!D$24/2)</f>
        <v/>
      </c>
      <c r="T50">
        <f>M50*(1+G50)^-(Supuestos!E$24/2)</f>
        <v/>
      </c>
      <c r="U50">
        <f>N50*(1+H50)^-(Supuestos!F$24/2)</f>
        <v/>
      </c>
      <c r="V50">
        <f>O50*(1+I50)^-(Supuestos!G$24/2)</f>
        <v/>
      </c>
      <c r="W50">
        <f>P50*(1+J50)^-(Supuestos!H$24/2)</f>
        <v/>
      </c>
      <c r="X50">
        <f>Supuestos!C$23*(1-$C50+$C50*((1+Supuestos!$B$4+$B50/10000)/(1+Supuestos!$B$4))^Supuestos!C$25)</f>
        <v/>
      </c>
      <c r="Y50">
        <f>Supuestos!D$23*(1-$C50+$C50*((1+Supuestos!$B$4+$B50/10000)/(1+Supuestos!$B$4))^Supuestos!D$25)</f>
        <v/>
      </c>
      <c r="Z50">
        <f>Supuestos!E$23*(1-$C50+$C50*((1+Supuestos!$B$4+$B50/10000)/(1+Supuestos!$B$4))^Supuestos!E$25)</f>
        <v/>
      </c>
      <c r="AA50">
        <f>Supuestos!F$23*(1-$C50+$C50*((1+Supuestos!$B$4+$B50/10000)/(1+Supuestos!$B$4))^Supuestos!F$25)</f>
        <v/>
      </c>
      <c r="AB50">
        <f>Supuestos!G$23*(1-$C50+$C50*((1+Supuestos!$B$4+$B50/10000)/(1+Supuestos!$B$4))^Supuestos!G$25)</f>
        <v/>
      </c>
      <c r="AC50">
        <f>Supuestos!H$23*(1-$C50+$C50*((1+Supuestos!$B$4+$B50/10000)/(1+Supuestos!$B$4))^Supuestos!H$25)</f>
        <v/>
      </c>
      <c r="AD50">
        <f>Supuestos!I$23*(1-$C50+$C50*((1+Supuestos!$B$4+$B50/10000)/(1+Supuestos!$B$4))^Supuestos!I$25)</f>
        <v/>
      </c>
      <c r="AE50">
        <f>SUMPRODUCT(X50:AC50,R50:W50)</f>
        <v/>
      </c>
      <c r="AF50">
        <f>(1+Supuestos!$B$5)/(1+Supuestos!$B$4)*(1+Supuestos!$B$4+$B50/10000)-1</f>
        <v/>
      </c>
      <c r="AG50">
        <f>AD50/(K50-AF50)</f>
        <v/>
      </c>
      <c r="AH50">
        <f>AG50*Q50</f>
        <v/>
      </c>
      <c r="AI50">
        <f>(AE50+AH50-Supuestos!$B$7-Supuestos!$B$8)/Supuestos!$B$9</f>
        <v/>
      </c>
      <c r="AJ50">
        <f>AI50/AI$5-1</f>
        <v/>
      </c>
    </row>
    <row r="51">
      <c r="A51" t="n">
        <v>0</v>
      </c>
      <c r="B51" t="n">
        <v>100</v>
      </c>
      <c r="C51" t="n">
        <v>1</v>
      </c>
      <c r="D51" t="inlineStr">
        <is>
          <t>Mix Δi=+100 θ=1.0</t>
        </is>
      </c>
      <c r="E51">
        <f>(1-Supuestos!C$28)*((1+((1+Supuestos!C$26)/(1+Supuestos!$B$4)-1+Supuestos!$B$14*$A51/10000))*(1+Supuestos!$B$4+$B51/10000)-1)+Supuestos!C$28*((1+Supuestos!C$27+$A51/10000)*(1+Supuestos!$B$4+$B51/10000)-1)*(1-Supuestos!$B$6)</f>
        <v/>
      </c>
      <c r="F51">
        <f>(1-Supuestos!D$28)*((1+((1+Supuestos!D$26)/(1+Supuestos!$B$4)-1+Supuestos!$B$14*$A51/10000))*(1+Supuestos!$B$4+$B51/10000)-1)+Supuestos!D$28*((1+Supuestos!D$27+$A51/10000)*(1+Supuestos!$B$4+$B51/10000)-1)*(1-Supuestos!$B$6)</f>
        <v/>
      </c>
      <c r="G51">
        <f>(1-Supuestos!E$28)*((1+((1+Supuestos!E$26)/(1+Supuestos!$B$4)-1+Supuestos!$B$14*$A51/10000))*(1+Supuestos!$B$4+$B51/10000)-1)+Supuestos!E$28*((1+Supuestos!E$27+$A51/10000)*(1+Supuestos!$B$4+$B51/10000)-1)*(1-Supuestos!$B$6)</f>
        <v/>
      </c>
      <c r="H51">
        <f>(1-Supuestos!F$28)*((1+((1+Supuestos!F$26)/(1+Supuestos!$B$4)-1+Supuestos!$B$14*$A51/10000))*(1+Supuestos!$B$4+$B51/10000)-1)+Supuestos!F$28*((1+Supuestos!F$27+$A51/10000)*(1+Supuestos!$B$4+$B51/10000)-1)*(1-Supuestos!$B$6)</f>
        <v/>
      </c>
      <c r="I51">
        <f>(1-Supuestos!G$28)*((1+((1+Supuestos!G$26)/(1+Supuestos!$B$4)-1+Supuestos!$B$14*$A51/10000))*(1+Supuestos!$B$4+$B51/10000)-1)+Supuestos!G$28*((1+Supuestos!G$27+$A51/10000)*(1+Supuestos!$B$4+$B51/10000)-1)*(1-Supuestos!$B$6)</f>
        <v/>
      </c>
      <c r="J51">
        <f>(1-Supuestos!H$28)*((1+((1+Supuestos!H$26)/(1+Supuestos!$B$4)-1+Supuestos!$B$14*$A51/10000))*(1+Supuestos!$B$4+$B51/10000)-1)+Supuestos!H$28*((1+Supuestos!H$27+$A51/10000)*(1+Supuestos!$B$4+$B51/10000)-1)*(1-Supuestos!$B$6)</f>
        <v/>
      </c>
      <c r="K51">
        <f>(1-Supuestos!I$28)*((1+((1+Supuestos!I$26)/(1+Supuestos!$B$4)-1+Supuestos!$B$14*$A51/10000))*(1+Supuestos!$B$4+$B51/10000)-1)+Supuestos!I$28*((1+Supuestos!I$27+$A51/10000)*(1+Supuestos!$B$4+$B51/10000)-1)*(1-Supuestos!$B$6)</f>
        <v/>
      </c>
      <c r="L51">
        <f>(1+E51)^-Supuestos!C$24</f>
        <v/>
      </c>
      <c r="M51">
        <f>L51*(1+F51)^-Supuestos!D$24</f>
        <v/>
      </c>
      <c r="N51">
        <f>M51*(1+G51)^-Supuestos!E$24</f>
        <v/>
      </c>
      <c r="O51">
        <f>N51*(1+H51)^-Supuestos!F$24</f>
        <v/>
      </c>
      <c r="P51">
        <f>O51*(1+I51)^-Supuestos!G$24</f>
        <v/>
      </c>
      <c r="Q51">
        <f>P51*(1+J51)^-Supuestos!H$24</f>
        <v/>
      </c>
      <c r="R51">
        <f>(1+E51)^-(Supuestos!C$24/2)</f>
        <v/>
      </c>
      <c r="S51">
        <f>L51*(1+F51)^-(Supuestos!D$24/2)</f>
        <v/>
      </c>
      <c r="T51">
        <f>M51*(1+G51)^-(Supuestos!E$24/2)</f>
        <v/>
      </c>
      <c r="U51">
        <f>N51*(1+H51)^-(Supuestos!F$24/2)</f>
        <v/>
      </c>
      <c r="V51">
        <f>O51*(1+I51)^-(Supuestos!G$24/2)</f>
        <v/>
      </c>
      <c r="W51">
        <f>P51*(1+J51)^-(Supuestos!H$24/2)</f>
        <v/>
      </c>
      <c r="X51">
        <f>Supuestos!C$23*(1-$C51+$C51*((1+Supuestos!$B$4+$B51/10000)/(1+Supuestos!$B$4))^Supuestos!C$25)</f>
        <v/>
      </c>
      <c r="Y51">
        <f>Supuestos!D$23*(1-$C51+$C51*((1+Supuestos!$B$4+$B51/10000)/(1+Supuestos!$B$4))^Supuestos!D$25)</f>
        <v/>
      </c>
      <c r="Z51">
        <f>Supuestos!E$23*(1-$C51+$C51*((1+Supuestos!$B$4+$B51/10000)/(1+Supuestos!$B$4))^Supuestos!E$25)</f>
        <v/>
      </c>
      <c r="AA51">
        <f>Supuestos!F$23*(1-$C51+$C51*((1+Supuestos!$B$4+$B51/10000)/(1+Supuestos!$B$4))^Supuestos!F$25)</f>
        <v/>
      </c>
      <c r="AB51">
        <f>Supuestos!G$23*(1-$C51+$C51*((1+Supuestos!$B$4+$B51/10000)/(1+Supuestos!$B$4))^Supuestos!G$25)</f>
        <v/>
      </c>
      <c r="AC51">
        <f>Supuestos!H$23*(1-$C51+$C51*((1+Supuestos!$B$4+$B51/10000)/(1+Supuestos!$B$4))^Supuestos!H$25)</f>
        <v/>
      </c>
      <c r="AD51">
        <f>Supuestos!I$23*(1-$C51+$C51*((1+Supuestos!$B$4+$B51/10000)/(1+Supuestos!$B$4))^Supuestos!I$25)</f>
        <v/>
      </c>
      <c r="AE51">
        <f>SUMPRODUCT(X51:AC51,R51:W51)</f>
        <v/>
      </c>
      <c r="AF51">
        <f>(1+Supuestos!$B$5)/(1+Supuestos!$B$4)*(1+Supuestos!$B$4+$B51/10000)-1</f>
        <v/>
      </c>
      <c r="AG51">
        <f>AD51/(K51-AF51)</f>
        <v/>
      </c>
      <c r="AH51">
        <f>AG51*Q51</f>
        <v/>
      </c>
      <c r="AI51">
        <f>(AE51+AH51-Supuestos!$B$7-Supuestos!$B$8)/Supuestos!$B$9</f>
        <v/>
      </c>
      <c r="AJ51">
        <f>AI51/AI$5-1</f>
        <v/>
      </c>
    </row>
    <row r="52">
      <c r="A52" t="n">
        <v>100</v>
      </c>
      <c r="B52" t="n">
        <v>0</v>
      </c>
      <c r="C52" t="n">
        <v>0.85</v>
      </c>
      <c r="D52" t="inlineStr">
        <is>
          <t>Mix Δi=+100 θ=0.85</t>
        </is>
      </c>
      <c r="E52">
        <f>(1-Supuestos!C$28)*((1+((1+Supuestos!C$26)/(1+Supuestos!$B$4)-1+Supuestos!$B$14*$A52/10000))*(1+Supuestos!$B$4+$B52/10000)-1)+Supuestos!C$28*((1+Supuestos!C$27+$A52/10000)*(1+Supuestos!$B$4+$B52/10000)-1)*(1-Supuestos!$B$6)</f>
        <v/>
      </c>
      <c r="F52">
        <f>(1-Supuestos!D$28)*((1+((1+Supuestos!D$26)/(1+Supuestos!$B$4)-1+Supuestos!$B$14*$A52/10000))*(1+Supuestos!$B$4+$B52/10000)-1)+Supuestos!D$28*((1+Supuestos!D$27+$A52/10000)*(1+Supuestos!$B$4+$B52/10000)-1)*(1-Supuestos!$B$6)</f>
        <v/>
      </c>
      <c r="G52">
        <f>(1-Supuestos!E$28)*((1+((1+Supuestos!E$26)/(1+Supuestos!$B$4)-1+Supuestos!$B$14*$A52/10000))*(1+Supuestos!$B$4+$B52/10000)-1)+Supuestos!E$28*((1+Supuestos!E$27+$A52/10000)*(1+Supuestos!$B$4+$B52/10000)-1)*(1-Supuestos!$B$6)</f>
        <v/>
      </c>
      <c r="H52">
        <f>(1-Supuestos!F$28)*((1+((1+Supuestos!F$26)/(1+Supuestos!$B$4)-1+Supuestos!$B$14*$A52/10000))*(1+Supuestos!$B$4+$B52/10000)-1)+Supuestos!F$28*((1+Supuestos!F$27+$A52/10000)*(1+Supuestos!$B$4+$B52/10000)-1)*(1-Supuestos!$B$6)</f>
        <v/>
      </c>
      <c r="I52">
        <f>(1-Supuestos!G$28)*((1+((1+Supuestos!G$26)/(1+Supuestos!$B$4)-1+Supuestos!$B$14*$A52/10000))*(1+Supuestos!$B$4+$B52/10000)-1)+Supuestos!G$28*((1+Supuestos!G$27+$A52/10000)*(1+Supuestos!$B$4+$B52/10000)-1)*(1-Supuestos!$B$6)</f>
        <v/>
      </c>
      <c r="J52">
        <f>(1-Supuestos!H$28)*((1+((1+Supuestos!H$26)/(1+Supuestos!$B$4)-1+Supuestos!$B$14*$A52/10000))*(1+Supuestos!$B$4+$B52/10000)-1)+Supuestos!H$28*((1+Supuestos!H$27+$A52/10000)*(1+Supuestos!$B$4+$B52/10000)-1)*(1-Supuestos!$B$6)</f>
        <v/>
      </c>
      <c r="K52">
        <f>(1-Supuestos!I$28)*((1+((1+Supuestos!I$26)/(1+Supuestos!$B$4)-1+Supuestos!$B$14*$A52/10000))*(1+Supuestos!$B$4+$B52/10000)-1)+Supuestos!I$28*((1+Supuestos!I$27+$A52/10000)*(1+Supuestos!$B$4+$B52/10000)-1)*(1-Supuestos!$B$6)</f>
        <v/>
      </c>
      <c r="L52">
        <f>(1+E52)^-Supuestos!C$24</f>
        <v/>
      </c>
      <c r="M52">
        <f>L52*(1+F52)^-Supuestos!D$24</f>
        <v/>
      </c>
      <c r="N52">
        <f>M52*(1+G52)^-Supuestos!E$24</f>
        <v/>
      </c>
      <c r="O52">
        <f>N52*(1+H52)^-Supuestos!F$24</f>
        <v/>
      </c>
      <c r="P52">
        <f>O52*(1+I52)^-Supuestos!G$24</f>
        <v/>
      </c>
      <c r="Q52">
        <f>P52*(1+J52)^-Supuestos!H$24</f>
        <v/>
      </c>
      <c r="R52">
        <f>(1+E52)^-(Supuestos!C$24/2)</f>
        <v/>
      </c>
      <c r="S52">
        <f>L52*(1+F52)^-(Supuestos!D$24/2)</f>
        <v/>
      </c>
      <c r="T52">
        <f>M52*(1+G52)^-(Supuestos!E$24/2)</f>
        <v/>
      </c>
      <c r="U52">
        <f>N52*(1+H52)^-(Supuestos!F$24/2)</f>
        <v/>
      </c>
      <c r="V52">
        <f>O52*(1+I52)^-(Supuestos!G$24/2)</f>
        <v/>
      </c>
      <c r="W52">
        <f>P52*(1+J52)^-(Supuestos!H$24/2)</f>
        <v/>
      </c>
      <c r="X52">
        <f>Supuestos!C$23*(1-$C52+$C52*((1+Supuestos!$B$4+$B52/10000)/(1+Supuestos!$B$4))^Supuestos!C$25)</f>
        <v/>
      </c>
      <c r="Y52">
        <f>Supuestos!D$23*(1-$C52+$C52*((1+Supuestos!$B$4+$B52/10000)/(1+Supuestos!$B$4))^Supuestos!D$25)</f>
        <v/>
      </c>
      <c r="Z52">
        <f>Supuestos!E$23*(1-$C52+$C52*((1+Supuestos!$B$4+$B52/10000)/(1+Supuestos!$B$4))^Supuestos!E$25)</f>
        <v/>
      </c>
      <c r="AA52">
        <f>Supuestos!F$23*(1-$C52+$C52*((1+Supuestos!$B$4+$B52/10000)/(1+Supuestos!$B$4))^Supuestos!F$25)</f>
        <v/>
      </c>
      <c r="AB52">
        <f>Supuestos!G$23*(1-$C52+$C52*((1+Supuestos!$B$4+$B52/10000)/(1+Supuestos!$B$4))^Supuestos!G$25)</f>
        <v/>
      </c>
      <c r="AC52">
        <f>Supuestos!H$23*(1-$C52+$C52*((1+Supuestos!$B$4+$B52/10000)/(1+Supuestos!$B$4))^Supuestos!H$25)</f>
        <v/>
      </c>
      <c r="AD52">
        <f>Supuestos!I$23*(1-$C52+$C52*((1+Supuestos!$B$4+$B52/10000)/(1+Supuestos!$B$4))^Supuestos!I$25)</f>
        <v/>
      </c>
      <c r="AE52">
        <f>SUMPRODUCT(X52:AC52,R52:W52)</f>
        <v/>
      </c>
      <c r="AF52">
        <f>(1+Supuestos!$B$5)/(1+Supuestos!$B$4)*(1+Supuestos!$B$4+$B52/10000)-1</f>
        <v/>
      </c>
      <c r="AG52">
        <f>AD52/(K52-AF52)</f>
        <v/>
      </c>
      <c r="AH52">
        <f>AG52*Q52</f>
        <v/>
      </c>
      <c r="AI52">
        <f>(AE52+AH52-Supuestos!$B$7-Supuestos!$B$8)/Supuestos!$B$9</f>
        <v/>
      </c>
      <c r="AJ52">
        <f>AI52/AI$5-1</f>
        <v/>
      </c>
    </row>
    <row r="53">
      <c r="A53" t="n">
        <v>90</v>
      </c>
      <c r="B53" t="n">
        <v>10</v>
      </c>
      <c r="C53" t="n">
        <v>0.85</v>
      </c>
      <c r="D53" t="inlineStr">
        <is>
          <t>Mix Δi=+100 θ=0.85</t>
        </is>
      </c>
      <c r="E53">
        <f>(1-Supuestos!C$28)*((1+((1+Supuestos!C$26)/(1+Supuestos!$B$4)-1+Supuestos!$B$14*$A53/10000))*(1+Supuestos!$B$4+$B53/10000)-1)+Supuestos!C$28*((1+Supuestos!C$27+$A53/10000)*(1+Supuestos!$B$4+$B53/10000)-1)*(1-Supuestos!$B$6)</f>
        <v/>
      </c>
      <c r="F53">
        <f>(1-Supuestos!D$28)*((1+((1+Supuestos!D$26)/(1+Supuestos!$B$4)-1+Supuestos!$B$14*$A53/10000))*(1+Supuestos!$B$4+$B53/10000)-1)+Supuestos!D$28*((1+Supuestos!D$27+$A53/10000)*(1+Supuestos!$B$4+$B53/10000)-1)*(1-Supuestos!$B$6)</f>
        <v/>
      </c>
      <c r="G53">
        <f>(1-Supuestos!E$28)*((1+((1+Supuestos!E$26)/(1+Supuestos!$B$4)-1+Supuestos!$B$14*$A53/10000))*(1+Supuestos!$B$4+$B53/10000)-1)+Supuestos!E$28*((1+Supuestos!E$27+$A53/10000)*(1+Supuestos!$B$4+$B53/10000)-1)*(1-Supuestos!$B$6)</f>
        <v/>
      </c>
      <c r="H53">
        <f>(1-Supuestos!F$28)*((1+((1+Supuestos!F$26)/(1+Supuestos!$B$4)-1+Supuestos!$B$14*$A53/10000))*(1+Supuestos!$B$4+$B53/10000)-1)+Supuestos!F$28*((1+Supuestos!F$27+$A53/10000)*(1+Supuestos!$B$4+$B53/10000)-1)*(1-Supuestos!$B$6)</f>
        <v/>
      </c>
      <c r="I53">
        <f>(1-Supuestos!G$28)*((1+((1+Supuestos!G$26)/(1+Supuestos!$B$4)-1+Supuestos!$B$14*$A53/10000))*(1+Supuestos!$B$4+$B53/10000)-1)+Supuestos!G$28*((1+Supuestos!G$27+$A53/10000)*(1+Supuestos!$B$4+$B53/10000)-1)*(1-Supuestos!$B$6)</f>
        <v/>
      </c>
      <c r="J53">
        <f>(1-Supuestos!H$28)*((1+((1+Supuestos!H$26)/(1+Supuestos!$B$4)-1+Supuestos!$B$14*$A53/10000))*(1+Supuestos!$B$4+$B53/10000)-1)+Supuestos!H$28*((1+Supuestos!H$27+$A53/10000)*(1+Supuestos!$B$4+$B53/10000)-1)*(1-Supuestos!$B$6)</f>
        <v/>
      </c>
      <c r="K53">
        <f>(1-Supuestos!I$28)*((1+((1+Supuestos!I$26)/(1+Supuestos!$B$4)-1+Supuestos!$B$14*$A53/10000))*(1+Supuestos!$B$4+$B53/10000)-1)+Supuestos!I$28*((1+Supuestos!I$27+$A53/10000)*(1+Supuestos!$B$4+$B53/10000)-1)*(1-Supuestos!$B$6)</f>
        <v/>
      </c>
      <c r="L53">
        <f>(1+E53)^-Supuestos!C$24</f>
        <v/>
      </c>
      <c r="M53">
        <f>L53*(1+F53)^-Supuestos!D$24</f>
        <v/>
      </c>
      <c r="N53">
        <f>M53*(1+G53)^-Supuestos!E$24</f>
        <v/>
      </c>
      <c r="O53">
        <f>N53*(1+H53)^-Supuestos!F$24</f>
        <v/>
      </c>
      <c r="P53">
        <f>O53*(1+I53)^-Supuestos!G$24</f>
        <v/>
      </c>
      <c r="Q53">
        <f>P53*(1+J53)^-Supuestos!H$24</f>
        <v/>
      </c>
      <c r="R53">
        <f>(1+E53)^-(Supuestos!C$24/2)</f>
        <v/>
      </c>
      <c r="S53">
        <f>L53*(1+F53)^-(Supuestos!D$24/2)</f>
        <v/>
      </c>
      <c r="T53">
        <f>M53*(1+G53)^-(Supuestos!E$24/2)</f>
        <v/>
      </c>
      <c r="U53">
        <f>N53*(1+H53)^-(Supuestos!F$24/2)</f>
        <v/>
      </c>
      <c r="V53">
        <f>O53*(1+I53)^-(Supuestos!G$24/2)</f>
        <v/>
      </c>
      <c r="W53">
        <f>P53*(1+J53)^-(Supuestos!H$24/2)</f>
        <v/>
      </c>
      <c r="X53">
        <f>Supuestos!C$23*(1-$C53+$C53*((1+Supuestos!$B$4+$B53/10000)/(1+Supuestos!$B$4))^Supuestos!C$25)</f>
        <v/>
      </c>
      <c r="Y53">
        <f>Supuestos!D$23*(1-$C53+$C53*((1+Supuestos!$B$4+$B53/10000)/(1+Supuestos!$B$4))^Supuestos!D$25)</f>
        <v/>
      </c>
      <c r="Z53">
        <f>Supuestos!E$23*(1-$C53+$C53*((1+Supuestos!$B$4+$B53/10000)/(1+Supuestos!$B$4))^Supuestos!E$25)</f>
        <v/>
      </c>
      <c r="AA53">
        <f>Supuestos!F$23*(1-$C53+$C53*((1+Supuestos!$B$4+$B53/10000)/(1+Supuestos!$B$4))^Supuestos!F$25)</f>
        <v/>
      </c>
      <c r="AB53">
        <f>Supuestos!G$23*(1-$C53+$C53*((1+Supuestos!$B$4+$B53/10000)/(1+Supuestos!$B$4))^Supuestos!G$25)</f>
        <v/>
      </c>
      <c r="AC53">
        <f>Supuestos!H$23*(1-$C53+$C53*((1+Supuestos!$B$4+$B53/10000)/(1+Supuestos!$B$4))^Supuestos!H$25)</f>
        <v/>
      </c>
      <c r="AD53">
        <f>Supuestos!I$23*(1-$C53+$C53*((1+Supuestos!$B$4+$B53/10000)/(1+Supuestos!$B$4))^Supuestos!I$25)</f>
        <v/>
      </c>
      <c r="AE53">
        <f>SUMPRODUCT(X53:AC53,R53:W53)</f>
        <v/>
      </c>
      <c r="AF53">
        <f>(1+Supuestos!$B$5)/(1+Supuestos!$B$4)*(1+Supuestos!$B$4+$B53/10000)-1</f>
        <v/>
      </c>
      <c r="AG53">
        <f>AD53/(K53-AF53)</f>
        <v/>
      </c>
      <c r="AH53">
        <f>AG53*Q53</f>
        <v/>
      </c>
      <c r="AI53">
        <f>(AE53+AH53-Supuestos!$B$7-Supuestos!$B$8)/Supuestos!$B$9</f>
        <v/>
      </c>
      <c r="AJ53">
        <f>AI53/AI$5-1</f>
        <v/>
      </c>
    </row>
    <row r="54">
      <c r="A54" t="n">
        <v>80</v>
      </c>
      <c r="B54" t="n">
        <v>20</v>
      </c>
      <c r="C54" t="n">
        <v>0.85</v>
      </c>
      <c r="D54" t="inlineStr">
        <is>
          <t>Mix Δi=+100 θ=0.85</t>
        </is>
      </c>
      <c r="E54">
        <f>(1-Supuestos!C$28)*((1+((1+Supuestos!C$26)/(1+Supuestos!$B$4)-1+Supuestos!$B$14*$A54/10000))*(1+Supuestos!$B$4+$B54/10000)-1)+Supuestos!C$28*((1+Supuestos!C$27+$A54/10000)*(1+Supuestos!$B$4+$B54/10000)-1)*(1-Supuestos!$B$6)</f>
        <v/>
      </c>
      <c r="F54">
        <f>(1-Supuestos!D$28)*((1+((1+Supuestos!D$26)/(1+Supuestos!$B$4)-1+Supuestos!$B$14*$A54/10000))*(1+Supuestos!$B$4+$B54/10000)-1)+Supuestos!D$28*((1+Supuestos!D$27+$A54/10000)*(1+Supuestos!$B$4+$B54/10000)-1)*(1-Supuestos!$B$6)</f>
        <v/>
      </c>
      <c r="G54">
        <f>(1-Supuestos!E$28)*((1+((1+Supuestos!E$26)/(1+Supuestos!$B$4)-1+Supuestos!$B$14*$A54/10000))*(1+Supuestos!$B$4+$B54/10000)-1)+Supuestos!E$28*((1+Supuestos!E$27+$A54/10000)*(1+Supuestos!$B$4+$B54/10000)-1)*(1-Supuestos!$B$6)</f>
        <v/>
      </c>
      <c r="H54">
        <f>(1-Supuestos!F$28)*((1+((1+Supuestos!F$26)/(1+Supuestos!$B$4)-1+Supuestos!$B$14*$A54/10000))*(1+Supuestos!$B$4+$B54/10000)-1)+Supuestos!F$28*((1+Supuestos!F$27+$A54/10000)*(1+Supuestos!$B$4+$B54/10000)-1)*(1-Supuestos!$B$6)</f>
        <v/>
      </c>
      <c r="I54">
        <f>(1-Supuestos!G$28)*((1+((1+Supuestos!G$26)/(1+Supuestos!$B$4)-1+Supuestos!$B$14*$A54/10000))*(1+Supuestos!$B$4+$B54/10000)-1)+Supuestos!G$28*((1+Supuestos!G$27+$A54/10000)*(1+Supuestos!$B$4+$B54/10000)-1)*(1-Supuestos!$B$6)</f>
        <v/>
      </c>
      <c r="J54">
        <f>(1-Supuestos!H$28)*((1+((1+Supuestos!H$26)/(1+Supuestos!$B$4)-1+Supuestos!$B$14*$A54/10000))*(1+Supuestos!$B$4+$B54/10000)-1)+Supuestos!H$28*((1+Supuestos!H$27+$A54/10000)*(1+Supuestos!$B$4+$B54/10000)-1)*(1-Supuestos!$B$6)</f>
        <v/>
      </c>
      <c r="K54">
        <f>(1-Supuestos!I$28)*((1+((1+Supuestos!I$26)/(1+Supuestos!$B$4)-1+Supuestos!$B$14*$A54/10000))*(1+Supuestos!$B$4+$B54/10000)-1)+Supuestos!I$28*((1+Supuestos!I$27+$A54/10000)*(1+Supuestos!$B$4+$B54/10000)-1)*(1-Supuestos!$B$6)</f>
        <v/>
      </c>
      <c r="L54">
        <f>(1+E54)^-Supuestos!C$24</f>
        <v/>
      </c>
      <c r="M54">
        <f>L54*(1+F54)^-Supuestos!D$24</f>
        <v/>
      </c>
      <c r="N54">
        <f>M54*(1+G54)^-Supuestos!E$24</f>
        <v/>
      </c>
      <c r="O54">
        <f>N54*(1+H54)^-Supuestos!F$24</f>
        <v/>
      </c>
      <c r="P54">
        <f>O54*(1+I54)^-Supuestos!G$24</f>
        <v/>
      </c>
      <c r="Q54">
        <f>P54*(1+J54)^-Supuestos!H$24</f>
        <v/>
      </c>
      <c r="R54">
        <f>(1+E54)^-(Supuestos!C$24/2)</f>
        <v/>
      </c>
      <c r="S54">
        <f>L54*(1+F54)^-(Supuestos!D$24/2)</f>
        <v/>
      </c>
      <c r="T54">
        <f>M54*(1+G54)^-(Supuestos!E$24/2)</f>
        <v/>
      </c>
      <c r="U54">
        <f>N54*(1+H54)^-(Supuestos!F$24/2)</f>
        <v/>
      </c>
      <c r="V54">
        <f>O54*(1+I54)^-(Supuestos!G$24/2)</f>
        <v/>
      </c>
      <c r="W54">
        <f>P54*(1+J54)^-(Supuestos!H$24/2)</f>
        <v/>
      </c>
      <c r="X54">
        <f>Supuestos!C$23*(1-$C54+$C54*((1+Supuestos!$B$4+$B54/10000)/(1+Supuestos!$B$4))^Supuestos!C$25)</f>
        <v/>
      </c>
      <c r="Y54">
        <f>Supuestos!D$23*(1-$C54+$C54*((1+Supuestos!$B$4+$B54/10000)/(1+Supuestos!$B$4))^Supuestos!D$25)</f>
        <v/>
      </c>
      <c r="Z54">
        <f>Supuestos!E$23*(1-$C54+$C54*((1+Supuestos!$B$4+$B54/10000)/(1+Supuestos!$B$4))^Supuestos!E$25)</f>
        <v/>
      </c>
      <c r="AA54">
        <f>Supuestos!F$23*(1-$C54+$C54*((1+Supuestos!$B$4+$B54/10000)/(1+Supuestos!$B$4))^Supuestos!F$25)</f>
        <v/>
      </c>
      <c r="AB54">
        <f>Supuestos!G$23*(1-$C54+$C54*((1+Supuestos!$B$4+$B54/10000)/(1+Supuestos!$B$4))^Supuestos!G$25)</f>
        <v/>
      </c>
      <c r="AC54">
        <f>Supuestos!H$23*(1-$C54+$C54*((1+Supuestos!$B$4+$B54/10000)/(1+Supuestos!$B$4))^Supuestos!H$25)</f>
        <v/>
      </c>
      <c r="AD54">
        <f>Supuestos!I$23*(1-$C54+$C54*((1+Supuestos!$B$4+$B54/10000)/(1+Supuestos!$B$4))^Supuestos!I$25)</f>
        <v/>
      </c>
      <c r="AE54">
        <f>SUMPRODUCT(X54:AC54,R54:W54)</f>
        <v/>
      </c>
      <c r="AF54">
        <f>(1+Supuestos!$B$5)/(1+Supuestos!$B$4)*(1+Supuestos!$B$4+$B54/10000)-1</f>
        <v/>
      </c>
      <c r="AG54">
        <f>AD54/(K54-AF54)</f>
        <v/>
      </c>
      <c r="AH54">
        <f>AG54*Q54</f>
        <v/>
      </c>
      <c r="AI54">
        <f>(AE54+AH54-Supuestos!$B$7-Supuestos!$B$8)/Supuestos!$B$9</f>
        <v/>
      </c>
      <c r="AJ54">
        <f>AI54/AI$5-1</f>
        <v/>
      </c>
    </row>
    <row r="55">
      <c r="A55" t="n">
        <v>70</v>
      </c>
      <c r="B55" t="n">
        <v>30</v>
      </c>
      <c r="C55" t="n">
        <v>0.85</v>
      </c>
      <c r="D55" t="inlineStr">
        <is>
          <t>Mix Δi=+100 θ=0.85</t>
        </is>
      </c>
      <c r="E55">
        <f>(1-Supuestos!C$28)*((1+((1+Supuestos!C$26)/(1+Supuestos!$B$4)-1+Supuestos!$B$14*$A55/10000))*(1+Supuestos!$B$4+$B55/10000)-1)+Supuestos!C$28*((1+Supuestos!C$27+$A55/10000)*(1+Supuestos!$B$4+$B55/10000)-1)*(1-Supuestos!$B$6)</f>
        <v/>
      </c>
      <c r="F55">
        <f>(1-Supuestos!D$28)*((1+((1+Supuestos!D$26)/(1+Supuestos!$B$4)-1+Supuestos!$B$14*$A55/10000))*(1+Supuestos!$B$4+$B55/10000)-1)+Supuestos!D$28*((1+Supuestos!D$27+$A55/10000)*(1+Supuestos!$B$4+$B55/10000)-1)*(1-Supuestos!$B$6)</f>
        <v/>
      </c>
      <c r="G55">
        <f>(1-Supuestos!E$28)*((1+((1+Supuestos!E$26)/(1+Supuestos!$B$4)-1+Supuestos!$B$14*$A55/10000))*(1+Supuestos!$B$4+$B55/10000)-1)+Supuestos!E$28*((1+Supuestos!E$27+$A55/10000)*(1+Supuestos!$B$4+$B55/10000)-1)*(1-Supuestos!$B$6)</f>
        <v/>
      </c>
      <c r="H55">
        <f>(1-Supuestos!F$28)*((1+((1+Supuestos!F$26)/(1+Supuestos!$B$4)-1+Supuestos!$B$14*$A55/10000))*(1+Supuestos!$B$4+$B55/10000)-1)+Supuestos!F$28*((1+Supuestos!F$27+$A55/10000)*(1+Supuestos!$B$4+$B55/10000)-1)*(1-Supuestos!$B$6)</f>
        <v/>
      </c>
      <c r="I55">
        <f>(1-Supuestos!G$28)*((1+((1+Supuestos!G$26)/(1+Supuestos!$B$4)-1+Supuestos!$B$14*$A55/10000))*(1+Supuestos!$B$4+$B55/10000)-1)+Supuestos!G$28*((1+Supuestos!G$27+$A55/10000)*(1+Supuestos!$B$4+$B55/10000)-1)*(1-Supuestos!$B$6)</f>
        <v/>
      </c>
      <c r="J55">
        <f>(1-Supuestos!H$28)*((1+((1+Supuestos!H$26)/(1+Supuestos!$B$4)-1+Supuestos!$B$14*$A55/10000))*(1+Supuestos!$B$4+$B55/10000)-1)+Supuestos!H$28*((1+Supuestos!H$27+$A55/10000)*(1+Supuestos!$B$4+$B55/10000)-1)*(1-Supuestos!$B$6)</f>
        <v/>
      </c>
      <c r="K55">
        <f>(1-Supuestos!I$28)*((1+((1+Supuestos!I$26)/(1+Supuestos!$B$4)-1+Supuestos!$B$14*$A55/10000))*(1+Supuestos!$B$4+$B55/10000)-1)+Supuestos!I$28*((1+Supuestos!I$27+$A55/10000)*(1+Supuestos!$B$4+$B55/10000)-1)*(1-Supuestos!$B$6)</f>
        <v/>
      </c>
      <c r="L55">
        <f>(1+E55)^-Supuestos!C$24</f>
        <v/>
      </c>
      <c r="M55">
        <f>L55*(1+F55)^-Supuestos!D$24</f>
        <v/>
      </c>
      <c r="N55">
        <f>M55*(1+G55)^-Supuestos!E$24</f>
        <v/>
      </c>
      <c r="O55">
        <f>N55*(1+H55)^-Supuestos!F$24</f>
        <v/>
      </c>
      <c r="P55">
        <f>O55*(1+I55)^-Supuestos!G$24</f>
        <v/>
      </c>
      <c r="Q55">
        <f>P55*(1+J55)^-Supuestos!H$24</f>
        <v/>
      </c>
      <c r="R55">
        <f>(1+E55)^-(Supuestos!C$24/2)</f>
        <v/>
      </c>
      <c r="S55">
        <f>L55*(1+F55)^-(Supuestos!D$24/2)</f>
        <v/>
      </c>
      <c r="T55">
        <f>M55*(1+G55)^-(Supuestos!E$24/2)</f>
        <v/>
      </c>
      <c r="U55">
        <f>N55*(1+H55)^-(Supuestos!F$24/2)</f>
        <v/>
      </c>
      <c r="V55">
        <f>O55*(1+I55)^-(Supuestos!G$24/2)</f>
        <v/>
      </c>
      <c r="W55">
        <f>P55*(1+J55)^-(Supuestos!H$24/2)</f>
        <v/>
      </c>
      <c r="X55">
        <f>Supuestos!C$23*(1-$C55+$C55*((1+Supuestos!$B$4+$B55/10000)/(1+Supuestos!$B$4))^Supuestos!C$25)</f>
        <v/>
      </c>
      <c r="Y55">
        <f>Supuestos!D$23*(1-$C55+$C55*((1+Supuestos!$B$4+$B55/10000)/(1+Supuestos!$B$4))^Supuestos!D$25)</f>
        <v/>
      </c>
      <c r="Z55">
        <f>Supuestos!E$23*(1-$C55+$C55*((1+Supuestos!$B$4+$B55/10000)/(1+Supuestos!$B$4))^Supuestos!E$25)</f>
        <v/>
      </c>
      <c r="AA55">
        <f>Supuestos!F$23*(1-$C55+$C55*((1+Supuestos!$B$4+$B55/10000)/(1+Supuestos!$B$4))^Supuestos!F$25)</f>
        <v/>
      </c>
      <c r="AB55">
        <f>Supuestos!G$23*(1-$C55+$C55*((1+Supuestos!$B$4+$B55/10000)/(1+Supuestos!$B$4))^Supuestos!G$25)</f>
        <v/>
      </c>
      <c r="AC55">
        <f>Supuestos!H$23*(1-$C55+$C55*((1+Supuestos!$B$4+$B55/10000)/(1+Supuestos!$B$4))^Supuestos!H$25)</f>
        <v/>
      </c>
      <c r="AD55">
        <f>Supuestos!I$23*(1-$C55+$C55*((1+Supuestos!$B$4+$B55/10000)/(1+Supuestos!$B$4))^Supuestos!I$25)</f>
        <v/>
      </c>
      <c r="AE55">
        <f>SUMPRODUCT(X55:AC55,R55:W55)</f>
        <v/>
      </c>
      <c r="AF55">
        <f>(1+Supuestos!$B$5)/(1+Supuestos!$B$4)*(1+Supuestos!$B$4+$B55/10000)-1</f>
        <v/>
      </c>
      <c r="AG55">
        <f>AD55/(K55-AF55)</f>
        <v/>
      </c>
      <c r="AH55">
        <f>AG55*Q55</f>
        <v/>
      </c>
      <c r="AI55">
        <f>(AE55+AH55-Supuestos!$B$7-Supuestos!$B$8)/Supuestos!$B$9</f>
        <v/>
      </c>
      <c r="AJ55">
        <f>AI55/AI$5-1</f>
        <v/>
      </c>
    </row>
    <row r="56">
      <c r="A56" t="n">
        <v>60</v>
      </c>
      <c r="B56" t="n">
        <v>40</v>
      </c>
      <c r="C56" t="n">
        <v>0.85</v>
      </c>
      <c r="D56" t="inlineStr">
        <is>
          <t>Mix Δi=+100 θ=0.85</t>
        </is>
      </c>
      <c r="E56">
        <f>(1-Supuestos!C$28)*((1+((1+Supuestos!C$26)/(1+Supuestos!$B$4)-1+Supuestos!$B$14*$A56/10000))*(1+Supuestos!$B$4+$B56/10000)-1)+Supuestos!C$28*((1+Supuestos!C$27+$A56/10000)*(1+Supuestos!$B$4+$B56/10000)-1)*(1-Supuestos!$B$6)</f>
        <v/>
      </c>
      <c r="F56">
        <f>(1-Supuestos!D$28)*((1+((1+Supuestos!D$26)/(1+Supuestos!$B$4)-1+Supuestos!$B$14*$A56/10000))*(1+Supuestos!$B$4+$B56/10000)-1)+Supuestos!D$28*((1+Supuestos!D$27+$A56/10000)*(1+Supuestos!$B$4+$B56/10000)-1)*(1-Supuestos!$B$6)</f>
        <v/>
      </c>
      <c r="G56">
        <f>(1-Supuestos!E$28)*((1+((1+Supuestos!E$26)/(1+Supuestos!$B$4)-1+Supuestos!$B$14*$A56/10000))*(1+Supuestos!$B$4+$B56/10000)-1)+Supuestos!E$28*((1+Supuestos!E$27+$A56/10000)*(1+Supuestos!$B$4+$B56/10000)-1)*(1-Supuestos!$B$6)</f>
        <v/>
      </c>
      <c r="H56">
        <f>(1-Supuestos!F$28)*((1+((1+Supuestos!F$26)/(1+Supuestos!$B$4)-1+Supuestos!$B$14*$A56/10000))*(1+Supuestos!$B$4+$B56/10000)-1)+Supuestos!F$28*((1+Supuestos!F$27+$A56/10000)*(1+Supuestos!$B$4+$B56/10000)-1)*(1-Supuestos!$B$6)</f>
        <v/>
      </c>
      <c r="I56">
        <f>(1-Supuestos!G$28)*((1+((1+Supuestos!G$26)/(1+Supuestos!$B$4)-1+Supuestos!$B$14*$A56/10000))*(1+Supuestos!$B$4+$B56/10000)-1)+Supuestos!G$28*((1+Supuestos!G$27+$A56/10000)*(1+Supuestos!$B$4+$B56/10000)-1)*(1-Supuestos!$B$6)</f>
        <v/>
      </c>
      <c r="J56">
        <f>(1-Supuestos!H$28)*((1+((1+Supuestos!H$26)/(1+Supuestos!$B$4)-1+Supuestos!$B$14*$A56/10000))*(1+Supuestos!$B$4+$B56/10000)-1)+Supuestos!H$28*((1+Supuestos!H$27+$A56/10000)*(1+Supuestos!$B$4+$B56/10000)-1)*(1-Supuestos!$B$6)</f>
        <v/>
      </c>
      <c r="K56">
        <f>(1-Supuestos!I$28)*((1+((1+Supuestos!I$26)/(1+Supuestos!$B$4)-1+Supuestos!$B$14*$A56/10000))*(1+Supuestos!$B$4+$B56/10000)-1)+Supuestos!I$28*((1+Supuestos!I$27+$A56/10000)*(1+Supuestos!$B$4+$B56/10000)-1)*(1-Supuestos!$B$6)</f>
        <v/>
      </c>
      <c r="L56">
        <f>(1+E56)^-Supuestos!C$24</f>
        <v/>
      </c>
      <c r="M56">
        <f>L56*(1+F56)^-Supuestos!D$24</f>
        <v/>
      </c>
      <c r="N56">
        <f>M56*(1+G56)^-Supuestos!E$24</f>
        <v/>
      </c>
      <c r="O56">
        <f>N56*(1+H56)^-Supuestos!F$24</f>
        <v/>
      </c>
      <c r="P56">
        <f>O56*(1+I56)^-Supuestos!G$24</f>
        <v/>
      </c>
      <c r="Q56">
        <f>P56*(1+J56)^-Supuestos!H$24</f>
        <v/>
      </c>
      <c r="R56">
        <f>(1+E56)^-(Supuestos!C$24/2)</f>
        <v/>
      </c>
      <c r="S56">
        <f>L56*(1+F56)^-(Supuestos!D$24/2)</f>
        <v/>
      </c>
      <c r="T56">
        <f>M56*(1+G56)^-(Supuestos!E$24/2)</f>
        <v/>
      </c>
      <c r="U56">
        <f>N56*(1+H56)^-(Supuestos!F$24/2)</f>
        <v/>
      </c>
      <c r="V56">
        <f>O56*(1+I56)^-(Supuestos!G$24/2)</f>
        <v/>
      </c>
      <c r="W56">
        <f>P56*(1+J56)^-(Supuestos!H$24/2)</f>
        <v/>
      </c>
      <c r="X56">
        <f>Supuestos!C$23*(1-$C56+$C56*((1+Supuestos!$B$4+$B56/10000)/(1+Supuestos!$B$4))^Supuestos!C$25)</f>
        <v/>
      </c>
      <c r="Y56">
        <f>Supuestos!D$23*(1-$C56+$C56*((1+Supuestos!$B$4+$B56/10000)/(1+Supuestos!$B$4))^Supuestos!D$25)</f>
        <v/>
      </c>
      <c r="Z56">
        <f>Supuestos!E$23*(1-$C56+$C56*((1+Supuestos!$B$4+$B56/10000)/(1+Supuestos!$B$4))^Supuestos!E$25)</f>
        <v/>
      </c>
      <c r="AA56">
        <f>Supuestos!F$23*(1-$C56+$C56*((1+Supuestos!$B$4+$B56/10000)/(1+Supuestos!$B$4))^Supuestos!F$25)</f>
        <v/>
      </c>
      <c r="AB56">
        <f>Supuestos!G$23*(1-$C56+$C56*((1+Supuestos!$B$4+$B56/10000)/(1+Supuestos!$B$4))^Supuestos!G$25)</f>
        <v/>
      </c>
      <c r="AC56">
        <f>Supuestos!H$23*(1-$C56+$C56*((1+Supuestos!$B$4+$B56/10000)/(1+Supuestos!$B$4))^Supuestos!H$25)</f>
        <v/>
      </c>
      <c r="AD56">
        <f>Supuestos!I$23*(1-$C56+$C56*((1+Supuestos!$B$4+$B56/10000)/(1+Supuestos!$B$4))^Supuestos!I$25)</f>
        <v/>
      </c>
      <c r="AE56">
        <f>SUMPRODUCT(X56:AC56,R56:W56)</f>
        <v/>
      </c>
      <c r="AF56">
        <f>(1+Supuestos!$B$5)/(1+Supuestos!$B$4)*(1+Supuestos!$B$4+$B56/10000)-1</f>
        <v/>
      </c>
      <c r="AG56">
        <f>AD56/(K56-AF56)</f>
        <v/>
      </c>
      <c r="AH56">
        <f>AG56*Q56</f>
        <v/>
      </c>
      <c r="AI56">
        <f>(AE56+AH56-Supuestos!$B$7-Supuestos!$B$8)/Supuestos!$B$9</f>
        <v/>
      </c>
      <c r="AJ56">
        <f>AI56/AI$5-1</f>
        <v/>
      </c>
    </row>
    <row r="57">
      <c r="A57" t="n">
        <v>50</v>
      </c>
      <c r="B57" t="n">
        <v>50</v>
      </c>
      <c r="C57" t="n">
        <v>0.85</v>
      </c>
      <c r="D57" t="inlineStr">
        <is>
          <t>Mix Δi=+100 θ=0.85</t>
        </is>
      </c>
      <c r="E57">
        <f>(1-Supuestos!C$28)*((1+((1+Supuestos!C$26)/(1+Supuestos!$B$4)-1+Supuestos!$B$14*$A57/10000))*(1+Supuestos!$B$4+$B57/10000)-1)+Supuestos!C$28*((1+Supuestos!C$27+$A57/10000)*(1+Supuestos!$B$4+$B57/10000)-1)*(1-Supuestos!$B$6)</f>
        <v/>
      </c>
      <c r="F57">
        <f>(1-Supuestos!D$28)*((1+((1+Supuestos!D$26)/(1+Supuestos!$B$4)-1+Supuestos!$B$14*$A57/10000))*(1+Supuestos!$B$4+$B57/10000)-1)+Supuestos!D$28*((1+Supuestos!D$27+$A57/10000)*(1+Supuestos!$B$4+$B57/10000)-1)*(1-Supuestos!$B$6)</f>
        <v/>
      </c>
      <c r="G57">
        <f>(1-Supuestos!E$28)*((1+((1+Supuestos!E$26)/(1+Supuestos!$B$4)-1+Supuestos!$B$14*$A57/10000))*(1+Supuestos!$B$4+$B57/10000)-1)+Supuestos!E$28*((1+Supuestos!E$27+$A57/10000)*(1+Supuestos!$B$4+$B57/10000)-1)*(1-Supuestos!$B$6)</f>
        <v/>
      </c>
      <c r="H57">
        <f>(1-Supuestos!F$28)*((1+((1+Supuestos!F$26)/(1+Supuestos!$B$4)-1+Supuestos!$B$14*$A57/10000))*(1+Supuestos!$B$4+$B57/10000)-1)+Supuestos!F$28*((1+Supuestos!F$27+$A57/10000)*(1+Supuestos!$B$4+$B57/10000)-1)*(1-Supuestos!$B$6)</f>
        <v/>
      </c>
      <c r="I57">
        <f>(1-Supuestos!G$28)*((1+((1+Supuestos!G$26)/(1+Supuestos!$B$4)-1+Supuestos!$B$14*$A57/10000))*(1+Supuestos!$B$4+$B57/10000)-1)+Supuestos!G$28*((1+Supuestos!G$27+$A57/10000)*(1+Supuestos!$B$4+$B57/10000)-1)*(1-Supuestos!$B$6)</f>
        <v/>
      </c>
      <c r="J57">
        <f>(1-Supuestos!H$28)*((1+((1+Supuestos!H$26)/(1+Supuestos!$B$4)-1+Supuestos!$B$14*$A57/10000))*(1+Supuestos!$B$4+$B57/10000)-1)+Supuestos!H$28*((1+Supuestos!H$27+$A57/10000)*(1+Supuestos!$B$4+$B57/10000)-1)*(1-Supuestos!$B$6)</f>
        <v/>
      </c>
      <c r="K57">
        <f>(1-Supuestos!I$28)*((1+((1+Supuestos!I$26)/(1+Supuestos!$B$4)-1+Supuestos!$B$14*$A57/10000))*(1+Supuestos!$B$4+$B57/10000)-1)+Supuestos!I$28*((1+Supuestos!I$27+$A57/10000)*(1+Supuestos!$B$4+$B57/10000)-1)*(1-Supuestos!$B$6)</f>
        <v/>
      </c>
      <c r="L57">
        <f>(1+E57)^-Supuestos!C$24</f>
        <v/>
      </c>
      <c r="M57">
        <f>L57*(1+F57)^-Supuestos!D$24</f>
        <v/>
      </c>
      <c r="N57">
        <f>M57*(1+G57)^-Supuestos!E$24</f>
        <v/>
      </c>
      <c r="O57">
        <f>N57*(1+H57)^-Supuestos!F$24</f>
        <v/>
      </c>
      <c r="P57">
        <f>O57*(1+I57)^-Supuestos!G$24</f>
        <v/>
      </c>
      <c r="Q57">
        <f>P57*(1+J57)^-Supuestos!H$24</f>
        <v/>
      </c>
      <c r="R57">
        <f>(1+E57)^-(Supuestos!C$24/2)</f>
        <v/>
      </c>
      <c r="S57">
        <f>L57*(1+F57)^-(Supuestos!D$24/2)</f>
        <v/>
      </c>
      <c r="T57">
        <f>M57*(1+G57)^-(Supuestos!E$24/2)</f>
        <v/>
      </c>
      <c r="U57">
        <f>N57*(1+H57)^-(Supuestos!F$24/2)</f>
        <v/>
      </c>
      <c r="V57">
        <f>O57*(1+I57)^-(Supuestos!G$24/2)</f>
        <v/>
      </c>
      <c r="W57">
        <f>P57*(1+J57)^-(Supuestos!H$24/2)</f>
        <v/>
      </c>
      <c r="X57">
        <f>Supuestos!C$23*(1-$C57+$C57*((1+Supuestos!$B$4+$B57/10000)/(1+Supuestos!$B$4))^Supuestos!C$25)</f>
        <v/>
      </c>
      <c r="Y57">
        <f>Supuestos!D$23*(1-$C57+$C57*((1+Supuestos!$B$4+$B57/10000)/(1+Supuestos!$B$4))^Supuestos!D$25)</f>
        <v/>
      </c>
      <c r="Z57">
        <f>Supuestos!E$23*(1-$C57+$C57*((1+Supuestos!$B$4+$B57/10000)/(1+Supuestos!$B$4))^Supuestos!E$25)</f>
        <v/>
      </c>
      <c r="AA57">
        <f>Supuestos!F$23*(1-$C57+$C57*((1+Supuestos!$B$4+$B57/10000)/(1+Supuestos!$B$4))^Supuestos!F$25)</f>
        <v/>
      </c>
      <c r="AB57">
        <f>Supuestos!G$23*(1-$C57+$C57*((1+Supuestos!$B$4+$B57/10000)/(1+Supuestos!$B$4))^Supuestos!G$25)</f>
        <v/>
      </c>
      <c r="AC57">
        <f>Supuestos!H$23*(1-$C57+$C57*((1+Supuestos!$B$4+$B57/10000)/(1+Supuestos!$B$4))^Supuestos!H$25)</f>
        <v/>
      </c>
      <c r="AD57">
        <f>Supuestos!I$23*(1-$C57+$C57*((1+Supuestos!$B$4+$B57/10000)/(1+Supuestos!$B$4))^Supuestos!I$25)</f>
        <v/>
      </c>
      <c r="AE57">
        <f>SUMPRODUCT(X57:AC57,R57:W57)</f>
        <v/>
      </c>
      <c r="AF57">
        <f>(1+Supuestos!$B$5)/(1+Supuestos!$B$4)*(1+Supuestos!$B$4+$B57/10000)-1</f>
        <v/>
      </c>
      <c r="AG57">
        <f>AD57/(K57-AF57)</f>
        <v/>
      </c>
      <c r="AH57">
        <f>AG57*Q57</f>
        <v/>
      </c>
      <c r="AI57">
        <f>(AE57+AH57-Supuestos!$B$7-Supuestos!$B$8)/Supuestos!$B$9</f>
        <v/>
      </c>
      <c r="AJ57">
        <f>AI57/AI$5-1</f>
        <v/>
      </c>
    </row>
    <row r="58">
      <c r="A58" t="n">
        <v>40</v>
      </c>
      <c r="B58" t="n">
        <v>60</v>
      </c>
      <c r="C58" t="n">
        <v>0.85</v>
      </c>
      <c r="D58" t="inlineStr">
        <is>
          <t>Mix Δi=+100 θ=0.85</t>
        </is>
      </c>
      <c r="E58">
        <f>(1-Supuestos!C$28)*((1+((1+Supuestos!C$26)/(1+Supuestos!$B$4)-1+Supuestos!$B$14*$A58/10000))*(1+Supuestos!$B$4+$B58/10000)-1)+Supuestos!C$28*((1+Supuestos!C$27+$A58/10000)*(1+Supuestos!$B$4+$B58/10000)-1)*(1-Supuestos!$B$6)</f>
        <v/>
      </c>
      <c r="F58">
        <f>(1-Supuestos!D$28)*((1+((1+Supuestos!D$26)/(1+Supuestos!$B$4)-1+Supuestos!$B$14*$A58/10000))*(1+Supuestos!$B$4+$B58/10000)-1)+Supuestos!D$28*((1+Supuestos!D$27+$A58/10000)*(1+Supuestos!$B$4+$B58/10000)-1)*(1-Supuestos!$B$6)</f>
        <v/>
      </c>
      <c r="G58">
        <f>(1-Supuestos!E$28)*((1+((1+Supuestos!E$26)/(1+Supuestos!$B$4)-1+Supuestos!$B$14*$A58/10000))*(1+Supuestos!$B$4+$B58/10000)-1)+Supuestos!E$28*((1+Supuestos!E$27+$A58/10000)*(1+Supuestos!$B$4+$B58/10000)-1)*(1-Supuestos!$B$6)</f>
        <v/>
      </c>
      <c r="H58">
        <f>(1-Supuestos!F$28)*((1+((1+Supuestos!F$26)/(1+Supuestos!$B$4)-1+Supuestos!$B$14*$A58/10000))*(1+Supuestos!$B$4+$B58/10000)-1)+Supuestos!F$28*((1+Supuestos!F$27+$A58/10000)*(1+Supuestos!$B$4+$B58/10000)-1)*(1-Supuestos!$B$6)</f>
        <v/>
      </c>
      <c r="I58">
        <f>(1-Supuestos!G$28)*((1+((1+Supuestos!G$26)/(1+Supuestos!$B$4)-1+Supuestos!$B$14*$A58/10000))*(1+Supuestos!$B$4+$B58/10000)-1)+Supuestos!G$28*((1+Supuestos!G$27+$A58/10000)*(1+Supuestos!$B$4+$B58/10000)-1)*(1-Supuestos!$B$6)</f>
        <v/>
      </c>
      <c r="J58">
        <f>(1-Supuestos!H$28)*((1+((1+Supuestos!H$26)/(1+Supuestos!$B$4)-1+Supuestos!$B$14*$A58/10000))*(1+Supuestos!$B$4+$B58/10000)-1)+Supuestos!H$28*((1+Supuestos!H$27+$A58/10000)*(1+Supuestos!$B$4+$B58/10000)-1)*(1-Supuestos!$B$6)</f>
        <v/>
      </c>
      <c r="K58">
        <f>(1-Supuestos!I$28)*((1+((1+Supuestos!I$26)/(1+Supuestos!$B$4)-1+Supuestos!$B$14*$A58/10000))*(1+Supuestos!$B$4+$B58/10000)-1)+Supuestos!I$28*((1+Supuestos!I$27+$A58/10000)*(1+Supuestos!$B$4+$B58/10000)-1)*(1-Supuestos!$B$6)</f>
        <v/>
      </c>
      <c r="L58">
        <f>(1+E58)^-Supuestos!C$24</f>
        <v/>
      </c>
      <c r="M58">
        <f>L58*(1+F58)^-Supuestos!D$24</f>
        <v/>
      </c>
      <c r="N58">
        <f>M58*(1+G58)^-Supuestos!E$24</f>
        <v/>
      </c>
      <c r="O58">
        <f>N58*(1+H58)^-Supuestos!F$24</f>
        <v/>
      </c>
      <c r="P58">
        <f>O58*(1+I58)^-Supuestos!G$24</f>
        <v/>
      </c>
      <c r="Q58">
        <f>P58*(1+J58)^-Supuestos!H$24</f>
        <v/>
      </c>
      <c r="R58">
        <f>(1+E58)^-(Supuestos!C$24/2)</f>
        <v/>
      </c>
      <c r="S58">
        <f>L58*(1+F58)^-(Supuestos!D$24/2)</f>
        <v/>
      </c>
      <c r="T58">
        <f>M58*(1+G58)^-(Supuestos!E$24/2)</f>
        <v/>
      </c>
      <c r="U58">
        <f>N58*(1+H58)^-(Supuestos!F$24/2)</f>
        <v/>
      </c>
      <c r="V58">
        <f>O58*(1+I58)^-(Supuestos!G$24/2)</f>
        <v/>
      </c>
      <c r="W58">
        <f>P58*(1+J58)^-(Supuestos!H$24/2)</f>
        <v/>
      </c>
      <c r="X58">
        <f>Supuestos!C$23*(1-$C58+$C58*((1+Supuestos!$B$4+$B58/10000)/(1+Supuestos!$B$4))^Supuestos!C$25)</f>
        <v/>
      </c>
      <c r="Y58">
        <f>Supuestos!D$23*(1-$C58+$C58*((1+Supuestos!$B$4+$B58/10000)/(1+Supuestos!$B$4))^Supuestos!D$25)</f>
        <v/>
      </c>
      <c r="Z58">
        <f>Supuestos!E$23*(1-$C58+$C58*((1+Supuestos!$B$4+$B58/10000)/(1+Supuestos!$B$4))^Supuestos!E$25)</f>
        <v/>
      </c>
      <c r="AA58">
        <f>Supuestos!F$23*(1-$C58+$C58*((1+Supuestos!$B$4+$B58/10000)/(1+Supuestos!$B$4))^Supuestos!F$25)</f>
        <v/>
      </c>
      <c r="AB58">
        <f>Supuestos!G$23*(1-$C58+$C58*((1+Supuestos!$B$4+$B58/10000)/(1+Supuestos!$B$4))^Supuestos!G$25)</f>
        <v/>
      </c>
      <c r="AC58">
        <f>Supuestos!H$23*(1-$C58+$C58*((1+Supuestos!$B$4+$B58/10000)/(1+Supuestos!$B$4))^Supuestos!H$25)</f>
        <v/>
      </c>
      <c r="AD58">
        <f>Supuestos!I$23*(1-$C58+$C58*((1+Supuestos!$B$4+$B58/10000)/(1+Supuestos!$B$4))^Supuestos!I$25)</f>
        <v/>
      </c>
      <c r="AE58">
        <f>SUMPRODUCT(X58:AC58,R58:W58)</f>
        <v/>
      </c>
      <c r="AF58">
        <f>(1+Supuestos!$B$5)/(1+Supuestos!$B$4)*(1+Supuestos!$B$4+$B58/10000)-1</f>
        <v/>
      </c>
      <c r="AG58">
        <f>AD58/(K58-AF58)</f>
        <v/>
      </c>
      <c r="AH58">
        <f>AG58*Q58</f>
        <v/>
      </c>
      <c r="AI58">
        <f>(AE58+AH58-Supuestos!$B$7-Supuestos!$B$8)/Supuestos!$B$9</f>
        <v/>
      </c>
      <c r="AJ58">
        <f>AI58/AI$5-1</f>
        <v/>
      </c>
    </row>
    <row r="59">
      <c r="A59" t="n">
        <v>30</v>
      </c>
      <c r="B59" t="n">
        <v>70</v>
      </c>
      <c r="C59" t="n">
        <v>0.85</v>
      </c>
      <c r="D59" t="inlineStr">
        <is>
          <t>Mix Δi=+100 θ=0.85</t>
        </is>
      </c>
      <c r="E59">
        <f>(1-Supuestos!C$28)*((1+((1+Supuestos!C$26)/(1+Supuestos!$B$4)-1+Supuestos!$B$14*$A59/10000))*(1+Supuestos!$B$4+$B59/10000)-1)+Supuestos!C$28*((1+Supuestos!C$27+$A59/10000)*(1+Supuestos!$B$4+$B59/10000)-1)*(1-Supuestos!$B$6)</f>
        <v/>
      </c>
      <c r="F59">
        <f>(1-Supuestos!D$28)*((1+((1+Supuestos!D$26)/(1+Supuestos!$B$4)-1+Supuestos!$B$14*$A59/10000))*(1+Supuestos!$B$4+$B59/10000)-1)+Supuestos!D$28*((1+Supuestos!D$27+$A59/10000)*(1+Supuestos!$B$4+$B59/10000)-1)*(1-Supuestos!$B$6)</f>
        <v/>
      </c>
      <c r="G59">
        <f>(1-Supuestos!E$28)*((1+((1+Supuestos!E$26)/(1+Supuestos!$B$4)-1+Supuestos!$B$14*$A59/10000))*(1+Supuestos!$B$4+$B59/10000)-1)+Supuestos!E$28*((1+Supuestos!E$27+$A59/10000)*(1+Supuestos!$B$4+$B59/10000)-1)*(1-Supuestos!$B$6)</f>
        <v/>
      </c>
      <c r="H59">
        <f>(1-Supuestos!F$28)*((1+((1+Supuestos!F$26)/(1+Supuestos!$B$4)-1+Supuestos!$B$14*$A59/10000))*(1+Supuestos!$B$4+$B59/10000)-1)+Supuestos!F$28*((1+Supuestos!F$27+$A59/10000)*(1+Supuestos!$B$4+$B59/10000)-1)*(1-Supuestos!$B$6)</f>
        <v/>
      </c>
      <c r="I59">
        <f>(1-Supuestos!G$28)*((1+((1+Supuestos!G$26)/(1+Supuestos!$B$4)-1+Supuestos!$B$14*$A59/10000))*(1+Supuestos!$B$4+$B59/10000)-1)+Supuestos!G$28*((1+Supuestos!G$27+$A59/10000)*(1+Supuestos!$B$4+$B59/10000)-1)*(1-Supuestos!$B$6)</f>
        <v/>
      </c>
      <c r="J59">
        <f>(1-Supuestos!H$28)*((1+((1+Supuestos!H$26)/(1+Supuestos!$B$4)-1+Supuestos!$B$14*$A59/10000))*(1+Supuestos!$B$4+$B59/10000)-1)+Supuestos!H$28*((1+Supuestos!H$27+$A59/10000)*(1+Supuestos!$B$4+$B59/10000)-1)*(1-Supuestos!$B$6)</f>
        <v/>
      </c>
      <c r="K59">
        <f>(1-Supuestos!I$28)*((1+((1+Supuestos!I$26)/(1+Supuestos!$B$4)-1+Supuestos!$B$14*$A59/10000))*(1+Supuestos!$B$4+$B59/10000)-1)+Supuestos!I$28*((1+Supuestos!I$27+$A59/10000)*(1+Supuestos!$B$4+$B59/10000)-1)*(1-Supuestos!$B$6)</f>
        <v/>
      </c>
      <c r="L59">
        <f>(1+E59)^-Supuestos!C$24</f>
        <v/>
      </c>
      <c r="M59">
        <f>L59*(1+F59)^-Supuestos!D$24</f>
        <v/>
      </c>
      <c r="N59">
        <f>M59*(1+G59)^-Supuestos!E$24</f>
        <v/>
      </c>
      <c r="O59">
        <f>N59*(1+H59)^-Supuestos!F$24</f>
        <v/>
      </c>
      <c r="P59">
        <f>O59*(1+I59)^-Supuestos!G$24</f>
        <v/>
      </c>
      <c r="Q59">
        <f>P59*(1+J59)^-Supuestos!H$24</f>
        <v/>
      </c>
      <c r="R59">
        <f>(1+E59)^-(Supuestos!C$24/2)</f>
        <v/>
      </c>
      <c r="S59">
        <f>L59*(1+F59)^-(Supuestos!D$24/2)</f>
        <v/>
      </c>
      <c r="T59">
        <f>M59*(1+G59)^-(Supuestos!E$24/2)</f>
        <v/>
      </c>
      <c r="U59">
        <f>N59*(1+H59)^-(Supuestos!F$24/2)</f>
        <v/>
      </c>
      <c r="V59">
        <f>O59*(1+I59)^-(Supuestos!G$24/2)</f>
        <v/>
      </c>
      <c r="W59">
        <f>P59*(1+J59)^-(Supuestos!H$24/2)</f>
        <v/>
      </c>
      <c r="X59">
        <f>Supuestos!C$23*(1-$C59+$C59*((1+Supuestos!$B$4+$B59/10000)/(1+Supuestos!$B$4))^Supuestos!C$25)</f>
        <v/>
      </c>
      <c r="Y59">
        <f>Supuestos!D$23*(1-$C59+$C59*((1+Supuestos!$B$4+$B59/10000)/(1+Supuestos!$B$4))^Supuestos!D$25)</f>
        <v/>
      </c>
      <c r="Z59">
        <f>Supuestos!E$23*(1-$C59+$C59*((1+Supuestos!$B$4+$B59/10000)/(1+Supuestos!$B$4))^Supuestos!E$25)</f>
        <v/>
      </c>
      <c r="AA59">
        <f>Supuestos!F$23*(1-$C59+$C59*((1+Supuestos!$B$4+$B59/10000)/(1+Supuestos!$B$4))^Supuestos!F$25)</f>
        <v/>
      </c>
      <c r="AB59">
        <f>Supuestos!G$23*(1-$C59+$C59*((1+Supuestos!$B$4+$B59/10000)/(1+Supuestos!$B$4))^Supuestos!G$25)</f>
        <v/>
      </c>
      <c r="AC59">
        <f>Supuestos!H$23*(1-$C59+$C59*((1+Supuestos!$B$4+$B59/10000)/(1+Supuestos!$B$4))^Supuestos!H$25)</f>
        <v/>
      </c>
      <c r="AD59">
        <f>Supuestos!I$23*(1-$C59+$C59*((1+Supuestos!$B$4+$B59/10000)/(1+Supuestos!$B$4))^Supuestos!I$25)</f>
        <v/>
      </c>
      <c r="AE59">
        <f>SUMPRODUCT(X59:AC59,R59:W59)</f>
        <v/>
      </c>
      <c r="AF59">
        <f>(1+Supuestos!$B$5)/(1+Supuestos!$B$4)*(1+Supuestos!$B$4+$B59/10000)-1</f>
        <v/>
      </c>
      <c r="AG59">
        <f>AD59/(K59-AF59)</f>
        <v/>
      </c>
      <c r="AH59">
        <f>AG59*Q59</f>
        <v/>
      </c>
      <c r="AI59">
        <f>(AE59+AH59-Supuestos!$B$7-Supuestos!$B$8)/Supuestos!$B$9</f>
        <v/>
      </c>
      <c r="AJ59">
        <f>AI59/AI$5-1</f>
        <v/>
      </c>
    </row>
    <row r="60">
      <c r="A60" t="n">
        <v>20</v>
      </c>
      <c r="B60" t="n">
        <v>80</v>
      </c>
      <c r="C60" t="n">
        <v>0.85</v>
      </c>
      <c r="D60" t="inlineStr">
        <is>
          <t>Mix Δi=+100 θ=0.85</t>
        </is>
      </c>
      <c r="E60">
        <f>(1-Supuestos!C$28)*((1+((1+Supuestos!C$26)/(1+Supuestos!$B$4)-1+Supuestos!$B$14*$A60/10000))*(1+Supuestos!$B$4+$B60/10000)-1)+Supuestos!C$28*((1+Supuestos!C$27+$A60/10000)*(1+Supuestos!$B$4+$B60/10000)-1)*(1-Supuestos!$B$6)</f>
        <v/>
      </c>
      <c r="F60">
        <f>(1-Supuestos!D$28)*((1+((1+Supuestos!D$26)/(1+Supuestos!$B$4)-1+Supuestos!$B$14*$A60/10000))*(1+Supuestos!$B$4+$B60/10000)-1)+Supuestos!D$28*((1+Supuestos!D$27+$A60/10000)*(1+Supuestos!$B$4+$B60/10000)-1)*(1-Supuestos!$B$6)</f>
        <v/>
      </c>
      <c r="G60">
        <f>(1-Supuestos!E$28)*((1+((1+Supuestos!E$26)/(1+Supuestos!$B$4)-1+Supuestos!$B$14*$A60/10000))*(1+Supuestos!$B$4+$B60/10000)-1)+Supuestos!E$28*((1+Supuestos!E$27+$A60/10000)*(1+Supuestos!$B$4+$B60/10000)-1)*(1-Supuestos!$B$6)</f>
        <v/>
      </c>
      <c r="H60">
        <f>(1-Supuestos!F$28)*((1+((1+Supuestos!F$26)/(1+Supuestos!$B$4)-1+Supuestos!$B$14*$A60/10000))*(1+Supuestos!$B$4+$B60/10000)-1)+Supuestos!F$28*((1+Supuestos!F$27+$A60/10000)*(1+Supuestos!$B$4+$B60/10000)-1)*(1-Supuestos!$B$6)</f>
        <v/>
      </c>
      <c r="I60">
        <f>(1-Supuestos!G$28)*((1+((1+Supuestos!G$26)/(1+Supuestos!$B$4)-1+Supuestos!$B$14*$A60/10000))*(1+Supuestos!$B$4+$B60/10000)-1)+Supuestos!G$28*((1+Supuestos!G$27+$A60/10000)*(1+Supuestos!$B$4+$B60/10000)-1)*(1-Supuestos!$B$6)</f>
        <v/>
      </c>
      <c r="J60">
        <f>(1-Supuestos!H$28)*((1+((1+Supuestos!H$26)/(1+Supuestos!$B$4)-1+Supuestos!$B$14*$A60/10000))*(1+Supuestos!$B$4+$B60/10000)-1)+Supuestos!H$28*((1+Supuestos!H$27+$A60/10000)*(1+Supuestos!$B$4+$B60/10000)-1)*(1-Supuestos!$B$6)</f>
        <v/>
      </c>
      <c r="K60">
        <f>(1-Supuestos!I$28)*((1+((1+Supuestos!I$26)/(1+Supuestos!$B$4)-1+Supuestos!$B$14*$A60/10000))*(1+Supuestos!$B$4+$B60/10000)-1)+Supuestos!I$28*((1+Supuestos!I$27+$A60/10000)*(1+Supuestos!$B$4+$B60/10000)-1)*(1-Supuestos!$B$6)</f>
        <v/>
      </c>
      <c r="L60">
        <f>(1+E60)^-Supuestos!C$24</f>
        <v/>
      </c>
      <c r="M60">
        <f>L60*(1+F60)^-Supuestos!D$24</f>
        <v/>
      </c>
      <c r="N60">
        <f>M60*(1+G60)^-Supuestos!E$24</f>
        <v/>
      </c>
      <c r="O60">
        <f>N60*(1+H60)^-Supuestos!F$24</f>
        <v/>
      </c>
      <c r="P60">
        <f>O60*(1+I60)^-Supuestos!G$24</f>
        <v/>
      </c>
      <c r="Q60">
        <f>P60*(1+J60)^-Supuestos!H$24</f>
        <v/>
      </c>
      <c r="R60">
        <f>(1+E60)^-(Supuestos!C$24/2)</f>
        <v/>
      </c>
      <c r="S60">
        <f>L60*(1+F60)^-(Supuestos!D$24/2)</f>
        <v/>
      </c>
      <c r="T60">
        <f>M60*(1+G60)^-(Supuestos!E$24/2)</f>
        <v/>
      </c>
      <c r="U60">
        <f>N60*(1+H60)^-(Supuestos!F$24/2)</f>
        <v/>
      </c>
      <c r="V60">
        <f>O60*(1+I60)^-(Supuestos!G$24/2)</f>
        <v/>
      </c>
      <c r="W60">
        <f>P60*(1+J60)^-(Supuestos!H$24/2)</f>
        <v/>
      </c>
      <c r="X60">
        <f>Supuestos!C$23*(1-$C60+$C60*((1+Supuestos!$B$4+$B60/10000)/(1+Supuestos!$B$4))^Supuestos!C$25)</f>
        <v/>
      </c>
      <c r="Y60">
        <f>Supuestos!D$23*(1-$C60+$C60*((1+Supuestos!$B$4+$B60/10000)/(1+Supuestos!$B$4))^Supuestos!D$25)</f>
        <v/>
      </c>
      <c r="Z60">
        <f>Supuestos!E$23*(1-$C60+$C60*((1+Supuestos!$B$4+$B60/10000)/(1+Supuestos!$B$4))^Supuestos!E$25)</f>
        <v/>
      </c>
      <c r="AA60">
        <f>Supuestos!F$23*(1-$C60+$C60*((1+Supuestos!$B$4+$B60/10000)/(1+Supuestos!$B$4))^Supuestos!F$25)</f>
        <v/>
      </c>
      <c r="AB60">
        <f>Supuestos!G$23*(1-$C60+$C60*((1+Supuestos!$B$4+$B60/10000)/(1+Supuestos!$B$4))^Supuestos!G$25)</f>
        <v/>
      </c>
      <c r="AC60">
        <f>Supuestos!H$23*(1-$C60+$C60*((1+Supuestos!$B$4+$B60/10000)/(1+Supuestos!$B$4))^Supuestos!H$25)</f>
        <v/>
      </c>
      <c r="AD60">
        <f>Supuestos!I$23*(1-$C60+$C60*((1+Supuestos!$B$4+$B60/10000)/(1+Supuestos!$B$4))^Supuestos!I$25)</f>
        <v/>
      </c>
      <c r="AE60">
        <f>SUMPRODUCT(X60:AC60,R60:W60)</f>
        <v/>
      </c>
      <c r="AF60">
        <f>(1+Supuestos!$B$5)/(1+Supuestos!$B$4)*(1+Supuestos!$B$4+$B60/10000)-1</f>
        <v/>
      </c>
      <c r="AG60">
        <f>AD60/(K60-AF60)</f>
        <v/>
      </c>
      <c r="AH60">
        <f>AG60*Q60</f>
        <v/>
      </c>
      <c r="AI60">
        <f>(AE60+AH60-Supuestos!$B$7-Supuestos!$B$8)/Supuestos!$B$9</f>
        <v/>
      </c>
      <c r="AJ60">
        <f>AI60/AI$5-1</f>
        <v/>
      </c>
    </row>
    <row r="61">
      <c r="A61" t="n">
        <v>9.999999999999998</v>
      </c>
      <c r="B61" t="n">
        <v>90</v>
      </c>
      <c r="C61" t="n">
        <v>0.85</v>
      </c>
      <c r="D61" t="inlineStr">
        <is>
          <t>Mix Δi=+100 θ=0.85</t>
        </is>
      </c>
      <c r="E61">
        <f>(1-Supuestos!C$28)*((1+((1+Supuestos!C$26)/(1+Supuestos!$B$4)-1+Supuestos!$B$14*$A61/10000))*(1+Supuestos!$B$4+$B61/10000)-1)+Supuestos!C$28*((1+Supuestos!C$27+$A61/10000)*(1+Supuestos!$B$4+$B61/10000)-1)*(1-Supuestos!$B$6)</f>
        <v/>
      </c>
      <c r="F61">
        <f>(1-Supuestos!D$28)*((1+((1+Supuestos!D$26)/(1+Supuestos!$B$4)-1+Supuestos!$B$14*$A61/10000))*(1+Supuestos!$B$4+$B61/10000)-1)+Supuestos!D$28*((1+Supuestos!D$27+$A61/10000)*(1+Supuestos!$B$4+$B61/10000)-1)*(1-Supuestos!$B$6)</f>
        <v/>
      </c>
      <c r="G61">
        <f>(1-Supuestos!E$28)*((1+((1+Supuestos!E$26)/(1+Supuestos!$B$4)-1+Supuestos!$B$14*$A61/10000))*(1+Supuestos!$B$4+$B61/10000)-1)+Supuestos!E$28*((1+Supuestos!E$27+$A61/10000)*(1+Supuestos!$B$4+$B61/10000)-1)*(1-Supuestos!$B$6)</f>
        <v/>
      </c>
      <c r="H61">
        <f>(1-Supuestos!F$28)*((1+((1+Supuestos!F$26)/(1+Supuestos!$B$4)-1+Supuestos!$B$14*$A61/10000))*(1+Supuestos!$B$4+$B61/10000)-1)+Supuestos!F$28*((1+Supuestos!F$27+$A61/10000)*(1+Supuestos!$B$4+$B61/10000)-1)*(1-Supuestos!$B$6)</f>
        <v/>
      </c>
      <c r="I61">
        <f>(1-Supuestos!G$28)*((1+((1+Supuestos!G$26)/(1+Supuestos!$B$4)-1+Supuestos!$B$14*$A61/10000))*(1+Supuestos!$B$4+$B61/10000)-1)+Supuestos!G$28*((1+Supuestos!G$27+$A61/10000)*(1+Supuestos!$B$4+$B61/10000)-1)*(1-Supuestos!$B$6)</f>
        <v/>
      </c>
      <c r="J61">
        <f>(1-Supuestos!H$28)*((1+((1+Supuestos!H$26)/(1+Supuestos!$B$4)-1+Supuestos!$B$14*$A61/10000))*(1+Supuestos!$B$4+$B61/10000)-1)+Supuestos!H$28*((1+Supuestos!H$27+$A61/10000)*(1+Supuestos!$B$4+$B61/10000)-1)*(1-Supuestos!$B$6)</f>
        <v/>
      </c>
      <c r="K61">
        <f>(1-Supuestos!I$28)*((1+((1+Supuestos!I$26)/(1+Supuestos!$B$4)-1+Supuestos!$B$14*$A61/10000))*(1+Supuestos!$B$4+$B61/10000)-1)+Supuestos!I$28*((1+Supuestos!I$27+$A61/10000)*(1+Supuestos!$B$4+$B61/10000)-1)*(1-Supuestos!$B$6)</f>
        <v/>
      </c>
      <c r="L61">
        <f>(1+E61)^-Supuestos!C$24</f>
        <v/>
      </c>
      <c r="M61">
        <f>L61*(1+F61)^-Supuestos!D$24</f>
        <v/>
      </c>
      <c r="N61">
        <f>M61*(1+G61)^-Supuestos!E$24</f>
        <v/>
      </c>
      <c r="O61">
        <f>N61*(1+H61)^-Supuestos!F$24</f>
        <v/>
      </c>
      <c r="P61">
        <f>O61*(1+I61)^-Supuestos!G$24</f>
        <v/>
      </c>
      <c r="Q61">
        <f>P61*(1+J61)^-Supuestos!H$24</f>
        <v/>
      </c>
      <c r="R61">
        <f>(1+E61)^-(Supuestos!C$24/2)</f>
        <v/>
      </c>
      <c r="S61">
        <f>L61*(1+F61)^-(Supuestos!D$24/2)</f>
        <v/>
      </c>
      <c r="T61">
        <f>M61*(1+G61)^-(Supuestos!E$24/2)</f>
        <v/>
      </c>
      <c r="U61">
        <f>N61*(1+H61)^-(Supuestos!F$24/2)</f>
        <v/>
      </c>
      <c r="V61">
        <f>O61*(1+I61)^-(Supuestos!G$24/2)</f>
        <v/>
      </c>
      <c r="W61">
        <f>P61*(1+J61)^-(Supuestos!H$24/2)</f>
        <v/>
      </c>
      <c r="X61">
        <f>Supuestos!C$23*(1-$C61+$C61*((1+Supuestos!$B$4+$B61/10000)/(1+Supuestos!$B$4))^Supuestos!C$25)</f>
        <v/>
      </c>
      <c r="Y61">
        <f>Supuestos!D$23*(1-$C61+$C61*((1+Supuestos!$B$4+$B61/10000)/(1+Supuestos!$B$4))^Supuestos!D$25)</f>
        <v/>
      </c>
      <c r="Z61">
        <f>Supuestos!E$23*(1-$C61+$C61*((1+Supuestos!$B$4+$B61/10000)/(1+Supuestos!$B$4))^Supuestos!E$25)</f>
        <v/>
      </c>
      <c r="AA61">
        <f>Supuestos!F$23*(1-$C61+$C61*((1+Supuestos!$B$4+$B61/10000)/(1+Supuestos!$B$4))^Supuestos!F$25)</f>
        <v/>
      </c>
      <c r="AB61">
        <f>Supuestos!G$23*(1-$C61+$C61*((1+Supuestos!$B$4+$B61/10000)/(1+Supuestos!$B$4))^Supuestos!G$25)</f>
        <v/>
      </c>
      <c r="AC61">
        <f>Supuestos!H$23*(1-$C61+$C61*((1+Supuestos!$B$4+$B61/10000)/(1+Supuestos!$B$4))^Supuestos!H$25)</f>
        <v/>
      </c>
      <c r="AD61">
        <f>Supuestos!I$23*(1-$C61+$C61*((1+Supuestos!$B$4+$B61/10000)/(1+Supuestos!$B$4))^Supuestos!I$25)</f>
        <v/>
      </c>
      <c r="AE61">
        <f>SUMPRODUCT(X61:AC61,R61:W61)</f>
        <v/>
      </c>
      <c r="AF61">
        <f>(1+Supuestos!$B$5)/(1+Supuestos!$B$4)*(1+Supuestos!$B$4+$B61/10000)-1</f>
        <v/>
      </c>
      <c r="AG61">
        <f>AD61/(K61-AF61)</f>
        <v/>
      </c>
      <c r="AH61">
        <f>AG61*Q61</f>
        <v/>
      </c>
      <c r="AI61">
        <f>(AE61+AH61-Supuestos!$B$7-Supuestos!$B$8)/Supuestos!$B$9</f>
        <v/>
      </c>
      <c r="AJ61">
        <f>AI61/AI$5-1</f>
        <v/>
      </c>
    </row>
    <row r="62">
      <c r="A62" t="n">
        <v>0</v>
      </c>
      <c r="B62" t="n">
        <v>100</v>
      </c>
      <c r="C62" t="n">
        <v>0.85</v>
      </c>
      <c r="D62" t="inlineStr">
        <is>
          <t>Mix Δi=+100 θ=0.85</t>
        </is>
      </c>
      <c r="E62">
        <f>(1-Supuestos!C$28)*((1+((1+Supuestos!C$26)/(1+Supuestos!$B$4)-1+Supuestos!$B$14*$A62/10000))*(1+Supuestos!$B$4+$B62/10000)-1)+Supuestos!C$28*((1+Supuestos!C$27+$A62/10000)*(1+Supuestos!$B$4+$B62/10000)-1)*(1-Supuestos!$B$6)</f>
        <v/>
      </c>
      <c r="F62">
        <f>(1-Supuestos!D$28)*((1+((1+Supuestos!D$26)/(1+Supuestos!$B$4)-1+Supuestos!$B$14*$A62/10000))*(1+Supuestos!$B$4+$B62/10000)-1)+Supuestos!D$28*((1+Supuestos!D$27+$A62/10000)*(1+Supuestos!$B$4+$B62/10000)-1)*(1-Supuestos!$B$6)</f>
        <v/>
      </c>
      <c r="G62">
        <f>(1-Supuestos!E$28)*((1+((1+Supuestos!E$26)/(1+Supuestos!$B$4)-1+Supuestos!$B$14*$A62/10000))*(1+Supuestos!$B$4+$B62/10000)-1)+Supuestos!E$28*((1+Supuestos!E$27+$A62/10000)*(1+Supuestos!$B$4+$B62/10000)-1)*(1-Supuestos!$B$6)</f>
        <v/>
      </c>
      <c r="H62">
        <f>(1-Supuestos!F$28)*((1+((1+Supuestos!F$26)/(1+Supuestos!$B$4)-1+Supuestos!$B$14*$A62/10000))*(1+Supuestos!$B$4+$B62/10000)-1)+Supuestos!F$28*((1+Supuestos!F$27+$A62/10000)*(1+Supuestos!$B$4+$B62/10000)-1)*(1-Supuestos!$B$6)</f>
        <v/>
      </c>
      <c r="I62">
        <f>(1-Supuestos!G$28)*((1+((1+Supuestos!G$26)/(1+Supuestos!$B$4)-1+Supuestos!$B$14*$A62/10000))*(1+Supuestos!$B$4+$B62/10000)-1)+Supuestos!G$28*((1+Supuestos!G$27+$A62/10000)*(1+Supuestos!$B$4+$B62/10000)-1)*(1-Supuestos!$B$6)</f>
        <v/>
      </c>
      <c r="J62">
        <f>(1-Supuestos!H$28)*((1+((1+Supuestos!H$26)/(1+Supuestos!$B$4)-1+Supuestos!$B$14*$A62/10000))*(1+Supuestos!$B$4+$B62/10000)-1)+Supuestos!H$28*((1+Supuestos!H$27+$A62/10000)*(1+Supuestos!$B$4+$B62/10000)-1)*(1-Supuestos!$B$6)</f>
        <v/>
      </c>
      <c r="K62">
        <f>(1-Supuestos!I$28)*((1+((1+Supuestos!I$26)/(1+Supuestos!$B$4)-1+Supuestos!$B$14*$A62/10000))*(1+Supuestos!$B$4+$B62/10000)-1)+Supuestos!I$28*((1+Supuestos!I$27+$A62/10000)*(1+Supuestos!$B$4+$B62/10000)-1)*(1-Supuestos!$B$6)</f>
        <v/>
      </c>
      <c r="L62">
        <f>(1+E62)^-Supuestos!C$24</f>
        <v/>
      </c>
      <c r="M62">
        <f>L62*(1+F62)^-Supuestos!D$24</f>
        <v/>
      </c>
      <c r="N62">
        <f>M62*(1+G62)^-Supuestos!E$24</f>
        <v/>
      </c>
      <c r="O62">
        <f>N62*(1+H62)^-Supuestos!F$24</f>
        <v/>
      </c>
      <c r="P62">
        <f>O62*(1+I62)^-Supuestos!G$24</f>
        <v/>
      </c>
      <c r="Q62">
        <f>P62*(1+J62)^-Supuestos!H$24</f>
        <v/>
      </c>
      <c r="R62">
        <f>(1+E62)^-(Supuestos!C$24/2)</f>
        <v/>
      </c>
      <c r="S62">
        <f>L62*(1+F62)^-(Supuestos!D$24/2)</f>
        <v/>
      </c>
      <c r="T62">
        <f>M62*(1+G62)^-(Supuestos!E$24/2)</f>
        <v/>
      </c>
      <c r="U62">
        <f>N62*(1+H62)^-(Supuestos!F$24/2)</f>
        <v/>
      </c>
      <c r="V62">
        <f>O62*(1+I62)^-(Supuestos!G$24/2)</f>
        <v/>
      </c>
      <c r="W62">
        <f>P62*(1+J62)^-(Supuestos!H$24/2)</f>
        <v/>
      </c>
      <c r="X62">
        <f>Supuestos!C$23*(1-$C62+$C62*((1+Supuestos!$B$4+$B62/10000)/(1+Supuestos!$B$4))^Supuestos!C$25)</f>
        <v/>
      </c>
      <c r="Y62">
        <f>Supuestos!D$23*(1-$C62+$C62*((1+Supuestos!$B$4+$B62/10000)/(1+Supuestos!$B$4))^Supuestos!D$25)</f>
        <v/>
      </c>
      <c r="Z62">
        <f>Supuestos!E$23*(1-$C62+$C62*((1+Supuestos!$B$4+$B62/10000)/(1+Supuestos!$B$4))^Supuestos!E$25)</f>
        <v/>
      </c>
      <c r="AA62">
        <f>Supuestos!F$23*(1-$C62+$C62*((1+Supuestos!$B$4+$B62/10000)/(1+Supuestos!$B$4))^Supuestos!F$25)</f>
        <v/>
      </c>
      <c r="AB62">
        <f>Supuestos!G$23*(1-$C62+$C62*((1+Supuestos!$B$4+$B62/10000)/(1+Supuestos!$B$4))^Supuestos!G$25)</f>
        <v/>
      </c>
      <c r="AC62">
        <f>Supuestos!H$23*(1-$C62+$C62*((1+Supuestos!$B$4+$B62/10000)/(1+Supuestos!$B$4))^Supuestos!H$25)</f>
        <v/>
      </c>
      <c r="AD62">
        <f>Supuestos!I$23*(1-$C62+$C62*((1+Supuestos!$B$4+$B62/10000)/(1+Supuestos!$B$4))^Supuestos!I$25)</f>
        <v/>
      </c>
      <c r="AE62">
        <f>SUMPRODUCT(X62:AC62,R62:W62)</f>
        <v/>
      </c>
      <c r="AF62">
        <f>(1+Supuestos!$B$5)/(1+Supuestos!$B$4)*(1+Supuestos!$B$4+$B62/10000)-1</f>
        <v/>
      </c>
      <c r="AG62">
        <f>AD62/(K62-AF62)</f>
        <v/>
      </c>
      <c r="AH62">
        <f>AG62*Q62</f>
        <v/>
      </c>
      <c r="AI62">
        <f>(AE62+AH62-Supuestos!$B$7-Supuestos!$B$8)/Supuestos!$B$9</f>
        <v/>
      </c>
      <c r="AJ62">
        <f>AI62/AI$5-1</f>
        <v/>
      </c>
    </row>
    <row r="63">
      <c r="A63" t="n">
        <v>100</v>
      </c>
      <c r="B63" t="n">
        <v>0</v>
      </c>
      <c r="C63" t="n">
        <v>0.7</v>
      </c>
      <c r="D63" t="inlineStr">
        <is>
          <t>Mix Δi=+100 θ=0.7</t>
        </is>
      </c>
      <c r="E63">
        <f>(1-Supuestos!C$28)*((1+((1+Supuestos!C$26)/(1+Supuestos!$B$4)-1+Supuestos!$B$14*$A63/10000))*(1+Supuestos!$B$4+$B63/10000)-1)+Supuestos!C$28*((1+Supuestos!C$27+$A63/10000)*(1+Supuestos!$B$4+$B63/10000)-1)*(1-Supuestos!$B$6)</f>
        <v/>
      </c>
      <c r="F63">
        <f>(1-Supuestos!D$28)*((1+((1+Supuestos!D$26)/(1+Supuestos!$B$4)-1+Supuestos!$B$14*$A63/10000))*(1+Supuestos!$B$4+$B63/10000)-1)+Supuestos!D$28*((1+Supuestos!D$27+$A63/10000)*(1+Supuestos!$B$4+$B63/10000)-1)*(1-Supuestos!$B$6)</f>
        <v/>
      </c>
      <c r="G63">
        <f>(1-Supuestos!E$28)*((1+((1+Supuestos!E$26)/(1+Supuestos!$B$4)-1+Supuestos!$B$14*$A63/10000))*(1+Supuestos!$B$4+$B63/10000)-1)+Supuestos!E$28*((1+Supuestos!E$27+$A63/10000)*(1+Supuestos!$B$4+$B63/10000)-1)*(1-Supuestos!$B$6)</f>
        <v/>
      </c>
      <c r="H63">
        <f>(1-Supuestos!F$28)*((1+((1+Supuestos!F$26)/(1+Supuestos!$B$4)-1+Supuestos!$B$14*$A63/10000))*(1+Supuestos!$B$4+$B63/10000)-1)+Supuestos!F$28*((1+Supuestos!F$27+$A63/10000)*(1+Supuestos!$B$4+$B63/10000)-1)*(1-Supuestos!$B$6)</f>
        <v/>
      </c>
      <c r="I63">
        <f>(1-Supuestos!G$28)*((1+((1+Supuestos!G$26)/(1+Supuestos!$B$4)-1+Supuestos!$B$14*$A63/10000))*(1+Supuestos!$B$4+$B63/10000)-1)+Supuestos!G$28*((1+Supuestos!G$27+$A63/10000)*(1+Supuestos!$B$4+$B63/10000)-1)*(1-Supuestos!$B$6)</f>
        <v/>
      </c>
      <c r="J63">
        <f>(1-Supuestos!H$28)*((1+((1+Supuestos!H$26)/(1+Supuestos!$B$4)-1+Supuestos!$B$14*$A63/10000))*(1+Supuestos!$B$4+$B63/10000)-1)+Supuestos!H$28*((1+Supuestos!H$27+$A63/10000)*(1+Supuestos!$B$4+$B63/10000)-1)*(1-Supuestos!$B$6)</f>
        <v/>
      </c>
      <c r="K63">
        <f>(1-Supuestos!I$28)*((1+((1+Supuestos!I$26)/(1+Supuestos!$B$4)-1+Supuestos!$B$14*$A63/10000))*(1+Supuestos!$B$4+$B63/10000)-1)+Supuestos!I$28*((1+Supuestos!I$27+$A63/10000)*(1+Supuestos!$B$4+$B63/10000)-1)*(1-Supuestos!$B$6)</f>
        <v/>
      </c>
      <c r="L63">
        <f>(1+E63)^-Supuestos!C$24</f>
        <v/>
      </c>
      <c r="M63">
        <f>L63*(1+F63)^-Supuestos!D$24</f>
        <v/>
      </c>
      <c r="N63">
        <f>M63*(1+G63)^-Supuestos!E$24</f>
        <v/>
      </c>
      <c r="O63">
        <f>N63*(1+H63)^-Supuestos!F$24</f>
        <v/>
      </c>
      <c r="P63">
        <f>O63*(1+I63)^-Supuestos!G$24</f>
        <v/>
      </c>
      <c r="Q63">
        <f>P63*(1+J63)^-Supuestos!H$24</f>
        <v/>
      </c>
      <c r="R63">
        <f>(1+E63)^-(Supuestos!C$24/2)</f>
        <v/>
      </c>
      <c r="S63">
        <f>L63*(1+F63)^-(Supuestos!D$24/2)</f>
        <v/>
      </c>
      <c r="T63">
        <f>M63*(1+G63)^-(Supuestos!E$24/2)</f>
        <v/>
      </c>
      <c r="U63">
        <f>N63*(1+H63)^-(Supuestos!F$24/2)</f>
        <v/>
      </c>
      <c r="V63">
        <f>O63*(1+I63)^-(Supuestos!G$24/2)</f>
        <v/>
      </c>
      <c r="W63">
        <f>P63*(1+J63)^-(Supuestos!H$24/2)</f>
        <v/>
      </c>
      <c r="X63">
        <f>Supuestos!C$23*(1-$C63+$C63*((1+Supuestos!$B$4+$B63/10000)/(1+Supuestos!$B$4))^Supuestos!C$25)</f>
        <v/>
      </c>
      <c r="Y63">
        <f>Supuestos!D$23*(1-$C63+$C63*((1+Supuestos!$B$4+$B63/10000)/(1+Supuestos!$B$4))^Supuestos!D$25)</f>
        <v/>
      </c>
      <c r="Z63">
        <f>Supuestos!E$23*(1-$C63+$C63*((1+Supuestos!$B$4+$B63/10000)/(1+Supuestos!$B$4))^Supuestos!E$25)</f>
        <v/>
      </c>
      <c r="AA63">
        <f>Supuestos!F$23*(1-$C63+$C63*((1+Supuestos!$B$4+$B63/10000)/(1+Supuestos!$B$4))^Supuestos!F$25)</f>
        <v/>
      </c>
      <c r="AB63">
        <f>Supuestos!G$23*(1-$C63+$C63*((1+Supuestos!$B$4+$B63/10000)/(1+Supuestos!$B$4))^Supuestos!G$25)</f>
        <v/>
      </c>
      <c r="AC63">
        <f>Supuestos!H$23*(1-$C63+$C63*((1+Supuestos!$B$4+$B63/10000)/(1+Supuestos!$B$4))^Supuestos!H$25)</f>
        <v/>
      </c>
      <c r="AD63">
        <f>Supuestos!I$23*(1-$C63+$C63*((1+Supuestos!$B$4+$B63/10000)/(1+Supuestos!$B$4))^Supuestos!I$25)</f>
        <v/>
      </c>
      <c r="AE63">
        <f>SUMPRODUCT(X63:AC63,R63:W63)</f>
        <v/>
      </c>
      <c r="AF63">
        <f>(1+Supuestos!$B$5)/(1+Supuestos!$B$4)*(1+Supuestos!$B$4+$B63/10000)-1</f>
        <v/>
      </c>
      <c r="AG63">
        <f>AD63/(K63-AF63)</f>
        <v/>
      </c>
      <c r="AH63">
        <f>AG63*Q63</f>
        <v/>
      </c>
      <c r="AI63">
        <f>(AE63+AH63-Supuestos!$B$7-Supuestos!$B$8)/Supuestos!$B$9</f>
        <v/>
      </c>
      <c r="AJ63">
        <f>AI63/AI$5-1</f>
        <v/>
      </c>
    </row>
    <row r="64">
      <c r="A64" t="n">
        <v>90</v>
      </c>
      <c r="B64" t="n">
        <v>10</v>
      </c>
      <c r="C64" t="n">
        <v>0.7</v>
      </c>
      <c r="D64" t="inlineStr">
        <is>
          <t>Mix Δi=+100 θ=0.7</t>
        </is>
      </c>
      <c r="E64">
        <f>(1-Supuestos!C$28)*((1+((1+Supuestos!C$26)/(1+Supuestos!$B$4)-1+Supuestos!$B$14*$A64/10000))*(1+Supuestos!$B$4+$B64/10000)-1)+Supuestos!C$28*((1+Supuestos!C$27+$A64/10000)*(1+Supuestos!$B$4+$B64/10000)-1)*(1-Supuestos!$B$6)</f>
        <v/>
      </c>
      <c r="F64">
        <f>(1-Supuestos!D$28)*((1+((1+Supuestos!D$26)/(1+Supuestos!$B$4)-1+Supuestos!$B$14*$A64/10000))*(1+Supuestos!$B$4+$B64/10000)-1)+Supuestos!D$28*((1+Supuestos!D$27+$A64/10000)*(1+Supuestos!$B$4+$B64/10000)-1)*(1-Supuestos!$B$6)</f>
        <v/>
      </c>
      <c r="G64">
        <f>(1-Supuestos!E$28)*((1+((1+Supuestos!E$26)/(1+Supuestos!$B$4)-1+Supuestos!$B$14*$A64/10000))*(1+Supuestos!$B$4+$B64/10000)-1)+Supuestos!E$28*((1+Supuestos!E$27+$A64/10000)*(1+Supuestos!$B$4+$B64/10000)-1)*(1-Supuestos!$B$6)</f>
        <v/>
      </c>
      <c r="H64">
        <f>(1-Supuestos!F$28)*((1+((1+Supuestos!F$26)/(1+Supuestos!$B$4)-1+Supuestos!$B$14*$A64/10000))*(1+Supuestos!$B$4+$B64/10000)-1)+Supuestos!F$28*((1+Supuestos!F$27+$A64/10000)*(1+Supuestos!$B$4+$B64/10000)-1)*(1-Supuestos!$B$6)</f>
        <v/>
      </c>
      <c r="I64">
        <f>(1-Supuestos!G$28)*((1+((1+Supuestos!G$26)/(1+Supuestos!$B$4)-1+Supuestos!$B$14*$A64/10000))*(1+Supuestos!$B$4+$B64/10000)-1)+Supuestos!G$28*((1+Supuestos!G$27+$A64/10000)*(1+Supuestos!$B$4+$B64/10000)-1)*(1-Supuestos!$B$6)</f>
        <v/>
      </c>
      <c r="J64">
        <f>(1-Supuestos!H$28)*((1+((1+Supuestos!H$26)/(1+Supuestos!$B$4)-1+Supuestos!$B$14*$A64/10000))*(1+Supuestos!$B$4+$B64/10000)-1)+Supuestos!H$28*((1+Supuestos!H$27+$A64/10000)*(1+Supuestos!$B$4+$B64/10000)-1)*(1-Supuestos!$B$6)</f>
        <v/>
      </c>
      <c r="K64">
        <f>(1-Supuestos!I$28)*((1+((1+Supuestos!I$26)/(1+Supuestos!$B$4)-1+Supuestos!$B$14*$A64/10000))*(1+Supuestos!$B$4+$B64/10000)-1)+Supuestos!I$28*((1+Supuestos!I$27+$A64/10000)*(1+Supuestos!$B$4+$B64/10000)-1)*(1-Supuestos!$B$6)</f>
        <v/>
      </c>
      <c r="L64">
        <f>(1+E64)^-Supuestos!C$24</f>
        <v/>
      </c>
      <c r="M64">
        <f>L64*(1+F64)^-Supuestos!D$24</f>
        <v/>
      </c>
      <c r="N64">
        <f>M64*(1+G64)^-Supuestos!E$24</f>
        <v/>
      </c>
      <c r="O64">
        <f>N64*(1+H64)^-Supuestos!F$24</f>
        <v/>
      </c>
      <c r="P64">
        <f>O64*(1+I64)^-Supuestos!G$24</f>
        <v/>
      </c>
      <c r="Q64">
        <f>P64*(1+J64)^-Supuestos!H$24</f>
        <v/>
      </c>
      <c r="R64">
        <f>(1+E64)^-(Supuestos!C$24/2)</f>
        <v/>
      </c>
      <c r="S64">
        <f>L64*(1+F64)^-(Supuestos!D$24/2)</f>
        <v/>
      </c>
      <c r="T64">
        <f>M64*(1+G64)^-(Supuestos!E$24/2)</f>
        <v/>
      </c>
      <c r="U64">
        <f>N64*(1+H64)^-(Supuestos!F$24/2)</f>
        <v/>
      </c>
      <c r="V64">
        <f>O64*(1+I64)^-(Supuestos!G$24/2)</f>
        <v/>
      </c>
      <c r="W64">
        <f>P64*(1+J64)^-(Supuestos!H$24/2)</f>
        <v/>
      </c>
      <c r="X64">
        <f>Supuestos!C$23*(1-$C64+$C64*((1+Supuestos!$B$4+$B64/10000)/(1+Supuestos!$B$4))^Supuestos!C$25)</f>
        <v/>
      </c>
      <c r="Y64">
        <f>Supuestos!D$23*(1-$C64+$C64*((1+Supuestos!$B$4+$B64/10000)/(1+Supuestos!$B$4))^Supuestos!D$25)</f>
        <v/>
      </c>
      <c r="Z64">
        <f>Supuestos!E$23*(1-$C64+$C64*((1+Supuestos!$B$4+$B64/10000)/(1+Supuestos!$B$4))^Supuestos!E$25)</f>
        <v/>
      </c>
      <c r="AA64">
        <f>Supuestos!F$23*(1-$C64+$C64*((1+Supuestos!$B$4+$B64/10000)/(1+Supuestos!$B$4))^Supuestos!F$25)</f>
        <v/>
      </c>
      <c r="AB64">
        <f>Supuestos!G$23*(1-$C64+$C64*((1+Supuestos!$B$4+$B64/10000)/(1+Supuestos!$B$4))^Supuestos!G$25)</f>
        <v/>
      </c>
      <c r="AC64">
        <f>Supuestos!H$23*(1-$C64+$C64*((1+Supuestos!$B$4+$B64/10000)/(1+Supuestos!$B$4))^Supuestos!H$25)</f>
        <v/>
      </c>
      <c r="AD64">
        <f>Supuestos!I$23*(1-$C64+$C64*((1+Supuestos!$B$4+$B64/10000)/(1+Supuestos!$B$4))^Supuestos!I$25)</f>
        <v/>
      </c>
      <c r="AE64">
        <f>SUMPRODUCT(X64:AC64,R64:W64)</f>
        <v/>
      </c>
      <c r="AF64">
        <f>(1+Supuestos!$B$5)/(1+Supuestos!$B$4)*(1+Supuestos!$B$4+$B64/10000)-1</f>
        <v/>
      </c>
      <c r="AG64">
        <f>AD64/(K64-AF64)</f>
        <v/>
      </c>
      <c r="AH64">
        <f>AG64*Q64</f>
        <v/>
      </c>
      <c r="AI64">
        <f>(AE64+AH64-Supuestos!$B$7-Supuestos!$B$8)/Supuestos!$B$9</f>
        <v/>
      </c>
      <c r="AJ64">
        <f>AI64/AI$5-1</f>
        <v/>
      </c>
    </row>
    <row r="65">
      <c r="A65" t="n">
        <v>80</v>
      </c>
      <c r="B65" t="n">
        <v>20</v>
      </c>
      <c r="C65" t="n">
        <v>0.7</v>
      </c>
      <c r="D65" t="inlineStr">
        <is>
          <t>Mix Δi=+100 θ=0.7</t>
        </is>
      </c>
      <c r="E65">
        <f>(1-Supuestos!C$28)*((1+((1+Supuestos!C$26)/(1+Supuestos!$B$4)-1+Supuestos!$B$14*$A65/10000))*(1+Supuestos!$B$4+$B65/10000)-1)+Supuestos!C$28*((1+Supuestos!C$27+$A65/10000)*(1+Supuestos!$B$4+$B65/10000)-1)*(1-Supuestos!$B$6)</f>
        <v/>
      </c>
      <c r="F65">
        <f>(1-Supuestos!D$28)*((1+((1+Supuestos!D$26)/(1+Supuestos!$B$4)-1+Supuestos!$B$14*$A65/10000))*(1+Supuestos!$B$4+$B65/10000)-1)+Supuestos!D$28*((1+Supuestos!D$27+$A65/10000)*(1+Supuestos!$B$4+$B65/10000)-1)*(1-Supuestos!$B$6)</f>
        <v/>
      </c>
      <c r="G65">
        <f>(1-Supuestos!E$28)*((1+((1+Supuestos!E$26)/(1+Supuestos!$B$4)-1+Supuestos!$B$14*$A65/10000))*(1+Supuestos!$B$4+$B65/10000)-1)+Supuestos!E$28*((1+Supuestos!E$27+$A65/10000)*(1+Supuestos!$B$4+$B65/10000)-1)*(1-Supuestos!$B$6)</f>
        <v/>
      </c>
      <c r="H65">
        <f>(1-Supuestos!F$28)*((1+((1+Supuestos!F$26)/(1+Supuestos!$B$4)-1+Supuestos!$B$14*$A65/10000))*(1+Supuestos!$B$4+$B65/10000)-1)+Supuestos!F$28*((1+Supuestos!F$27+$A65/10000)*(1+Supuestos!$B$4+$B65/10000)-1)*(1-Supuestos!$B$6)</f>
        <v/>
      </c>
      <c r="I65">
        <f>(1-Supuestos!G$28)*((1+((1+Supuestos!G$26)/(1+Supuestos!$B$4)-1+Supuestos!$B$14*$A65/10000))*(1+Supuestos!$B$4+$B65/10000)-1)+Supuestos!G$28*((1+Supuestos!G$27+$A65/10000)*(1+Supuestos!$B$4+$B65/10000)-1)*(1-Supuestos!$B$6)</f>
        <v/>
      </c>
      <c r="J65">
        <f>(1-Supuestos!H$28)*((1+((1+Supuestos!H$26)/(1+Supuestos!$B$4)-1+Supuestos!$B$14*$A65/10000))*(1+Supuestos!$B$4+$B65/10000)-1)+Supuestos!H$28*((1+Supuestos!H$27+$A65/10000)*(1+Supuestos!$B$4+$B65/10000)-1)*(1-Supuestos!$B$6)</f>
        <v/>
      </c>
      <c r="K65">
        <f>(1-Supuestos!I$28)*((1+((1+Supuestos!I$26)/(1+Supuestos!$B$4)-1+Supuestos!$B$14*$A65/10000))*(1+Supuestos!$B$4+$B65/10000)-1)+Supuestos!I$28*((1+Supuestos!I$27+$A65/10000)*(1+Supuestos!$B$4+$B65/10000)-1)*(1-Supuestos!$B$6)</f>
        <v/>
      </c>
      <c r="L65">
        <f>(1+E65)^-Supuestos!C$24</f>
        <v/>
      </c>
      <c r="M65">
        <f>L65*(1+F65)^-Supuestos!D$24</f>
        <v/>
      </c>
      <c r="N65">
        <f>M65*(1+G65)^-Supuestos!E$24</f>
        <v/>
      </c>
      <c r="O65">
        <f>N65*(1+H65)^-Supuestos!F$24</f>
        <v/>
      </c>
      <c r="P65">
        <f>O65*(1+I65)^-Supuestos!G$24</f>
        <v/>
      </c>
      <c r="Q65">
        <f>P65*(1+J65)^-Supuestos!H$24</f>
        <v/>
      </c>
      <c r="R65">
        <f>(1+E65)^-(Supuestos!C$24/2)</f>
        <v/>
      </c>
      <c r="S65">
        <f>L65*(1+F65)^-(Supuestos!D$24/2)</f>
        <v/>
      </c>
      <c r="T65">
        <f>M65*(1+G65)^-(Supuestos!E$24/2)</f>
        <v/>
      </c>
      <c r="U65">
        <f>N65*(1+H65)^-(Supuestos!F$24/2)</f>
        <v/>
      </c>
      <c r="V65">
        <f>O65*(1+I65)^-(Supuestos!G$24/2)</f>
        <v/>
      </c>
      <c r="W65">
        <f>P65*(1+J65)^-(Supuestos!H$24/2)</f>
        <v/>
      </c>
      <c r="X65">
        <f>Supuestos!C$23*(1-$C65+$C65*((1+Supuestos!$B$4+$B65/10000)/(1+Supuestos!$B$4))^Supuestos!C$25)</f>
        <v/>
      </c>
      <c r="Y65">
        <f>Supuestos!D$23*(1-$C65+$C65*((1+Supuestos!$B$4+$B65/10000)/(1+Supuestos!$B$4))^Supuestos!D$25)</f>
        <v/>
      </c>
      <c r="Z65">
        <f>Supuestos!E$23*(1-$C65+$C65*((1+Supuestos!$B$4+$B65/10000)/(1+Supuestos!$B$4))^Supuestos!E$25)</f>
        <v/>
      </c>
      <c r="AA65">
        <f>Supuestos!F$23*(1-$C65+$C65*((1+Supuestos!$B$4+$B65/10000)/(1+Supuestos!$B$4))^Supuestos!F$25)</f>
        <v/>
      </c>
      <c r="AB65">
        <f>Supuestos!G$23*(1-$C65+$C65*((1+Supuestos!$B$4+$B65/10000)/(1+Supuestos!$B$4))^Supuestos!G$25)</f>
        <v/>
      </c>
      <c r="AC65">
        <f>Supuestos!H$23*(1-$C65+$C65*((1+Supuestos!$B$4+$B65/10000)/(1+Supuestos!$B$4))^Supuestos!H$25)</f>
        <v/>
      </c>
      <c r="AD65">
        <f>Supuestos!I$23*(1-$C65+$C65*((1+Supuestos!$B$4+$B65/10000)/(1+Supuestos!$B$4))^Supuestos!I$25)</f>
        <v/>
      </c>
      <c r="AE65">
        <f>SUMPRODUCT(X65:AC65,R65:W65)</f>
        <v/>
      </c>
      <c r="AF65">
        <f>(1+Supuestos!$B$5)/(1+Supuestos!$B$4)*(1+Supuestos!$B$4+$B65/10000)-1</f>
        <v/>
      </c>
      <c r="AG65">
        <f>AD65/(K65-AF65)</f>
        <v/>
      </c>
      <c r="AH65">
        <f>AG65*Q65</f>
        <v/>
      </c>
      <c r="AI65">
        <f>(AE65+AH65-Supuestos!$B$7-Supuestos!$B$8)/Supuestos!$B$9</f>
        <v/>
      </c>
      <c r="AJ65">
        <f>AI65/AI$5-1</f>
        <v/>
      </c>
    </row>
    <row r="66">
      <c r="A66" t="n">
        <v>70</v>
      </c>
      <c r="B66" t="n">
        <v>30</v>
      </c>
      <c r="C66" t="n">
        <v>0.7</v>
      </c>
      <c r="D66" t="inlineStr">
        <is>
          <t>Mix Δi=+100 θ=0.7</t>
        </is>
      </c>
      <c r="E66">
        <f>(1-Supuestos!C$28)*((1+((1+Supuestos!C$26)/(1+Supuestos!$B$4)-1+Supuestos!$B$14*$A66/10000))*(1+Supuestos!$B$4+$B66/10000)-1)+Supuestos!C$28*((1+Supuestos!C$27+$A66/10000)*(1+Supuestos!$B$4+$B66/10000)-1)*(1-Supuestos!$B$6)</f>
        <v/>
      </c>
      <c r="F66">
        <f>(1-Supuestos!D$28)*((1+((1+Supuestos!D$26)/(1+Supuestos!$B$4)-1+Supuestos!$B$14*$A66/10000))*(1+Supuestos!$B$4+$B66/10000)-1)+Supuestos!D$28*((1+Supuestos!D$27+$A66/10000)*(1+Supuestos!$B$4+$B66/10000)-1)*(1-Supuestos!$B$6)</f>
        <v/>
      </c>
      <c r="G66">
        <f>(1-Supuestos!E$28)*((1+((1+Supuestos!E$26)/(1+Supuestos!$B$4)-1+Supuestos!$B$14*$A66/10000))*(1+Supuestos!$B$4+$B66/10000)-1)+Supuestos!E$28*((1+Supuestos!E$27+$A66/10000)*(1+Supuestos!$B$4+$B66/10000)-1)*(1-Supuestos!$B$6)</f>
        <v/>
      </c>
      <c r="H66">
        <f>(1-Supuestos!F$28)*((1+((1+Supuestos!F$26)/(1+Supuestos!$B$4)-1+Supuestos!$B$14*$A66/10000))*(1+Supuestos!$B$4+$B66/10000)-1)+Supuestos!F$28*((1+Supuestos!F$27+$A66/10000)*(1+Supuestos!$B$4+$B66/10000)-1)*(1-Supuestos!$B$6)</f>
        <v/>
      </c>
      <c r="I66">
        <f>(1-Supuestos!G$28)*((1+((1+Supuestos!G$26)/(1+Supuestos!$B$4)-1+Supuestos!$B$14*$A66/10000))*(1+Supuestos!$B$4+$B66/10000)-1)+Supuestos!G$28*((1+Supuestos!G$27+$A66/10000)*(1+Supuestos!$B$4+$B66/10000)-1)*(1-Supuestos!$B$6)</f>
        <v/>
      </c>
      <c r="J66">
        <f>(1-Supuestos!H$28)*((1+((1+Supuestos!H$26)/(1+Supuestos!$B$4)-1+Supuestos!$B$14*$A66/10000))*(1+Supuestos!$B$4+$B66/10000)-1)+Supuestos!H$28*((1+Supuestos!H$27+$A66/10000)*(1+Supuestos!$B$4+$B66/10000)-1)*(1-Supuestos!$B$6)</f>
        <v/>
      </c>
      <c r="K66">
        <f>(1-Supuestos!I$28)*((1+((1+Supuestos!I$26)/(1+Supuestos!$B$4)-1+Supuestos!$B$14*$A66/10000))*(1+Supuestos!$B$4+$B66/10000)-1)+Supuestos!I$28*((1+Supuestos!I$27+$A66/10000)*(1+Supuestos!$B$4+$B66/10000)-1)*(1-Supuestos!$B$6)</f>
        <v/>
      </c>
      <c r="L66">
        <f>(1+E66)^-Supuestos!C$24</f>
        <v/>
      </c>
      <c r="M66">
        <f>L66*(1+F66)^-Supuestos!D$24</f>
        <v/>
      </c>
      <c r="N66">
        <f>M66*(1+G66)^-Supuestos!E$24</f>
        <v/>
      </c>
      <c r="O66">
        <f>N66*(1+H66)^-Supuestos!F$24</f>
        <v/>
      </c>
      <c r="P66">
        <f>O66*(1+I66)^-Supuestos!G$24</f>
        <v/>
      </c>
      <c r="Q66">
        <f>P66*(1+J66)^-Supuestos!H$24</f>
        <v/>
      </c>
      <c r="R66">
        <f>(1+E66)^-(Supuestos!C$24/2)</f>
        <v/>
      </c>
      <c r="S66">
        <f>L66*(1+F66)^-(Supuestos!D$24/2)</f>
        <v/>
      </c>
      <c r="T66">
        <f>M66*(1+G66)^-(Supuestos!E$24/2)</f>
        <v/>
      </c>
      <c r="U66">
        <f>N66*(1+H66)^-(Supuestos!F$24/2)</f>
        <v/>
      </c>
      <c r="V66">
        <f>O66*(1+I66)^-(Supuestos!G$24/2)</f>
        <v/>
      </c>
      <c r="W66">
        <f>P66*(1+J66)^-(Supuestos!H$24/2)</f>
        <v/>
      </c>
      <c r="X66">
        <f>Supuestos!C$23*(1-$C66+$C66*((1+Supuestos!$B$4+$B66/10000)/(1+Supuestos!$B$4))^Supuestos!C$25)</f>
        <v/>
      </c>
      <c r="Y66">
        <f>Supuestos!D$23*(1-$C66+$C66*((1+Supuestos!$B$4+$B66/10000)/(1+Supuestos!$B$4))^Supuestos!D$25)</f>
        <v/>
      </c>
      <c r="Z66">
        <f>Supuestos!E$23*(1-$C66+$C66*((1+Supuestos!$B$4+$B66/10000)/(1+Supuestos!$B$4))^Supuestos!E$25)</f>
        <v/>
      </c>
      <c r="AA66">
        <f>Supuestos!F$23*(1-$C66+$C66*((1+Supuestos!$B$4+$B66/10000)/(1+Supuestos!$B$4))^Supuestos!F$25)</f>
        <v/>
      </c>
      <c r="AB66">
        <f>Supuestos!G$23*(1-$C66+$C66*((1+Supuestos!$B$4+$B66/10000)/(1+Supuestos!$B$4))^Supuestos!G$25)</f>
        <v/>
      </c>
      <c r="AC66">
        <f>Supuestos!H$23*(1-$C66+$C66*((1+Supuestos!$B$4+$B66/10000)/(1+Supuestos!$B$4))^Supuestos!H$25)</f>
        <v/>
      </c>
      <c r="AD66">
        <f>Supuestos!I$23*(1-$C66+$C66*((1+Supuestos!$B$4+$B66/10000)/(1+Supuestos!$B$4))^Supuestos!I$25)</f>
        <v/>
      </c>
      <c r="AE66">
        <f>SUMPRODUCT(X66:AC66,R66:W66)</f>
        <v/>
      </c>
      <c r="AF66">
        <f>(1+Supuestos!$B$5)/(1+Supuestos!$B$4)*(1+Supuestos!$B$4+$B66/10000)-1</f>
        <v/>
      </c>
      <c r="AG66">
        <f>AD66/(K66-AF66)</f>
        <v/>
      </c>
      <c r="AH66">
        <f>AG66*Q66</f>
        <v/>
      </c>
      <c r="AI66">
        <f>(AE66+AH66-Supuestos!$B$7-Supuestos!$B$8)/Supuestos!$B$9</f>
        <v/>
      </c>
      <c r="AJ66">
        <f>AI66/AI$5-1</f>
        <v/>
      </c>
    </row>
    <row r="67">
      <c r="A67" t="n">
        <v>60</v>
      </c>
      <c r="B67" t="n">
        <v>40</v>
      </c>
      <c r="C67" t="n">
        <v>0.7</v>
      </c>
      <c r="D67" t="inlineStr">
        <is>
          <t>Mix Δi=+100 θ=0.7</t>
        </is>
      </c>
      <c r="E67">
        <f>(1-Supuestos!C$28)*((1+((1+Supuestos!C$26)/(1+Supuestos!$B$4)-1+Supuestos!$B$14*$A67/10000))*(1+Supuestos!$B$4+$B67/10000)-1)+Supuestos!C$28*((1+Supuestos!C$27+$A67/10000)*(1+Supuestos!$B$4+$B67/10000)-1)*(1-Supuestos!$B$6)</f>
        <v/>
      </c>
      <c r="F67">
        <f>(1-Supuestos!D$28)*((1+((1+Supuestos!D$26)/(1+Supuestos!$B$4)-1+Supuestos!$B$14*$A67/10000))*(1+Supuestos!$B$4+$B67/10000)-1)+Supuestos!D$28*((1+Supuestos!D$27+$A67/10000)*(1+Supuestos!$B$4+$B67/10000)-1)*(1-Supuestos!$B$6)</f>
        <v/>
      </c>
      <c r="G67">
        <f>(1-Supuestos!E$28)*((1+((1+Supuestos!E$26)/(1+Supuestos!$B$4)-1+Supuestos!$B$14*$A67/10000))*(1+Supuestos!$B$4+$B67/10000)-1)+Supuestos!E$28*((1+Supuestos!E$27+$A67/10000)*(1+Supuestos!$B$4+$B67/10000)-1)*(1-Supuestos!$B$6)</f>
        <v/>
      </c>
      <c r="H67">
        <f>(1-Supuestos!F$28)*((1+((1+Supuestos!F$26)/(1+Supuestos!$B$4)-1+Supuestos!$B$14*$A67/10000))*(1+Supuestos!$B$4+$B67/10000)-1)+Supuestos!F$28*((1+Supuestos!F$27+$A67/10000)*(1+Supuestos!$B$4+$B67/10000)-1)*(1-Supuestos!$B$6)</f>
        <v/>
      </c>
      <c r="I67">
        <f>(1-Supuestos!G$28)*((1+((1+Supuestos!G$26)/(1+Supuestos!$B$4)-1+Supuestos!$B$14*$A67/10000))*(1+Supuestos!$B$4+$B67/10000)-1)+Supuestos!G$28*((1+Supuestos!G$27+$A67/10000)*(1+Supuestos!$B$4+$B67/10000)-1)*(1-Supuestos!$B$6)</f>
        <v/>
      </c>
      <c r="J67">
        <f>(1-Supuestos!H$28)*((1+((1+Supuestos!H$26)/(1+Supuestos!$B$4)-1+Supuestos!$B$14*$A67/10000))*(1+Supuestos!$B$4+$B67/10000)-1)+Supuestos!H$28*((1+Supuestos!H$27+$A67/10000)*(1+Supuestos!$B$4+$B67/10000)-1)*(1-Supuestos!$B$6)</f>
        <v/>
      </c>
      <c r="K67">
        <f>(1-Supuestos!I$28)*((1+((1+Supuestos!I$26)/(1+Supuestos!$B$4)-1+Supuestos!$B$14*$A67/10000))*(1+Supuestos!$B$4+$B67/10000)-1)+Supuestos!I$28*((1+Supuestos!I$27+$A67/10000)*(1+Supuestos!$B$4+$B67/10000)-1)*(1-Supuestos!$B$6)</f>
        <v/>
      </c>
      <c r="L67">
        <f>(1+E67)^-Supuestos!C$24</f>
        <v/>
      </c>
      <c r="M67">
        <f>L67*(1+F67)^-Supuestos!D$24</f>
        <v/>
      </c>
      <c r="N67">
        <f>M67*(1+G67)^-Supuestos!E$24</f>
        <v/>
      </c>
      <c r="O67">
        <f>N67*(1+H67)^-Supuestos!F$24</f>
        <v/>
      </c>
      <c r="P67">
        <f>O67*(1+I67)^-Supuestos!G$24</f>
        <v/>
      </c>
      <c r="Q67">
        <f>P67*(1+J67)^-Supuestos!H$24</f>
        <v/>
      </c>
      <c r="R67">
        <f>(1+E67)^-(Supuestos!C$24/2)</f>
        <v/>
      </c>
      <c r="S67">
        <f>L67*(1+F67)^-(Supuestos!D$24/2)</f>
        <v/>
      </c>
      <c r="T67">
        <f>M67*(1+G67)^-(Supuestos!E$24/2)</f>
        <v/>
      </c>
      <c r="U67">
        <f>N67*(1+H67)^-(Supuestos!F$24/2)</f>
        <v/>
      </c>
      <c r="V67">
        <f>O67*(1+I67)^-(Supuestos!G$24/2)</f>
        <v/>
      </c>
      <c r="W67">
        <f>P67*(1+J67)^-(Supuestos!H$24/2)</f>
        <v/>
      </c>
      <c r="X67">
        <f>Supuestos!C$23*(1-$C67+$C67*((1+Supuestos!$B$4+$B67/10000)/(1+Supuestos!$B$4))^Supuestos!C$25)</f>
        <v/>
      </c>
      <c r="Y67">
        <f>Supuestos!D$23*(1-$C67+$C67*((1+Supuestos!$B$4+$B67/10000)/(1+Supuestos!$B$4))^Supuestos!D$25)</f>
        <v/>
      </c>
      <c r="Z67">
        <f>Supuestos!E$23*(1-$C67+$C67*((1+Supuestos!$B$4+$B67/10000)/(1+Supuestos!$B$4))^Supuestos!E$25)</f>
        <v/>
      </c>
      <c r="AA67">
        <f>Supuestos!F$23*(1-$C67+$C67*((1+Supuestos!$B$4+$B67/10000)/(1+Supuestos!$B$4))^Supuestos!F$25)</f>
        <v/>
      </c>
      <c r="AB67">
        <f>Supuestos!G$23*(1-$C67+$C67*((1+Supuestos!$B$4+$B67/10000)/(1+Supuestos!$B$4))^Supuestos!G$25)</f>
        <v/>
      </c>
      <c r="AC67">
        <f>Supuestos!H$23*(1-$C67+$C67*((1+Supuestos!$B$4+$B67/10000)/(1+Supuestos!$B$4))^Supuestos!H$25)</f>
        <v/>
      </c>
      <c r="AD67">
        <f>Supuestos!I$23*(1-$C67+$C67*((1+Supuestos!$B$4+$B67/10000)/(1+Supuestos!$B$4))^Supuestos!I$25)</f>
        <v/>
      </c>
      <c r="AE67">
        <f>SUMPRODUCT(X67:AC67,R67:W67)</f>
        <v/>
      </c>
      <c r="AF67">
        <f>(1+Supuestos!$B$5)/(1+Supuestos!$B$4)*(1+Supuestos!$B$4+$B67/10000)-1</f>
        <v/>
      </c>
      <c r="AG67">
        <f>AD67/(K67-AF67)</f>
        <v/>
      </c>
      <c r="AH67">
        <f>AG67*Q67</f>
        <v/>
      </c>
      <c r="AI67">
        <f>(AE67+AH67-Supuestos!$B$7-Supuestos!$B$8)/Supuestos!$B$9</f>
        <v/>
      </c>
      <c r="AJ67">
        <f>AI67/AI$5-1</f>
        <v/>
      </c>
    </row>
    <row r="68">
      <c r="A68" t="n">
        <v>50</v>
      </c>
      <c r="B68" t="n">
        <v>50</v>
      </c>
      <c r="C68" t="n">
        <v>0.7</v>
      </c>
      <c r="D68" t="inlineStr">
        <is>
          <t>Mix Δi=+100 θ=0.7</t>
        </is>
      </c>
      <c r="E68">
        <f>(1-Supuestos!C$28)*((1+((1+Supuestos!C$26)/(1+Supuestos!$B$4)-1+Supuestos!$B$14*$A68/10000))*(1+Supuestos!$B$4+$B68/10000)-1)+Supuestos!C$28*((1+Supuestos!C$27+$A68/10000)*(1+Supuestos!$B$4+$B68/10000)-1)*(1-Supuestos!$B$6)</f>
        <v/>
      </c>
      <c r="F68">
        <f>(1-Supuestos!D$28)*((1+((1+Supuestos!D$26)/(1+Supuestos!$B$4)-1+Supuestos!$B$14*$A68/10000))*(1+Supuestos!$B$4+$B68/10000)-1)+Supuestos!D$28*((1+Supuestos!D$27+$A68/10000)*(1+Supuestos!$B$4+$B68/10000)-1)*(1-Supuestos!$B$6)</f>
        <v/>
      </c>
      <c r="G68">
        <f>(1-Supuestos!E$28)*((1+((1+Supuestos!E$26)/(1+Supuestos!$B$4)-1+Supuestos!$B$14*$A68/10000))*(1+Supuestos!$B$4+$B68/10000)-1)+Supuestos!E$28*((1+Supuestos!E$27+$A68/10000)*(1+Supuestos!$B$4+$B68/10000)-1)*(1-Supuestos!$B$6)</f>
        <v/>
      </c>
      <c r="H68">
        <f>(1-Supuestos!F$28)*((1+((1+Supuestos!F$26)/(1+Supuestos!$B$4)-1+Supuestos!$B$14*$A68/10000))*(1+Supuestos!$B$4+$B68/10000)-1)+Supuestos!F$28*((1+Supuestos!F$27+$A68/10000)*(1+Supuestos!$B$4+$B68/10000)-1)*(1-Supuestos!$B$6)</f>
        <v/>
      </c>
      <c r="I68">
        <f>(1-Supuestos!G$28)*((1+((1+Supuestos!G$26)/(1+Supuestos!$B$4)-1+Supuestos!$B$14*$A68/10000))*(1+Supuestos!$B$4+$B68/10000)-1)+Supuestos!G$28*((1+Supuestos!G$27+$A68/10000)*(1+Supuestos!$B$4+$B68/10000)-1)*(1-Supuestos!$B$6)</f>
        <v/>
      </c>
      <c r="J68">
        <f>(1-Supuestos!H$28)*((1+((1+Supuestos!H$26)/(1+Supuestos!$B$4)-1+Supuestos!$B$14*$A68/10000))*(1+Supuestos!$B$4+$B68/10000)-1)+Supuestos!H$28*((1+Supuestos!H$27+$A68/10000)*(1+Supuestos!$B$4+$B68/10000)-1)*(1-Supuestos!$B$6)</f>
        <v/>
      </c>
      <c r="K68">
        <f>(1-Supuestos!I$28)*((1+((1+Supuestos!I$26)/(1+Supuestos!$B$4)-1+Supuestos!$B$14*$A68/10000))*(1+Supuestos!$B$4+$B68/10000)-1)+Supuestos!I$28*((1+Supuestos!I$27+$A68/10000)*(1+Supuestos!$B$4+$B68/10000)-1)*(1-Supuestos!$B$6)</f>
        <v/>
      </c>
      <c r="L68">
        <f>(1+E68)^-Supuestos!C$24</f>
        <v/>
      </c>
      <c r="M68">
        <f>L68*(1+F68)^-Supuestos!D$24</f>
        <v/>
      </c>
      <c r="N68">
        <f>M68*(1+G68)^-Supuestos!E$24</f>
        <v/>
      </c>
      <c r="O68">
        <f>N68*(1+H68)^-Supuestos!F$24</f>
        <v/>
      </c>
      <c r="P68">
        <f>O68*(1+I68)^-Supuestos!G$24</f>
        <v/>
      </c>
      <c r="Q68">
        <f>P68*(1+J68)^-Supuestos!H$24</f>
        <v/>
      </c>
      <c r="R68">
        <f>(1+E68)^-(Supuestos!C$24/2)</f>
        <v/>
      </c>
      <c r="S68">
        <f>L68*(1+F68)^-(Supuestos!D$24/2)</f>
        <v/>
      </c>
      <c r="T68">
        <f>M68*(1+G68)^-(Supuestos!E$24/2)</f>
        <v/>
      </c>
      <c r="U68">
        <f>N68*(1+H68)^-(Supuestos!F$24/2)</f>
        <v/>
      </c>
      <c r="V68">
        <f>O68*(1+I68)^-(Supuestos!G$24/2)</f>
        <v/>
      </c>
      <c r="W68">
        <f>P68*(1+J68)^-(Supuestos!H$24/2)</f>
        <v/>
      </c>
      <c r="X68">
        <f>Supuestos!C$23*(1-$C68+$C68*((1+Supuestos!$B$4+$B68/10000)/(1+Supuestos!$B$4))^Supuestos!C$25)</f>
        <v/>
      </c>
      <c r="Y68">
        <f>Supuestos!D$23*(1-$C68+$C68*((1+Supuestos!$B$4+$B68/10000)/(1+Supuestos!$B$4))^Supuestos!D$25)</f>
        <v/>
      </c>
      <c r="Z68">
        <f>Supuestos!E$23*(1-$C68+$C68*((1+Supuestos!$B$4+$B68/10000)/(1+Supuestos!$B$4))^Supuestos!E$25)</f>
        <v/>
      </c>
      <c r="AA68">
        <f>Supuestos!F$23*(1-$C68+$C68*((1+Supuestos!$B$4+$B68/10000)/(1+Supuestos!$B$4))^Supuestos!F$25)</f>
        <v/>
      </c>
      <c r="AB68">
        <f>Supuestos!G$23*(1-$C68+$C68*((1+Supuestos!$B$4+$B68/10000)/(1+Supuestos!$B$4))^Supuestos!G$25)</f>
        <v/>
      </c>
      <c r="AC68">
        <f>Supuestos!H$23*(1-$C68+$C68*((1+Supuestos!$B$4+$B68/10000)/(1+Supuestos!$B$4))^Supuestos!H$25)</f>
        <v/>
      </c>
      <c r="AD68">
        <f>Supuestos!I$23*(1-$C68+$C68*((1+Supuestos!$B$4+$B68/10000)/(1+Supuestos!$B$4))^Supuestos!I$25)</f>
        <v/>
      </c>
      <c r="AE68">
        <f>SUMPRODUCT(X68:AC68,R68:W68)</f>
        <v/>
      </c>
      <c r="AF68">
        <f>(1+Supuestos!$B$5)/(1+Supuestos!$B$4)*(1+Supuestos!$B$4+$B68/10000)-1</f>
        <v/>
      </c>
      <c r="AG68">
        <f>AD68/(K68-AF68)</f>
        <v/>
      </c>
      <c r="AH68">
        <f>AG68*Q68</f>
        <v/>
      </c>
      <c r="AI68">
        <f>(AE68+AH68-Supuestos!$B$7-Supuestos!$B$8)/Supuestos!$B$9</f>
        <v/>
      </c>
      <c r="AJ68">
        <f>AI68/AI$5-1</f>
        <v/>
      </c>
    </row>
    <row r="69">
      <c r="A69" t="n">
        <v>40</v>
      </c>
      <c r="B69" t="n">
        <v>60</v>
      </c>
      <c r="C69" t="n">
        <v>0.7</v>
      </c>
      <c r="D69" t="inlineStr">
        <is>
          <t>Mix Δi=+100 θ=0.7</t>
        </is>
      </c>
      <c r="E69">
        <f>(1-Supuestos!C$28)*((1+((1+Supuestos!C$26)/(1+Supuestos!$B$4)-1+Supuestos!$B$14*$A69/10000))*(1+Supuestos!$B$4+$B69/10000)-1)+Supuestos!C$28*((1+Supuestos!C$27+$A69/10000)*(1+Supuestos!$B$4+$B69/10000)-1)*(1-Supuestos!$B$6)</f>
        <v/>
      </c>
      <c r="F69">
        <f>(1-Supuestos!D$28)*((1+((1+Supuestos!D$26)/(1+Supuestos!$B$4)-1+Supuestos!$B$14*$A69/10000))*(1+Supuestos!$B$4+$B69/10000)-1)+Supuestos!D$28*((1+Supuestos!D$27+$A69/10000)*(1+Supuestos!$B$4+$B69/10000)-1)*(1-Supuestos!$B$6)</f>
        <v/>
      </c>
      <c r="G69">
        <f>(1-Supuestos!E$28)*((1+((1+Supuestos!E$26)/(1+Supuestos!$B$4)-1+Supuestos!$B$14*$A69/10000))*(1+Supuestos!$B$4+$B69/10000)-1)+Supuestos!E$28*((1+Supuestos!E$27+$A69/10000)*(1+Supuestos!$B$4+$B69/10000)-1)*(1-Supuestos!$B$6)</f>
        <v/>
      </c>
      <c r="H69">
        <f>(1-Supuestos!F$28)*((1+((1+Supuestos!F$26)/(1+Supuestos!$B$4)-1+Supuestos!$B$14*$A69/10000))*(1+Supuestos!$B$4+$B69/10000)-1)+Supuestos!F$28*((1+Supuestos!F$27+$A69/10000)*(1+Supuestos!$B$4+$B69/10000)-1)*(1-Supuestos!$B$6)</f>
        <v/>
      </c>
      <c r="I69">
        <f>(1-Supuestos!G$28)*((1+((1+Supuestos!G$26)/(1+Supuestos!$B$4)-1+Supuestos!$B$14*$A69/10000))*(1+Supuestos!$B$4+$B69/10000)-1)+Supuestos!G$28*((1+Supuestos!G$27+$A69/10000)*(1+Supuestos!$B$4+$B69/10000)-1)*(1-Supuestos!$B$6)</f>
        <v/>
      </c>
      <c r="J69">
        <f>(1-Supuestos!H$28)*((1+((1+Supuestos!H$26)/(1+Supuestos!$B$4)-1+Supuestos!$B$14*$A69/10000))*(1+Supuestos!$B$4+$B69/10000)-1)+Supuestos!H$28*((1+Supuestos!H$27+$A69/10000)*(1+Supuestos!$B$4+$B69/10000)-1)*(1-Supuestos!$B$6)</f>
        <v/>
      </c>
      <c r="K69">
        <f>(1-Supuestos!I$28)*((1+((1+Supuestos!I$26)/(1+Supuestos!$B$4)-1+Supuestos!$B$14*$A69/10000))*(1+Supuestos!$B$4+$B69/10000)-1)+Supuestos!I$28*((1+Supuestos!I$27+$A69/10000)*(1+Supuestos!$B$4+$B69/10000)-1)*(1-Supuestos!$B$6)</f>
        <v/>
      </c>
      <c r="L69">
        <f>(1+E69)^-Supuestos!C$24</f>
        <v/>
      </c>
      <c r="M69">
        <f>L69*(1+F69)^-Supuestos!D$24</f>
        <v/>
      </c>
      <c r="N69">
        <f>M69*(1+G69)^-Supuestos!E$24</f>
        <v/>
      </c>
      <c r="O69">
        <f>N69*(1+H69)^-Supuestos!F$24</f>
        <v/>
      </c>
      <c r="P69">
        <f>O69*(1+I69)^-Supuestos!G$24</f>
        <v/>
      </c>
      <c r="Q69">
        <f>P69*(1+J69)^-Supuestos!H$24</f>
        <v/>
      </c>
      <c r="R69">
        <f>(1+E69)^-(Supuestos!C$24/2)</f>
        <v/>
      </c>
      <c r="S69">
        <f>L69*(1+F69)^-(Supuestos!D$24/2)</f>
        <v/>
      </c>
      <c r="T69">
        <f>M69*(1+G69)^-(Supuestos!E$24/2)</f>
        <v/>
      </c>
      <c r="U69">
        <f>N69*(1+H69)^-(Supuestos!F$24/2)</f>
        <v/>
      </c>
      <c r="V69">
        <f>O69*(1+I69)^-(Supuestos!G$24/2)</f>
        <v/>
      </c>
      <c r="W69">
        <f>P69*(1+J69)^-(Supuestos!H$24/2)</f>
        <v/>
      </c>
      <c r="X69">
        <f>Supuestos!C$23*(1-$C69+$C69*((1+Supuestos!$B$4+$B69/10000)/(1+Supuestos!$B$4))^Supuestos!C$25)</f>
        <v/>
      </c>
      <c r="Y69">
        <f>Supuestos!D$23*(1-$C69+$C69*((1+Supuestos!$B$4+$B69/10000)/(1+Supuestos!$B$4))^Supuestos!D$25)</f>
        <v/>
      </c>
      <c r="Z69">
        <f>Supuestos!E$23*(1-$C69+$C69*((1+Supuestos!$B$4+$B69/10000)/(1+Supuestos!$B$4))^Supuestos!E$25)</f>
        <v/>
      </c>
      <c r="AA69">
        <f>Supuestos!F$23*(1-$C69+$C69*((1+Supuestos!$B$4+$B69/10000)/(1+Supuestos!$B$4))^Supuestos!F$25)</f>
        <v/>
      </c>
      <c r="AB69">
        <f>Supuestos!G$23*(1-$C69+$C69*((1+Supuestos!$B$4+$B69/10000)/(1+Supuestos!$B$4))^Supuestos!G$25)</f>
        <v/>
      </c>
      <c r="AC69">
        <f>Supuestos!H$23*(1-$C69+$C69*((1+Supuestos!$B$4+$B69/10000)/(1+Supuestos!$B$4))^Supuestos!H$25)</f>
        <v/>
      </c>
      <c r="AD69">
        <f>Supuestos!I$23*(1-$C69+$C69*((1+Supuestos!$B$4+$B69/10000)/(1+Supuestos!$B$4))^Supuestos!I$25)</f>
        <v/>
      </c>
      <c r="AE69">
        <f>SUMPRODUCT(X69:AC69,R69:W69)</f>
        <v/>
      </c>
      <c r="AF69">
        <f>(1+Supuestos!$B$5)/(1+Supuestos!$B$4)*(1+Supuestos!$B$4+$B69/10000)-1</f>
        <v/>
      </c>
      <c r="AG69">
        <f>AD69/(K69-AF69)</f>
        <v/>
      </c>
      <c r="AH69">
        <f>AG69*Q69</f>
        <v/>
      </c>
      <c r="AI69">
        <f>(AE69+AH69-Supuestos!$B$7-Supuestos!$B$8)/Supuestos!$B$9</f>
        <v/>
      </c>
      <c r="AJ69">
        <f>AI69/AI$5-1</f>
        <v/>
      </c>
    </row>
    <row r="70">
      <c r="A70" t="n">
        <v>30</v>
      </c>
      <c r="B70" t="n">
        <v>70</v>
      </c>
      <c r="C70" t="n">
        <v>0.7</v>
      </c>
      <c r="D70" t="inlineStr">
        <is>
          <t>Mix Δi=+100 θ=0.7</t>
        </is>
      </c>
      <c r="E70">
        <f>(1-Supuestos!C$28)*((1+((1+Supuestos!C$26)/(1+Supuestos!$B$4)-1+Supuestos!$B$14*$A70/10000))*(1+Supuestos!$B$4+$B70/10000)-1)+Supuestos!C$28*((1+Supuestos!C$27+$A70/10000)*(1+Supuestos!$B$4+$B70/10000)-1)*(1-Supuestos!$B$6)</f>
        <v/>
      </c>
      <c r="F70">
        <f>(1-Supuestos!D$28)*((1+((1+Supuestos!D$26)/(1+Supuestos!$B$4)-1+Supuestos!$B$14*$A70/10000))*(1+Supuestos!$B$4+$B70/10000)-1)+Supuestos!D$28*((1+Supuestos!D$27+$A70/10000)*(1+Supuestos!$B$4+$B70/10000)-1)*(1-Supuestos!$B$6)</f>
        <v/>
      </c>
      <c r="G70">
        <f>(1-Supuestos!E$28)*((1+((1+Supuestos!E$26)/(1+Supuestos!$B$4)-1+Supuestos!$B$14*$A70/10000))*(1+Supuestos!$B$4+$B70/10000)-1)+Supuestos!E$28*((1+Supuestos!E$27+$A70/10000)*(1+Supuestos!$B$4+$B70/10000)-1)*(1-Supuestos!$B$6)</f>
        <v/>
      </c>
      <c r="H70">
        <f>(1-Supuestos!F$28)*((1+((1+Supuestos!F$26)/(1+Supuestos!$B$4)-1+Supuestos!$B$14*$A70/10000))*(1+Supuestos!$B$4+$B70/10000)-1)+Supuestos!F$28*((1+Supuestos!F$27+$A70/10000)*(1+Supuestos!$B$4+$B70/10000)-1)*(1-Supuestos!$B$6)</f>
        <v/>
      </c>
      <c r="I70">
        <f>(1-Supuestos!G$28)*((1+((1+Supuestos!G$26)/(1+Supuestos!$B$4)-1+Supuestos!$B$14*$A70/10000))*(1+Supuestos!$B$4+$B70/10000)-1)+Supuestos!G$28*((1+Supuestos!G$27+$A70/10000)*(1+Supuestos!$B$4+$B70/10000)-1)*(1-Supuestos!$B$6)</f>
        <v/>
      </c>
      <c r="J70">
        <f>(1-Supuestos!H$28)*((1+((1+Supuestos!H$26)/(1+Supuestos!$B$4)-1+Supuestos!$B$14*$A70/10000))*(1+Supuestos!$B$4+$B70/10000)-1)+Supuestos!H$28*((1+Supuestos!H$27+$A70/10000)*(1+Supuestos!$B$4+$B70/10000)-1)*(1-Supuestos!$B$6)</f>
        <v/>
      </c>
      <c r="K70">
        <f>(1-Supuestos!I$28)*((1+((1+Supuestos!I$26)/(1+Supuestos!$B$4)-1+Supuestos!$B$14*$A70/10000))*(1+Supuestos!$B$4+$B70/10000)-1)+Supuestos!I$28*((1+Supuestos!I$27+$A70/10000)*(1+Supuestos!$B$4+$B70/10000)-1)*(1-Supuestos!$B$6)</f>
        <v/>
      </c>
      <c r="L70">
        <f>(1+E70)^-Supuestos!C$24</f>
        <v/>
      </c>
      <c r="M70">
        <f>L70*(1+F70)^-Supuestos!D$24</f>
        <v/>
      </c>
      <c r="N70">
        <f>M70*(1+G70)^-Supuestos!E$24</f>
        <v/>
      </c>
      <c r="O70">
        <f>N70*(1+H70)^-Supuestos!F$24</f>
        <v/>
      </c>
      <c r="P70">
        <f>O70*(1+I70)^-Supuestos!G$24</f>
        <v/>
      </c>
      <c r="Q70">
        <f>P70*(1+J70)^-Supuestos!H$24</f>
        <v/>
      </c>
      <c r="R70">
        <f>(1+E70)^-(Supuestos!C$24/2)</f>
        <v/>
      </c>
      <c r="S70">
        <f>L70*(1+F70)^-(Supuestos!D$24/2)</f>
        <v/>
      </c>
      <c r="T70">
        <f>M70*(1+G70)^-(Supuestos!E$24/2)</f>
        <v/>
      </c>
      <c r="U70">
        <f>N70*(1+H70)^-(Supuestos!F$24/2)</f>
        <v/>
      </c>
      <c r="V70">
        <f>O70*(1+I70)^-(Supuestos!G$24/2)</f>
        <v/>
      </c>
      <c r="W70">
        <f>P70*(1+J70)^-(Supuestos!H$24/2)</f>
        <v/>
      </c>
      <c r="X70">
        <f>Supuestos!C$23*(1-$C70+$C70*((1+Supuestos!$B$4+$B70/10000)/(1+Supuestos!$B$4))^Supuestos!C$25)</f>
        <v/>
      </c>
      <c r="Y70">
        <f>Supuestos!D$23*(1-$C70+$C70*((1+Supuestos!$B$4+$B70/10000)/(1+Supuestos!$B$4))^Supuestos!D$25)</f>
        <v/>
      </c>
      <c r="Z70">
        <f>Supuestos!E$23*(1-$C70+$C70*((1+Supuestos!$B$4+$B70/10000)/(1+Supuestos!$B$4))^Supuestos!E$25)</f>
        <v/>
      </c>
      <c r="AA70">
        <f>Supuestos!F$23*(1-$C70+$C70*((1+Supuestos!$B$4+$B70/10000)/(1+Supuestos!$B$4))^Supuestos!F$25)</f>
        <v/>
      </c>
      <c r="AB70">
        <f>Supuestos!G$23*(1-$C70+$C70*((1+Supuestos!$B$4+$B70/10000)/(1+Supuestos!$B$4))^Supuestos!G$25)</f>
        <v/>
      </c>
      <c r="AC70">
        <f>Supuestos!H$23*(1-$C70+$C70*((1+Supuestos!$B$4+$B70/10000)/(1+Supuestos!$B$4))^Supuestos!H$25)</f>
        <v/>
      </c>
      <c r="AD70">
        <f>Supuestos!I$23*(1-$C70+$C70*((1+Supuestos!$B$4+$B70/10000)/(1+Supuestos!$B$4))^Supuestos!I$25)</f>
        <v/>
      </c>
      <c r="AE70">
        <f>SUMPRODUCT(X70:AC70,R70:W70)</f>
        <v/>
      </c>
      <c r="AF70">
        <f>(1+Supuestos!$B$5)/(1+Supuestos!$B$4)*(1+Supuestos!$B$4+$B70/10000)-1</f>
        <v/>
      </c>
      <c r="AG70">
        <f>AD70/(K70-AF70)</f>
        <v/>
      </c>
      <c r="AH70">
        <f>AG70*Q70</f>
        <v/>
      </c>
      <c r="AI70">
        <f>(AE70+AH70-Supuestos!$B$7-Supuestos!$B$8)/Supuestos!$B$9</f>
        <v/>
      </c>
      <c r="AJ70">
        <f>AI70/AI$5-1</f>
        <v/>
      </c>
    </row>
    <row r="71">
      <c r="A71" t="n">
        <v>20</v>
      </c>
      <c r="B71" t="n">
        <v>80</v>
      </c>
      <c r="C71" t="n">
        <v>0.7</v>
      </c>
      <c r="D71" t="inlineStr">
        <is>
          <t>Mix Δi=+100 θ=0.7</t>
        </is>
      </c>
      <c r="E71">
        <f>(1-Supuestos!C$28)*((1+((1+Supuestos!C$26)/(1+Supuestos!$B$4)-1+Supuestos!$B$14*$A71/10000))*(1+Supuestos!$B$4+$B71/10000)-1)+Supuestos!C$28*((1+Supuestos!C$27+$A71/10000)*(1+Supuestos!$B$4+$B71/10000)-1)*(1-Supuestos!$B$6)</f>
        <v/>
      </c>
      <c r="F71">
        <f>(1-Supuestos!D$28)*((1+((1+Supuestos!D$26)/(1+Supuestos!$B$4)-1+Supuestos!$B$14*$A71/10000))*(1+Supuestos!$B$4+$B71/10000)-1)+Supuestos!D$28*((1+Supuestos!D$27+$A71/10000)*(1+Supuestos!$B$4+$B71/10000)-1)*(1-Supuestos!$B$6)</f>
        <v/>
      </c>
      <c r="G71">
        <f>(1-Supuestos!E$28)*((1+((1+Supuestos!E$26)/(1+Supuestos!$B$4)-1+Supuestos!$B$14*$A71/10000))*(1+Supuestos!$B$4+$B71/10000)-1)+Supuestos!E$28*((1+Supuestos!E$27+$A71/10000)*(1+Supuestos!$B$4+$B71/10000)-1)*(1-Supuestos!$B$6)</f>
        <v/>
      </c>
      <c r="H71">
        <f>(1-Supuestos!F$28)*((1+((1+Supuestos!F$26)/(1+Supuestos!$B$4)-1+Supuestos!$B$14*$A71/10000))*(1+Supuestos!$B$4+$B71/10000)-1)+Supuestos!F$28*((1+Supuestos!F$27+$A71/10000)*(1+Supuestos!$B$4+$B71/10000)-1)*(1-Supuestos!$B$6)</f>
        <v/>
      </c>
      <c r="I71">
        <f>(1-Supuestos!G$28)*((1+((1+Supuestos!G$26)/(1+Supuestos!$B$4)-1+Supuestos!$B$14*$A71/10000))*(1+Supuestos!$B$4+$B71/10000)-1)+Supuestos!G$28*((1+Supuestos!G$27+$A71/10000)*(1+Supuestos!$B$4+$B71/10000)-1)*(1-Supuestos!$B$6)</f>
        <v/>
      </c>
      <c r="J71">
        <f>(1-Supuestos!H$28)*((1+((1+Supuestos!H$26)/(1+Supuestos!$B$4)-1+Supuestos!$B$14*$A71/10000))*(1+Supuestos!$B$4+$B71/10000)-1)+Supuestos!H$28*((1+Supuestos!H$27+$A71/10000)*(1+Supuestos!$B$4+$B71/10000)-1)*(1-Supuestos!$B$6)</f>
        <v/>
      </c>
      <c r="K71">
        <f>(1-Supuestos!I$28)*((1+((1+Supuestos!I$26)/(1+Supuestos!$B$4)-1+Supuestos!$B$14*$A71/10000))*(1+Supuestos!$B$4+$B71/10000)-1)+Supuestos!I$28*((1+Supuestos!I$27+$A71/10000)*(1+Supuestos!$B$4+$B71/10000)-1)*(1-Supuestos!$B$6)</f>
        <v/>
      </c>
      <c r="L71">
        <f>(1+E71)^-Supuestos!C$24</f>
        <v/>
      </c>
      <c r="M71">
        <f>L71*(1+F71)^-Supuestos!D$24</f>
        <v/>
      </c>
      <c r="N71">
        <f>M71*(1+G71)^-Supuestos!E$24</f>
        <v/>
      </c>
      <c r="O71">
        <f>N71*(1+H71)^-Supuestos!F$24</f>
        <v/>
      </c>
      <c r="P71">
        <f>O71*(1+I71)^-Supuestos!G$24</f>
        <v/>
      </c>
      <c r="Q71">
        <f>P71*(1+J71)^-Supuestos!H$24</f>
        <v/>
      </c>
      <c r="R71">
        <f>(1+E71)^-(Supuestos!C$24/2)</f>
        <v/>
      </c>
      <c r="S71">
        <f>L71*(1+F71)^-(Supuestos!D$24/2)</f>
        <v/>
      </c>
      <c r="T71">
        <f>M71*(1+G71)^-(Supuestos!E$24/2)</f>
        <v/>
      </c>
      <c r="U71">
        <f>N71*(1+H71)^-(Supuestos!F$24/2)</f>
        <v/>
      </c>
      <c r="V71">
        <f>O71*(1+I71)^-(Supuestos!G$24/2)</f>
        <v/>
      </c>
      <c r="W71">
        <f>P71*(1+J71)^-(Supuestos!H$24/2)</f>
        <v/>
      </c>
      <c r="X71">
        <f>Supuestos!C$23*(1-$C71+$C71*((1+Supuestos!$B$4+$B71/10000)/(1+Supuestos!$B$4))^Supuestos!C$25)</f>
        <v/>
      </c>
      <c r="Y71">
        <f>Supuestos!D$23*(1-$C71+$C71*((1+Supuestos!$B$4+$B71/10000)/(1+Supuestos!$B$4))^Supuestos!D$25)</f>
        <v/>
      </c>
      <c r="Z71">
        <f>Supuestos!E$23*(1-$C71+$C71*((1+Supuestos!$B$4+$B71/10000)/(1+Supuestos!$B$4))^Supuestos!E$25)</f>
        <v/>
      </c>
      <c r="AA71">
        <f>Supuestos!F$23*(1-$C71+$C71*((1+Supuestos!$B$4+$B71/10000)/(1+Supuestos!$B$4))^Supuestos!F$25)</f>
        <v/>
      </c>
      <c r="AB71">
        <f>Supuestos!G$23*(1-$C71+$C71*((1+Supuestos!$B$4+$B71/10000)/(1+Supuestos!$B$4))^Supuestos!G$25)</f>
        <v/>
      </c>
      <c r="AC71">
        <f>Supuestos!H$23*(1-$C71+$C71*((1+Supuestos!$B$4+$B71/10000)/(1+Supuestos!$B$4))^Supuestos!H$25)</f>
        <v/>
      </c>
      <c r="AD71">
        <f>Supuestos!I$23*(1-$C71+$C71*((1+Supuestos!$B$4+$B71/10000)/(1+Supuestos!$B$4))^Supuestos!I$25)</f>
        <v/>
      </c>
      <c r="AE71">
        <f>SUMPRODUCT(X71:AC71,R71:W71)</f>
        <v/>
      </c>
      <c r="AF71">
        <f>(1+Supuestos!$B$5)/(1+Supuestos!$B$4)*(1+Supuestos!$B$4+$B71/10000)-1</f>
        <v/>
      </c>
      <c r="AG71">
        <f>AD71/(K71-AF71)</f>
        <v/>
      </c>
      <c r="AH71">
        <f>AG71*Q71</f>
        <v/>
      </c>
      <c r="AI71">
        <f>(AE71+AH71-Supuestos!$B$7-Supuestos!$B$8)/Supuestos!$B$9</f>
        <v/>
      </c>
      <c r="AJ71">
        <f>AI71/AI$5-1</f>
        <v/>
      </c>
    </row>
    <row r="72">
      <c r="A72" t="n">
        <v>9.999999999999998</v>
      </c>
      <c r="B72" t="n">
        <v>90</v>
      </c>
      <c r="C72" t="n">
        <v>0.7</v>
      </c>
      <c r="D72" t="inlineStr">
        <is>
          <t>Mix Δi=+100 θ=0.7</t>
        </is>
      </c>
      <c r="E72">
        <f>(1-Supuestos!C$28)*((1+((1+Supuestos!C$26)/(1+Supuestos!$B$4)-1+Supuestos!$B$14*$A72/10000))*(1+Supuestos!$B$4+$B72/10000)-1)+Supuestos!C$28*((1+Supuestos!C$27+$A72/10000)*(1+Supuestos!$B$4+$B72/10000)-1)*(1-Supuestos!$B$6)</f>
        <v/>
      </c>
      <c r="F72">
        <f>(1-Supuestos!D$28)*((1+((1+Supuestos!D$26)/(1+Supuestos!$B$4)-1+Supuestos!$B$14*$A72/10000))*(1+Supuestos!$B$4+$B72/10000)-1)+Supuestos!D$28*((1+Supuestos!D$27+$A72/10000)*(1+Supuestos!$B$4+$B72/10000)-1)*(1-Supuestos!$B$6)</f>
        <v/>
      </c>
      <c r="G72">
        <f>(1-Supuestos!E$28)*((1+((1+Supuestos!E$26)/(1+Supuestos!$B$4)-1+Supuestos!$B$14*$A72/10000))*(1+Supuestos!$B$4+$B72/10000)-1)+Supuestos!E$28*((1+Supuestos!E$27+$A72/10000)*(1+Supuestos!$B$4+$B72/10000)-1)*(1-Supuestos!$B$6)</f>
        <v/>
      </c>
      <c r="H72">
        <f>(1-Supuestos!F$28)*((1+((1+Supuestos!F$26)/(1+Supuestos!$B$4)-1+Supuestos!$B$14*$A72/10000))*(1+Supuestos!$B$4+$B72/10000)-1)+Supuestos!F$28*((1+Supuestos!F$27+$A72/10000)*(1+Supuestos!$B$4+$B72/10000)-1)*(1-Supuestos!$B$6)</f>
        <v/>
      </c>
      <c r="I72">
        <f>(1-Supuestos!G$28)*((1+((1+Supuestos!G$26)/(1+Supuestos!$B$4)-1+Supuestos!$B$14*$A72/10000))*(1+Supuestos!$B$4+$B72/10000)-1)+Supuestos!G$28*((1+Supuestos!G$27+$A72/10000)*(1+Supuestos!$B$4+$B72/10000)-1)*(1-Supuestos!$B$6)</f>
        <v/>
      </c>
      <c r="J72">
        <f>(1-Supuestos!H$28)*((1+((1+Supuestos!H$26)/(1+Supuestos!$B$4)-1+Supuestos!$B$14*$A72/10000))*(1+Supuestos!$B$4+$B72/10000)-1)+Supuestos!H$28*((1+Supuestos!H$27+$A72/10000)*(1+Supuestos!$B$4+$B72/10000)-1)*(1-Supuestos!$B$6)</f>
        <v/>
      </c>
      <c r="K72">
        <f>(1-Supuestos!I$28)*((1+((1+Supuestos!I$26)/(1+Supuestos!$B$4)-1+Supuestos!$B$14*$A72/10000))*(1+Supuestos!$B$4+$B72/10000)-1)+Supuestos!I$28*((1+Supuestos!I$27+$A72/10000)*(1+Supuestos!$B$4+$B72/10000)-1)*(1-Supuestos!$B$6)</f>
        <v/>
      </c>
      <c r="L72">
        <f>(1+E72)^-Supuestos!C$24</f>
        <v/>
      </c>
      <c r="M72">
        <f>L72*(1+F72)^-Supuestos!D$24</f>
        <v/>
      </c>
      <c r="N72">
        <f>M72*(1+G72)^-Supuestos!E$24</f>
        <v/>
      </c>
      <c r="O72">
        <f>N72*(1+H72)^-Supuestos!F$24</f>
        <v/>
      </c>
      <c r="P72">
        <f>O72*(1+I72)^-Supuestos!G$24</f>
        <v/>
      </c>
      <c r="Q72">
        <f>P72*(1+J72)^-Supuestos!H$24</f>
        <v/>
      </c>
      <c r="R72">
        <f>(1+E72)^-(Supuestos!C$24/2)</f>
        <v/>
      </c>
      <c r="S72">
        <f>L72*(1+F72)^-(Supuestos!D$24/2)</f>
        <v/>
      </c>
      <c r="T72">
        <f>M72*(1+G72)^-(Supuestos!E$24/2)</f>
        <v/>
      </c>
      <c r="U72">
        <f>N72*(1+H72)^-(Supuestos!F$24/2)</f>
        <v/>
      </c>
      <c r="V72">
        <f>O72*(1+I72)^-(Supuestos!G$24/2)</f>
        <v/>
      </c>
      <c r="W72">
        <f>P72*(1+J72)^-(Supuestos!H$24/2)</f>
        <v/>
      </c>
      <c r="X72">
        <f>Supuestos!C$23*(1-$C72+$C72*((1+Supuestos!$B$4+$B72/10000)/(1+Supuestos!$B$4))^Supuestos!C$25)</f>
        <v/>
      </c>
      <c r="Y72">
        <f>Supuestos!D$23*(1-$C72+$C72*((1+Supuestos!$B$4+$B72/10000)/(1+Supuestos!$B$4))^Supuestos!D$25)</f>
        <v/>
      </c>
      <c r="Z72">
        <f>Supuestos!E$23*(1-$C72+$C72*((1+Supuestos!$B$4+$B72/10000)/(1+Supuestos!$B$4))^Supuestos!E$25)</f>
        <v/>
      </c>
      <c r="AA72">
        <f>Supuestos!F$23*(1-$C72+$C72*((1+Supuestos!$B$4+$B72/10000)/(1+Supuestos!$B$4))^Supuestos!F$25)</f>
        <v/>
      </c>
      <c r="AB72">
        <f>Supuestos!G$23*(1-$C72+$C72*((1+Supuestos!$B$4+$B72/10000)/(1+Supuestos!$B$4))^Supuestos!G$25)</f>
        <v/>
      </c>
      <c r="AC72">
        <f>Supuestos!H$23*(1-$C72+$C72*((1+Supuestos!$B$4+$B72/10000)/(1+Supuestos!$B$4))^Supuestos!H$25)</f>
        <v/>
      </c>
      <c r="AD72">
        <f>Supuestos!I$23*(1-$C72+$C72*((1+Supuestos!$B$4+$B72/10000)/(1+Supuestos!$B$4))^Supuestos!I$25)</f>
        <v/>
      </c>
      <c r="AE72">
        <f>SUMPRODUCT(X72:AC72,R72:W72)</f>
        <v/>
      </c>
      <c r="AF72">
        <f>(1+Supuestos!$B$5)/(1+Supuestos!$B$4)*(1+Supuestos!$B$4+$B72/10000)-1</f>
        <v/>
      </c>
      <c r="AG72">
        <f>AD72/(K72-AF72)</f>
        <v/>
      </c>
      <c r="AH72">
        <f>AG72*Q72</f>
        <v/>
      </c>
      <c r="AI72">
        <f>(AE72+AH72-Supuestos!$B$7-Supuestos!$B$8)/Supuestos!$B$9</f>
        <v/>
      </c>
      <c r="AJ72">
        <f>AI72/AI$5-1</f>
        <v/>
      </c>
    </row>
    <row r="73">
      <c r="A73" t="n">
        <v>0</v>
      </c>
      <c r="B73" t="n">
        <v>100</v>
      </c>
      <c r="C73" t="n">
        <v>0.7</v>
      </c>
      <c r="D73" t="inlineStr">
        <is>
          <t>Mix Δi=+100 θ=0.7</t>
        </is>
      </c>
      <c r="E73">
        <f>(1-Supuestos!C$28)*((1+((1+Supuestos!C$26)/(1+Supuestos!$B$4)-1+Supuestos!$B$14*$A73/10000))*(1+Supuestos!$B$4+$B73/10000)-1)+Supuestos!C$28*((1+Supuestos!C$27+$A73/10000)*(1+Supuestos!$B$4+$B73/10000)-1)*(1-Supuestos!$B$6)</f>
        <v/>
      </c>
      <c r="F73">
        <f>(1-Supuestos!D$28)*((1+((1+Supuestos!D$26)/(1+Supuestos!$B$4)-1+Supuestos!$B$14*$A73/10000))*(1+Supuestos!$B$4+$B73/10000)-1)+Supuestos!D$28*((1+Supuestos!D$27+$A73/10000)*(1+Supuestos!$B$4+$B73/10000)-1)*(1-Supuestos!$B$6)</f>
        <v/>
      </c>
      <c r="G73">
        <f>(1-Supuestos!E$28)*((1+((1+Supuestos!E$26)/(1+Supuestos!$B$4)-1+Supuestos!$B$14*$A73/10000))*(1+Supuestos!$B$4+$B73/10000)-1)+Supuestos!E$28*((1+Supuestos!E$27+$A73/10000)*(1+Supuestos!$B$4+$B73/10000)-1)*(1-Supuestos!$B$6)</f>
        <v/>
      </c>
      <c r="H73">
        <f>(1-Supuestos!F$28)*((1+((1+Supuestos!F$26)/(1+Supuestos!$B$4)-1+Supuestos!$B$14*$A73/10000))*(1+Supuestos!$B$4+$B73/10000)-1)+Supuestos!F$28*((1+Supuestos!F$27+$A73/10000)*(1+Supuestos!$B$4+$B73/10000)-1)*(1-Supuestos!$B$6)</f>
        <v/>
      </c>
      <c r="I73">
        <f>(1-Supuestos!G$28)*((1+((1+Supuestos!G$26)/(1+Supuestos!$B$4)-1+Supuestos!$B$14*$A73/10000))*(1+Supuestos!$B$4+$B73/10000)-1)+Supuestos!G$28*((1+Supuestos!G$27+$A73/10000)*(1+Supuestos!$B$4+$B73/10000)-1)*(1-Supuestos!$B$6)</f>
        <v/>
      </c>
      <c r="J73">
        <f>(1-Supuestos!H$28)*((1+((1+Supuestos!H$26)/(1+Supuestos!$B$4)-1+Supuestos!$B$14*$A73/10000))*(1+Supuestos!$B$4+$B73/10000)-1)+Supuestos!H$28*((1+Supuestos!H$27+$A73/10000)*(1+Supuestos!$B$4+$B73/10000)-1)*(1-Supuestos!$B$6)</f>
        <v/>
      </c>
      <c r="K73">
        <f>(1-Supuestos!I$28)*((1+((1+Supuestos!I$26)/(1+Supuestos!$B$4)-1+Supuestos!$B$14*$A73/10000))*(1+Supuestos!$B$4+$B73/10000)-1)+Supuestos!I$28*((1+Supuestos!I$27+$A73/10000)*(1+Supuestos!$B$4+$B73/10000)-1)*(1-Supuestos!$B$6)</f>
        <v/>
      </c>
      <c r="L73">
        <f>(1+E73)^-Supuestos!C$24</f>
        <v/>
      </c>
      <c r="M73">
        <f>L73*(1+F73)^-Supuestos!D$24</f>
        <v/>
      </c>
      <c r="N73">
        <f>M73*(1+G73)^-Supuestos!E$24</f>
        <v/>
      </c>
      <c r="O73">
        <f>N73*(1+H73)^-Supuestos!F$24</f>
        <v/>
      </c>
      <c r="P73">
        <f>O73*(1+I73)^-Supuestos!G$24</f>
        <v/>
      </c>
      <c r="Q73">
        <f>P73*(1+J73)^-Supuestos!H$24</f>
        <v/>
      </c>
      <c r="R73">
        <f>(1+E73)^-(Supuestos!C$24/2)</f>
        <v/>
      </c>
      <c r="S73">
        <f>L73*(1+F73)^-(Supuestos!D$24/2)</f>
        <v/>
      </c>
      <c r="T73">
        <f>M73*(1+G73)^-(Supuestos!E$24/2)</f>
        <v/>
      </c>
      <c r="U73">
        <f>N73*(1+H73)^-(Supuestos!F$24/2)</f>
        <v/>
      </c>
      <c r="V73">
        <f>O73*(1+I73)^-(Supuestos!G$24/2)</f>
        <v/>
      </c>
      <c r="W73">
        <f>P73*(1+J73)^-(Supuestos!H$24/2)</f>
        <v/>
      </c>
      <c r="X73">
        <f>Supuestos!C$23*(1-$C73+$C73*((1+Supuestos!$B$4+$B73/10000)/(1+Supuestos!$B$4))^Supuestos!C$25)</f>
        <v/>
      </c>
      <c r="Y73">
        <f>Supuestos!D$23*(1-$C73+$C73*((1+Supuestos!$B$4+$B73/10000)/(1+Supuestos!$B$4))^Supuestos!D$25)</f>
        <v/>
      </c>
      <c r="Z73">
        <f>Supuestos!E$23*(1-$C73+$C73*((1+Supuestos!$B$4+$B73/10000)/(1+Supuestos!$B$4))^Supuestos!E$25)</f>
        <v/>
      </c>
      <c r="AA73">
        <f>Supuestos!F$23*(1-$C73+$C73*((1+Supuestos!$B$4+$B73/10000)/(1+Supuestos!$B$4))^Supuestos!F$25)</f>
        <v/>
      </c>
      <c r="AB73">
        <f>Supuestos!G$23*(1-$C73+$C73*((1+Supuestos!$B$4+$B73/10000)/(1+Supuestos!$B$4))^Supuestos!G$25)</f>
        <v/>
      </c>
      <c r="AC73">
        <f>Supuestos!H$23*(1-$C73+$C73*((1+Supuestos!$B$4+$B73/10000)/(1+Supuestos!$B$4))^Supuestos!H$25)</f>
        <v/>
      </c>
      <c r="AD73">
        <f>Supuestos!I$23*(1-$C73+$C73*((1+Supuestos!$B$4+$B73/10000)/(1+Supuestos!$B$4))^Supuestos!I$25)</f>
        <v/>
      </c>
      <c r="AE73">
        <f>SUMPRODUCT(X73:AC73,R73:W73)</f>
        <v/>
      </c>
      <c r="AF73">
        <f>(1+Supuestos!$B$5)/(1+Supuestos!$B$4)*(1+Supuestos!$B$4+$B73/10000)-1</f>
        <v/>
      </c>
      <c r="AG73">
        <f>AD73/(K73-AF73)</f>
        <v/>
      </c>
      <c r="AH73">
        <f>AG73*Q73</f>
        <v/>
      </c>
      <c r="AI73">
        <f>(AE73+AH73-Supuestos!$B$7-Supuestos!$B$8)/Supuestos!$B$9</f>
        <v/>
      </c>
      <c r="AJ73">
        <f>AI73/AI$5-1</f>
        <v/>
      </c>
    </row>
    <row r="74">
      <c r="A74" t="n">
        <v>-100</v>
      </c>
      <c r="B74" t="n">
        <v>-0</v>
      </c>
      <c r="C74" t="n">
        <v>1</v>
      </c>
      <c r="D74" t="inlineStr">
        <is>
          <t>Mix Δi=-100 θ=1.0</t>
        </is>
      </c>
      <c r="E74">
        <f>(1-Supuestos!C$28)*((1+((1+Supuestos!C$26)/(1+Supuestos!$B$4)-1+Supuestos!$B$14*$A74/10000))*(1+Supuestos!$B$4+$B74/10000)-1)+Supuestos!C$28*((1+Supuestos!C$27+$A74/10000)*(1+Supuestos!$B$4+$B74/10000)-1)*(1-Supuestos!$B$6)</f>
        <v/>
      </c>
      <c r="F74">
        <f>(1-Supuestos!D$28)*((1+((1+Supuestos!D$26)/(1+Supuestos!$B$4)-1+Supuestos!$B$14*$A74/10000))*(1+Supuestos!$B$4+$B74/10000)-1)+Supuestos!D$28*((1+Supuestos!D$27+$A74/10000)*(1+Supuestos!$B$4+$B74/10000)-1)*(1-Supuestos!$B$6)</f>
        <v/>
      </c>
      <c r="G74">
        <f>(1-Supuestos!E$28)*((1+((1+Supuestos!E$26)/(1+Supuestos!$B$4)-1+Supuestos!$B$14*$A74/10000))*(1+Supuestos!$B$4+$B74/10000)-1)+Supuestos!E$28*((1+Supuestos!E$27+$A74/10000)*(1+Supuestos!$B$4+$B74/10000)-1)*(1-Supuestos!$B$6)</f>
        <v/>
      </c>
      <c r="H74">
        <f>(1-Supuestos!F$28)*((1+((1+Supuestos!F$26)/(1+Supuestos!$B$4)-1+Supuestos!$B$14*$A74/10000))*(1+Supuestos!$B$4+$B74/10000)-1)+Supuestos!F$28*((1+Supuestos!F$27+$A74/10000)*(1+Supuestos!$B$4+$B74/10000)-1)*(1-Supuestos!$B$6)</f>
        <v/>
      </c>
      <c r="I74">
        <f>(1-Supuestos!G$28)*((1+((1+Supuestos!G$26)/(1+Supuestos!$B$4)-1+Supuestos!$B$14*$A74/10000))*(1+Supuestos!$B$4+$B74/10000)-1)+Supuestos!G$28*((1+Supuestos!G$27+$A74/10000)*(1+Supuestos!$B$4+$B74/10000)-1)*(1-Supuestos!$B$6)</f>
        <v/>
      </c>
      <c r="J74">
        <f>(1-Supuestos!H$28)*((1+((1+Supuestos!H$26)/(1+Supuestos!$B$4)-1+Supuestos!$B$14*$A74/10000))*(1+Supuestos!$B$4+$B74/10000)-1)+Supuestos!H$28*((1+Supuestos!H$27+$A74/10000)*(1+Supuestos!$B$4+$B74/10000)-1)*(1-Supuestos!$B$6)</f>
        <v/>
      </c>
      <c r="K74">
        <f>(1-Supuestos!I$28)*((1+((1+Supuestos!I$26)/(1+Supuestos!$B$4)-1+Supuestos!$B$14*$A74/10000))*(1+Supuestos!$B$4+$B74/10000)-1)+Supuestos!I$28*((1+Supuestos!I$27+$A74/10000)*(1+Supuestos!$B$4+$B74/10000)-1)*(1-Supuestos!$B$6)</f>
        <v/>
      </c>
      <c r="L74">
        <f>(1+E74)^-Supuestos!C$24</f>
        <v/>
      </c>
      <c r="M74">
        <f>L74*(1+F74)^-Supuestos!D$24</f>
        <v/>
      </c>
      <c r="N74">
        <f>M74*(1+G74)^-Supuestos!E$24</f>
        <v/>
      </c>
      <c r="O74">
        <f>N74*(1+H74)^-Supuestos!F$24</f>
        <v/>
      </c>
      <c r="P74">
        <f>O74*(1+I74)^-Supuestos!G$24</f>
        <v/>
      </c>
      <c r="Q74">
        <f>P74*(1+J74)^-Supuestos!H$24</f>
        <v/>
      </c>
      <c r="R74">
        <f>(1+E74)^-(Supuestos!C$24/2)</f>
        <v/>
      </c>
      <c r="S74">
        <f>L74*(1+F74)^-(Supuestos!D$24/2)</f>
        <v/>
      </c>
      <c r="T74">
        <f>M74*(1+G74)^-(Supuestos!E$24/2)</f>
        <v/>
      </c>
      <c r="U74">
        <f>N74*(1+H74)^-(Supuestos!F$24/2)</f>
        <v/>
      </c>
      <c r="V74">
        <f>O74*(1+I74)^-(Supuestos!G$24/2)</f>
        <v/>
      </c>
      <c r="W74">
        <f>P74*(1+J74)^-(Supuestos!H$24/2)</f>
        <v/>
      </c>
      <c r="X74">
        <f>Supuestos!C$23*(1-$C74+$C74*((1+Supuestos!$B$4+$B74/10000)/(1+Supuestos!$B$4))^Supuestos!C$25)</f>
        <v/>
      </c>
      <c r="Y74">
        <f>Supuestos!D$23*(1-$C74+$C74*((1+Supuestos!$B$4+$B74/10000)/(1+Supuestos!$B$4))^Supuestos!D$25)</f>
        <v/>
      </c>
      <c r="Z74">
        <f>Supuestos!E$23*(1-$C74+$C74*((1+Supuestos!$B$4+$B74/10000)/(1+Supuestos!$B$4))^Supuestos!E$25)</f>
        <v/>
      </c>
      <c r="AA74">
        <f>Supuestos!F$23*(1-$C74+$C74*((1+Supuestos!$B$4+$B74/10000)/(1+Supuestos!$B$4))^Supuestos!F$25)</f>
        <v/>
      </c>
      <c r="AB74">
        <f>Supuestos!G$23*(1-$C74+$C74*((1+Supuestos!$B$4+$B74/10000)/(1+Supuestos!$B$4))^Supuestos!G$25)</f>
        <v/>
      </c>
      <c r="AC74">
        <f>Supuestos!H$23*(1-$C74+$C74*((1+Supuestos!$B$4+$B74/10000)/(1+Supuestos!$B$4))^Supuestos!H$25)</f>
        <v/>
      </c>
      <c r="AD74">
        <f>Supuestos!I$23*(1-$C74+$C74*((1+Supuestos!$B$4+$B74/10000)/(1+Supuestos!$B$4))^Supuestos!I$25)</f>
        <v/>
      </c>
      <c r="AE74">
        <f>SUMPRODUCT(X74:AC74,R74:W74)</f>
        <v/>
      </c>
      <c r="AF74">
        <f>(1+Supuestos!$B$5)/(1+Supuestos!$B$4)*(1+Supuestos!$B$4+$B74/10000)-1</f>
        <v/>
      </c>
      <c r="AG74">
        <f>AD74/(K74-AF74)</f>
        <v/>
      </c>
      <c r="AH74">
        <f>AG74*Q74</f>
        <v/>
      </c>
      <c r="AI74">
        <f>(AE74+AH74-Supuestos!$B$7-Supuestos!$B$8)/Supuestos!$B$9</f>
        <v/>
      </c>
      <c r="AJ74">
        <f>AI74/AI$5-1</f>
        <v/>
      </c>
    </row>
    <row r="75">
      <c r="A75" t="n">
        <v>-90</v>
      </c>
      <c r="B75" t="n">
        <v>-10</v>
      </c>
      <c r="C75" t="n">
        <v>1</v>
      </c>
      <c r="D75" t="inlineStr">
        <is>
          <t>Mix Δi=-100 θ=1.0</t>
        </is>
      </c>
      <c r="E75">
        <f>(1-Supuestos!C$28)*((1+((1+Supuestos!C$26)/(1+Supuestos!$B$4)-1+Supuestos!$B$14*$A75/10000))*(1+Supuestos!$B$4+$B75/10000)-1)+Supuestos!C$28*((1+Supuestos!C$27+$A75/10000)*(1+Supuestos!$B$4+$B75/10000)-1)*(1-Supuestos!$B$6)</f>
        <v/>
      </c>
      <c r="F75">
        <f>(1-Supuestos!D$28)*((1+((1+Supuestos!D$26)/(1+Supuestos!$B$4)-1+Supuestos!$B$14*$A75/10000))*(1+Supuestos!$B$4+$B75/10000)-1)+Supuestos!D$28*((1+Supuestos!D$27+$A75/10000)*(1+Supuestos!$B$4+$B75/10000)-1)*(1-Supuestos!$B$6)</f>
        <v/>
      </c>
      <c r="G75">
        <f>(1-Supuestos!E$28)*((1+((1+Supuestos!E$26)/(1+Supuestos!$B$4)-1+Supuestos!$B$14*$A75/10000))*(1+Supuestos!$B$4+$B75/10000)-1)+Supuestos!E$28*((1+Supuestos!E$27+$A75/10000)*(1+Supuestos!$B$4+$B75/10000)-1)*(1-Supuestos!$B$6)</f>
        <v/>
      </c>
      <c r="H75">
        <f>(1-Supuestos!F$28)*((1+((1+Supuestos!F$26)/(1+Supuestos!$B$4)-1+Supuestos!$B$14*$A75/10000))*(1+Supuestos!$B$4+$B75/10000)-1)+Supuestos!F$28*((1+Supuestos!F$27+$A75/10000)*(1+Supuestos!$B$4+$B75/10000)-1)*(1-Supuestos!$B$6)</f>
        <v/>
      </c>
      <c r="I75">
        <f>(1-Supuestos!G$28)*((1+((1+Supuestos!G$26)/(1+Supuestos!$B$4)-1+Supuestos!$B$14*$A75/10000))*(1+Supuestos!$B$4+$B75/10000)-1)+Supuestos!G$28*((1+Supuestos!G$27+$A75/10000)*(1+Supuestos!$B$4+$B75/10000)-1)*(1-Supuestos!$B$6)</f>
        <v/>
      </c>
      <c r="J75">
        <f>(1-Supuestos!H$28)*((1+((1+Supuestos!H$26)/(1+Supuestos!$B$4)-1+Supuestos!$B$14*$A75/10000))*(1+Supuestos!$B$4+$B75/10000)-1)+Supuestos!H$28*((1+Supuestos!H$27+$A75/10000)*(1+Supuestos!$B$4+$B75/10000)-1)*(1-Supuestos!$B$6)</f>
        <v/>
      </c>
      <c r="K75">
        <f>(1-Supuestos!I$28)*((1+((1+Supuestos!I$26)/(1+Supuestos!$B$4)-1+Supuestos!$B$14*$A75/10000))*(1+Supuestos!$B$4+$B75/10000)-1)+Supuestos!I$28*((1+Supuestos!I$27+$A75/10000)*(1+Supuestos!$B$4+$B75/10000)-1)*(1-Supuestos!$B$6)</f>
        <v/>
      </c>
      <c r="L75">
        <f>(1+E75)^-Supuestos!C$24</f>
        <v/>
      </c>
      <c r="M75">
        <f>L75*(1+F75)^-Supuestos!D$24</f>
        <v/>
      </c>
      <c r="N75">
        <f>M75*(1+G75)^-Supuestos!E$24</f>
        <v/>
      </c>
      <c r="O75">
        <f>N75*(1+H75)^-Supuestos!F$24</f>
        <v/>
      </c>
      <c r="P75">
        <f>O75*(1+I75)^-Supuestos!G$24</f>
        <v/>
      </c>
      <c r="Q75">
        <f>P75*(1+J75)^-Supuestos!H$24</f>
        <v/>
      </c>
      <c r="R75">
        <f>(1+E75)^-(Supuestos!C$24/2)</f>
        <v/>
      </c>
      <c r="S75">
        <f>L75*(1+F75)^-(Supuestos!D$24/2)</f>
        <v/>
      </c>
      <c r="T75">
        <f>M75*(1+G75)^-(Supuestos!E$24/2)</f>
        <v/>
      </c>
      <c r="U75">
        <f>N75*(1+H75)^-(Supuestos!F$24/2)</f>
        <v/>
      </c>
      <c r="V75">
        <f>O75*(1+I75)^-(Supuestos!G$24/2)</f>
        <v/>
      </c>
      <c r="W75">
        <f>P75*(1+J75)^-(Supuestos!H$24/2)</f>
        <v/>
      </c>
      <c r="X75">
        <f>Supuestos!C$23*(1-$C75+$C75*((1+Supuestos!$B$4+$B75/10000)/(1+Supuestos!$B$4))^Supuestos!C$25)</f>
        <v/>
      </c>
      <c r="Y75">
        <f>Supuestos!D$23*(1-$C75+$C75*((1+Supuestos!$B$4+$B75/10000)/(1+Supuestos!$B$4))^Supuestos!D$25)</f>
        <v/>
      </c>
      <c r="Z75">
        <f>Supuestos!E$23*(1-$C75+$C75*((1+Supuestos!$B$4+$B75/10000)/(1+Supuestos!$B$4))^Supuestos!E$25)</f>
        <v/>
      </c>
      <c r="AA75">
        <f>Supuestos!F$23*(1-$C75+$C75*((1+Supuestos!$B$4+$B75/10000)/(1+Supuestos!$B$4))^Supuestos!F$25)</f>
        <v/>
      </c>
      <c r="AB75">
        <f>Supuestos!G$23*(1-$C75+$C75*((1+Supuestos!$B$4+$B75/10000)/(1+Supuestos!$B$4))^Supuestos!G$25)</f>
        <v/>
      </c>
      <c r="AC75">
        <f>Supuestos!H$23*(1-$C75+$C75*((1+Supuestos!$B$4+$B75/10000)/(1+Supuestos!$B$4))^Supuestos!H$25)</f>
        <v/>
      </c>
      <c r="AD75">
        <f>Supuestos!I$23*(1-$C75+$C75*((1+Supuestos!$B$4+$B75/10000)/(1+Supuestos!$B$4))^Supuestos!I$25)</f>
        <v/>
      </c>
      <c r="AE75">
        <f>SUMPRODUCT(X75:AC75,R75:W75)</f>
        <v/>
      </c>
      <c r="AF75">
        <f>(1+Supuestos!$B$5)/(1+Supuestos!$B$4)*(1+Supuestos!$B$4+$B75/10000)-1</f>
        <v/>
      </c>
      <c r="AG75">
        <f>AD75/(K75-AF75)</f>
        <v/>
      </c>
      <c r="AH75">
        <f>AG75*Q75</f>
        <v/>
      </c>
      <c r="AI75">
        <f>(AE75+AH75-Supuestos!$B$7-Supuestos!$B$8)/Supuestos!$B$9</f>
        <v/>
      </c>
      <c r="AJ75">
        <f>AI75/AI$5-1</f>
        <v/>
      </c>
    </row>
    <row r="76">
      <c r="A76" t="n">
        <v>-80</v>
      </c>
      <c r="B76" t="n">
        <v>-20</v>
      </c>
      <c r="C76" t="n">
        <v>1</v>
      </c>
      <c r="D76" t="inlineStr">
        <is>
          <t>Mix Δi=-100 θ=1.0</t>
        </is>
      </c>
      <c r="E76">
        <f>(1-Supuestos!C$28)*((1+((1+Supuestos!C$26)/(1+Supuestos!$B$4)-1+Supuestos!$B$14*$A76/10000))*(1+Supuestos!$B$4+$B76/10000)-1)+Supuestos!C$28*((1+Supuestos!C$27+$A76/10000)*(1+Supuestos!$B$4+$B76/10000)-1)*(1-Supuestos!$B$6)</f>
        <v/>
      </c>
      <c r="F76">
        <f>(1-Supuestos!D$28)*((1+((1+Supuestos!D$26)/(1+Supuestos!$B$4)-1+Supuestos!$B$14*$A76/10000))*(1+Supuestos!$B$4+$B76/10000)-1)+Supuestos!D$28*((1+Supuestos!D$27+$A76/10000)*(1+Supuestos!$B$4+$B76/10000)-1)*(1-Supuestos!$B$6)</f>
        <v/>
      </c>
      <c r="G76">
        <f>(1-Supuestos!E$28)*((1+((1+Supuestos!E$26)/(1+Supuestos!$B$4)-1+Supuestos!$B$14*$A76/10000))*(1+Supuestos!$B$4+$B76/10000)-1)+Supuestos!E$28*((1+Supuestos!E$27+$A76/10000)*(1+Supuestos!$B$4+$B76/10000)-1)*(1-Supuestos!$B$6)</f>
        <v/>
      </c>
      <c r="H76">
        <f>(1-Supuestos!F$28)*((1+((1+Supuestos!F$26)/(1+Supuestos!$B$4)-1+Supuestos!$B$14*$A76/10000))*(1+Supuestos!$B$4+$B76/10000)-1)+Supuestos!F$28*((1+Supuestos!F$27+$A76/10000)*(1+Supuestos!$B$4+$B76/10000)-1)*(1-Supuestos!$B$6)</f>
        <v/>
      </c>
      <c r="I76">
        <f>(1-Supuestos!G$28)*((1+((1+Supuestos!G$26)/(1+Supuestos!$B$4)-1+Supuestos!$B$14*$A76/10000))*(1+Supuestos!$B$4+$B76/10000)-1)+Supuestos!G$28*((1+Supuestos!G$27+$A76/10000)*(1+Supuestos!$B$4+$B76/10000)-1)*(1-Supuestos!$B$6)</f>
        <v/>
      </c>
      <c r="J76">
        <f>(1-Supuestos!H$28)*((1+((1+Supuestos!H$26)/(1+Supuestos!$B$4)-1+Supuestos!$B$14*$A76/10000))*(1+Supuestos!$B$4+$B76/10000)-1)+Supuestos!H$28*((1+Supuestos!H$27+$A76/10000)*(1+Supuestos!$B$4+$B76/10000)-1)*(1-Supuestos!$B$6)</f>
        <v/>
      </c>
      <c r="K76">
        <f>(1-Supuestos!I$28)*((1+((1+Supuestos!I$26)/(1+Supuestos!$B$4)-1+Supuestos!$B$14*$A76/10000))*(1+Supuestos!$B$4+$B76/10000)-1)+Supuestos!I$28*((1+Supuestos!I$27+$A76/10000)*(1+Supuestos!$B$4+$B76/10000)-1)*(1-Supuestos!$B$6)</f>
        <v/>
      </c>
      <c r="L76">
        <f>(1+E76)^-Supuestos!C$24</f>
        <v/>
      </c>
      <c r="M76">
        <f>L76*(1+F76)^-Supuestos!D$24</f>
        <v/>
      </c>
      <c r="N76">
        <f>M76*(1+G76)^-Supuestos!E$24</f>
        <v/>
      </c>
      <c r="O76">
        <f>N76*(1+H76)^-Supuestos!F$24</f>
        <v/>
      </c>
      <c r="P76">
        <f>O76*(1+I76)^-Supuestos!G$24</f>
        <v/>
      </c>
      <c r="Q76">
        <f>P76*(1+J76)^-Supuestos!H$24</f>
        <v/>
      </c>
      <c r="R76">
        <f>(1+E76)^-(Supuestos!C$24/2)</f>
        <v/>
      </c>
      <c r="S76">
        <f>L76*(1+F76)^-(Supuestos!D$24/2)</f>
        <v/>
      </c>
      <c r="T76">
        <f>M76*(1+G76)^-(Supuestos!E$24/2)</f>
        <v/>
      </c>
      <c r="U76">
        <f>N76*(1+H76)^-(Supuestos!F$24/2)</f>
        <v/>
      </c>
      <c r="V76">
        <f>O76*(1+I76)^-(Supuestos!G$24/2)</f>
        <v/>
      </c>
      <c r="W76">
        <f>P76*(1+J76)^-(Supuestos!H$24/2)</f>
        <v/>
      </c>
      <c r="X76">
        <f>Supuestos!C$23*(1-$C76+$C76*((1+Supuestos!$B$4+$B76/10000)/(1+Supuestos!$B$4))^Supuestos!C$25)</f>
        <v/>
      </c>
      <c r="Y76">
        <f>Supuestos!D$23*(1-$C76+$C76*((1+Supuestos!$B$4+$B76/10000)/(1+Supuestos!$B$4))^Supuestos!D$25)</f>
        <v/>
      </c>
      <c r="Z76">
        <f>Supuestos!E$23*(1-$C76+$C76*((1+Supuestos!$B$4+$B76/10000)/(1+Supuestos!$B$4))^Supuestos!E$25)</f>
        <v/>
      </c>
      <c r="AA76">
        <f>Supuestos!F$23*(1-$C76+$C76*((1+Supuestos!$B$4+$B76/10000)/(1+Supuestos!$B$4))^Supuestos!F$25)</f>
        <v/>
      </c>
      <c r="AB76">
        <f>Supuestos!G$23*(1-$C76+$C76*((1+Supuestos!$B$4+$B76/10000)/(1+Supuestos!$B$4))^Supuestos!G$25)</f>
        <v/>
      </c>
      <c r="AC76">
        <f>Supuestos!H$23*(1-$C76+$C76*((1+Supuestos!$B$4+$B76/10000)/(1+Supuestos!$B$4))^Supuestos!H$25)</f>
        <v/>
      </c>
      <c r="AD76">
        <f>Supuestos!I$23*(1-$C76+$C76*((1+Supuestos!$B$4+$B76/10000)/(1+Supuestos!$B$4))^Supuestos!I$25)</f>
        <v/>
      </c>
      <c r="AE76">
        <f>SUMPRODUCT(X76:AC76,R76:W76)</f>
        <v/>
      </c>
      <c r="AF76">
        <f>(1+Supuestos!$B$5)/(1+Supuestos!$B$4)*(1+Supuestos!$B$4+$B76/10000)-1</f>
        <v/>
      </c>
      <c r="AG76">
        <f>AD76/(K76-AF76)</f>
        <v/>
      </c>
      <c r="AH76">
        <f>AG76*Q76</f>
        <v/>
      </c>
      <c r="AI76">
        <f>(AE76+AH76-Supuestos!$B$7-Supuestos!$B$8)/Supuestos!$B$9</f>
        <v/>
      </c>
      <c r="AJ76">
        <f>AI76/AI$5-1</f>
        <v/>
      </c>
    </row>
    <row r="77">
      <c r="A77" t="n">
        <v>-70</v>
      </c>
      <c r="B77" t="n">
        <v>-30</v>
      </c>
      <c r="C77" t="n">
        <v>1</v>
      </c>
      <c r="D77" t="inlineStr">
        <is>
          <t>Mix Δi=-100 θ=1.0</t>
        </is>
      </c>
      <c r="E77">
        <f>(1-Supuestos!C$28)*((1+((1+Supuestos!C$26)/(1+Supuestos!$B$4)-1+Supuestos!$B$14*$A77/10000))*(1+Supuestos!$B$4+$B77/10000)-1)+Supuestos!C$28*((1+Supuestos!C$27+$A77/10000)*(1+Supuestos!$B$4+$B77/10000)-1)*(1-Supuestos!$B$6)</f>
        <v/>
      </c>
      <c r="F77">
        <f>(1-Supuestos!D$28)*((1+((1+Supuestos!D$26)/(1+Supuestos!$B$4)-1+Supuestos!$B$14*$A77/10000))*(1+Supuestos!$B$4+$B77/10000)-1)+Supuestos!D$28*((1+Supuestos!D$27+$A77/10000)*(1+Supuestos!$B$4+$B77/10000)-1)*(1-Supuestos!$B$6)</f>
        <v/>
      </c>
      <c r="G77">
        <f>(1-Supuestos!E$28)*((1+((1+Supuestos!E$26)/(1+Supuestos!$B$4)-1+Supuestos!$B$14*$A77/10000))*(1+Supuestos!$B$4+$B77/10000)-1)+Supuestos!E$28*((1+Supuestos!E$27+$A77/10000)*(1+Supuestos!$B$4+$B77/10000)-1)*(1-Supuestos!$B$6)</f>
        <v/>
      </c>
      <c r="H77">
        <f>(1-Supuestos!F$28)*((1+((1+Supuestos!F$26)/(1+Supuestos!$B$4)-1+Supuestos!$B$14*$A77/10000))*(1+Supuestos!$B$4+$B77/10000)-1)+Supuestos!F$28*((1+Supuestos!F$27+$A77/10000)*(1+Supuestos!$B$4+$B77/10000)-1)*(1-Supuestos!$B$6)</f>
        <v/>
      </c>
      <c r="I77">
        <f>(1-Supuestos!G$28)*((1+((1+Supuestos!G$26)/(1+Supuestos!$B$4)-1+Supuestos!$B$14*$A77/10000))*(1+Supuestos!$B$4+$B77/10000)-1)+Supuestos!G$28*((1+Supuestos!G$27+$A77/10000)*(1+Supuestos!$B$4+$B77/10000)-1)*(1-Supuestos!$B$6)</f>
        <v/>
      </c>
      <c r="J77">
        <f>(1-Supuestos!H$28)*((1+((1+Supuestos!H$26)/(1+Supuestos!$B$4)-1+Supuestos!$B$14*$A77/10000))*(1+Supuestos!$B$4+$B77/10000)-1)+Supuestos!H$28*((1+Supuestos!H$27+$A77/10000)*(1+Supuestos!$B$4+$B77/10000)-1)*(1-Supuestos!$B$6)</f>
        <v/>
      </c>
      <c r="K77">
        <f>(1-Supuestos!I$28)*((1+((1+Supuestos!I$26)/(1+Supuestos!$B$4)-1+Supuestos!$B$14*$A77/10000))*(1+Supuestos!$B$4+$B77/10000)-1)+Supuestos!I$28*((1+Supuestos!I$27+$A77/10000)*(1+Supuestos!$B$4+$B77/10000)-1)*(1-Supuestos!$B$6)</f>
        <v/>
      </c>
      <c r="L77">
        <f>(1+E77)^-Supuestos!C$24</f>
        <v/>
      </c>
      <c r="M77">
        <f>L77*(1+F77)^-Supuestos!D$24</f>
        <v/>
      </c>
      <c r="N77">
        <f>M77*(1+G77)^-Supuestos!E$24</f>
        <v/>
      </c>
      <c r="O77">
        <f>N77*(1+H77)^-Supuestos!F$24</f>
        <v/>
      </c>
      <c r="P77">
        <f>O77*(1+I77)^-Supuestos!G$24</f>
        <v/>
      </c>
      <c r="Q77">
        <f>P77*(1+J77)^-Supuestos!H$24</f>
        <v/>
      </c>
      <c r="R77">
        <f>(1+E77)^-(Supuestos!C$24/2)</f>
        <v/>
      </c>
      <c r="S77">
        <f>L77*(1+F77)^-(Supuestos!D$24/2)</f>
        <v/>
      </c>
      <c r="T77">
        <f>M77*(1+G77)^-(Supuestos!E$24/2)</f>
        <v/>
      </c>
      <c r="U77">
        <f>N77*(1+H77)^-(Supuestos!F$24/2)</f>
        <v/>
      </c>
      <c r="V77">
        <f>O77*(1+I77)^-(Supuestos!G$24/2)</f>
        <v/>
      </c>
      <c r="W77">
        <f>P77*(1+J77)^-(Supuestos!H$24/2)</f>
        <v/>
      </c>
      <c r="X77">
        <f>Supuestos!C$23*(1-$C77+$C77*((1+Supuestos!$B$4+$B77/10000)/(1+Supuestos!$B$4))^Supuestos!C$25)</f>
        <v/>
      </c>
      <c r="Y77">
        <f>Supuestos!D$23*(1-$C77+$C77*((1+Supuestos!$B$4+$B77/10000)/(1+Supuestos!$B$4))^Supuestos!D$25)</f>
        <v/>
      </c>
      <c r="Z77">
        <f>Supuestos!E$23*(1-$C77+$C77*((1+Supuestos!$B$4+$B77/10000)/(1+Supuestos!$B$4))^Supuestos!E$25)</f>
        <v/>
      </c>
      <c r="AA77">
        <f>Supuestos!F$23*(1-$C77+$C77*((1+Supuestos!$B$4+$B77/10000)/(1+Supuestos!$B$4))^Supuestos!F$25)</f>
        <v/>
      </c>
      <c r="AB77">
        <f>Supuestos!G$23*(1-$C77+$C77*((1+Supuestos!$B$4+$B77/10000)/(1+Supuestos!$B$4))^Supuestos!G$25)</f>
        <v/>
      </c>
      <c r="AC77">
        <f>Supuestos!H$23*(1-$C77+$C77*((1+Supuestos!$B$4+$B77/10000)/(1+Supuestos!$B$4))^Supuestos!H$25)</f>
        <v/>
      </c>
      <c r="AD77">
        <f>Supuestos!I$23*(1-$C77+$C77*((1+Supuestos!$B$4+$B77/10000)/(1+Supuestos!$B$4))^Supuestos!I$25)</f>
        <v/>
      </c>
      <c r="AE77">
        <f>SUMPRODUCT(X77:AC77,R77:W77)</f>
        <v/>
      </c>
      <c r="AF77">
        <f>(1+Supuestos!$B$5)/(1+Supuestos!$B$4)*(1+Supuestos!$B$4+$B77/10000)-1</f>
        <v/>
      </c>
      <c r="AG77">
        <f>AD77/(K77-AF77)</f>
        <v/>
      </c>
      <c r="AH77">
        <f>AG77*Q77</f>
        <v/>
      </c>
      <c r="AI77">
        <f>(AE77+AH77-Supuestos!$B$7-Supuestos!$B$8)/Supuestos!$B$9</f>
        <v/>
      </c>
      <c r="AJ77">
        <f>AI77/AI$5-1</f>
        <v/>
      </c>
    </row>
    <row r="78">
      <c r="A78" t="n">
        <v>-60</v>
      </c>
      <c r="B78" t="n">
        <v>-40</v>
      </c>
      <c r="C78" t="n">
        <v>1</v>
      </c>
      <c r="D78" t="inlineStr">
        <is>
          <t>Mix Δi=-100 θ=1.0</t>
        </is>
      </c>
      <c r="E78">
        <f>(1-Supuestos!C$28)*((1+((1+Supuestos!C$26)/(1+Supuestos!$B$4)-1+Supuestos!$B$14*$A78/10000))*(1+Supuestos!$B$4+$B78/10000)-1)+Supuestos!C$28*((1+Supuestos!C$27+$A78/10000)*(1+Supuestos!$B$4+$B78/10000)-1)*(1-Supuestos!$B$6)</f>
        <v/>
      </c>
      <c r="F78">
        <f>(1-Supuestos!D$28)*((1+((1+Supuestos!D$26)/(1+Supuestos!$B$4)-1+Supuestos!$B$14*$A78/10000))*(1+Supuestos!$B$4+$B78/10000)-1)+Supuestos!D$28*((1+Supuestos!D$27+$A78/10000)*(1+Supuestos!$B$4+$B78/10000)-1)*(1-Supuestos!$B$6)</f>
        <v/>
      </c>
      <c r="G78">
        <f>(1-Supuestos!E$28)*((1+((1+Supuestos!E$26)/(1+Supuestos!$B$4)-1+Supuestos!$B$14*$A78/10000))*(1+Supuestos!$B$4+$B78/10000)-1)+Supuestos!E$28*((1+Supuestos!E$27+$A78/10000)*(1+Supuestos!$B$4+$B78/10000)-1)*(1-Supuestos!$B$6)</f>
        <v/>
      </c>
      <c r="H78">
        <f>(1-Supuestos!F$28)*((1+((1+Supuestos!F$26)/(1+Supuestos!$B$4)-1+Supuestos!$B$14*$A78/10000))*(1+Supuestos!$B$4+$B78/10000)-1)+Supuestos!F$28*((1+Supuestos!F$27+$A78/10000)*(1+Supuestos!$B$4+$B78/10000)-1)*(1-Supuestos!$B$6)</f>
        <v/>
      </c>
      <c r="I78">
        <f>(1-Supuestos!G$28)*((1+((1+Supuestos!G$26)/(1+Supuestos!$B$4)-1+Supuestos!$B$14*$A78/10000))*(1+Supuestos!$B$4+$B78/10000)-1)+Supuestos!G$28*((1+Supuestos!G$27+$A78/10000)*(1+Supuestos!$B$4+$B78/10000)-1)*(1-Supuestos!$B$6)</f>
        <v/>
      </c>
      <c r="J78">
        <f>(1-Supuestos!H$28)*((1+((1+Supuestos!H$26)/(1+Supuestos!$B$4)-1+Supuestos!$B$14*$A78/10000))*(1+Supuestos!$B$4+$B78/10000)-1)+Supuestos!H$28*((1+Supuestos!H$27+$A78/10000)*(1+Supuestos!$B$4+$B78/10000)-1)*(1-Supuestos!$B$6)</f>
        <v/>
      </c>
      <c r="K78">
        <f>(1-Supuestos!I$28)*((1+((1+Supuestos!I$26)/(1+Supuestos!$B$4)-1+Supuestos!$B$14*$A78/10000))*(1+Supuestos!$B$4+$B78/10000)-1)+Supuestos!I$28*((1+Supuestos!I$27+$A78/10000)*(1+Supuestos!$B$4+$B78/10000)-1)*(1-Supuestos!$B$6)</f>
        <v/>
      </c>
      <c r="L78">
        <f>(1+E78)^-Supuestos!C$24</f>
        <v/>
      </c>
      <c r="M78">
        <f>L78*(1+F78)^-Supuestos!D$24</f>
        <v/>
      </c>
      <c r="N78">
        <f>M78*(1+G78)^-Supuestos!E$24</f>
        <v/>
      </c>
      <c r="O78">
        <f>N78*(1+H78)^-Supuestos!F$24</f>
        <v/>
      </c>
      <c r="P78">
        <f>O78*(1+I78)^-Supuestos!G$24</f>
        <v/>
      </c>
      <c r="Q78">
        <f>P78*(1+J78)^-Supuestos!H$24</f>
        <v/>
      </c>
      <c r="R78">
        <f>(1+E78)^-(Supuestos!C$24/2)</f>
        <v/>
      </c>
      <c r="S78">
        <f>L78*(1+F78)^-(Supuestos!D$24/2)</f>
        <v/>
      </c>
      <c r="T78">
        <f>M78*(1+G78)^-(Supuestos!E$24/2)</f>
        <v/>
      </c>
      <c r="U78">
        <f>N78*(1+H78)^-(Supuestos!F$24/2)</f>
        <v/>
      </c>
      <c r="V78">
        <f>O78*(1+I78)^-(Supuestos!G$24/2)</f>
        <v/>
      </c>
      <c r="W78">
        <f>P78*(1+J78)^-(Supuestos!H$24/2)</f>
        <v/>
      </c>
      <c r="X78">
        <f>Supuestos!C$23*(1-$C78+$C78*((1+Supuestos!$B$4+$B78/10000)/(1+Supuestos!$B$4))^Supuestos!C$25)</f>
        <v/>
      </c>
      <c r="Y78">
        <f>Supuestos!D$23*(1-$C78+$C78*((1+Supuestos!$B$4+$B78/10000)/(1+Supuestos!$B$4))^Supuestos!D$25)</f>
        <v/>
      </c>
      <c r="Z78">
        <f>Supuestos!E$23*(1-$C78+$C78*((1+Supuestos!$B$4+$B78/10000)/(1+Supuestos!$B$4))^Supuestos!E$25)</f>
        <v/>
      </c>
      <c r="AA78">
        <f>Supuestos!F$23*(1-$C78+$C78*((1+Supuestos!$B$4+$B78/10000)/(1+Supuestos!$B$4))^Supuestos!F$25)</f>
        <v/>
      </c>
      <c r="AB78">
        <f>Supuestos!G$23*(1-$C78+$C78*((1+Supuestos!$B$4+$B78/10000)/(1+Supuestos!$B$4))^Supuestos!G$25)</f>
        <v/>
      </c>
      <c r="AC78">
        <f>Supuestos!H$23*(1-$C78+$C78*((1+Supuestos!$B$4+$B78/10000)/(1+Supuestos!$B$4))^Supuestos!H$25)</f>
        <v/>
      </c>
      <c r="AD78">
        <f>Supuestos!I$23*(1-$C78+$C78*((1+Supuestos!$B$4+$B78/10000)/(1+Supuestos!$B$4))^Supuestos!I$25)</f>
        <v/>
      </c>
      <c r="AE78">
        <f>SUMPRODUCT(X78:AC78,R78:W78)</f>
        <v/>
      </c>
      <c r="AF78">
        <f>(1+Supuestos!$B$5)/(1+Supuestos!$B$4)*(1+Supuestos!$B$4+$B78/10000)-1</f>
        <v/>
      </c>
      <c r="AG78">
        <f>AD78/(K78-AF78)</f>
        <v/>
      </c>
      <c r="AH78">
        <f>AG78*Q78</f>
        <v/>
      </c>
      <c r="AI78">
        <f>(AE78+AH78-Supuestos!$B$7-Supuestos!$B$8)/Supuestos!$B$9</f>
        <v/>
      </c>
      <c r="AJ78">
        <f>AI78/AI$5-1</f>
        <v/>
      </c>
    </row>
    <row r="79">
      <c r="A79" t="n">
        <v>-50</v>
      </c>
      <c r="B79" t="n">
        <v>-50</v>
      </c>
      <c r="C79" t="n">
        <v>1</v>
      </c>
      <c r="D79" t="inlineStr">
        <is>
          <t>Mix Δi=-100 θ=1.0</t>
        </is>
      </c>
      <c r="E79">
        <f>(1-Supuestos!C$28)*((1+((1+Supuestos!C$26)/(1+Supuestos!$B$4)-1+Supuestos!$B$14*$A79/10000))*(1+Supuestos!$B$4+$B79/10000)-1)+Supuestos!C$28*((1+Supuestos!C$27+$A79/10000)*(1+Supuestos!$B$4+$B79/10000)-1)*(1-Supuestos!$B$6)</f>
        <v/>
      </c>
      <c r="F79">
        <f>(1-Supuestos!D$28)*((1+((1+Supuestos!D$26)/(1+Supuestos!$B$4)-1+Supuestos!$B$14*$A79/10000))*(1+Supuestos!$B$4+$B79/10000)-1)+Supuestos!D$28*((1+Supuestos!D$27+$A79/10000)*(1+Supuestos!$B$4+$B79/10000)-1)*(1-Supuestos!$B$6)</f>
        <v/>
      </c>
      <c r="G79">
        <f>(1-Supuestos!E$28)*((1+((1+Supuestos!E$26)/(1+Supuestos!$B$4)-1+Supuestos!$B$14*$A79/10000))*(1+Supuestos!$B$4+$B79/10000)-1)+Supuestos!E$28*((1+Supuestos!E$27+$A79/10000)*(1+Supuestos!$B$4+$B79/10000)-1)*(1-Supuestos!$B$6)</f>
        <v/>
      </c>
      <c r="H79">
        <f>(1-Supuestos!F$28)*((1+((1+Supuestos!F$26)/(1+Supuestos!$B$4)-1+Supuestos!$B$14*$A79/10000))*(1+Supuestos!$B$4+$B79/10000)-1)+Supuestos!F$28*((1+Supuestos!F$27+$A79/10000)*(1+Supuestos!$B$4+$B79/10000)-1)*(1-Supuestos!$B$6)</f>
        <v/>
      </c>
      <c r="I79">
        <f>(1-Supuestos!G$28)*((1+((1+Supuestos!G$26)/(1+Supuestos!$B$4)-1+Supuestos!$B$14*$A79/10000))*(1+Supuestos!$B$4+$B79/10000)-1)+Supuestos!G$28*((1+Supuestos!G$27+$A79/10000)*(1+Supuestos!$B$4+$B79/10000)-1)*(1-Supuestos!$B$6)</f>
        <v/>
      </c>
      <c r="J79">
        <f>(1-Supuestos!H$28)*((1+((1+Supuestos!H$26)/(1+Supuestos!$B$4)-1+Supuestos!$B$14*$A79/10000))*(1+Supuestos!$B$4+$B79/10000)-1)+Supuestos!H$28*((1+Supuestos!H$27+$A79/10000)*(1+Supuestos!$B$4+$B79/10000)-1)*(1-Supuestos!$B$6)</f>
        <v/>
      </c>
      <c r="K79">
        <f>(1-Supuestos!I$28)*((1+((1+Supuestos!I$26)/(1+Supuestos!$B$4)-1+Supuestos!$B$14*$A79/10000))*(1+Supuestos!$B$4+$B79/10000)-1)+Supuestos!I$28*((1+Supuestos!I$27+$A79/10000)*(1+Supuestos!$B$4+$B79/10000)-1)*(1-Supuestos!$B$6)</f>
        <v/>
      </c>
      <c r="L79">
        <f>(1+E79)^-Supuestos!C$24</f>
        <v/>
      </c>
      <c r="M79">
        <f>L79*(1+F79)^-Supuestos!D$24</f>
        <v/>
      </c>
      <c r="N79">
        <f>M79*(1+G79)^-Supuestos!E$24</f>
        <v/>
      </c>
      <c r="O79">
        <f>N79*(1+H79)^-Supuestos!F$24</f>
        <v/>
      </c>
      <c r="P79">
        <f>O79*(1+I79)^-Supuestos!G$24</f>
        <v/>
      </c>
      <c r="Q79">
        <f>P79*(1+J79)^-Supuestos!H$24</f>
        <v/>
      </c>
      <c r="R79">
        <f>(1+E79)^-(Supuestos!C$24/2)</f>
        <v/>
      </c>
      <c r="S79">
        <f>L79*(1+F79)^-(Supuestos!D$24/2)</f>
        <v/>
      </c>
      <c r="T79">
        <f>M79*(1+G79)^-(Supuestos!E$24/2)</f>
        <v/>
      </c>
      <c r="U79">
        <f>N79*(1+H79)^-(Supuestos!F$24/2)</f>
        <v/>
      </c>
      <c r="V79">
        <f>O79*(1+I79)^-(Supuestos!G$24/2)</f>
        <v/>
      </c>
      <c r="W79">
        <f>P79*(1+J79)^-(Supuestos!H$24/2)</f>
        <v/>
      </c>
      <c r="X79">
        <f>Supuestos!C$23*(1-$C79+$C79*((1+Supuestos!$B$4+$B79/10000)/(1+Supuestos!$B$4))^Supuestos!C$25)</f>
        <v/>
      </c>
      <c r="Y79">
        <f>Supuestos!D$23*(1-$C79+$C79*((1+Supuestos!$B$4+$B79/10000)/(1+Supuestos!$B$4))^Supuestos!D$25)</f>
        <v/>
      </c>
      <c r="Z79">
        <f>Supuestos!E$23*(1-$C79+$C79*((1+Supuestos!$B$4+$B79/10000)/(1+Supuestos!$B$4))^Supuestos!E$25)</f>
        <v/>
      </c>
      <c r="AA79">
        <f>Supuestos!F$23*(1-$C79+$C79*((1+Supuestos!$B$4+$B79/10000)/(1+Supuestos!$B$4))^Supuestos!F$25)</f>
        <v/>
      </c>
      <c r="AB79">
        <f>Supuestos!G$23*(1-$C79+$C79*((1+Supuestos!$B$4+$B79/10000)/(1+Supuestos!$B$4))^Supuestos!G$25)</f>
        <v/>
      </c>
      <c r="AC79">
        <f>Supuestos!H$23*(1-$C79+$C79*((1+Supuestos!$B$4+$B79/10000)/(1+Supuestos!$B$4))^Supuestos!H$25)</f>
        <v/>
      </c>
      <c r="AD79">
        <f>Supuestos!I$23*(1-$C79+$C79*((1+Supuestos!$B$4+$B79/10000)/(1+Supuestos!$B$4))^Supuestos!I$25)</f>
        <v/>
      </c>
      <c r="AE79">
        <f>SUMPRODUCT(X79:AC79,R79:W79)</f>
        <v/>
      </c>
      <c r="AF79">
        <f>(1+Supuestos!$B$5)/(1+Supuestos!$B$4)*(1+Supuestos!$B$4+$B79/10000)-1</f>
        <v/>
      </c>
      <c r="AG79">
        <f>AD79/(K79-AF79)</f>
        <v/>
      </c>
      <c r="AH79">
        <f>AG79*Q79</f>
        <v/>
      </c>
      <c r="AI79">
        <f>(AE79+AH79-Supuestos!$B$7-Supuestos!$B$8)/Supuestos!$B$9</f>
        <v/>
      </c>
      <c r="AJ79">
        <f>AI79/AI$5-1</f>
        <v/>
      </c>
    </row>
    <row r="80">
      <c r="A80" t="n">
        <v>-40</v>
      </c>
      <c r="B80" t="n">
        <v>-60</v>
      </c>
      <c r="C80" t="n">
        <v>1</v>
      </c>
      <c r="D80" t="inlineStr">
        <is>
          <t>Mix Δi=-100 θ=1.0</t>
        </is>
      </c>
      <c r="E80">
        <f>(1-Supuestos!C$28)*((1+((1+Supuestos!C$26)/(1+Supuestos!$B$4)-1+Supuestos!$B$14*$A80/10000))*(1+Supuestos!$B$4+$B80/10000)-1)+Supuestos!C$28*((1+Supuestos!C$27+$A80/10000)*(1+Supuestos!$B$4+$B80/10000)-1)*(1-Supuestos!$B$6)</f>
        <v/>
      </c>
      <c r="F80">
        <f>(1-Supuestos!D$28)*((1+((1+Supuestos!D$26)/(1+Supuestos!$B$4)-1+Supuestos!$B$14*$A80/10000))*(1+Supuestos!$B$4+$B80/10000)-1)+Supuestos!D$28*((1+Supuestos!D$27+$A80/10000)*(1+Supuestos!$B$4+$B80/10000)-1)*(1-Supuestos!$B$6)</f>
        <v/>
      </c>
      <c r="G80">
        <f>(1-Supuestos!E$28)*((1+((1+Supuestos!E$26)/(1+Supuestos!$B$4)-1+Supuestos!$B$14*$A80/10000))*(1+Supuestos!$B$4+$B80/10000)-1)+Supuestos!E$28*((1+Supuestos!E$27+$A80/10000)*(1+Supuestos!$B$4+$B80/10000)-1)*(1-Supuestos!$B$6)</f>
        <v/>
      </c>
      <c r="H80">
        <f>(1-Supuestos!F$28)*((1+((1+Supuestos!F$26)/(1+Supuestos!$B$4)-1+Supuestos!$B$14*$A80/10000))*(1+Supuestos!$B$4+$B80/10000)-1)+Supuestos!F$28*((1+Supuestos!F$27+$A80/10000)*(1+Supuestos!$B$4+$B80/10000)-1)*(1-Supuestos!$B$6)</f>
        <v/>
      </c>
      <c r="I80">
        <f>(1-Supuestos!G$28)*((1+((1+Supuestos!G$26)/(1+Supuestos!$B$4)-1+Supuestos!$B$14*$A80/10000))*(1+Supuestos!$B$4+$B80/10000)-1)+Supuestos!G$28*((1+Supuestos!G$27+$A80/10000)*(1+Supuestos!$B$4+$B80/10000)-1)*(1-Supuestos!$B$6)</f>
        <v/>
      </c>
      <c r="J80">
        <f>(1-Supuestos!H$28)*((1+((1+Supuestos!H$26)/(1+Supuestos!$B$4)-1+Supuestos!$B$14*$A80/10000))*(1+Supuestos!$B$4+$B80/10000)-1)+Supuestos!H$28*((1+Supuestos!H$27+$A80/10000)*(1+Supuestos!$B$4+$B80/10000)-1)*(1-Supuestos!$B$6)</f>
        <v/>
      </c>
      <c r="K80">
        <f>(1-Supuestos!I$28)*((1+((1+Supuestos!I$26)/(1+Supuestos!$B$4)-1+Supuestos!$B$14*$A80/10000))*(1+Supuestos!$B$4+$B80/10000)-1)+Supuestos!I$28*((1+Supuestos!I$27+$A80/10000)*(1+Supuestos!$B$4+$B80/10000)-1)*(1-Supuestos!$B$6)</f>
        <v/>
      </c>
      <c r="L80">
        <f>(1+E80)^-Supuestos!C$24</f>
        <v/>
      </c>
      <c r="M80">
        <f>L80*(1+F80)^-Supuestos!D$24</f>
        <v/>
      </c>
      <c r="N80">
        <f>M80*(1+G80)^-Supuestos!E$24</f>
        <v/>
      </c>
      <c r="O80">
        <f>N80*(1+H80)^-Supuestos!F$24</f>
        <v/>
      </c>
      <c r="P80">
        <f>O80*(1+I80)^-Supuestos!G$24</f>
        <v/>
      </c>
      <c r="Q80">
        <f>P80*(1+J80)^-Supuestos!H$24</f>
        <v/>
      </c>
      <c r="R80">
        <f>(1+E80)^-(Supuestos!C$24/2)</f>
        <v/>
      </c>
      <c r="S80">
        <f>L80*(1+F80)^-(Supuestos!D$24/2)</f>
        <v/>
      </c>
      <c r="T80">
        <f>M80*(1+G80)^-(Supuestos!E$24/2)</f>
        <v/>
      </c>
      <c r="U80">
        <f>N80*(1+H80)^-(Supuestos!F$24/2)</f>
        <v/>
      </c>
      <c r="V80">
        <f>O80*(1+I80)^-(Supuestos!G$24/2)</f>
        <v/>
      </c>
      <c r="W80">
        <f>P80*(1+J80)^-(Supuestos!H$24/2)</f>
        <v/>
      </c>
      <c r="X80">
        <f>Supuestos!C$23*(1-$C80+$C80*((1+Supuestos!$B$4+$B80/10000)/(1+Supuestos!$B$4))^Supuestos!C$25)</f>
        <v/>
      </c>
      <c r="Y80">
        <f>Supuestos!D$23*(1-$C80+$C80*((1+Supuestos!$B$4+$B80/10000)/(1+Supuestos!$B$4))^Supuestos!D$25)</f>
        <v/>
      </c>
      <c r="Z80">
        <f>Supuestos!E$23*(1-$C80+$C80*((1+Supuestos!$B$4+$B80/10000)/(1+Supuestos!$B$4))^Supuestos!E$25)</f>
        <v/>
      </c>
      <c r="AA80">
        <f>Supuestos!F$23*(1-$C80+$C80*((1+Supuestos!$B$4+$B80/10000)/(1+Supuestos!$B$4))^Supuestos!F$25)</f>
        <v/>
      </c>
      <c r="AB80">
        <f>Supuestos!G$23*(1-$C80+$C80*((1+Supuestos!$B$4+$B80/10000)/(1+Supuestos!$B$4))^Supuestos!G$25)</f>
        <v/>
      </c>
      <c r="AC80">
        <f>Supuestos!H$23*(1-$C80+$C80*((1+Supuestos!$B$4+$B80/10000)/(1+Supuestos!$B$4))^Supuestos!H$25)</f>
        <v/>
      </c>
      <c r="AD80">
        <f>Supuestos!I$23*(1-$C80+$C80*((1+Supuestos!$B$4+$B80/10000)/(1+Supuestos!$B$4))^Supuestos!I$25)</f>
        <v/>
      </c>
      <c r="AE80">
        <f>SUMPRODUCT(X80:AC80,R80:W80)</f>
        <v/>
      </c>
      <c r="AF80">
        <f>(1+Supuestos!$B$5)/(1+Supuestos!$B$4)*(1+Supuestos!$B$4+$B80/10000)-1</f>
        <v/>
      </c>
      <c r="AG80">
        <f>AD80/(K80-AF80)</f>
        <v/>
      </c>
      <c r="AH80">
        <f>AG80*Q80</f>
        <v/>
      </c>
      <c r="AI80">
        <f>(AE80+AH80-Supuestos!$B$7-Supuestos!$B$8)/Supuestos!$B$9</f>
        <v/>
      </c>
      <c r="AJ80">
        <f>AI80/AI$5-1</f>
        <v/>
      </c>
    </row>
    <row r="81">
      <c r="A81" t="n">
        <v>-30</v>
      </c>
      <c r="B81" t="n">
        <v>-70</v>
      </c>
      <c r="C81" t="n">
        <v>1</v>
      </c>
      <c r="D81" t="inlineStr">
        <is>
          <t>Mix Δi=-100 θ=1.0</t>
        </is>
      </c>
      <c r="E81">
        <f>(1-Supuestos!C$28)*((1+((1+Supuestos!C$26)/(1+Supuestos!$B$4)-1+Supuestos!$B$14*$A81/10000))*(1+Supuestos!$B$4+$B81/10000)-1)+Supuestos!C$28*((1+Supuestos!C$27+$A81/10000)*(1+Supuestos!$B$4+$B81/10000)-1)*(1-Supuestos!$B$6)</f>
        <v/>
      </c>
      <c r="F81">
        <f>(1-Supuestos!D$28)*((1+((1+Supuestos!D$26)/(1+Supuestos!$B$4)-1+Supuestos!$B$14*$A81/10000))*(1+Supuestos!$B$4+$B81/10000)-1)+Supuestos!D$28*((1+Supuestos!D$27+$A81/10000)*(1+Supuestos!$B$4+$B81/10000)-1)*(1-Supuestos!$B$6)</f>
        <v/>
      </c>
      <c r="G81">
        <f>(1-Supuestos!E$28)*((1+((1+Supuestos!E$26)/(1+Supuestos!$B$4)-1+Supuestos!$B$14*$A81/10000))*(1+Supuestos!$B$4+$B81/10000)-1)+Supuestos!E$28*((1+Supuestos!E$27+$A81/10000)*(1+Supuestos!$B$4+$B81/10000)-1)*(1-Supuestos!$B$6)</f>
        <v/>
      </c>
      <c r="H81">
        <f>(1-Supuestos!F$28)*((1+((1+Supuestos!F$26)/(1+Supuestos!$B$4)-1+Supuestos!$B$14*$A81/10000))*(1+Supuestos!$B$4+$B81/10000)-1)+Supuestos!F$28*((1+Supuestos!F$27+$A81/10000)*(1+Supuestos!$B$4+$B81/10000)-1)*(1-Supuestos!$B$6)</f>
        <v/>
      </c>
      <c r="I81">
        <f>(1-Supuestos!G$28)*((1+((1+Supuestos!G$26)/(1+Supuestos!$B$4)-1+Supuestos!$B$14*$A81/10000))*(1+Supuestos!$B$4+$B81/10000)-1)+Supuestos!G$28*((1+Supuestos!G$27+$A81/10000)*(1+Supuestos!$B$4+$B81/10000)-1)*(1-Supuestos!$B$6)</f>
        <v/>
      </c>
      <c r="J81">
        <f>(1-Supuestos!H$28)*((1+((1+Supuestos!H$26)/(1+Supuestos!$B$4)-1+Supuestos!$B$14*$A81/10000))*(1+Supuestos!$B$4+$B81/10000)-1)+Supuestos!H$28*((1+Supuestos!H$27+$A81/10000)*(1+Supuestos!$B$4+$B81/10000)-1)*(1-Supuestos!$B$6)</f>
        <v/>
      </c>
      <c r="K81">
        <f>(1-Supuestos!I$28)*((1+((1+Supuestos!I$26)/(1+Supuestos!$B$4)-1+Supuestos!$B$14*$A81/10000))*(1+Supuestos!$B$4+$B81/10000)-1)+Supuestos!I$28*((1+Supuestos!I$27+$A81/10000)*(1+Supuestos!$B$4+$B81/10000)-1)*(1-Supuestos!$B$6)</f>
        <v/>
      </c>
      <c r="L81">
        <f>(1+E81)^-Supuestos!C$24</f>
        <v/>
      </c>
      <c r="M81">
        <f>L81*(1+F81)^-Supuestos!D$24</f>
        <v/>
      </c>
      <c r="N81">
        <f>M81*(1+G81)^-Supuestos!E$24</f>
        <v/>
      </c>
      <c r="O81">
        <f>N81*(1+H81)^-Supuestos!F$24</f>
        <v/>
      </c>
      <c r="P81">
        <f>O81*(1+I81)^-Supuestos!G$24</f>
        <v/>
      </c>
      <c r="Q81">
        <f>P81*(1+J81)^-Supuestos!H$24</f>
        <v/>
      </c>
      <c r="R81">
        <f>(1+E81)^-(Supuestos!C$24/2)</f>
        <v/>
      </c>
      <c r="S81">
        <f>L81*(1+F81)^-(Supuestos!D$24/2)</f>
        <v/>
      </c>
      <c r="T81">
        <f>M81*(1+G81)^-(Supuestos!E$24/2)</f>
        <v/>
      </c>
      <c r="U81">
        <f>N81*(1+H81)^-(Supuestos!F$24/2)</f>
        <v/>
      </c>
      <c r="V81">
        <f>O81*(1+I81)^-(Supuestos!G$24/2)</f>
        <v/>
      </c>
      <c r="W81">
        <f>P81*(1+J81)^-(Supuestos!H$24/2)</f>
        <v/>
      </c>
      <c r="X81">
        <f>Supuestos!C$23*(1-$C81+$C81*((1+Supuestos!$B$4+$B81/10000)/(1+Supuestos!$B$4))^Supuestos!C$25)</f>
        <v/>
      </c>
      <c r="Y81">
        <f>Supuestos!D$23*(1-$C81+$C81*((1+Supuestos!$B$4+$B81/10000)/(1+Supuestos!$B$4))^Supuestos!D$25)</f>
        <v/>
      </c>
      <c r="Z81">
        <f>Supuestos!E$23*(1-$C81+$C81*((1+Supuestos!$B$4+$B81/10000)/(1+Supuestos!$B$4))^Supuestos!E$25)</f>
        <v/>
      </c>
      <c r="AA81">
        <f>Supuestos!F$23*(1-$C81+$C81*((1+Supuestos!$B$4+$B81/10000)/(1+Supuestos!$B$4))^Supuestos!F$25)</f>
        <v/>
      </c>
      <c r="AB81">
        <f>Supuestos!G$23*(1-$C81+$C81*((1+Supuestos!$B$4+$B81/10000)/(1+Supuestos!$B$4))^Supuestos!G$25)</f>
        <v/>
      </c>
      <c r="AC81">
        <f>Supuestos!H$23*(1-$C81+$C81*((1+Supuestos!$B$4+$B81/10000)/(1+Supuestos!$B$4))^Supuestos!H$25)</f>
        <v/>
      </c>
      <c r="AD81">
        <f>Supuestos!I$23*(1-$C81+$C81*((1+Supuestos!$B$4+$B81/10000)/(1+Supuestos!$B$4))^Supuestos!I$25)</f>
        <v/>
      </c>
      <c r="AE81">
        <f>SUMPRODUCT(X81:AC81,R81:W81)</f>
        <v/>
      </c>
      <c r="AF81">
        <f>(1+Supuestos!$B$5)/(1+Supuestos!$B$4)*(1+Supuestos!$B$4+$B81/10000)-1</f>
        <v/>
      </c>
      <c r="AG81">
        <f>AD81/(K81-AF81)</f>
        <v/>
      </c>
      <c r="AH81">
        <f>AG81*Q81</f>
        <v/>
      </c>
      <c r="AI81">
        <f>(AE81+AH81-Supuestos!$B$7-Supuestos!$B$8)/Supuestos!$B$9</f>
        <v/>
      </c>
      <c r="AJ81">
        <f>AI81/AI$5-1</f>
        <v/>
      </c>
    </row>
    <row r="82">
      <c r="A82" t="n">
        <v>-20</v>
      </c>
      <c r="B82" t="n">
        <v>-80</v>
      </c>
      <c r="C82" t="n">
        <v>1</v>
      </c>
      <c r="D82" t="inlineStr">
        <is>
          <t>Mix Δi=-100 θ=1.0</t>
        </is>
      </c>
      <c r="E82">
        <f>(1-Supuestos!C$28)*((1+((1+Supuestos!C$26)/(1+Supuestos!$B$4)-1+Supuestos!$B$14*$A82/10000))*(1+Supuestos!$B$4+$B82/10000)-1)+Supuestos!C$28*((1+Supuestos!C$27+$A82/10000)*(1+Supuestos!$B$4+$B82/10000)-1)*(1-Supuestos!$B$6)</f>
        <v/>
      </c>
      <c r="F82">
        <f>(1-Supuestos!D$28)*((1+((1+Supuestos!D$26)/(1+Supuestos!$B$4)-1+Supuestos!$B$14*$A82/10000))*(1+Supuestos!$B$4+$B82/10000)-1)+Supuestos!D$28*((1+Supuestos!D$27+$A82/10000)*(1+Supuestos!$B$4+$B82/10000)-1)*(1-Supuestos!$B$6)</f>
        <v/>
      </c>
      <c r="G82">
        <f>(1-Supuestos!E$28)*((1+((1+Supuestos!E$26)/(1+Supuestos!$B$4)-1+Supuestos!$B$14*$A82/10000))*(1+Supuestos!$B$4+$B82/10000)-1)+Supuestos!E$28*((1+Supuestos!E$27+$A82/10000)*(1+Supuestos!$B$4+$B82/10000)-1)*(1-Supuestos!$B$6)</f>
        <v/>
      </c>
      <c r="H82">
        <f>(1-Supuestos!F$28)*((1+((1+Supuestos!F$26)/(1+Supuestos!$B$4)-1+Supuestos!$B$14*$A82/10000))*(1+Supuestos!$B$4+$B82/10000)-1)+Supuestos!F$28*((1+Supuestos!F$27+$A82/10000)*(1+Supuestos!$B$4+$B82/10000)-1)*(1-Supuestos!$B$6)</f>
        <v/>
      </c>
      <c r="I82">
        <f>(1-Supuestos!G$28)*((1+((1+Supuestos!G$26)/(1+Supuestos!$B$4)-1+Supuestos!$B$14*$A82/10000))*(1+Supuestos!$B$4+$B82/10000)-1)+Supuestos!G$28*((1+Supuestos!G$27+$A82/10000)*(1+Supuestos!$B$4+$B82/10000)-1)*(1-Supuestos!$B$6)</f>
        <v/>
      </c>
      <c r="J82">
        <f>(1-Supuestos!H$28)*((1+((1+Supuestos!H$26)/(1+Supuestos!$B$4)-1+Supuestos!$B$14*$A82/10000))*(1+Supuestos!$B$4+$B82/10000)-1)+Supuestos!H$28*((1+Supuestos!H$27+$A82/10000)*(1+Supuestos!$B$4+$B82/10000)-1)*(1-Supuestos!$B$6)</f>
        <v/>
      </c>
      <c r="K82">
        <f>(1-Supuestos!I$28)*((1+((1+Supuestos!I$26)/(1+Supuestos!$B$4)-1+Supuestos!$B$14*$A82/10000))*(1+Supuestos!$B$4+$B82/10000)-1)+Supuestos!I$28*((1+Supuestos!I$27+$A82/10000)*(1+Supuestos!$B$4+$B82/10000)-1)*(1-Supuestos!$B$6)</f>
        <v/>
      </c>
      <c r="L82">
        <f>(1+E82)^-Supuestos!C$24</f>
        <v/>
      </c>
      <c r="M82">
        <f>L82*(1+F82)^-Supuestos!D$24</f>
        <v/>
      </c>
      <c r="N82">
        <f>M82*(1+G82)^-Supuestos!E$24</f>
        <v/>
      </c>
      <c r="O82">
        <f>N82*(1+H82)^-Supuestos!F$24</f>
        <v/>
      </c>
      <c r="P82">
        <f>O82*(1+I82)^-Supuestos!G$24</f>
        <v/>
      </c>
      <c r="Q82">
        <f>P82*(1+J82)^-Supuestos!H$24</f>
        <v/>
      </c>
      <c r="R82">
        <f>(1+E82)^-(Supuestos!C$24/2)</f>
        <v/>
      </c>
      <c r="S82">
        <f>L82*(1+F82)^-(Supuestos!D$24/2)</f>
        <v/>
      </c>
      <c r="T82">
        <f>M82*(1+G82)^-(Supuestos!E$24/2)</f>
        <v/>
      </c>
      <c r="U82">
        <f>N82*(1+H82)^-(Supuestos!F$24/2)</f>
        <v/>
      </c>
      <c r="V82">
        <f>O82*(1+I82)^-(Supuestos!G$24/2)</f>
        <v/>
      </c>
      <c r="W82">
        <f>P82*(1+J82)^-(Supuestos!H$24/2)</f>
        <v/>
      </c>
      <c r="X82">
        <f>Supuestos!C$23*(1-$C82+$C82*((1+Supuestos!$B$4+$B82/10000)/(1+Supuestos!$B$4))^Supuestos!C$25)</f>
        <v/>
      </c>
      <c r="Y82">
        <f>Supuestos!D$23*(1-$C82+$C82*((1+Supuestos!$B$4+$B82/10000)/(1+Supuestos!$B$4))^Supuestos!D$25)</f>
        <v/>
      </c>
      <c r="Z82">
        <f>Supuestos!E$23*(1-$C82+$C82*((1+Supuestos!$B$4+$B82/10000)/(1+Supuestos!$B$4))^Supuestos!E$25)</f>
        <v/>
      </c>
      <c r="AA82">
        <f>Supuestos!F$23*(1-$C82+$C82*((1+Supuestos!$B$4+$B82/10000)/(1+Supuestos!$B$4))^Supuestos!F$25)</f>
        <v/>
      </c>
      <c r="AB82">
        <f>Supuestos!G$23*(1-$C82+$C82*((1+Supuestos!$B$4+$B82/10000)/(1+Supuestos!$B$4))^Supuestos!G$25)</f>
        <v/>
      </c>
      <c r="AC82">
        <f>Supuestos!H$23*(1-$C82+$C82*((1+Supuestos!$B$4+$B82/10000)/(1+Supuestos!$B$4))^Supuestos!H$25)</f>
        <v/>
      </c>
      <c r="AD82">
        <f>Supuestos!I$23*(1-$C82+$C82*((1+Supuestos!$B$4+$B82/10000)/(1+Supuestos!$B$4))^Supuestos!I$25)</f>
        <v/>
      </c>
      <c r="AE82">
        <f>SUMPRODUCT(X82:AC82,R82:W82)</f>
        <v/>
      </c>
      <c r="AF82">
        <f>(1+Supuestos!$B$5)/(1+Supuestos!$B$4)*(1+Supuestos!$B$4+$B82/10000)-1</f>
        <v/>
      </c>
      <c r="AG82">
        <f>AD82/(K82-AF82)</f>
        <v/>
      </c>
      <c r="AH82">
        <f>AG82*Q82</f>
        <v/>
      </c>
      <c r="AI82">
        <f>(AE82+AH82-Supuestos!$B$7-Supuestos!$B$8)/Supuestos!$B$9</f>
        <v/>
      </c>
      <c r="AJ82">
        <f>AI82/AI$5-1</f>
        <v/>
      </c>
    </row>
    <row r="83">
      <c r="A83" t="n">
        <v>-9.999999999999998</v>
      </c>
      <c r="B83" t="n">
        <v>-90</v>
      </c>
      <c r="C83" t="n">
        <v>1</v>
      </c>
      <c r="D83" t="inlineStr">
        <is>
          <t>Mix Δi=-100 θ=1.0</t>
        </is>
      </c>
      <c r="E83">
        <f>(1-Supuestos!C$28)*((1+((1+Supuestos!C$26)/(1+Supuestos!$B$4)-1+Supuestos!$B$14*$A83/10000))*(1+Supuestos!$B$4+$B83/10000)-1)+Supuestos!C$28*((1+Supuestos!C$27+$A83/10000)*(1+Supuestos!$B$4+$B83/10000)-1)*(1-Supuestos!$B$6)</f>
        <v/>
      </c>
      <c r="F83">
        <f>(1-Supuestos!D$28)*((1+((1+Supuestos!D$26)/(1+Supuestos!$B$4)-1+Supuestos!$B$14*$A83/10000))*(1+Supuestos!$B$4+$B83/10000)-1)+Supuestos!D$28*((1+Supuestos!D$27+$A83/10000)*(1+Supuestos!$B$4+$B83/10000)-1)*(1-Supuestos!$B$6)</f>
        <v/>
      </c>
      <c r="G83">
        <f>(1-Supuestos!E$28)*((1+((1+Supuestos!E$26)/(1+Supuestos!$B$4)-1+Supuestos!$B$14*$A83/10000))*(1+Supuestos!$B$4+$B83/10000)-1)+Supuestos!E$28*((1+Supuestos!E$27+$A83/10000)*(1+Supuestos!$B$4+$B83/10000)-1)*(1-Supuestos!$B$6)</f>
        <v/>
      </c>
      <c r="H83">
        <f>(1-Supuestos!F$28)*((1+((1+Supuestos!F$26)/(1+Supuestos!$B$4)-1+Supuestos!$B$14*$A83/10000))*(1+Supuestos!$B$4+$B83/10000)-1)+Supuestos!F$28*((1+Supuestos!F$27+$A83/10000)*(1+Supuestos!$B$4+$B83/10000)-1)*(1-Supuestos!$B$6)</f>
        <v/>
      </c>
      <c r="I83">
        <f>(1-Supuestos!G$28)*((1+((1+Supuestos!G$26)/(1+Supuestos!$B$4)-1+Supuestos!$B$14*$A83/10000))*(1+Supuestos!$B$4+$B83/10000)-1)+Supuestos!G$28*((1+Supuestos!G$27+$A83/10000)*(1+Supuestos!$B$4+$B83/10000)-1)*(1-Supuestos!$B$6)</f>
        <v/>
      </c>
      <c r="J83">
        <f>(1-Supuestos!H$28)*((1+((1+Supuestos!H$26)/(1+Supuestos!$B$4)-1+Supuestos!$B$14*$A83/10000))*(1+Supuestos!$B$4+$B83/10000)-1)+Supuestos!H$28*((1+Supuestos!H$27+$A83/10000)*(1+Supuestos!$B$4+$B83/10000)-1)*(1-Supuestos!$B$6)</f>
        <v/>
      </c>
      <c r="K83">
        <f>(1-Supuestos!I$28)*((1+((1+Supuestos!I$26)/(1+Supuestos!$B$4)-1+Supuestos!$B$14*$A83/10000))*(1+Supuestos!$B$4+$B83/10000)-1)+Supuestos!I$28*((1+Supuestos!I$27+$A83/10000)*(1+Supuestos!$B$4+$B83/10000)-1)*(1-Supuestos!$B$6)</f>
        <v/>
      </c>
      <c r="L83">
        <f>(1+E83)^-Supuestos!C$24</f>
        <v/>
      </c>
      <c r="M83">
        <f>L83*(1+F83)^-Supuestos!D$24</f>
        <v/>
      </c>
      <c r="N83">
        <f>M83*(1+G83)^-Supuestos!E$24</f>
        <v/>
      </c>
      <c r="O83">
        <f>N83*(1+H83)^-Supuestos!F$24</f>
        <v/>
      </c>
      <c r="P83">
        <f>O83*(1+I83)^-Supuestos!G$24</f>
        <v/>
      </c>
      <c r="Q83">
        <f>P83*(1+J83)^-Supuestos!H$24</f>
        <v/>
      </c>
      <c r="R83">
        <f>(1+E83)^-(Supuestos!C$24/2)</f>
        <v/>
      </c>
      <c r="S83">
        <f>L83*(1+F83)^-(Supuestos!D$24/2)</f>
        <v/>
      </c>
      <c r="T83">
        <f>M83*(1+G83)^-(Supuestos!E$24/2)</f>
        <v/>
      </c>
      <c r="U83">
        <f>N83*(1+H83)^-(Supuestos!F$24/2)</f>
        <v/>
      </c>
      <c r="V83">
        <f>O83*(1+I83)^-(Supuestos!G$24/2)</f>
        <v/>
      </c>
      <c r="W83">
        <f>P83*(1+J83)^-(Supuestos!H$24/2)</f>
        <v/>
      </c>
      <c r="X83">
        <f>Supuestos!C$23*(1-$C83+$C83*((1+Supuestos!$B$4+$B83/10000)/(1+Supuestos!$B$4))^Supuestos!C$25)</f>
        <v/>
      </c>
      <c r="Y83">
        <f>Supuestos!D$23*(1-$C83+$C83*((1+Supuestos!$B$4+$B83/10000)/(1+Supuestos!$B$4))^Supuestos!D$25)</f>
        <v/>
      </c>
      <c r="Z83">
        <f>Supuestos!E$23*(1-$C83+$C83*((1+Supuestos!$B$4+$B83/10000)/(1+Supuestos!$B$4))^Supuestos!E$25)</f>
        <v/>
      </c>
      <c r="AA83">
        <f>Supuestos!F$23*(1-$C83+$C83*((1+Supuestos!$B$4+$B83/10000)/(1+Supuestos!$B$4))^Supuestos!F$25)</f>
        <v/>
      </c>
      <c r="AB83">
        <f>Supuestos!G$23*(1-$C83+$C83*((1+Supuestos!$B$4+$B83/10000)/(1+Supuestos!$B$4))^Supuestos!G$25)</f>
        <v/>
      </c>
      <c r="AC83">
        <f>Supuestos!H$23*(1-$C83+$C83*((1+Supuestos!$B$4+$B83/10000)/(1+Supuestos!$B$4))^Supuestos!H$25)</f>
        <v/>
      </c>
      <c r="AD83">
        <f>Supuestos!I$23*(1-$C83+$C83*((1+Supuestos!$B$4+$B83/10000)/(1+Supuestos!$B$4))^Supuestos!I$25)</f>
        <v/>
      </c>
      <c r="AE83">
        <f>SUMPRODUCT(X83:AC83,R83:W83)</f>
        <v/>
      </c>
      <c r="AF83">
        <f>(1+Supuestos!$B$5)/(1+Supuestos!$B$4)*(1+Supuestos!$B$4+$B83/10000)-1</f>
        <v/>
      </c>
      <c r="AG83">
        <f>AD83/(K83-AF83)</f>
        <v/>
      </c>
      <c r="AH83">
        <f>AG83*Q83</f>
        <v/>
      </c>
      <c r="AI83">
        <f>(AE83+AH83-Supuestos!$B$7-Supuestos!$B$8)/Supuestos!$B$9</f>
        <v/>
      </c>
      <c r="AJ83">
        <f>AI83/AI$5-1</f>
        <v/>
      </c>
    </row>
    <row r="84">
      <c r="A84" t="n">
        <v>-0</v>
      </c>
      <c r="B84" t="n">
        <v>-100</v>
      </c>
      <c r="C84" t="n">
        <v>1</v>
      </c>
      <c r="D84" t="inlineStr">
        <is>
          <t>Mix Δi=-100 θ=1.0</t>
        </is>
      </c>
      <c r="E84">
        <f>(1-Supuestos!C$28)*((1+((1+Supuestos!C$26)/(1+Supuestos!$B$4)-1+Supuestos!$B$14*$A84/10000))*(1+Supuestos!$B$4+$B84/10000)-1)+Supuestos!C$28*((1+Supuestos!C$27+$A84/10000)*(1+Supuestos!$B$4+$B84/10000)-1)*(1-Supuestos!$B$6)</f>
        <v/>
      </c>
      <c r="F84">
        <f>(1-Supuestos!D$28)*((1+((1+Supuestos!D$26)/(1+Supuestos!$B$4)-1+Supuestos!$B$14*$A84/10000))*(1+Supuestos!$B$4+$B84/10000)-1)+Supuestos!D$28*((1+Supuestos!D$27+$A84/10000)*(1+Supuestos!$B$4+$B84/10000)-1)*(1-Supuestos!$B$6)</f>
        <v/>
      </c>
      <c r="G84">
        <f>(1-Supuestos!E$28)*((1+((1+Supuestos!E$26)/(1+Supuestos!$B$4)-1+Supuestos!$B$14*$A84/10000))*(1+Supuestos!$B$4+$B84/10000)-1)+Supuestos!E$28*((1+Supuestos!E$27+$A84/10000)*(1+Supuestos!$B$4+$B84/10000)-1)*(1-Supuestos!$B$6)</f>
        <v/>
      </c>
      <c r="H84">
        <f>(1-Supuestos!F$28)*((1+((1+Supuestos!F$26)/(1+Supuestos!$B$4)-1+Supuestos!$B$14*$A84/10000))*(1+Supuestos!$B$4+$B84/10000)-1)+Supuestos!F$28*((1+Supuestos!F$27+$A84/10000)*(1+Supuestos!$B$4+$B84/10000)-1)*(1-Supuestos!$B$6)</f>
        <v/>
      </c>
      <c r="I84">
        <f>(1-Supuestos!G$28)*((1+((1+Supuestos!G$26)/(1+Supuestos!$B$4)-1+Supuestos!$B$14*$A84/10000))*(1+Supuestos!$B$4+$B84/10000)-1)+Supuestos!G$28*((1+Supuestos!G$27+$A84/10000)*(1+Supuestos!$B$4+$B84/10000)-1)*(1-Supuestos!$B$6)</f>
        <v/>
      </c>
      <c r="J84">
        <f>(1-Supuestos!H$28)*((1+((1+Supuestos!H$26)/(1+Supuestos!$B$4)-1+Supuestos!$B$14*$A84/10000))*(1+Supuestos!$B$4+$B84/10000)-1)+Supuestos!H$28*((1+Supuestos!H$27+$A84/10000)*(1+Supuestos!$B$4+$B84/10000)-1)*(1-Supuestos!$B$6)</f>
        <v/>
      </c>
      <c r="K84">
        <f>(1-Supuestos!I$28)*((1+((1+Supuestos!I$26)/(1+Supuestos!$B$4)-1+Supuestos!$B$14*$A84/10000))*(1+Supuestos!$B$4+$B84/10000)-1)+Supuestos!I$28*((1+Supuestos!I$27+$A84/10000)*(1+Supuestos!$B$4+$B84/10000)-1)*(1-Supuestos!$B$6)</f>
        <v/>
      </c>
      <c r="L84">
        <f>(1+E84)^-Supuestos!C$24</f>
        <v/>
      </c>
      <c r="M84">
        <f>L84*(1+F84)^-Supuestos!D$24</f>
        <v/>
      </c>
      <c r="N84">
        <f>M84*(1+G84)^-Supuestos!E$24</f>
        <v/>
      </c>
      <c r="O84">
        <f>N84*(1+H84)^-Supuestos!F$24</f>
        <v/>
      </c>
      <c r="P84">
        <f>O84*(1+I84)^-Supuestos!G$24</f>
        <v/>
      </c>
      <c r="Q84">
        <f>P84*(1+J84)^-Supuestos!H$24</f>
        <v/>
      </c>
      <c r="R84">
        <f>(1+E84)^-(Supuestos!C$24/2)</f>
        <v/>
      </c>
      <c r="S84">
        <f>L84*(1+F84)^-(Supuestos!D$24/2)</f>
        <v/>
      </c>
      <c r="T84">
        <f>M84*(1+G84)^-(Supuestos!E$24/2)</f>
        <v/>
      </c>
      <c r="U84">
        <f>N84*(1+H84)^-(Supuestos!F$24/2)</f>
        <v/>
      </c>
      <c r="V84">
        <f>O84*(1+I84)^-(Supuestos!G$24/2)</f>
        <v/>
      </c>
      <c r="W84">
        <f>P84*(1+J84)^-(Supuestos!H$24/2)</f>
        <v/>
      </c>
      <c r="X84">
        <f>Supuestos!C$23*(1-$C84+$C84*((1+Supuestos!$B$4+$B84/10000)/(1+Supuestos!$B$4))^Supuestos!C$25)</f>
        <v/>
      </c>
      <c r="Y84">
        <f>Supuestos!D$23*(1-$C84+$C84*((1+Supuestos!$B$4+$B84/10000)/(1+Supuestos!$B$4))^Supuestos!D$25)</f>
        <v/>
      </c>
      <c r="Z84">
        <f>Supuestos!E$23*(1-$C84+$C84*((1+Supuestos!$B$4+$B84/10000)/(1+Supuestos!$B$4))^Supuestos!E$25)</f>
        <v/>
      </c>
      <c r="AA84">
        <f>Supuestos!F$23*(1-$C84+$C84*((1+Supuestos!$B$4+$B84/10000)/(1+Supuestos!$B$4))^Supuestos!F$25)</f>
        <v/>
      </c>
      <c r="AB84">
        <f>Supuestos!G$23*(1-$C84+$C84*((1+Supuestos!$B$4+$B84/10000)/(1+Supuestos!$B$4))^Supuestos!G$25)</f>
        <v/>
      </c>
      <c r="AC84">
        <f>Supuestos!H$23*(1-$C84+$C84*((1+Supuestos!$B$4+$B84/10000)/(1+Supuestos!$B$4))^Supuestos!H$25)</f>
        <v/>
      </c>
      <c r="AD84">
        <f>Supuestos!I$23*(1-$C84+$C84*((1+Supuestos!$B$4+$B84/10000)/(1+Supuestos!$B$4))^Supuestos!I$25)</f>
        <v/>
      </c>
      <c r="AE84">
        <f>SUMPRODUCT(X84:AC84,R84:W84)</f>
        <v/>
      </c>
      <c r="AF84">
        <f>(1+Supuestos!$B$5)/(1+Supuestos!$B$4)*(1+Supuestos!$B$4+$B84/10000)-1</f>
        <v/>
      </c>
      <c r="AG84">
        <f>AD84/(K84-AF84)</f>
        <v/>
      </c>
      <c r="AH84">
        <f>AG84*Q84</f>
        <v/>
      </c>
      <c r="AI84">
        <f>(AE84+AH84-Supuestos!$B$7-Supuestos!$B$8)/Supuestos!$B$9</f>
        <v/>
      </c>
      <c r="AJ84">
        <f>AI84/AI$5-1</f>
        <v/>
      </c>
    </row>
    <row r="85">
      <c r="A85" t="n">
        <v>-100</v>
      </c>
      <c r="B85" t="n">
        <v>-0</v>
      </c>
      <c r="C85" t="n">
        <v>0.85</v>
      </c>
      <c r="D85" t="inlineStr">
        <is>
          <t>Mix Δi=-100 θ=0.85</t>
        </is>
      </c>
      <c r="E85">
        <f>(1-Supuestos!C$28)*((1+((1+Supuestos!C$26)/(1+Supuestos!$B$4)-1+Supuestos!$B$14*$A85/10000))*(1+Supuestos!$B$4+$B85/10000)-1)+Supuestos!C$28*((1+Supuestos!C$27+$A85/10000)*(1+Supuestos!$B$4+$B85/10000)-1)*(1-Supuestos!$B$6)</f>
        <v/>
      </c>
      <c r="F85">
        <f>(1-Supuestos!D$28)*((1+((1+Supuestos!D$26)/(1+Supuestos!$B$4)-1+Supuestos!$B$14*$A85/10000))*(1+Supuestos!$B$4+$B85/10000)-1)+Supuestos!D$28*((1+Supuestos!D$27+$A85/10000)*(1+Supuestos!$B$4+$B85/10000)-1)*(1-Supuestos!$B$6)</f>
        <v/>
      </c>
      <c r="G85">
        <f>(1-Supuestos!E$28)*((1+((1+Supuestos!E$26)/(1+Supuestos!$B$4)-1+Supuestos!$B$14*$A85/10000))*(1+Supuestos!$B$4+$B85/10000)-1)+Supuestos!E$28*((1+Supuestos!E$27+$A85/10000)*(1+Supuestos!$B$4+$B85/10000)-1)*(1-Supuestos!$B$6)</f>
        <v/>
      </c>
      <c r="H85">
        <f>(1-Supuestos!F$28)*((1+((1+Supuestos!F$26)/(1+Supuestos!$B$4)-1+Supuestos!$B$14*$A85/10000))*(1+Supuestos!$B$4+$B85/10000)-1)+Supuestos!F$28*((1+Supuestos!F$27+$A85/10000)*(1+Supuestos!$B$4+$B85/10000)-1)*(1-Supuestos!$B$6)</f>
        <v/>
      </c>
      <c r="I85">
        <f>(1-Supuestos!G$28)*((1+((1+Supuestos!G$26)/(1+Supuestos!$B$4)-1+Supuestos!$B$14*$A85/10000))*(1+Supuestos!$B$4+$B85/10000)-1)+Supuestos!G$28*((1+Supuestos!G$27+$A85/10000)*(1+Supuestos!$B$4+$B85/10000)-1)*(1-Supuestos!$B$6)</f>
        <v/>
      </c>
      <c r="J85">
        <f>(1-Supuestos!H$28)*((1+((1+Supuestos!H$26)/(1+Supuestos!$B$4)-1+Supuestos!$B$14*$A85/10000))*(1+Supuestos!$B$4+$B85/10000)-1)+Supuestos!H$28*((1+Supuestos!H$27+$A85/10000)*(1+Supuestos!$B$4+$B85/10000)-1)*(1-Supuestos!$B$6)</f>
        <v/>
      </c>
      <c r="K85">
        <f>(1-Supuestos!I$28)*((1+((1+Supuestos!I$26)/(1+Supuestos!$B$4)-1+Supuestos!$B$14*$A85/10000))*(1+Supuestos!$B$4+$B85/10000)-1)+Supuestos!I$28*((1+Supuestos!I$27+$A85/10000)*(1+Supuestos!$B$4+$B85/10000)-1)*(1-Supuestos!$B$6)</f>
        <v/>
      </c>
      <c r="L85">
        <f>(1+E85)^-Supuestos!C$24</f>
        <v/>
      </c>
      <c r="M85">
        <f>L85*(1+F85)^-Supuestos!D$24</f>
        <v/>
      </c>
      <c r="N85">
        <f>M85*(1+G85)^-Supuestos!E$24</f>
        <v/>
      </c>
      <c r="O85">
        <f>N85*(1+H85)^-Supuestos!F$24</f>
        <v/>
      </c>
      <c r="P85">
        <f>O85*(1+I85)^-Supuestos!G$24</f>
        <v/>
      </c>
      <c r="Q85">
        <f>P85*(1+J85)^-Supuestos!H$24</f>
        <v/>
      </c>
      <c r="R85">
        <f>(1+E85)^-(Supuestos!C$24/2)</f>
        <v/>
      </c>
      <c r="S85">
        <f>L85*(1+F85)^-(Supuestos!D$24/2)</f>
        <v/>
      </c>
      <c r="T85">
        <f>M85*(1+G85)^-(Supuestos!E$24/2)</f>
        <v/>
      </c>
      <c r="U85">
        <f>N85*(1+H85)^-(Supuestos!F$24/2)</f>
        <v/>
      </c>
      <c r="V85">
        <f>O85*(1+I85)^-(Supuestos!G$24/2)</f>
        <v/>
      </c>
      <c r="W85">
        <f>P85*(1+J85)^-(Supuestos!H$24/2)</f>
        <v/>
      </c>
      <c r="X85">
        <f>Supuestos!C$23*(1-$C85+$C85*((1+Supuestos!$B$4+$B85/10000)/(1+Supuestos!$B$4))^Supuestos!C$25)</f>
        <v/>
      </c>
      <c r="Y85">
        <f>Supuestos!D$23*(1-$C85+$C85*((1+Supuestos!$B$4+$B85/10000)/(1+Supuestos!$B$4))^Supuestos!D$25)</f>
        <v/>
      </c>
      <c r="Z85">
        <f>Supuestos!E$23*(1-$C85+$C85*((1+Supuestos!$B$4+$B85/10000)/(1+Supuestos!$B$4))^Supuestos!E$25)</f>
        <v/>
      </c>
      <c r="AA85">
        <f>Supuestos!F$23*(1-$C85+$C85*((1+Supuestos!$B$4+$B85/10000)/(1+Supuestos!$B$4))^Supuestos!F$25)</f>
        <v/>
      </c>
      <c r="AB85">
        <f>Supuestos!G$23*(1-$C85+$C85*((1+Supuestos!$B$4+$B85/10000)/(1+Supuestos!$B$4))^Supuestos!G$25)</f>
        <v/>
      </c>
      <c r="AC85">
        <f>Supuestos!H$23*(1-$C85+$C85*((1+Supuestos!$B$4+$B85/10000)/(1+Supuestos!$B$4))^Supuestos!H$25)</f>
        <v/>
      </c>
      <c r="AD85">
        <f>Supuestos!I$23*(1-$C85+$C85*((1+Supuestos!$B$4+$B85/10000)/(1+Supuestos!$B$4))^Supuestos!I$25)</f>
        <v/>
      </c>
      <c r="AE85">
        <f>SUMPRODUCT(X85:AC85,R85:W85)</f>
        <v/>
      </c>
      <c r="AF85">
        <f>(1+Supuestos!$B$5)/(1+Supuestos!$B$4)*(1+Supuestos!$B$4+$B85/10000)-1</f>
        <v/>
      </c>
      <c r="AG85">
        <f>AD85/(K85-AF85)</f>
        <v/>
      </c>
      <c r="AH85">
        <f>AG85*Q85</f>
        <v/>
      </c>
      <c r="AI85">
        <f>(AE85+AH85-Supuestos!$B$7-Supuestos!$B$8)/Supuestos!$B$9</f>
        <v/>
      </c>
      <c r="AJ85">
        <f>AI85/AI$5-1</f>
        <v/>
      </c>
    </row>
    <row r="86">
      <c r="A86" t="n">
        <v>-90</v>
      </c>
      <c r="B86" t="n">
        <v>-10</v>
      </c>
      <c r="C86" t="n">
        <v>0.85</v>
      </c>
      <c r="D86" t="inlineStr">
        <is>
          <t>Mix Δi=-100 θ=0.85</t>
        </is>
      </c>
      <c r="E86">
        <f>(1-Supuestos!C$28)*((1+((1+Supuestos!C$26)/(1+Supuestos!$B$4)-1+Supuestos!$B$14*$A86/10000))*(1+Supuestos!$B$4+$B86/10000)-1)+Supuestos!C$28*((1+Supuestos!C$27+$A86/10000)*(1+Supuestos!$B$4+$B86/10000)-1)*(1-Supuestos!$B$6)</f>
        <v/>
      </c>
      <c r="F86">
        <f>(1-Supuestos!D$28)*((1+((1+Supuestos!D$26)/(1+Supuestos!$B$4)-1+Supuestos!$B$14*$A86/10000))*(1+Supuestos!$B$4+$B86/10000)-1)+Supuestos!D$28*((1+Supuestos!D$27+$A86/10000)*(1+Supuestos!$B$4+$B86/10000)-1)*(1-Supuestos!$B$6)</f>
        <v/>
      </c>
      <c r="G86">
        <f>(1-Supuestos!E$28)*((1+((1+Supuestos!E$26)/(1+Supuestos!$B$4)-1+Supuestos!$B$14*$A86/10000))*(1+Supuestos!$B$4+$B86/10000)-1)+Supuestos!E$28*((1+Supuestos!E$27+$A86/10000)*(1+Supuestos!$B$4+$B86/10000)-1)*(1-Supuestos!$B$6)</f>
        <v/>
      </c>
      <c r="H86">
        <f>(1-Supuestos!F$28)*((1+((1+Supuestos!F$26)/(1+Supuestos!$B$4)-1+Supuestos!$B$14*$A86/10000))*(1+Supuestos!$B$4+$B86/10000)-1)+Supuestos!F$28*((1+Supuestos!F$27+$A86/10000)*(1+Supuestos!$B$4+$B86/10000)-1)*(1-Supuestos!$B$6)</f>
        <v/>
      </c>
      <c r="I86">
        <f>(1-Supuestos!G$28)*((1+((1+Supuestos!G$26)/(1+Supuestos!$B$4)-1+Supuestos!$B$14*$A86/10000))*(1+Supuestos!$B$4+$B86/10000)-1)+Supuestos!G$28*((1+Supuestos!G$27+$A86/10000)*(1+Supuestos!$B$4+$B86/10000)-1)*(1-Supuestos!$B$6)</f>
        <v/>
      </c>
      <c r="J86">
        <f>(1-Supuestos!H$28)*((1+((1+Supuestos!H$26)/(1+Supuestos!$B$4)-1+Supuestos!$B$14*$A86/10000))*(1+Supuestos!$B$4+$B86/10000)-1)+Supuestos!H$28*((1+Supuestos!H$27+$A86/10000)*(1+Supuestos!$B$4+$B86/10000)-1)*(1-Supuestos!$B$6)</f>
        <v/>
      </c>
      <c r="K86">
        <f>(1-Supuestos!I$28)*((1+((1+Supuestos!I$26)/(1+Supuestos!$B$4)-1+Supuestos!$B$14*$A86/10000))*(1+Supuestos!$B$4+$B86/10000)-1)+Supuestos!I$28*((1+Supuestos!I$27+$A86/10000)*(1+Supuestos!$B$4+$B86/10000)-1)*(1-Supuestos!$B$6)</f>
        <v/>
      </c>
      <c r="L86">
        <f>(1+E86)^-Supuestos!C$24</f>
        <v/>
      </c>
      <c r="M86">
        <f>L86*(1+F86)^-Supuestos!D$24</f>
        <v/>
      </c>
      <c r="N86">
        <f>M86*(1+G86)^-Supuestos!E$24</f>
        <v/>
      </c>
      <c r="O86">
        <f>N86*(1+H86)^-Supuestos!F$24</f>
        <v/>
      </c>
      <c r="P86">
        <f>O86*(1+I86)^-Supuestos!G$24</f>
        <v/>
      </c>
      <c r="Q86">
        <f>P86*(1+J86)^-Supuestos!H$24</f>
        <v/>
      </c>
      <c r="R86">
        <f>(1+E86)^-(Supuestos!C$24/2)</f>
        <v/>
      </c>
      <c r="S86">
        <f>L86*(1+F86)^-(Supuestos!D$24/2)</f>
        <v/>
      </c>
      <c r="T86">
        <f>M86*(1+G86)^-(Supuestos!E$24/2)</f>
        <v/>
      </c>
      <c r="U86">
        <f>N86*(1+H86)^-(Supuestos!F$24/2)</f>
        <v/>
      </c>
      <c r="V86">
        <f>O86*(1+I86)^-(Supuestos!G$24/2)</f>
        <v/>
      </c>
      <c r="W86">
        <f>P86*(1+J86)^-(Supuestos!H$24/2)</f>
        <v/>
      </c>
      <c r="X86">
        <f>Supuestos!C$23*(1-$C86+$C86*((1+Supuestos!$B$4+$B86/10000)/(1+Supuestos!$B$4))^Supuestos!C$25)</f>
        <v/>
      </c>
      <c r="Y86">
        <f>Supuestos!D$23*(1-$C86+$C86*((1+Supuestos!$B$4+$B86/10000)/(1+Supuestos!$B$4))^Supuestos!D$25)</f>
        <v/>
      </c>
      <c r="Z86">
        <f>Supuestos!E$23*(1-$C86+$C86*((1+Supuestos!$B$4+$B86/10000)/(1+Supuestos!$B$4))^Supuestos!E$25)</f>
        <v/>
      </c>
      <c r="AA86">
        <f>Supuestos!F$23*(1-$C86+$C86*((1+Supuestos!$B$4+$B86/10000)/(1+Supuestos!$B$4))^Supuestos!F$25)</f>
        <v/>
      </c>
      <c r="AB86">
        <f>Supuestos!G$23*(1-$C86+$C86*((1+Supuestos!$B$4+$B86/10000)/(1+Supuestos!$B$4))^Supuestos!G$25)</f>
        <v/>
      </c>
      <c r="AC86">
        <f>Supuestos!H$23*(1-$C86+$C86*((1+Supuestos!$B$4+$B86/10000)/(1+Supuestos!$B$4))^Supuestos!H$25)</f>
        <v/>
      </c>
      <c r="AD86">
        <f>Supuestos!I$23*(1-$C86+$C86*((1+Supuestos!$B$4+$B86/10000)/(1+Supuestos!$B$4))^Supuestos!I$25)</f>
        <v/>
      </c>
      <c r="AE86">
        <f>SUMPRODUCT(X86:AC86,R86:W86)</f>
        <v/>
      </c>
      <c r="AF86">
        <f>(1+Supuestos!$B$5)/(1+Supuestos!$B$4)*(1+Supuestos!$B$4+$B86/10000)-1</f>
        <v/>
      </c>
      <c r="AG86">
        <f>AD86/(K86-AF86)</f>
        <v/>
      </c>
      <c r="AH86">
        <f>AG86*Q86</f>
        <v/>
      </c>
      <c r="AI86">
        <f>(AE86+AH86-Supuestos!$B$7-Supuestos!$B$8)/Supuestos!$B$9</f>
        <v/>
      </c>
      <c r="AJ86">
        <f>AI86/AI$5-1</f>
        <v/>
      </c>
    </row>
    <row r="87">
      <c r="A87" t="n">
        <v>-80</v>
      </c>
      <c r="B87" t="n">
        <v>-20</v>
      </c>
      <c r="C87" t="n">
        <v>0.85</v>
      </c>
      <c r="D87" t="inlineStr">
        <is>
          <t>Mix Δi=-100 θ=0.85</t>
        </is>
      </c>
      <c r="E87">
        <f>(1-Supuestos!C$28)*((1+((1+Supuestos!C$26)/(1+Supuestos!$B$4)-1+Supuestos!$B$14*$A87/10000))*(1+Supuestos!$B$4+$B87/10000)-1)+Supuestos!C$28*((1+Supuestos!C$27+$A87/10000)*(1+Supuestos!$B$4+$B87/10000)-1)*(1-Supuestos!$B$6)</f>
        <v/>
      </c>
      <c r="F87">
        <f>(1-Supuestos!D$28)*((1+((1+Supuestos!D$26)/(1+Supuestos!$B$4)-1+Supuestos!$B$14*$A87/10000))*(1+Supuestos!$B$4+$B87/10000)-1)+Supuestos!D$28*((1+Supuestos!D$27+$A87/10000)*(1+Supuestos!$B$4+$B87/10000)-1)*(1-Supuestos!$B$6)</f>
        <v/>
      </c>
      <c r="G87">
        <f>(1-Supuestos!E$28)*((1+((1+Supuestos!E$26)/(1+Supuestos!$B$4)-1+Supuestos!$B$14*$A87/10000))*(1+Supuestos!$B$4+$B87/10000)-1)+Supuestos!E$28*((1+Supuestos!E$27+$A87/10000)*(1+Supuestos!$B$4+$B87/10000)-1)*(1-Supuestos!$B$6)</f>
        <v/>
      </c>
      <c r="H87">
        <f>(1-Supuestos!F$28)*((1+((1+Supuestos!F$26)/(1+Supuestos!$B$4)-1+Supuestos!$B$14*$A87/10000))*(1+Supuestos!$B$4+$B87/10000)-1)+Supuestos!F$28*((1+Supuestos!F$27+$A87/10000)*(1+Supuestos!$B$4+$B87/10000)-1)*(1-Supuestos!$B$6)</f>
        <v/>
      </c>
      <c r="I87">
        <f>(1-Supuestos!G$28)*((1+((1+Supuestos!G$26)/(1+Supuestos!$B$4)-1+Supuestos!$B$14*$A87/10000))*(1+Supuestos!$B$4+$B87/10000)-1)+Supuestos!G$28*((1+Supuestos!G$27+$A87/10000)*(1+Supuestos!$B$4+$B87/10000)-1)*(1-Supuestos!$B$6)</f>
        <v/>
      </c>
      <c r="J87">
        <f>(1-Supuestos!H$28)*((1+((1+Supuestos!H$26)/(1+Supuestos!$B$4)-1+Supuestos!$B$14*$A87/10000))*(1+Supuestos!$B$4+$B87/10000)-1)+Supuestos!H$28*((1+Supuestos!H$27+$A87/10000)*(1+Supuestos!$B$4+$B87/10000)-1)*(1-Supuestos!$B$6)</f>
        <v/>
      </c>
      <c r="K87">
        <f>(1-Supuestos!I$28)*((1+((1+Supuestos!I$26)/(1+Supuestos!$B$4)-1+Supuestos!$B$14*$A87/10000))*(1+Supuestos!$B$4+$B87/10000)-1)+Supuestos!I$28*((1+Supuestos!I$27+$A87/10000)*(1+Supuestos!$B$4+$B87/10000)-1)*(1-Supuestos!$B$6)</f>
        <v/>
      </c>
      <c r="L87">
        <f>(1+E87)^-Supuestos!C$24</f>
        <v/>
      </c>
      <c r="M87">
        <f>L87*(1+F87)^-Supuestos!D$24</f>
        <v/>
      </c>
      <c r="N87">
        <f>M87*(1+G87)^-Supuestos!E$24</f>
        <v/>
      </c>
      <c r="O87">
        <f>N87*(1+H87)^-Supuestos!F$24</f>
        <v/>
      </c>
      <c r="P87">
        <f>O87*(1+I87)^-Supuestos!G$24</f>
        <v/>
      </c>
      <c r="Q87">
        <f>P87*(1+J87)^-Supuestos!H$24</f>
        <v/>
      </c>
      <c r="R87">
        <f>(1+E87)^-(Supuestos!C$24/2)</f>
        <v/>
      </c>
      <c r="S87">
        <f>L87*(1+F87)^-(Supuestos!D$24/2)</f>
        <v/>
      </c>
      <c r="T87">
        <f>M87*(1+G87)^-(Supuestos!E$24/2)</f>
        <v/>
      </c>
      <c r="U87">
        <f>N87*(1+H87)^-(Supuestos!F$24/2)</f>
        <v/>
      </c>
      <c r="V87">
        <f>O87*(1+I87)^-(Supuestos!G$24/2)</f>
        <v/>
      </c>
      <c r="W87">
        <f>P87*(1+J87)^-(Supuestos!H$24/2)</f>
        <v/>
      </c>
      <c r="X87">
        <f>Supuestos!C$23*(1-$C87+$C87*((1+Supuestos!$B$4+$B87/10000)/(1+Supuestos!$B$4))^Supuestos!C$25)</f>
        <v/>
      </c>
      <c r="Y87">
        <f>Supuestos!D$23*(1-$C87+$C87*((1+Supuestos!$B$4+$B87/10000)/(1+Supuestos!$B$4))^Supuestos!D$25)</f>
        <v/>
      </c>
      <c r="Z87">
        <f>Supuestos!E$23*(1-$C87+$C87*((1+Supuestos!$B$4+$B87/10000)/(1+Supuestos!$B$4))^Supuestos!E$25)</f>
        <v/>
      </c>
      <c r="AA87">
        <f>Supuestos!F$23*(1-$C87+$C87*((1+Supuestos!$B$4+$B87/10000)/(1+Supuestos!$B$4))^Supuestos!F$25)</f>
        <v/>
      </c>
      <c r="AB87">
        <f>Supuestos!G$23*(1-$C87+$C87*((1+Supuestos!$B$4+$B87/10000)/(1+Supuestos!$B$4))^Supuestos!G$25)</f>
        <v/>
      </c>
      <c r="AC87">
        <f>Supuestos!H$23*(1-$C87+$C87*((1+Supuestos!$B$4+$B87/10000)/(1+Supuestos!$B$4))^Supuestos!H$25)</f>
        <v/>
      </c>
      <c r="AD87">
        <f>Supuestos!I$23*(1-$C87+$C87*((1+Supuestos!$B$4+$B87/10000)/(1+Supuestos!$B$4))^Supuestos!I$25)</f>
        <v/>
      </c>
      <c r="AE87">
        <f>SUMPRODUCT(X87:AC87,R87:W87)</f>
        <v/>
      </c>
      <c r="AF87">
        <f>(1+Supuestos!$B$5)/(1+Supuestos!$B$4)*(1+Supuestos!$B$4+$B87/10000)-1</f>
        <v/>
      </c>
      <c r="AG87">
        <f>AD87/(K87-AF87)</f>
        <v/>
      </c>
      <c r="AH87">
        <f>AG87*Q87</f>
        <v/>
      </c>
      <c r="AI87">
        <f>(AE87+AH87-Supuestos!$B$7-Supuestos!$B$8)/Supuestos!$B$9</f>
        <v/>
      </c>
      <c r="AJ87">
        <f>AI87/AI$5-1</f>
        <v/>
      </c>
    </row>
    <row r="88">
      <c r="A88" t="n">
        <v>-70</v>
      </c>
      <c r="B88" t="n">
        <v>-30</v>
      </c>
      <c r="C88" t="n">
        <v>0.85</v>
      </c>
      <c r="D88" t="inlineStr">
        <is>
          <t>Mix Δi=-100 θ=0.85</t>
        </is>
      </c>
      <c r="E88">
        <f>(1-Supuestos!C$28)*((1+((1+Supuestos!C$26)/(1+Supuestos!$B$4)-1+Supuestos!$B$14*$A88/10000))*(1+Supuestos!$B$4+$B88/10000)-1)+Supuestos!C$28*((1+Supuestos!C$27+$A88/10000)*(1+Supuestos!$B$4+$B88/10000)-1)*(1-Supuestos!$B$6)</f>
        <v/>
      </c>
      <c r="F88">
        <f>(1-Supuestos!D$28)*((1+((1+Supuestos!D$26)/(1+Supuestos!$B$4)-1+Supuestos!$B$14*$A88/10000))*(1+Supuestos!$B$4+$B88/10000)-1)+Supuestos!D$28*((1+Supuestos!D$27+$A88/10000)*(1+Supuestos!$B$4+$B88/10000)-1)*(1-Supuestos!$B$6)</f>
        <v/>
      </c>
      <c r="G88">
        <f>(1-Supuestos!E$28)*((1+((1+Supuestos!E$26)/(1+Supuestos!$B$4)-1+Supuestos!$B$14*$A88/10000))*(1+Supuestos!$B$4+$B88/10000)-1)+Supuestos!E$28*((1+Supuestos!E$27+$A88/10000)*(1+Supuestos!$B$4+$B88/10000)-1)*(1-Supuestos!$B$6)</f>
        <v/>
      </c>
      <c r="H88">
        <f>(1-Supuestos!F$28)*((1+((1+Supuestos!F$26)/(1+Supuestos!$B$4)-1+Supuestos!$B$14*$A88/10000))*(1+Supuestos!$B$4+$B88/10000)-1)+Supuestos!F$28*((1+Supuestos!F$27+$A88/10000)*(1+Supuestos!$B$4+$B88/10000)-1)*(1-Supuestos!$B$6)</f>
        <v/>
      </c>
      <c r="I88">
        <f>(1-Supuestos!G$28)*((1+((1+Supuestos!G$26)/(1+Supuestos!$B$4)-1+Supuestos!$B$14*$A88/10000))*(1+Supuestos!$B$4+$B88/10000)-1)+Supuestos!G$28*((1+Supuestos!G$27+$A88/10000)*(1+Supuestos!$B$4+$B88/10000)-1)*(1-Supuestos!$B$6)</f>
        <v/>
      </c>
      <c r="J88">
        <f>(1-Supuestos!H$28)*((1+((1+Supuestos!H$26)/(1+Supuestos!$B$4)-1+Supuestos!$B$14*$A88/10000))*(1+Supuestos!$B$4+$B88/10000)-1)+Supuestos!H$28*((1+Supuestos!H$27+$A88/10000)*(1+Supuestos!$B$4+$B88/10000)-1)*(1-Supuestos!$B$6)</f>
        <v/>
      </c>
      <c r="K88">
        <f>(1-Supuestos!I$28)*((1+((1+Supuestos!I$26)/(1+Supuestos!$B$4)-1+Supuestos!$B$14*$A88/10000))*(1+Supuestos!$B$4+$B88/10000)-1)+Supuestos!I$28*((1+Supuestos!I$27+$A88/10000)*(1+Supuestos!$B$4+$B88/10000)-1)*(1-Supuestos!$B$6)</f>
        <v/>
      </c>
      <c r="L88">
        <f>(1+E88)^-Supuestos!C$24</f>
        <v/>
      </c>
      <c r="M88">
        <f>L88*(1+F88)^-Supuestos!D$24</f>
        <v/>
      </c>
      <c r="N88">
        <f>M88*(1+G88)^-Supuestos!E$24</f>
        <v/>
      </c>
      <c r="O88">
        <f>N88*(1+H88)^-Supuestos!F$24</f>
        <v/>
      </c>
      <c r="P88">
        <f>O88*(1+I88)^-Supuestos!G$24</f>
        <v/>
      </c>
      <c r="Q88">
        <f>P88*(1+J88)^-Supuestos!H$24</f>
        <v/>
      </c>
      <c r="R88">
        <f>(1+E88)^-(Supuestos!C$24/2)</f>
        <v/>
      </c>
      <c r="S88">
        <f>L88*(1+F88)^-(Supuestos!D$24/2)</f>
        <v/>
      </c>
      <c r="T88">
        <f>M88*(1+G88)^-(Supuestos!E$24/2)</f>
        <v/>
      </c>
      <c r="U88">
        <f>N88*(1+H88)^-(Supuestos!F$24/2)</f>
        <v/>
      </c>
      <c r="V88">
        <f>O88*(1+I88)^-(Supuestos!G$24/2)</f>
        <v/>
      </c>
      <c r="W88">
        <f>P88*(1+J88)^-(Supuestos!H$24/2)</f>
        <v/>
      </c>
      <c r="X88">
        <f>Supuestos!C$23*(1-$C88+$C88*((1+Supuestos!$B$4+$B88/10000)/(1+Supuestos!$B$4))^Supuestos!C$25)</f>
        <v/>
      </c>
      <c r="Y88">
        <f>Supuestos!D$23*(1-$C88+$C88*((1+Supuestos!$B$4+$B88/10000)/(1+Supuestos!$B$4))^Supuestos!D$25)</f>
        <v/>
      </c>
      <c r="Z88">
        <f>Supuestos!E$23*(1-$C88+$C88*((1+Supuestos!$B$4+$B88/10000)/(1+Supuestos!$B$4))^Supuestos!E$25)</f>
        <v/>
      </c>
      <c r="AA88">
        <f>Supuestos!F$23*(1-$C88+$C88*((1+Supuestos!$B$4+$B88/10000)/(1+Supuestos!$B$4))^Supuestos!F$25)</f>
        <v/>
      </c>
      <c r="AB88">
        <f>Supuestos!G$23*(1-$C88+$C88*((1+Supuestos!$B$4+$B88/10000)/(1+Supuestos!$B$4))^Supuestos!G$25)</f>
        <v/>
      </c>
      <c r="AC88">
        <f>Supuestos!H$23*(1-$C88+$C88*((1+Supuestos!$B$4+$B88/10000)/(1+Supuestos!$B$4))^Supuestos!H$25)</f>
        <v/>
      </c>
      <c r="AD88">
        <f>Supuestos!I$23*(1-$C88+$C88*((1+Supuestos!$B$4+$B88/10000)/(1+Supuestos!$B$4))^Supuestos!I$25)</f>
        <v/>
      </c>
      <c r="AE88">
        <f>SUMPRODUCT(X88:AC88,R88:W88)</f>
        <v/>
      </c>
      <c r="AF88">
        <f>(1+Supuestos!$B$5)/(1+Supuestos!$B$4)*(1+Supuestos!$B$4+$B88/10000)-1</f>
        <v/>
      </c>
      <c r="AG88">
        <f>AD88/(K88-AF88)</f>
        <v/>
      </c>
      <c r="AH88">
        <f>AG88*Q88</f>
        <v/>
      </c>
      <c r="AI88">
        <f>(AE88+AH88-Supuestos!$B$7-Supuestos!$B$8)/Supuestos!$B$9</f>
        <v/>
      </c>
      <c r="AJ88">
        <f>AI88/AI$5-1</f>
        <v/>
      </c>
    </row>
    <row r="89">
      <c r="A89" t="n">
        <v>-60</v>
      </c>
      <c r="B89" t="n">
        <v>-40</v>
      </c>
      <c r="C89" t="n">
        <v>0.85</v>
      </c>
      <c r="D89" t="inlineStr">
        <is>
          <t>Mix Δi=-100 θ=0.85</t>
        </is>
      </c>
      <c r="E89">
        <f>(1-Supuestos!C$28)*((1+((1+Supuestos!C$26)/(1+Supuestos!$B$4)-1+Supuestos!$B$14*$A89/10000))*(1+Supuestos!$B$4+$B89/10000)-1)+Supuestos!C$28*((1+Supuestos!C$27+$A89/10000)*(1+Supuestos!$B$4+$B89/10000)-1)*(1-Supuestos!$B$6)</f>
        <v/>
      </c>
      <c r="F89">
        <f>(1-Supuestos!D$28)*((1+((1+Supuestos!D$26)/(1+Supuestos!$B$4)-1+Supuestos!$B$14*$A89/10000))*(1+Supuestos!$B$4+$B89/10000)-1)+Supuestos!D$28*((1+Supuestos!D$27+$A89/10000)*(1+Supuestos!$B$4+$B89/10000)-1)*(1-Supuestos!$B$6)</f>
        <v/>
      </c>
      <c r="G89">
        <f>(1-Supuestos!E$28)*((1+((1+Supuestos!E$26)/(1+Supuestos!$B$4)-1+Supuestos!$B$14*$A89/10000))*(1+Supuestos!$B$4+$B89/10000)-1)+Supuestos!E$28*((1+Supuestos!E$27+$A89/10000)*(1+Supuestos!$B$4+$B89/10000)-1)*(1-Supuestos!$B$6)</f>
        <v/>
      </c>
      <c r="H89">
        <f>(1-Supuestos!F$28)*((1+((1+Supuestos!F$26)/(1+Supuestos!$B$4)-1+Supuestos!$B$14*$A89/10000))*(1+Supuestos!$B$4+$B89/10000)-1)+Supuestos!F$28*((1+Supuestos!F$27+$A89/10000)*(1+Supuestos!$B$4+$B89/10000)-1)*(1-Supuestos!$B$6)</f>
        <v/>
      </c>
      <c r="I89">
        <f>(1-Supuestos!G$28)*((1+((1+Supuestos!G$26)/(1+Supuestos!$B$4)-1+Supuestos!$B$14*$A89/10000))*(1+Supuestos!$B$4+$B89/10000)-1)+Supuestos!G$28*((1+Supuestos!G$27+$A89/10000)*(1+Supuestos!$B$4+$B89/10000)-1)*(1-Supuestos!$B$6)</f>
        <v/>
      </c>
      <c r="J89">
        <f>(1-Supuestos!H$28)*((1+((1+Supuestos!H$26)/(1+Supuestos!$B$4)-1+Supuestos!$B$14*$A89/10000))*(1+Supuestos!$B$4+$B89/10000)-1)+Supuestos!H$28*((1+Supuestos!H$27+$A89/10000)*(1+Supuestos!$B$4+$B89/10000)-1)*(1-Supuestos!$B$6)</f>
        <v/>
      </c>
      <c r="K89">
        <f>(1-Supuestos!I$28)*((1+((1+Supuestos!I$26)/(1+Supuestos!$B$4)-1+Supuestos!$B$14*$A89/10000))*(1+Supuestos!$B$4+$B89/10000)-1)+Supuestos!I$28*((1+Supuestos!I$27+$A89/10000)*(1+Supuestos!$B$4+$B89/10000)-1)*(1-Supuestos!$B$6)</f>
        <v/>
      </c>
      <c r="L89">
        <f>(1+E89)^-Supuestos!C$24</f>
        <v/>
      </c>
      <c r="M89">
        <f>L89*(1+F89)^-Supuestos!D$24</f>
        <v/>
      </c>
      <c r="N89">
        <f>M89*(1+G89)^-Supuestos!E$24</f>
        <v/>
      </c>
      <c r="O89">
        <f>N89*(1+H89)^-Supuestos!F$24</f>
        <v/>
      </c>
      <c r="P89">
        <f>O89*(1+I89)^-Supuestos!G$24</f>
        <v/>
      </c>
      <c r="Q89">
        <f>P89*(1+J89)^-Supuestos!H$24</f>
        <v/>
      </c>
      <c r="R89">
        <f>(1+E89)^-(Supuestos!C$24/2)</f>
        <v/>
      </c>
      <c r="S89">
        <f>L89*(1+F89)^-(Supuestos!D$24/2)</f>
        <v/>
      </c>
      <c r="T89">
        <f>M89*(1+G89)^-(Supuestos!E$24/2)</f>
        <v/>
      </c>
      <c r="U89">
        <f>N89*(1+H89)^-(Supuestos!F$24/2)</f>
        <v/>
      </c>
      <c r="V89">
        <f>O89*(1+I89)^-(Supuestos!G$24/2)</f>
        <v/>
      </c>
      <c r="W89">
        <f>P89*(1+J89)^-(Supuestos!H$24/2)</f>
        <v/>
      </c>
      <c r="X89">
        <f>Supuestos!C$23*(1-$C89+$C89*((1+Supuestos!$B$4+$B89/10000)/(1+Supuestos!$B$4))^Supuestos!C$25)</f>
        <v/>
      </c>
      <c r="Y89">
        <f>Supuestos!D$23*(1-$C89+$C89*((1+Supuestos!$B$4+$B89/10000)/(1+Supuestos!$B$4))^Supuestos!D$25)</f>
        <v/>
      </c>
      <c r="Z89">
        <f>Supuestos!E$23*(1-$C89+$C89*((1+Supuestos!$B$4+$B89/10000)/(1+Supuestos!$B$4))^Supuestos!E$25)</f>
        <v/>
      </c>
      <c r="AA89">
        <f>Supuestos!F$23*(1-$C89+$C89*((1+Supuestos!$B$4+$B89/10000)/(1+Supuestos!$B$4))^Supuestos!F$25)</f>
        <v/>
      </c>
      <c r="AB89">
        <f>Supuestos!G$23*(1-$C89+$C89*((1+Supuestos!$B$4+$B89/10000)/(1+Supuestos!$B$4))^Supuestos!G$25)</f>
        <v/>
      </c>
      <c r="AC89">
        <f>Supuestos!H$23*(1-$C89+$C89*((1+Supuestos!$B$4+$B89/10000)/(1+Supuestos!$B$4))^Supuestos!H$25)</f>
        <v/>
      </c>
      <c r="AD89">
        <f>Supuestos!I$23*(1-$C89+$C89*((1+Supuestos!$B$4+$B89/10000)/(1+Supuestos!$B$4))^Supuestos!I$25)</f>
        <v/>
      </c>
      <c r="AE89">
        <f>SUMPRODUCT(X89:AC89,R89:W89)</f>
        <v/>
      </c>
      <c r="AF89">
        <f>(1+Supuestos!$B$5)/(1+Supuestos!$B$4)*(1+Supuestos!$B$4+$B89/10000)-1</f>
        <v/>
      </c>
      <c r="AG89">
        <f>AD89/(K89-AF89)</f>
        <v/>
      </c>
      <c r="AH89">
        <f>AG89*Q89</f>
        <v/>
      </c>
      <c r="AI89">
        <f>(AE89+AH89-Supuestos!$B$7-Supuestos!$B$8)/Supuestos!$B$9</f>
        <v/>
      </c>
      <c r="AJ89">
        <f>AI89/AI$5-1</f>
        <v/>
      </c>
    </row>
    <row r="90">
      <c r="A90" t="n">
        <v>-50</v>
      </c>
      <c r="B90" t="n">
        <v>-50</v>
      </c>
      <c r="C90" t="n">
        <v>0.85</v>
      </c>
      <c r="D90" t="inlineStr">
        <is>
          <t>Mix Δi=-100 θ=0.85</t>
        </is>
      </c>
      <c r="E90">
        <f>(1-Supuestos!C$28)*((1+((1+Supuestos!C$26)/(1+Supuestos!$B$4)-1+Supuestos!$B$14*$A90/10000))*(1+Supuestos!$B$4+$B90/10000)-1)+Supuestos!C$28*((1+Supuestos!C$27+$A90/10000)*(1+Supuestos!$B$4+$B90/10000)-1)*(1-Supuestos!$B$6)</f>
        <v/>
      </c>
      <c r="F90">
        <f>(1-Supuestos!D$28)*((1+((1+Supuestos!D$26)/(1+Supuestos!$B$4)-1+Supuestos!$B$14*$A90/10000))*(1+Supuestos!$B$4+$B90/10000)-1)+Supuestos!D$28*((1+Supuestos!D$27+$A90/10000)*(1+Supuestos!$B$4+$B90/10000)-1)*(1-Supuestos!$B$6)</f>
        <v/>
      </c>
      <c r="G90">
        <f>(1-Supuestos!E$28)*((1+((1+Supuestos!E$26)/(1+Supuestos!$B$4)-1+Supuestos!$B$14*$A90/10000))*(1+Supuestos!$B$4+$B90/10000)-1)+Supuestos!E$28*((1+Supuestos!E$27+$A90/10000)*(1+Supuestos!$B$4+$B90/10000)-1)*(1-Supuestos!$B$6)</f>
        <v/>
      </c>
      <c r="H90">
        <f>(1-Supuestos!F$28)*((1+((1+Supuestos!F$26)/(1+Supuestos!$B$4)-1+Supuestos!$B$14*$A90/10000))*(1+Supuestos!$B$4+$B90/10000)-1)+Supuestos!F$28*((1+Supuestos!F$27+$A90/10000)*(1+Supuestos!$B$4+$B90/10000)-1)*(1-Supuestos!$B$6)</f>
        <v/>
      </c>
      <c r="I90">
        <f>(1-Supuestos!G$28)*((1+((1+Supuestos!G$26)/(1+Supuestos!$B$4)-1+Supuestos!$B$14*$A90/10000))*(1+Supuestos!$B$4+$B90/10000)-1)+Supuestos!G$28*((1+Supuestos!G$27+$A90/10000)*(1+Supuestos!$B$4+$B90/10000)-1)*(1-Supuestos!$B$6)</f>
        <v/>
      </c>
      <c r="J90">
        <f>(1-Supuestos!H$28)*((1+((1+Supuestos!H$26)/(1+Supuestos!$B$4)-1+Supuestos!$B$14*$A90/10000))*(1+Supuestos!$B$4+$B90/10000)-1)+Supuestos!H$28*((1+Supuestos!H$27+$A90/10000)*(1+Supuestos!$B$4+$B90/10000)-1)*(1-Supuestos!$B$6)</f>
        <v/>
      </c>
      <c r="K90">
        <f>(1-Supuestos!I$28)*((1+((1+Supuestos!I$26)/(1+Supuestos!$B$4)-1+Supuestos!$B$14*$A90/10000))*(1+Supuestos!$B$4+$B90/10000)-1)+Supuestos!I$28*((1+Supuestos!I$27+$A90/10000)*(1+Supuestos!$B$4+$B90/10000)-1)*(1-Supuestos!$B$6)</f>
        <v/>
      </c>
      <c r="L90">
        <f>(1+E90)^-Supuestos!C$24</f>
        <v/>
      </c>
      <c r="M90">
        <f>L90*(1+F90)^-Supuestos!D$24</f>
        <v/>
      </c>
      <c r="N90">
        <f>M90*(1+G90)^-Supuestos!E$24</f>
        <v/>
      </c>
      <c r="O90">
        <f>N90*(1+H90)^-Supuestos!F$24</f>
        <v/>
      </c>
      <c r="P90">
        <f>O90*(1+I90)^-Supuestos!G$24</f>
        <v/>
      </c>
      <c r="Q90">
        <f>P90*(1+J90)^-Supuestos!H$24</f>
        <v/>
      </c>
      <c r="R90">
        <f>(1+E90)^-(Supuestos!C$24/2)</f>
        <v/>
      </c>
      <c r="S90">
        <f>L90*(1+F90)^-(Supuestos!D$24/2)</f>
        <v/>
      </c>
      <c r="T90">
        <f>M90*(1+G90)^-(Supuestos!E$24/2)</f>
        <v/>
      </c>
      <c r="U90">
        <f>N90*(1+H90)^-(Supuestos!F$24/2)</f>
        <v/>
      </c>
      <c r="V90">
        <f>O90*(1+I90)^-(Supuestos!G$24/2)</f>
        <v/>
      </c>
      <c r="W90">
        <f>P90*(1+J90)^-(Supuestos!H$24/2)</f>
        <v/>
      </c>
      <c r="X90">
        <f>Supuestos!C$23*(1-$C90+$C90*((1+Supuestos!$B$4+$B90/10000)/(1+Supuestos!$B$4))^Supuestos!C$25)</f>
        <v/>
      </c>
      <c r="Y90">
        <f>Supuestos!D$23*(1-$C90+$C90*((1+Supuestos!$B$4+$B90/10000)/(1+Supuestos!$B$4))^Supuestos!D$25)</f>
        <v/>
      </c>
      <c r="Z90">
        <f>Supuestos!E$23*(1-$C90+$C90*((1+Supuestos!$B$4+$B90/10000)/(1+Supuestos!$B$4))^Supuestos!E$25)</f>
        <v/>
      </c>
      <c r="AA90">
        <f>Supuestos!F$23*(1-$C90+$C90*((1+Supuestos!$B$4+$B90/10000)/(1+Supuestos!$B$4))^Supuestos!F$25)</f>
        <v/>
      </c>
      <c r="AB90">
        <f>Supuestos!G$23*(1-$C90+$C90*((1+Supuestos!$B$4+$B90/10000)/(1+Supuestos!$B$4))^Supuestos!G$25)</f>
        <v/>
      </c>
      <c r="AC90">
        <f>Supuestos!H$23*(1-$C90+$C90*((1+Supuestos!$B$4+$B90/10000)/(1+Supuestos!$B$4))^Supuestos!H$25)</f>
        <v/>
      </c>
      <c r="AD90">
        <f>Supuestos!I$23*(1-$C90+$C90*((1+Supuestos!$B$4+$B90/10000)/(1+Supuestos!$B$4))^Supuestos!I$25)</f>
        <v/>
      </c>
      <c r="AE90">
        <f>SUMPRODUCT(X90:AC90,R90:W90)</f>
        <v/>
      </c>
      <c r="AF90">
        <f>(1+Supuestos!$B$5)/(1+Supuestos!$B$4)*(1+Supuestos!$B$4+$B90/10000)-1</f>
        <v/>
      </c>
      <c r="AG90">
        <f>AD90/(K90-AF90)</f>
        <v/>
      </c>
      <c r="AH90">
        <f>AG90*Q90</f>
        <v/>
      </c>
      <c r="AI90">
        <f>(AE90+AH90-Supuestos!$B$7-Supuestos!$B$8)/Supuestos!$B$9</f>
        <v/>
      </c>
      <c r="AJ90">
        <f>AI90/AI$5-1</f>
        <v/>
      </c>
    </row>
    <row r="91">
      <c r="A91" t="n">
        <v>-40</v>
      </c>
      <c r="B91" t="n">
        <v>-60</v>
      </c>
      <c r="C91" t="n">
        <v>0.85</v>
      </c>
      <c r="D91" t="inlineStr">
        <is>
          <t>Mix Δi=-100 θ=0.85</t>
        </is>
      </c>
      <c r="E91">
        <f>(1-Supuestos!C$28)*((1+((1+Supuestos!C$26)/(1+Supuestos!$B$4)-1+Supuestos!$B$14*$A91/10000))*(1+Supuestos!$B$4+$B91/10000)-1)+Supuestos!C$28*((1+Supuestos!C$27+$A91/10000)*(1+Supuestos!$B$4+$B91/10000)-1)*(1-Supuestos!$B$6)</f>
        <v/>
      </c>
      <c r="F91">
        <f>(1-Supuestos!D$28)*((1+((1+Supuestos!D$26)/(1+Supuestos!$B$4)-1+Supuestos!$B$14*$A91/10000))*(1+Supuestos!$B$4+$B91/10000)-1)+Supuestos!D$28*((1+Supuestos!D$27+$A91/10000)*(1+Supuestos!$B$4+$B91/10000)-1)*(1-Supuestos!$B$6)</f>
        <v/>
      </c>
      <c r="G91">
        <f>(1-Supuestos!E$28)*((1+((1+Supuestos!E$26)/(1+Supuestos!$B$4)-1+Supuestos!$B$14*$A91/10000))*(1+Supuestos!$B$4+$B91/10000)-1)+Supuestos!E$28*((1+Supuestos!E$27+$A91/10000)*(1+Supuestos!$B$4+$B91/10000)-1)*(1-Supuestos!$B$6)</f>
        <v/>
      </c>
      <c r="H91">
        <f>(1-Supuestos!F$28)*((1+((1+Supuestos!F$26)/(1+Supuestos!$B$4)-1+Supuestos!$B$14*$A91/10000))*(1+Supuestos!$B$4+$B91/10000)-1)+Supuestos!F$28*((1+Supuestos!F$27+$A91/10000)*(1+Supuestos!$B$4+$B91/10000)-1)*(1-Supuestos!$B$6)</f>
        <v/>
      </c>
      <c r="I91">
        <f>(1-Supuestos!G$28)*((1+((1+Supuestos!G$26)/(1+Supuestos!$B$4)-1+Supuestos!$B$14*$A91/10000))*(1+Supuestos!$B$4+$B91/10000)-1)+Supuestos!G$28*((1+Supuestos!G$27+$A91/10000)*(1+Supuestos!$B$4+$B91/10000)-1)*(1-Supuestos!$B$6)</f>
        <v/>
      </c>
      <c r="J91">
        <f>(1-Supuestos!H$28)*((1+((1+Supuestos!H$26)/(1+Supuestos!$B$4)-1+Supuestos!$B$14*$A91/10000))*(1+Supuestos!$B$4+$B91/10000)-1)+Supuestos!H$28*((1+Supuestos!H$27+$A91/10000)*(1+Supuestos!$B$4+$B91/10000)-1)*(1-Supuestos!$B$6)</f>
        <v/>
      </c>
      <c r="K91">
        <f>(1-Supuestos!I$28)*((1+((1+Supuestos!I$26)/(1+Supuestos!$B$4)-1+Supuestos!$B$14*$A91/10000))*(1+Supuestos!$B$4+$B91/10000)-1)+Supuestos!I$28*((1+Supuestos!I$27+$A91/10000)*(1+Supuestos!$B$4+$B91/10000)-1)*(1-Supuestos!$B$6)</f>
        <v/>
      </c>
      <c r="L91">
        <f>(1+E91)^-Supuestos!C$24</f>
        <v/>
      </c>
      <c r="M91">
        <f>L91*(1+F91)^-Supuestos!D$24</f>
        <v/>
      </c>
      <c r="N91">
        <f>M91*(1+G91)^-Supuestos!E$24</f>
        <v/>
      </c>
      <c r="O91">
        <f>N91*(1+H91)^-Supuestos!F$24</f>
        <v/>
      </c>
      <c r="P91">
        <f>O91*(1+I91)^-Supuestos!G$24</f>
        <v/>
      </c>
      <c r="Q91">
        <f>P91*(1+J91)^-Supuestos!H$24</f>
        <v/>
      </c>
      <c r="R91">
        <f>(1+E91)^-(Supuestos!C$24/2)</f>
        <v/>
      </c>
      <c r="S91">
        <f>L91*(1+F91)^-(Supuestos!D$24/2)</f>
        <v/>
      </c>
      <c r="T91">
        <f>M91*(1+G91)^-(Supuestos!E$24/2)</f>
        <v/>
      </c>
      <c r="U91">
        <f>N91*(1+H91)^-(Supuestos!F$24/2)</f>
        <v/>
      </c>
      <c r="V91">
        <f>O91*(1+I91)^-(Supuestos!G$24/2)</f>
        <v/>
      </c>
      <c r="W91">
        <f>P91*(1+J91)^-(Supuestos!H$24/2)</f>
        <v/>
      </c>
      <c r="X91">
        <f>Supuestos!C$23*(1-$C91+$C91*((1+Supuestos!$B$4+$B91/10000)/(1+Supuestos!$B$4))^Supuestos!C$25)</f>
        <v/>
      </c>
      <c r="Y91">
        <f>Supuestos!D$23*(1-$C91+$C91*((1+Supuestos!$B$4+$B91/10000)/(1+Supuestos!$B$4))^Supuestos!D$25)</f>
        <v/>
      </c>
      <c r="Z91">
        <f>Supuestos!E$23*(1-$C91+$C91*((1+Supuestos!$B$4+$B91/10000)/(1+Supuestos!$B$4))^Supuestos!E$25)</f>
        <v/>
      </c>
      <c r="AA91">
        <f>Supuestos!F$23*(1-$C91+$C91*((1+Supuestos!$B$4+$B91/10000)/(1+Supuestos!$B$4))^Supuestos!F$25)</f>
        <v/>
      </c>
      <c r="AB91">
        <f>Supuestos!G$23*(1-$C91+$C91*((1+Supuestos!$B$4+$B91/10000)/(1+Supuestos!$B$4))^Supuestos!G$25)</f>
        <v/>
      </c>
      <c r="AC91">
        <f>Supuestos!H$23*(1-$C91+$C91*((1+Supuestos!$B$4+$B91/10000)/(1+Supuestos!$B$4))^Supuestos!H$25)</f>
        <v/>
      </c>
      <c r="AD91">
        <f>Supuestos!I$23*(1-$C91+$C91*((1+Supuestos!$B$4+$B91/10000)/(1+Supuestos!$B$4))^Supuestos!I$25)</f>
        <v/>
      </c>
      <c r="AE91">
        <f>SUMPRODUCT(X91:AC91,R91:W91)</f>
        <v/>
      </c>
      <c r="AF91">
        <f>(1+Supuestos!$B$5)/(1+Supuestos!$B$4)*(1+Supuestos!$B$4+$B91/10000)-1</f>
        <v/>
      </c>
      <c r="AG91">
        <f>AD91/(K91-AF91)</f>
        <v/>
      </c>
      <c r="AH91">
        <f>AG91*Q91</f>
        <v/>
      </c>
      <c r="AI91">
        <f>(AE91+AH91-Supuestos!$B$7-Supuestos!$B$8)/Supuestos!$B$9</f>
        <v/>
      </c>
      <c r="AJ91">
        <f>AI91/AI$5-1</f>
        <v/>
      </c>
    </row>
    <row r="92">
      <c r="A92" t="n">
        <v>-30</v>
      </c>
      <c r="B92" t="n">
        <v>-70</v>
      </c>
      <c r="C92" t="n">
        <v>0.85</v>
      </c>
      <c r="D92" t="inlineStr">
        <is>
          <t>Mix Δi=-100 θ=0.85</t>
        </is>
      </c>
      <c r="E92">
        <f>(1-Supuestos!C$28)*((1+((1+Supuestos!C$26)/(1+Supuestos!$B$4)-1+Supuestos!$B$14*$A92/10000))*(1+Supuestos!$B$4+$B92/10000)-1)+Supuestos!C$28*((1+Supuestos!C$27+$A92/10000)*(1+Supuestos!$B$4+$B92/10000)-1)*(1-Supuestos!$B$6)</f>
        <v/>
      </c>
      <c r="F92">
        <f>(1-Supuestos!D$28)*((1+((1+Supuestos!D$26)/(1+Supuestos!$B$4)-1+Supuestos!$B$14*$A92/10000))*(1+Supuestos!$B$4+$B92/10000)-1)+Supuestos!D$28*((1+Supuestos!D$27+$A92/10000)*(1+Supuestos!$B$4+$B92/10000)-1)*(1-Supuestos!$B$6)</f>
        <v/>
      </c>
      <c r="G92">
        <f>(1-Supuestos!E$28)*((1+((1+Supuestos!E$26)/(1+Supuestos!$B$4)-1+Supuestos!$B$14*$A92/10000))*(1+Supuestos!$B$4+$B92/10000)-1)+Supuestos!E$28*((1+Supuestos!E$27+$A92/10000)*(1+Supuestos!$B$4+$B92/10000)-1)*(1-Supuestos!$B$6)</f>
        <v/>
      </c>
      <c r="H92">
        <f>(1-Supuestos!F$28)*((1+((1+Supuestos!F$26)/(1+Supuestos!$B$4)-1+Supuestos!$B$14*$A92/10000))*(1+Supuestos!$B$4+$B92/10000)-1)+Supuestos!F$28*((1+Supuestos!F$27+$A92/10000)*(1+Supuestos!$B$4+$B92/10000)-1)*(1-Supuestos!$B$6)</f>
        <v/>
      </c>
      <c r="I92">
        <f>(1-Supuestos!G$28)*((1+((1+Supuestos!G$26)/(1+Supuestos!$B$4)-1+Supuestos!$B$14*$A92/10000))*(1+Supuestos!$B$4+$B92/10000)-1)+Supuestos!G$28*((1+Supuestos!G$27+$A92/10000)*(1+Supuestos!$B$4+$B92/10000)-1)*(1-Supuestos!$B$6)</f>
        <v/>
      </c>
      <c r="J92">
        <f>(1-Supuestos!H$28)*((1+((1+Supuestos!H$26)/(1+Supuestos!$B$4)-1+Supuestos!$B$14*$A92/10000))*(1+Supuestos!$B$4+$B92/10000)-1)+Supuestos!H$28*((1+Supuestos!H$27+$A92/10000)*(1+Supuestos!$B$4+$B92/10000)-1)*(1-Supuestos!$B$6)</f>
        <v/>
      </c>
      <c r="K92">
        <f>(1-Supuestos!I$28)*((1+((1+Supuestos!I$26)/(1+Supuestos!$B$4)-1+Supuestos!$B$14*$A92/10000))*(1+Supuestos!$B$4+$B92/10000)-1)+Supuestos!I$28*((1+Supuestos!I$27+$A92/10000)*(1+Supuestos!$B$4+$B92/10000)-1)*(1-Supuestos!$B$6)</f>
        <v/>
      </c>
      <c r="L92">
        <f>(1+E92)^-Supuestos!C$24</f>
        <v/>
      </c>
      <c r="M92">
        <f>L92*(1+F92)^-Supuestos!D$24</f>
        <v/>
      </c>
      <c r="N92">
        <f>M92*(1+G92)^-Supuestos!E$24</f>
        <v/>
      </c>
      <c r="O92">
        <f>N92*(1+H92)^-Supuestos!F$24</f>
        <v/>
      </c>
      <c r="P92">
        <f>O92*(1+I92)^-Supuestos!G$24</f>
        <v/>
      </c>
      <c r="Q92">
        <f>P92*(1+J92)^-Supuestos!H$24</f>
        <v/>
      </c>
      <c r="R92">
        <f>(1+E92)^-(Supuestos!C$24/2)</f>
        <v/>
      </c>
      <c r="S92">
        <f>L92*(1+F92)^-(Supuestos!D$24/2)</f>
        <v/>
      </c>
      <c r="T92">
        <f>M92*(1+G92)^-(Supuestos!E$24/2)</f>
        <v/>
      </c>
      <c r="U92">
        <f>N92*(1+H92)^-(Supuestos!F$24/2)</f>
        <v/>
      </c>
      <c r="V92">
        <f>O92*(1+I92)^-(Supuestos!G$24/2)</f>
        <v/>
      </c>
      <c r="W92">
        <f>P92*(1+J92)^-(Supuestos!H$24/2)</f>
        <v/>
      </c>
      <c r="X92">
        <f>Supuestos!C$23*(1-$C92+$C92*((1+Supuestos!$B$4+$B92/10000)/(1+Supuestos!$B$4))^Supuestos!C$25)</f>
        <v/>
      </c>
      <c r="Y92">
        <f>Supuestos!D$23*(1-$C92+$C92*((1+Supuestos!$B$4+$B92/10000)/(1+Supuestos!$B$4))^Supuestos!D$25)</f>
        <v/>
      </c>
      <c r="Z92">
        <f>Supuestos!E$23*(1-$C92+$C92*((1+Supuestos!$B$4+$B92/10000)/(1+Supuestos!$B$4))^Supuestos!E$25)</f>
        <v/>
      </c>
      <c r="AA92">
        <f>Supuestos!F$23*(1-$C92+$C92*((1+Supuestos!$B$4+$B92/10000)/(1+Supuestos!$B$4))^Supuestos!F$25)</f>
        <v/>
      </c>
      <c r="AB92">
        <f>Supuestos!G$23*(1-$C92+$C92*((1+Supuestos!$B$4+$B92/10000)/(1+Supuestos!$B$4))^Supuestos!G$25)</f>
        <v/>
      </c>
      <c r="AC92">
        <f>Supuestos!H$23*(1-$C92+$C92*((1+Supuestos!$B$4+$B92/10000)/(1+Supuestos!$B$4))^Supuestos!H$25)</f>
        <v/>
      </c>
      <c r="AD92">
        <f>Supuestos!I$23*(1-$C92+$C92*((1+Supuestos!$B$4+$B92/10000)/(1+Supuestos!$B$4))^Supuestos!I$25)</f>
        <v/>
      </c>
      <c r="AE92">
        <f>SUMPRODUCT(X92:AC92,R92:W92)</f>
        <v/>
      </c>
      <c r="AF92">
        <f>(1+Supuestos!$B$5)/(1+Supuestos!$B$4)*(1+Supuestos!$B$4+$B92/10000)-1</f>
        <v/>
      </c>
      <c r="AG92">
        <f>AD92/(K92-AF92)</f>
        <v/>
      </c>
      <c r="AH92">
        <f>AG92*Q92</f>
        <v/>
      </c>
      <c r="AI92">
        <f>(AE92+AH92-Supuestos!$B$7-Supuestos!$B$8)/Supuestos!$B$9</f>
        <v/>
      </c>
      <c r="AJ92">
        <f>AI92/AI$5-1</f>
        <v/>
      </c>
    </row>
    <row r="93">
      <c r="A93" t="n">
        <v>-20</v>
      </c>
      <c r="B93" t="n">
        <v>-80</v>
      </c>
      <c r="C93" t="n">
        <v>0.85</v>
      </c>
      <c r="D93" t="inlineStr">
        <is>
          <t>Mix Δi=-100 θ=0.85</t>
        </is>
      </c>
      <c r="E93">
        <f>(1-Supuestos!C$28)*((1+((1+Supuestos!C$26)/(1+Supuestos!$B$4)-1+Supuestos!$B$14*$A93/10000))*(1+Supuestos!$B$4+$B93/10000)-1)+Supuestos!C$28*((1+Supuestos!C$27+$A93/10000)*(1+Supuestos!$B$4+$B93/10000)-1)*(1-Supuestos!$B$6)</f>
        <v/>
      </c>
      <c r="F93">
        <f>(1-Supuestos!D$28)*((1+((1+Supuestos!D$26)/(1+Supuestos!$B$4)-1+Supuestos!$B$14*$A93/10000))*(1+Supuestos!$B$4+$B93/10000)-1)+Supuestos!D$28*((1+Supuestos!D$27+$A93/10000)*(1+Supuestos!$B$4+$B93/10000)-1)*(1-Supuestos!$B$6)</f>
        <v/>
      </c>
      <c r="G93">
        <f>(1-Supuestos!E$28)*((1+((1+Supuestos!E$26)/(1+Supuestos!$B$4)-1+Supuestos!$B$14*$A93/10000))*(1+Supuestos!$B$4+$B93/10000)-1)+Supuestos!E$28*((1+Supuestos!E$27+$A93/10000)*(1+Supuestos!$B$4+$B93/10000)-1)*(1-Supuestos!$B$6)</f>
        <v/>
      </c>
      <c r="H93">
        <f>(1-Supuestos!F$28)*((1+((1+Supuestos!F$26)/(1+Supuestos!$B$4)-1+Supuestos!$B$14*$A93/10000))*(1+Supuestos!$B$4+$B93/10000)-1)+Supuestos!F$28*((1+Supuestos!F$27+$A93/10000)*(1+Supuestos!$B$4+$B93/10000)-1)*(1-Supuestos!$B$6)</f>
        <v/>
      </c>
      <c r="I93">
        <f>(1-Supuestos!G$28)*((1+((1+Supuestos!G$26)/(1+Supuestos!$B$4)-1+Supuestos!$B$14*$A93/10000))*(1+Supuestos!$B$4+$B93/10000)-1)+Supuestos!G$28*((1+Supuestos!G$27+$A93/10000)*(1+Supuestos!$B$4+$B93/10000)-1)*(1-Supuestos!$B$6)</f>
        <v/>
      </c>
      <c r="J93">
        <f>(1-Supuestos!H$28)*((1+((1+Supuestos!H$26)/(1+Supuestos!$B$4)-1+Supuestos!$B$14*$A93/10000))*(1+Supuestos!$B$4+$B93/10000)-1)+Supuestos!H$28*((1+Supuestos!H$27+$A93/10000)*(1+Supuestos!$B$4+$B93/10000)-1)*(1-Supuestos!$B$6)</f>
        <v/>
      </c>
      <c r="K93">
        <f>(1-Supuestos!I$28)*((1+((1+Supuestos!I$26)/(1+Supuestos!$B$4)-1+Supuestos!$B$14*$A93/10000))*(1+Supuestos!$B$4+$B93/10000)-1)+Supuestos!I$28*((1+Supuestos!I$27+$A93/10000)*(1+Supuestos!$B$4+$B93/10000)-1)*(1-Supuestos!$B$6)</f>
        <v/>
      </c>
      <c r="L93">
        <f>(1+E93)^-Supuestos!C$24</f>
        <v/>
      </c>
      <c r="M93">
        <f>L93*(1+F93)^-Supuestos!D$24</f>
        <v/>
      </c>
      <c r="N93">
        <f>M93*(1+G93)^-Supuestos!E$24</f>
        <v/>
      </c>
      <c r="O93">
        <f>N93*(1+H93)^-Supuestos!F$24</f>
        <v/>
      </c>
      <c r="P93">
        <f>O93*(1+I93)^-Supuestos!G$24</f>
        <v/>
      </c>
      <c r="Q93">
        <f>P93*(1+J93)^-Supuestos!H$24</f>
        <v/>
      </c>
      <c r="R93">
        <f>(1+E93)^-(Supuestos!C$24/2)</f>
        <v/>
      </c>
      <c r="S93">
        <f>L93*(1+F93)^-(Supuestos!D$24/2)</f>
        <v/>
      </c>
      <c r="T93">
        <f>M93*(1+G93)^-(Supuestos!E$24/2)</f>
        <v/>
      </c>
      <c r="U93">
        <f>N93*(1+H93)^-(Supuestos!F$24/2)</f>
        <v/>
      </c>
      <c r="V93">
        <f>O93*(1+I93)^-(Supuestos!G$24/2)</f>
        <v/>
      </c>
      <c r="W93">
        <f>P93*(1+J93)^-(Supuestos!H$24/2)</f>
        <v/>
      </c>
      <c r="X93">
        <f>Supuestos!C$23*(1-$C93+$C93*((1+Supuestos!$B$4+$B93/10000)/(1+Supuestos!$B$4))^Supuestos!C$25)</f>
        <v/>
      </c>
      <c r="Y93">
        <f>Supuestos!D$23*(1-$C93+$C93*((1+Supuestos!$B$4+$B93/10000)/(1+Supuestos!$B$4))^Supuestos!D$25)</f>
        <v/>
      </c>
      <c r="Z93">
        <f>Supuestos!E$23*(1-$C93+$C93*((1+Supuestos!$B$4+$B93/10000)/(1+Supuestos!$B$4))^Supuestos!E$25)</f>
        <v/>
      </c>
      <c r="AA93">
        <f>Supuestos!F$23*(1-$C93+$C93*((1+Supuestos!$B$4+$B93/10000)/(1+Supuestos!$B$4))^Supuestos!F$25)</f>
        <v/>
      </c>
      <c r="AB93">
        <f>Supuestos!G$23*(1-$C93+$C93*((1+Supuestos!$B$4+$B93/10000)/(1+Supuestos!$B$4))^Supuestos!G$25)</f>
        <v/>
      </c>
      <c r="AC93">
        <f>Supuestos!H$23*(1-$C93+$C93*((1+Supuestos!$B$4+$B93/10000)/(1+Supuestos!$B$4))^Supuestos!H$25)</f>
        <v/>
      </c>
      <c r="AD93">
        <f>Supuestos!I$23*(1-$C93+$C93*((1+Supuestos!$B$4+$B93/10000)/(1+Supuestos!$B$4))^Supuestos!I$25)</f>
        <v/>
      </c>
      <c r="AE93">
        <f>SUMPRODUCT(X93:AC93,R93:W93)</f>
        <v/>
      </c>
      <c r="AF93">
        <f>(1+Supuestos!$B$5)/(1+Supuestos!$B$4)*(1+Supuestos!$B$4+$B93/10000)-1</f>
        <v/>
      </c>
      <c r="AG93">
        <f>AD93/(K93-AF93)</f>
        <v/>
      </c>
      <c r="AH93">
        <f>AG93*Q93</f>
        <v/>
      </c>
      <c r="AI93">
        <f>(AE93+AH93-Supuestos!$B$7-Supuestos!$B$8)/Supuestos!$B$9</f>
        <v/>
      </c>
      <c r="AJ93">
        <f>AI93/AI$5-1</f>
        <v/>
      </c>
    </row>
    <row r="94">
      <c r="A94" t="n">
        <v>-9.999999999999998</v>
      </c>
      <c r="B94" t="n">
        <v>-90</v>
      </c>
      <c r="C94" t="n">
        <v>0.85</v>
      </c>
      <c r="D94" t="inlineStr">
        <is>
          <t>Mix Δi=-100 θ=0.85</t>
        </is>
      </c>
      <c r="E94">
        <f>(1-Supuestos!C$28)*((1+((1+Supuestos!C$26)/(1+Supuestos!$B$4)-1+Supuestos!$B$14*$A94/10000))*(1+Supuestos!$B$4+$B94/10000)-1)+Supuestos!C$28*((1+Supuestos!C$27+$A94/10000)*(1+Supuestos!$B$4+$B94/10000)-1)*(1-Supuestos!$B$6)</f>
        <v/>
      </c>
      <c r="F94">
        <f>(1-Supuestos!D$28)*((1+((1+Supuestos!D$26)/(1+Supuestos!$B$4)-1+Supuestos!$B$14*$A94/10000))*(1+Supuestos!$B$4+$B94/10000)-1)+Supuestos!D$28*((1+Supuestos!D$27+$A94/10000)*(1+Supuestos!$B$4+$B94/10000)-1)*(1-Supuestos!$B$6)</f>
        <v/>
      </c>
      <c r="G94">
        <f>(1-Supuestos!E$28)*((1+((1+Supuestos!E$26)/(1+Supuestos!$B$4)-1+Supuestos!$B$14*$A94/10000))*(1+Supuestos!$B$4+$B94/10000)-1)+Supuestos!E$28*((1+Supuestos!E$27+$A94/10000)*(1+Supuestos!$B$4+$B94/10000)-1)*(1-Supuestos!$B$6)</f>
        <v/>
      </c>
      <c r="H94">
        <f>(1-Supuestos!F$28)*((1+((1+Supuestos!F$26)/(1+Supuestos!$B$4)-1+Supuestos!$B$14*$A94/10000))*(1+Supuestos!$B$4+$B94/10000)-1)+Supuestos!F$28*((1+Supuestos!F$27+$A94/10000)*(1+Supuestos!$B$4+$B94/10000)-1)*(1-Supuestos!$B$6)</f>
        <v/>
      </c>
      <c r="I94">
        <f>(1-Supuestos!G$28)*((1+((1+Supuestos!G$26)/(1+Supuestos!$B$4)-1+Supuestos!$B$14*$A94/10000))*(1+Supuestos!$B$4+$B94/10000)-1)+Supuestos!G$28*((1+Supuestos!G$27+$A94/10000)*(1+Supuestos!$B$4+$B94/10000)-1)*(1-Supuestos!$B$6)</f>
        <v/>
      </c>
      <c r="J94">
        <f>(1-Supuestos!H$28)*((1+((1+Supuestos!H$26)/(1+Supuestos!$B$4)-1+Supuestos!$B$14*$A94/10000))*(1+Supuestos!$B$4+$B94/10000)-1)+Supuestos!H$28*((1+Supuestos!H$27+$A94/10000)*(1+Supuestos!$B$4+$B94/10000)-1)*(1-Supuestos!$B$6)</f>
        <v/>
      </c>
      <c r="K94">
        <f>(1-Supuestos!I$28)*((1+((1+Supuestos!I$26)/(1+Supuestos!$B$4)-1+Supuestos!$B$14*$A94/10000))*(1+Supuestos!$B$4+$B94/10000)-1)+Supuestos!I$28*((1+Supuestos!I$27+$A94/10000)*(1+Supuestos!$B$4+$B94/10000)-1)*(1-Supuestos!$B$6)</f>
        <v/>
      </c>
      <c r="L94">
        <f>(1+E94)^-Supuestos!C$24</f>
        <v/>
      </c>
      <c r="M94">
        <f>L94*(1+F94)^-Supuestos!D$24</f>
        <v/>
      </c>
      <c r="N94">
        <f>M94*(1+G94)^-Supuestos!E$24</f>
        <v/>
      </c>
      <c r="O94">
        <f>N94*(1+H94)^-Supuestos!F$24</f>
        <v/>
      </c>
      <c r="P94">
        <f>O94*(1+I94)^-Supuestos!G$24</f>
        <v/>
      </c>
      <c r="Q94">
        <f>P94*(1+J94)^-Supuestos!H$24</f>
        <v/>
      </c>
      <c r="R94">
        <f>(1+E94)^-(Supuestos!C$24/2)</f>
        <v/>
      </c>
      <c r="S94">
        <f>L94*(1+F94)^-(Supuestos!D$24/2)</f>
        <v/>
      </c>
      <c r="T94">
        <f>M94*(1+G94)^-(Supuestos!E$24/2)</f>
        <v/>
      </c>
      <c r="U94">
        <f>N94*(1+H94)^-(Supuestos!F$24/2)</f>
        <v/>
      </c>
      <c r="V94">
        <f>O94*(1+I94)^-(Supuestos!G$24/2)</f>
        <v/>
      </c>
      <c r="W94">
        <f>P94*(1+J94)^-(Supuestos!H$24/2)</f>
        <v/>
      </c>
      <c r="X94">
        <f>Supuestos!C$23*(1-$C94+$C94*((1+Supuestos!$B$4+$B94/10000)/(1+Supuestos!$B$4))^Supuestos!C$25)</f>
        <v/>
      </c>
      <c r="Y94">
        <f>Supuestos!D$23*(1-$C94+$C94*((1+Supuestos!$B$4+$B94/10000)/(1+Supuestos!$B$4))^Supuestos!D$25)</f>
        <v/>
      </c>
      <c r="Z94">
        <f>Supuestos!E$23*(1-$C94+$C94*((1+Supuestos!$B$4+$B94/10000)/(1+Supuestos!$B$4))^Supuestos!E$25)</f>
        <v/>
      </c>
      <c r="AA94">
        <f>Supuestos!F$23*(1-$C94+$C94*((1+Supuestos!$B$4+$B94/10000)/(1+Supuestos!$B$4))^Supuestos!F$25)</f>
        <v/>
      </c>
      <c r="AB94">
        <f>Supuestos!G$23*(1-$C94+$C94*((1+Supuestos!$B$4+$B94/10000)/(1+Supuestos!$B$4))^Supuestos!G$25)</f>
        <v/>
      </c>
      <c r="AC94">
        <f>Supuestos!H$23*(1-$C94+$C94*((1+Supuestos!$B$4+$B94/10000)/(1+Supuestos!$B$4))^Supuestos!H$25)</f>
        <v/>
      </c>
      <c r="AD94">
        <f>Supuestos!I$23*(1-$C94+$C94*((1+Supuestos!$B$4+$B94/10000)/(1+Supuestos!$B$4))^Supuestos!I$25)</f>
        <v/>
      </c>
      <c r="AE94">
        <f>SUMPRODUCT(X94:AC94,R94:W94)</f>
        <v/>
      </c>
      <c r="AF94">
        <f>(1+Supuestos!$B$5)/(1+Supuestos!$B$4)*(1+Supuestos!$B$4+$B94/10000)-1</f>
        <v/>
      </c>
      <c r="AG94">
        <f>AD94/(K94-AF94)</f>
        <v/>
      </c>
      <c r="AH94">
        <f>AG94*Q94</f>
        <v/>
      </c>
      <c r="AI94">
        <f>(AE94+AH94-Supuestos!$B$7-Supuestos!$B$8)/Supuestos!$B$9</f>
        <v/>
      </c>
      <c r="AJ94">
        <f>AI94/AI$5-1</f>
        <v/>
      </c>
    </row>
    <row r="95">
      <c r="A95" t="n">
        <v>-0</v>
      </c>
      <c r="B95" t="n">
        <v>-100</v>
      </c>
      <c r="C95" t="n">
        <v>0.85</v>
      </c>
      <c r="D95" t="inlineStr">
        <is>
          <t>Mix Δi=-100 θ=0.85</t>
        </is>
      </c>
      <c r="E95">
        <f>(1-Supuestos!C$28)*((1+((1+Supuestos!C$26)/(1+Supuestos!$B$4)-1+Supuestos!$B$14*$A95/10000))*(1+Supuestos!$B$4+$B95/10000)-1)+Supuestos!C$28*((1+Supuestos!C$27+$A95/10000)*(1+Supuestos!$B$4+$B95/10000)-1)*(1-Supuestos!$B$6)</f>
        <v/>
      </c>
      <c r="F95">
        <f>(1-Supuestos!D$28)*((1+((1+Supuestos!D$26)/(1+Supuestos!$B$4)-1+Supuestos!$B$14*$A95/10000))*(1+Supuestos!$B$4+$B95/10000)-1)+Supuestos!D$28*((1+Supuestos!D$27+$A95/10000)*(1+Supuestos!$B$4+$B95/10000)-1)*(1-Supuestos!$B$6)</f>
        <v/>
      </c>
      <c r="G95">
        <f>(1-Supuestos!E$28)*((1+((1+Supuestos!E$26)/(1+Supuestos!$B$4)-1+Supuestos!$B$14*$A95/10000))*(1+Supuestos!$B$4+$B95/10000)-1)+Supuestos!E$28*((1+Supuestos!E$27+$A95/10000)*(1+Supuestos!$B$4+$B95/10000)-1)*(1-Supuestos!$B$6)</f>
        <v/>
      </c>
      <c r="H95">
        <f>(1-Supuestos!F$28)*((1+((1+Supuestos!F$26)/(1+Supuestos!$B$4)-1+Supuestos!$B$14*$A95/10000))*(1+Supuestos!$B$4+$B95/10000)-1)+Supuestos!F$28*((1+Supuestos!F$27+$A95/10000)*(1+Supuestos!$B$4+$B95/10000)-1)*(1-Supuestos!$B$6)</f>
        <v/>
      </c>
      <c r="I95">
        <f>(1-Supuestos!G$28)*((1+((1+Supuestos!G$26)/(1+Supuestos!$B$4)-1+Supuestos!$B$14*$A95/10000))*(1+Supuestos!$B$4+$B95/10000)-1)+Supuestos!G$28*((1+Supuestos!G$27+$A95/10000)*(1+Supuestos!$B$4+$B95/10000)-1)*(1-Supuestos!$B$6)</f>
        <v/>
      </c>
      <c r="J95">
        <f>(1-Supuestos!H$28)*((1+((1+Supuestos!H$26)/(1+Supuestos!$B$4)-1+Supuestos!$B$14*$A95/10000))*(1+Supuestos!$B$4+$B95/10000)-1)+Supuestos!H$28*((1+Supuestos!H$27+$A95/10000)*(1+Supuestos!$B$4+$B95/10000)-1)*(1-Supuestos!$B$6)</f>
        <v/>
      </c>
      <c r="K95">
        <f>(1-Supuestos!I$28)*((1+((1+Supuestos!I$26)/(1+Supuestos!$B$4)-1+Supuestos!$B$14*$A95/10000))*(1+Supuestos!$B$4+$B95/10000)-1)+Supuestos!I$28*((1+Supuestos!I$27+$A95/10000)*(1+Supuestos!$B$4+$B95/10000)-1)*(1-Supuestos!$B$6)</f>
        <v/>
      </c>
      <c r="L95">
        <f>(1+E95)^-Supuestos!C$24</f>
        <v/>
      </c>
      <c r="M95">
        <f>L95*(1+F95)^-Supuestos!D$24</f>
        <v/>
      </c>
      <c r="N95">
        <f>M95*(1+G95)^-Supuestos!E$24</f>
        <v/>
      </c>
      <c r="O95">
        <f>N95*(1+H95)^-Supuestos!F$24</f>
        <v/>
      </c>
      <c r="P95">
        <f>O95*(1+I95)^-Supuestos!G$24</f>
        <v/>
      </c>
      <c r="Q95">
        <f>P95*(1+J95)^-Supuestos!H$24</f>
        <v/>
      </c>
      <c r="R95">
        <f>(1+E95)^-(Supuestos!C$24/2)</f>
        <v/>
      </c>
      <c r="S95">
        <f>L95*(1+F95)^-(Supuestos!D$24/2)</f>
        <v/>
      </c>
      <c r="T95">
        <f>M95*(1+G95)^-(Supuestos!E$24/2)</f>
        <v/>
      </c>
      <c r="U95">
        <f>N95*(1+H95)^-(Supuestos!F$24/2)</f>
        <v/>
      </c>
      <c r="V95">
        <f>O95*(1+I95)^-(Supuestos!G$24/2)</f>
        <v/>
      </c>
      <c r="W95">
        <f>P95*(1+J95)^-(Supuestos!H$24/2)</f>
        <v/>
      </c>
      <c r="X95">
        <f>Supuestos!C$23*(1-$C95+$C95*((1+Supuestos!$B$4+$B95/10000)/(1+Supuestos!$B$4))^Supuestos!C$25)</f>
        <v/>
      </c>
      <c r="Y95">
        <f>Supuestos!D$23*(1-$C95+$C95*((1+Supuestos!$B$4+$B95/10000)/(1+Supuestos!$B$4))^Supuestos!D$25)</f>
        <v/>
      </c>
      <c r="Z95">
        <f>Supuestos!E$23*(1-$C95+$C95*((1+Supuestos!$B$4+$B95/10000)/(1+Supuestos!$B$4))^Supuestos!E$25)</f>
        <v/>
      </c>
      <c r="AA95">
        <f>Supuestos!F$23*(1-$C95+$C95*((1+Supuestos!$B$4+$B95/10000)/(1+Supuestos!$B$4))^Supuestos!F$25)</f>
        <v/>
      </c>
      <c r="AB95">
        <f>Supuestos!G$23*(1-$C95+$C95*((1+Supuestos!$B$4+$B95/10000)/(1+Supuestos!$B$4))^Supuestos!G$25)</f>
        <v/>
      </c>
      <c r="AC95">
        <f>Supuestos!H$23*(1-$C95+$C95*((1+Supuestos!$B$4+$B95/10000)/(1+Supuestos!$B$4))^Supuestos!H$25)</f>
        <v/>
      </c>
      <c r="AD95">
        <f>Supuestos!I$23*(1-$C95+$C95*((1+Supuestos!$B$4+$B95/10000)/(1+Supuestos!$B$4))^Supuestos!I$25)</f>
        <v/>
      </c>
      <c r="AE95">
        <f>SUMPRODUCT(X95:AC95,R95:W95)</f>
        <v/>
      </c>
      <c r="AF95">
        <f>(1+Supuestos!$B$5)/(1+Supuestos!$B$4)*(1+Supuestos!$B$4+$B95/10000)-1</f>
        <v/>
      </c>
      <c r="AG95">
        <f>AD95/(K95-AF95)</f>
        <v/>
      </c>
      <c r="AH95">
        <f>AG95*Q95</f>
        <v/>
      </c>
      <c r="AI95">
        <f>(AE95+AH95-Supuestos!$B$7-Supuestos!$B$8)/Supuestos!$B$9</f>
        <v/>
      </c>
      <c r="AJ95">
        <f>AI95/AI$5-1</f>
        <v/>
      </c>
    </row>
    <row r="96">
      <c r="A96" t="n">
        <v>-100</v>
      </c>
      <c r="B96" t="n">
        <v>-0</v>
      </c>
      <c r="C96" t="n">
        <v>0.7</v>
      </c>
      <c r="D96" t="inlineStr">
        <is>
          <t>Mix Δi=-100 θ=0.7</t>
        </is>
      </c>
      <c r="E96">
        <f>(1-Supuestos!C$28)*((1+((1+Supuestos!C$26)/(1+Supuestos!$B$4)-1+Supuestos!$B$14*$A96/10000))*(1+Supuestos!$B$4+$B96/10000)-1)+Supuestos!C$28*((1+Supuestos!C$27+$A96/10000)*(1+Supuestos!$B$4+$B96/10000)-1)*(1-Supuestos!$B$6)</f>
        <v/>
      </c>
      <c r="F96">
        <f>(1-Supuestos!D$28)*((1+((1+Supuestos!D$26)/(1+Supuestos!$B$4)-1+Supuestos!$B$14*$A96/10000))*(1+Supuestos!$B$4+$B96/10000)-1)+Supuestos!D$28*((1+Supuestos!D$27+$A96/10000)*(1+Supuestos!$B$4+$B96/10000)-1)*(1-Supuestos!$B$6)</f>
        <v/>
      </c>
      <c r="G96">
        <f>(1-Supuestos!E$28)*((1+((1+Supuestos!E$26)/(1+Supuestos!$B$4)-1+Supuestos!$B$14*$A96/10000))*(1+Supuestos!$B$4+$B96/10000)-1)+Supuestos!E$28*((1+Supuestos!E$27+$A96/10000)*(1+Supuestos!$B$4+$B96/10000)-1)*(1-Supuestos!$B$6)</f>
        <v/>
      </c>
      <c r="H96">
        <f>(1-Supuestos!F$28)*((1+((1+Supuestos!F$26)/(1+Supuestos!$B$4)-1+Supuestos!$B$14*$A96/10000))*(1+Supuestos!$B$4+$B96/10000)-1)+Supuestos!F$28*((1+Supuestos!F$27+$A96/10000)*(1+Supuestos!$B$4+$B96/10000)-1)*(1-Supuestos!$B$6)</f>
        <v/>
      </c>
      <c r="I96">
        <f>(1-Supuestos!G$28)*((1+((1+Supuestos!G$26)/(1+Supuestos!$B$4)-1+Supuestos!$B$14*$A96/10000))*(1+Supuestos!$B$4+$B96/10000)-1)+Supuestos!G$28*((1+Supuestos!G$27+$A96/10000)*(1+Supuestos!$B$4+$B96/10000)-1)*(1-Supuestos!$B$6)</f>
        <v/>
      </c>
      <c r="J96">
        <f>(1-Supuestos!H$28)*((1+((1+Supuestos!H$26)/(1+Supuestos!$B$4)-1+Supuestos!$B$14*$A96/10000))*(1+Supuestos!$B$4+$B96/10000)-1)+Supuestos!H$28*((1+Supuestos!H$27+$A96/10000)*(1+Supuestos!$B$4+$B96/10000)-1)*(1-Supuestos!$B$6)</f>
        <v/>
      </c>
      <c r="K96">
        <f>(1-Supuestos!I$28)*((1+((1+Supuestos!I$26)/(1+Supuestos!$B$4)-1+Supuestos!$B$14*$A96/10000))*(1+Supuestos!$B$4+$B96/10000)-1)+Supuestos!I$28*((1+Supuestos!I$27+$A96/10000)*(1+Supuestos!$B$4+$B96/10000)-1)*(1-Supuestos!$B$6)</f>
        <v/>
      </c>
      <c r="L96">
        <f>(1+E96)^-Supuestos!C$24</f>
        <v/>
      </c>
      <c r="M96">
        <f>L96*(1+F96)^-Supuestos!D$24</f>
        <v/>
      </c>
      <c r="N96">
        <f>M96*(1+G96)^-Supuestos!E$24</f>
        <v/>
      </c>
      <c r="O96">
        <f>N96*(1+H96)^-Supuestos!F$24</f>
        <v/>
      </c>
      <c r="P96">
        <f>O96*(1+I96)^-Supuestos!G$24</f>
        <v/>
      </c>
      <c r="Q96">
        <f>P96*(1+J96)^-Supuestos!H$24</f>
        <v/>
      </c>
      <c r="R96">
        <f>(1+E96)^-(Supuestos!C$24/2)</f>
        <v/>
      </c>
      <c r="S96">
        <f>L96*(1+F96)^-(Supuestos!D$24/2)</f>
        <v/>
      </c>
      <c r="T96">
        <f>M96*(1+G96)^-(Supuestos!E$24/2)</f>
        <v/>
      </c>
      <c r="U96">
        <f>N96*(1+H96)^-(Supuestos!F$24/2)</f>
        <v/>
      </c>
      <c r="V96">
        <f>O96*(1+I96)^-(Supuestos!G$24/2)</f>
        <v/>
      </c>
      <c r="W96">
        <f>P96*(1+J96)^-(Supuestos!H$24/2)</f>
        <v/>
      </c>
      <c r="X96">
        <f>Supuestos!C$23*(1-$C96+$C96*((1+Supuestos!$B$4+$B96/10000)/(1+Supuestos!$B$4))^Supuestos!C$25)</f>
        <v/>
      </c>
      <c r="Y96">
        <f>Supuestos!D$23*(1-$C96+$C96*((1+Supuestos!$B$4+$B96/10000)/(1+Supuestos!$B$4))^Supuestos!D$25)</f>
        <v/>
      </c>
      <c r="Z96">
        <f>Supuestos!E$23*(1-$C96+$C96*((1+Supuestos!$B$4+$B96/10000)/(1+Supuestos!$B$4))^Supuestos!E$25)</f>
        <v/>
      </c>
      <c r="AA96">
        <f>Supuestos!F$23*(1-$C96+$C96*((1+Supuestos!$B$4+$B96/10000)/(1+Supuestos!$B$4))^Supuestos!F$25)</f>
        <v/>
      </c>
      <c r="AB96">
        <f>Supuestos!G$23*(1-$C96+$C96*((1+Supuestos!$B$4+$B96/10000)/(1+Supuestos!$B$4))^Supuestos!G$25)</f>
        <v/>
      </c>
      <c r="AC96">
        <f>Supuestos!H$23*(1-$C96+$C96*((1+Supuestos!$B$4+$B96/10000)/(1+Supuestos!$B$4))^Supuestos!H$25)</f>
        <v/>
      </c>
      <c r="AD96">
        <f>Supuestos!I$23*(1-$C96+$C96*((1+Supuestos!$B$4+$B96/10000)/(1+Supuestos!$B$4))^Supuestos!I$25)</f>
        <v/>
      </c>
      <c r="AE96">
        <f>SUMPRODUCT(X96:AC96,R96:W96)</f>
        <v/>
      </c>
      <c r="AF96">
        <f>(1+Supuestos!$B$5)/(1+Supuestos!$B$4)*(1+Supuestos!$B$4+$B96/10000)-1</f>
        <v/>
      </c>
      <c r="AG96">
        <f>AD96/(K96-AF96)</f>
        <v/>
      </c>
      <c r="AH96">
        <f>AG96*Q96</f>
        <v/>
      </c>
      <c r="AI96">
        <f>(AE96+AH96-Supuestos!$B$7-Supuestos!$B$8)/Supuestos!$B$9</f>
        <v/>
      </c>
      <c r="AJ96">
        <f>AI96/AI$5-1</f>
        <v/>
      </c>
    </row>
    <row r="97">
      <c r="A97" t="n">
        <v>-90</v>
      </c>
      <c r="B97" t="n">
        <v>-10</v>
      </c>
      <c r="C97" t="n">
        <v>0.7</v>
      </c>
      <c r="D97" t="inlineStr">
        <is>
          <t>Mix Δi=-100 θ=0.7</t>
        </is>
      </c>
      <c r="E97">
        <f>(1-Supuestos!C$28)*((1+((1+Supuestos!C$26)/(1+Supuestos!$B$4)-1+Supuestos!$B$14*$A97/10000))*(1+Supuestos!$B$4+$B97/10000)-1)+Supuestos!C$28*((1+Supuestos!C$27+$A97/10000)*(1+Supuestos!$B$4+$B97/10000)-1)*(1-Supuestos!$B$6)</f>
        <v/>
      </c>
      <c r="F97">
        <f>(1-Supuestos!D$28)*((1+((1+Supuestos!D$26)/(1+Supuestos!$B$4)-1+Supuestos!$B$14*$A97/10000))*(1+Supuestos!$B$4+$B97/10000)-1)+Supuestos!D$28*((1+Supuestos!D$27+$A97/10000)*(1+Supuestos!$B$4+$B97/10000)-1)*(1-Supuestos!$B$6)</f>
        <v/>
      </c>
      <c r="G97">
        <f>(1-Supuestos!E$28)*((1+((1+Supuestos!E$26)/(1+Supuestos!$B$4)-1+Supuestos!$B$14*$A97/10000))*(1+Supuestos!$B$4+$B97/10000)-1)+Supuestos!E$28*((1+Supuestos!E$27+$A97/10000)*(1+Supuestos!$B$4+$B97/10000)-1)*(1-Supuestos!$B$6)</f>
        <v/>
      </c>
      <c r="H97">
        <f>(1-Supuestos!F$28)*((1+((1+Supuestos!F$26)/(1+Supuestos!$B$4)-1+Supuestos!$B$14*$A97/10000))*(1+Supuestos!$B$4+$B97/10000)-1)+Supuestos!F$28*((1+Supuestos!F$27+$A97/10000)*(1+Supuestos!$B$4+$B97/10000)-1)*(1-Supuestos!$B$6)</f>
        <v/>
      </c>
      <c r="I97">
        <f>(1-Supuestos!G$28)*((1+((1+Supuestos!G$26)/(1+Supuestos!$B$4)-1+Supuestos!$B$14*$A97/10000))*(1+Supuestos!$B$4+$B97/10000)-1)+Supuestos!G$28*((1+Supuestos!G$27+$A97/10000)*(1+Supuestos!$B$4+$B97/10000)-1)*(1-Supuestos!$B$6)</f>
        <v/>
      </c>
      <c r="J97">
        <f>(1-Supuestos!H$28)*((1+((1+Supuestos!H$26)/(1+Supuestos!$B$4)-1+Supuestos!$B$14*$A97/10000))*(1+Supuestos!$B$4+$B97/10000)-1)+Supuestos!H$28*((1+Supuestos!H$27+$A97/10000)*(1+Supuestos!$B$4+$B97/10000)-1)*(1-Supuestos!$B$6)</f>
        <v/>
      </c>
      <c r="K97">
        <f>(1-Supuestos!I$28)*((1+((1+Supuestos!I$26)/(1+Supuestos!$B$4)-1+Supuestos!$B$14*$A97/10000))*(1+Supuestos!$B$4+$B97/10000)-1)+Supuestos!I$28*((1+Supuestos!I$27+$A97/10000)*(1+Supuestos!$B$4+$B97/10000)-1)*(1-Supuestos!$B$6)</f>
        <v/>
      </c>
      <c r="L97">
        <f>(1+E97)^-Supuestos!C$24</f>
        <v/>
      </c>
      <c r="M97">
        <f>L97*(1+F97)^-Supuestos!D$24</f>
        <v/>
      </c>
      <c r="N97">
        <f>M97*(1+G97)^-Supuestos!E$24</f>
        <v/>
      </c>
      <c r="O97">
        <f>N97*(1+H97)^-Supuestos!F$24</f>
        <v/>
      </c>
      <c r="P97">
        <f>O97*(1+I97)^-Supuestos!G$24</f>
        <v/>
      </c>
      <c r="Q97">
        <f>P97*(1+J97)^-Supuestos!H$24</f>
        <v/>
      </c>
      <c r="R97">
        <f>(1+E97)^-(Supuestos!C$24/2)</f>
        <v/>
      </c>
      <c r="S97">
        <f>L97*(1+F97)^-(Supuestos!D$24/2)</f>
        <v/>
      </c>
      <c r="T97">
        <f>M97*(1+G97)^-(Supuestos!E$24/2)</f>
        <v/>
      </c>
      <c r="U97">
        <f>N97*(1+H97)^-(Supuestos!F$24/2)</f>
        <v/>
      </c>
      <c r="V97">
        <f>O97*(1+I97)^-(Supuestos!G$24/2)</f>
        <v/>
      </c>
      <c r="W97">
        <f>P97*(1+J97)^-(Supuestos!H$24/2)</f>
        <v/>
      </c>
      <c r="X97">
        <f>Supuestos!C$23*(1-$C97+$C97*((1+Supuestos!$B$4+$B97/10000)/(1+Supuestos!$B$4))^Supuestos!C$25)</f>
        <v/>
      </c>
      <c r="Y97">
        <f>Supuestos!D$23*(1-$C97+$C97*((1+Supuestos!$B$4+$B97/10000)/(1+Supuestos!$B$4))^Supuestos!D$25)</f>
        <v/>
      </c>
      <c r="Z97">
        <f>Supuestos!E$23*(1-$C97+$C97*((1+Supuestos!$B$4+$B97/10000)/(1+Supuestos!$B$4))^Supuestos!E$25)</f>
        <v/>
      </c>
      <c r="AA97">
        <f>Supuestos!F$23*(1-$C97+$C97*((1+Supuestos!$B$4+$B97/10000)/(1+Supuestos!$B$4))^Supuestos!F$25)</f>
        <v/>
      </c>
      <c r="AB97">
        <f>Supuestos!G$23*(1-$C97+$C97*((1+Supuestos!$B$4+$B97/10000)/(1+Supuestos!$B$4))^Supuestos!G$25)</f>
        <v/>
      </c>
      <c r="AC97">
        <f>Supuestos!H$23*(1-$C97+$C97*((1+Supuestos!$B$4+$B97/10000)/(1+Supuestos!$B$4))^Supuestos!H$25)</f>
        <v/>
      </c>
      <c r="AD97">
        <f>Supuestos!I$23*(1-$C97+$C97*((1+Supuestos!$B$4+$B97/10000)/(1+Supuestos!$B$4))^Supuestos!I$25)</f>
        <v/>
      </c>
      <c r="AE97">
        <f>SUMPRODUCT(X97:AC97,R97:W97)</f>
        <v/>
      </c>
      <c r="AF97">
        <f>(1+Supuestos!$B$5)/(1+Supuestos!$B$4)*(1+Supuestos!$B$4+$B97/10000)-1</f>
        <v/>
      </c>
      <c r="AG97">
        <f>AD97/(K97-AF97)</f>
        <v/>
      </c>
      <c r="AH97">
        <f>AG97*Q97</f>
        <v/>
      </c>
      <c r="AI97">
        <f>(AE97+AH97-Supuestos!$B$7-Supuestos!$B$8)/Supuestos!$B$9</f>
        <v/>
      </c>
      <c r="AJ97">
        <f>AI97/AI$5-1</f>
        <v/>
      </c>
    </row>
    <row r="98">
      <c r="A98" t="n">
        <v>-80</v>
      </c>
      <c r="B98" t="n">
        <v>-20</v>
      </c>
      <c r="C98" t="n">
        <v>0.7</v>
      </c>
      <c r="D98" t="inlineStr">
        <is>
          <t>Mix Δi=-100 θ=0.7</t>
        </is>
      </c>
      <c r="E98">
        <f>(1-Supuestos!C$28)*((1+((1+Supuestos!C$26)/(1+Supuestos!$B$4)-1+Supuestos!$B$14*$A98/10000))*(1+Supuestos!$B$4+$B98/10000)-1)+Supuestos!C$28*((1+Supuestos!C$27+$A98/10000)*(1+Supuestos!$B$4+$B98/10000)-1)*(1-Supuestos!$B$6)</f>
        <v/>
      </c>
      <c r="F98">
        <f>(1-Supuestos!D$28)*((1+((1+Supuestos!D$26)/(1+Supuestos!$B$4)-1+Supuestos!$B$14*$A98/10000))*(1+Supuestos!$B$4+$B98/10000)-1)+Supuestos!D$28*((1+Supuestos!D$27+$A98/10000)*(1+Supuestos!$B$4+$B98/10000)-1)*(1-Supuestos!$B$6)</f>
        <v/>
      </c>
      <c r="G98">
        <f>(1-Supuestos!E$28)*((1+((1+Supuestos!E$26)/(1+Supuestos!$B$4)-1+Supuestos!$B$14*$A98/10000))*(1+Supuestos!$B$4+$B98/10000)-1)+Supuestos!E$28*((1+Supuestos!E$27+$A98/10000)*(1+Supuestos!$B$4+$B98/10000)-1)*(1-Supuestos!$B$6)</f>
        <v/>
      </c>
      <c r="H98">
        <f>(1-Supuestos!F$28)*((1+((1+Supuestos!F$26)/(1+Supuestos!$B$4)-1+Supuestos!$B$14*$A98/10000))*(1+Supuestos!$B$4+$B98/10000)-1)+Supuestos!F$28*((1+Supuestos!F$27+$A98/10000)*(1+Supuestos!$B$4+$B98/10000)-1)*(1-Supuestos!$B$6)</f>
        <v/>
      </c>
      <c r="I98">
        <f>(1-Supuestos!G$28)*((1+((1+Supuestos!G$26)/(1+Supuestos!$B$4)-1+Supuestos!$B$14*$A98/10000))*(1+Supuestos!$B$4+$B98/10000)-1)+Supuestos!G$28*((1+Supuestos!G$27+$A98/10000)*(1+Supuestos!$B$4+$B98/10000)-1)*(1-Supuestos!$B$6)</f>
        <v/>
      </c>
      <c r="J98">
        <f>(1-Supuestos!H$28)*((1+((1+Supuestos!H$26)/(1+Supuestos!$B$4)-1+Supuestos!$B$14*$A98/10000))*(1+Supuestos!$B$4+$B98/10000)-1)+Supuestos!H$28*((1+Supuestos!H$27+$A98/10000)*(1+Supuestos!$B$4+$B98/10000)-1)*(1-Supuestos!$B$6)</f>
        <v/>
      </c>
      <c r="K98">
        <f>(1-Supuestos!I$28)*((1+((1+Supuestos!I$26)/(1+Supuestos!$B$4)-1+Supuestos!$B$14*$A98/10000))*(1+Supuestos!$B$4+$B98/10000)-1)+Supuestos!I$28*((1+Supuestos!I$27+$A98/10000)*(1+Supuestos!$B$4+$B98/10000)-1)*(1-Supuestos!$B$6)</f>
        <v/>
      </c>
      <c r="L98">
        <f>(1+E98)^-Supuestos!C$24</f>
        <v/>
      </c>
      <c r="M98">
        <f>L98*(1+F98)^-Supuestos!D$24</f>
        <v/>
      </c>
      <c r="N98">
        <f>M98*(1+G98)^-Supuestos!E$24</f>
        <v/>
      </c>
      <c r="O98">
        <f>N98*(1+H98)^-Supuestos!F$24</f>
        <v/>
      </c>
      <c r="P98">
        <f>O98*(1+I98)^-Supuestos!G$24</f>
        <v/>
      </c>
      <c r="Q98">
        <f>P98*(1+J98)^-Supuestos!H$24</f>
        <v/>
      </c>
      <c r="R98">
        <f>(1+E98)^-(Supuestos!C$24/2)</f>
        <v/>
      </c>
      <c r="S98">
        <f>L98*(1+F98)^-(Supuestos!D$24/2)</f>
        <v/>
      </c>
      <c r="T98">
        <f>M98*(1+G98)^-(Supuestos!E$24/2)</f>
        <v/>
      </c>
      <c r="U98">
        <f>N98*(1+H98)^-(Supuestos!F$24/2)</f>
        <v/>
      </c>
      <c r="V98">
        <f>O98*(1+I98)^-(Supuestos!G$24/2)</f>
        <v/>
      </c>
      <c r="W98">
        <f>P98*(1+J98)^-(Supuestos!H$24/2)</f>
        <v/>
      </c>
      <c r="X98">
        <f>Supuestos!C$23*(1-$C98+$C98*((1+Supuestos!$B$4+$B98/10000)/(1+Supuestos!$B$4))^Supuestos!C$25)</f>
        <v/>
      </c>
      <c r="Y98">
        <f>Supuestos!D$23*(1-$C98+$C98*((1+Supuestos!$B$4+$B98/10000)/(1+Supuestos!$B$4))^Supuestos!D$25)</f>
        <v/>
      </c>
      <c r="Z98">
        <f>Supuestos!E$23*(1-$C98+$C98*((1+Supuestos!$B$4+$B98/10000)/(1+Supuestos!$B$4))^Supuestos!E$25)</f>
        <v/>
      </c>
      <c r="AA98">
        <f>Supuestos!F$23*(1-$C98+$C98*((1+Supuestos!$B$4+$B98/10000)/(1+Supuestos!$B$4))^Supuestos!F$25)</f>
        <v/>
      </c>
      <c r="AB98">
        <f>Supuestos!G$23*(1-$C98+$C98*((1+Supuestos!$B$4+$B98/10000)/(1+Supuestos!$B$4))^Supuestos!G$25)</f>
        <v/>
      </c>
      <c r="AC98">
        <f>Supuestos!H$23*(1-$C98+$C98*((1+Supuestos!$B$4+$B98/10000)/(1+Supuestos!$B$4))^Supuestos!H$25)</f>
        <v/>
      </c>
      <c r="AD98">
        <f>Supuestos!I$23*(1-$C98+$C98*((1+Supuestos!$B$4+$B98/10000)/(1+Supuestos!$B$4))^Supuestos!I$25)</f>
        <v/>
      </c>
      <c r="AE98">
        <f>SUMPRODUCT(X98:AC98,R98:W98)</f>
        <v/>
      </c>
      <c r="AF98">
        <f>(1+Supuestos!$B$5)/(1+Supuestos!$B$4)*(1+Supuestos!$B$4+$B98/10000)-1</f>
        <v/>
      </c>
      <c r="AG98">
        <f>AD98/(K98-AF98)</f>
        <v/>
      </c>
      <c r="AH98">
        <f>AG98*Q98</f>
        <v/>
      </c>
      <c r="AI98">
        <f>(AE98+AH98-Supuestos!$B$7-Supuestos!$B$8)/Supuestos!$B$9</f>
        <v/>
      </c>
      <c r="AJ98">
        <f>AI98/AI$5-1</f>
        <v/>
      </c>
    </row>
    <row r="99">
      <c r="A99" t="n">
        <v>-70</v>
      </c>
      <c r="B99" t="n">
        <v>-30</v>
      </c>
      <c r="C99" t="n">
        <v>0.7</v>
      </c>
      <c r="D99" t="inlineStr">
        <is>
          <t>Mix Δi=-100 θ=0.7</t>
        </is>
      </c>
      <c r="E99">
        <f>(1-Supuestos!C$28)*((1+((1+Supuestos!C$26)/(1+Supuestos!$B$4)-1+Supuestos!$B$14*$A99/10000))*(1+Supuestos!$B$4+$B99/10000)-1)+Supuestos!C$28*((1+Supuestos!C$27+$A99/10000)*(1+Supuestos!$B$4+$B99/10000)-1)*(1-Supuestos!$B$6)</f>
        <v/>
      </c>
      <c r="F99">
        <f>(1-Supuestos!D$28)*((1+((1+Supuestos!D$26)/(1+Supuestos!$B$4)-1+Supuestos!$B$14*$A99/10000))*(1+Supuestos!$B$4+$B99/10000)-1)+Supuestos!D$28*((1+Supuestos!D$27+$A99/10000)*(1+Supuestos!$B$4+$B99/10000)-1)*(1-Supuestos!$B$6)</f>
        <v/>
      </c>
      <c r="G99">
        <f>(1-Supuestos!E$28)*((1+((1+Supuestos!E$26)/(1+Supuestos!$B$4)-1+Supuestos!$B$14*$A99/10000))*(1+Supuestos!$B$4+$B99/10000)-1)+Supuestos!E$28*((1+Supuestos!E$27+$A99/10000)*(1+Supuestos!$B$4+$B99/10000)-1)*(1-Supuestos!$B$6)</f>
        <v/>
      </c>
      <c r="H99">
        <f>(1-Supuestos!F$28)*((1+((1+Supuestos!F$26)/(1+Supuestos!$B$4)-1+Supuestos!$B$14*$A99/10000))*(1+Supuestos!$B$4+$B99/10000)-1)+Supuestos!F$28*((1+Supuestos!F$27+$A99/10000)*(1+Supuestos!$B$4+$B99/10000)-1)*(1-Supuestos!$B$6)</f>
        <v/>
      </c>
      <c r="I99">
        <f>(1-Supuestos!G$28)*((1+((1+Supuestos!G$26)/(1+Supuestos!$B$4)-1+Supuestos!$B$14*$A99/10000))*(1+Supuestos!$B$4+$B99/10000)-1)+Supuestos!G$28*((1+Supuestos!G$27+$A99/10000)*(1+Supuestos!$B$4+$B99/10000)-1)*(1-Supuestos!$B$6)</f>
        <v/>
      </c>
      <c r="J99">
        <f>(1-Supuestos!H$28)*((1+((1+Supuestos!H$26)/(1+Supuestos!$B$4)-1+Supuestos!$B$14*$A99/10000))*(1+Supuestos!$B$4+$B99/10000)-1)+Supuestos!H$28*((1+Supuestos!H$27+$A99/10000)*(1+Supuestos!$B$4+$B99/10000)-1)*(1-Supuestos!$B$6)</f>
        <v/>
      </c>
      <c r="K99">
        <f>(1-Supuestos!I$28)*((1+((1+Supuestos!I$26)/(1+Supuestos!$B$4)-1+Supuestos!$B$14*$A99/10000))*(1+Supuestos!$B$4+$B99/10000)-1)+Supuestos!I$28*((1+Supuestos!I$27+$A99/10000)*(1+Supuestos!$B$4+$B99/10000)-1)*(1-Supuestos!$B$6)</f>
        <v/>
      </c>
      <c r="L99">
        <f>(1+E99)^-Supuestos!C$24</f>
        <v/>
      </c>
      <c r="M99">
        <f>L99*(1+F99)^-Supuestos!D$24</f>
        <v/>
      </c>
      <c r="N99">
        <f>M99*(1+G99)^-Supuestos!E$24</f>
        <v/>
      </c>
      <c r="O99">
        <f>N99*(1+H99)^-Supuestos!F$24</f>
        <v/>
      </c>
      <c r="P99">
        <f>O99*(1+I99)^-Supuestos!G$24</f>
        <v/>
      </c>
      <c r="Q99">
        <f>P99*(1+J99)^-Supuestos!H$24</f>
        <v/>
      </c>
      <c r="R99">
        <f>(1+E99)^-(Supuestos!C$24/2)</f>
        <v/>
      </c>
      <c r="S99">
        <f>L99*(1+F99)^-(Supuestos!D$24/2)</f>
        <v/>
      </c>
      <c r="T99">
        <f>M99*(1+G99)^-(Supuestos!E$24/2)</f>
        <v/>
      </c>
      <c r="U99">
        <f>N99*(1+H99)^-(Supuestos!F$24/2)</f>
        <v/>
      </c>
      <c r="V99">
        <f>O99*(1+I99)^-(Supuestos!G$24/2)</f>
        <v/>
      </c>
      <c r="W99">
        <f>P99*(1+J99)^-(Supuestos!H$24/2)</f>
        <v/>
      </c>
      <c r="X99">
        <f>Supuestos!C$23*(1-$C99+$C99*((1+Supuestos!$B$4+$B99/10000)/(1+Supuestos!$B$4))^Supuestos!C$25)</f>
        <v/>
      </c>
      <c r="Y99">
        <f>Supuestos!D$23*(1-$C99+$C99*((1+Supuestos!$B$4+$B99/10000)/(1+Supuestos!$B$4))^Supuestos!D$25)</f>
        <v/>
      </c>
      <c r="Z99">
        <f>Supuestos!E$23*(1-$C99+$C99*((1+Supuestos!$B$4+$B99/10000)/(1+Supuestos!$B$4))^Supuestos!E$25)</f>
        <v/>
      </c>
      <c r="AA99">
        <f>Supuestos!F$23*(1-$C99+$C99*((1+Supuestos!$B$4+$B99/10000)/(1+Supuestos!$B$4))^Supuestos!F$25)</f>
        <v/>
      </c>
      <c r="AB99">
        <f>Supuestos!G$23*(1-$C99+$C99*((1+Supuestos!$B$4+$B99/10000)/(1+Supuestos!$B$4))^Supuestos!G$25)</f>
        <v/>
      </c>
      <c r="AC99">
        <f>Supuestos!H$23*(1-$C99+$C99*((1+Supuestos!$B$4+$B99/10000)/(1+Supuestos!$B$4))^Supuestos!H$25)</f>
        <v/>
      </c>
      <c r="AD99">
        <f>Supuestos!I$23*(1-$C99+$C99*((1+Supuestos!$B$4+$B99/10000)/(1+Supuestos!$B$4))^Supuestos!I$25)</f>
        <v/>
      </c>
      <c r="AE99">
        <f>SUMPRODUCT(X99:AC99,R99:W99)</f>
        <v/>
      </c>
      <c r="AF99">
        <f>(1+Supuestos!$B$5)/(1+Supuestos!$B$4)*(1+Supuestos!$B$4+$B99/10000)-1</f>
        <v/>
      </c>
      <c r="AG99">
        <f>AD99/(K99-AF99)</f>
        <v/>
      </c>
      <c r="AH99">
        <f>AG99*Q99</f>
        <v/>
      </c>
      <c r="AI99">
        <f>(AE99+AH99-Supuestos!$B$7-Supuestos!$B$8)/Supuestos!$B$9</f>
        <v/>
      </c>
      <c r="AJ99">
        <f>AI99/AI$5-1</f>
        <v/>
      </c>
    </row>
    <row r="100">
      <c r="A100" t="n">
        <v>-60</v>
      </c>
      <c r="B100" t="n">
        <v>-40</v>
      </c>
      <c r="C100" t="n">
        <v>0.7</v>
      </c>
      <c r="D100" t="inlineStr">
        <is>
          <t>Mix Δi=-100 θ=0.7</t>
        </is>
      </c>
      <c r="E100">
        <f>(1-Supuestos!C$28)*((1+((1+Supuestos!C$26)/(1+Supuestos!$B$4)-1+Supuestos!$B$14*$A100/10000))*(1+Supuestos!$B$4+$B100/10000)-1)+Supuestos!C$28*((1+Supuestos!C$27+$A100/10000)*(1+Supuestos!$B$4+$B100/10000)-1)*(1-Supuestos!$B$6)</f>
        <v/>
      </c>
      <c r="F100">
        <f>(1-Supuestos!D$28)*((1+((1+Supuestos!D$26)/(1+Supuestos!$B$4)-1+Supuestos!$B$14*$A100/10000))*(1+Supuestos!$B$4+$B100/10000)-1)+Supuestos!D$28*((1+Supuestos!D$27+$A100/10000)*(1+Supuestos!$B$4+$B100/10000)-1)*(1-Supuestos!$B$6)</f>
        <v/>
      </c>
      <c r="G100">
        <f>(1-Supuestos!E$28)*((1+((1+Supuestos!E$26)/(1+Supuestos!$B$4)-1+Supuestos!$B$14*$A100/10000))*(1+Supuestos!$B$4+$B100/10000)-1)+Supuestos!E$28*((1+Supuestos!E$27+$A100/10000)*(1+Supuestos!$B$4+$B100/10000)-1)*(1-Supuestos!$B$6)</f>
        <v/>
      </c>
      <c r="H100">
        <f>(1-Supuestos!F$28)*((1+((1+Supuestos!F$26)/(1+Supuestos!$B$4)-1+Supuestos!$B$14*$A100/10000))*(1+Supuestos!$B$4+$B100/10000)-1)+Supuestos!F$28*((1+Supuestos!F$27+$A100/10000)*(1+Supuestos!$B$4+$B100/10000)-1)*(1-Supuestos!$B$6)</f>
        <v/>
      </c>
      <c r="I100">
        <f>(1-Supuestos!G$28)*((1+((1+Supuestos!G$26)/(1+Supuestos!$B$4)-1+Supuestos!$B$14*$A100/10000))*(1+Supuestos!$B$4+$B100/10000)-1)+Supuestos!G$28*((1+Supuestos!G$27+$A100/10000)*(1+Supuestos!$B$4+$B100/10000)-1)*(1-Supuestos!$B$6)</f>
        <v/>
      </c>
      <c r="J100">
        <f>(1-Supuestos!H$28)*((1+((1+Supuestos!H$26)/(1+Supuestos!$B$4)-1+Supuestos!$B$14*$A100/10000))*(1+Supuestos!$B$4+$B100/10000)-1)+Supuestos!H$28*((1+Supuestos!H$27+$A100/10000)*(1+Supuestos!$B$4+$B100/10000)-1)*(1-Supuestos!$B$6)</f>
        <v/>
      </c>
      <c r="K100">
        <f>(1-Supuestos!I$28)*((1+((1+Supuestos!I$26)/(1+Supuestos!$B$4)-1+Supuestos!$B$14*$A100/10000))*(1+Supuestos!$B$4+$B100/10000)-1)+Supuestos!I$28*((1+Supuestos!I$27+$A100/10000)*(1+Supuestos!$B$4+$B100/10000)-1)*(1-Supuestos!$B$6)</f>
        <v/>
      </c>
      <c r="L100">
        <f>(1+E100)^-Supuestos!C$24</f>
        <v/>
      </c>
      <c r="M100">
        <f>L100*(1+F100)^-Supuestos!D$24</f>
        <v/>
      </c>
      <c r="N100">
        <f>M100*(1+G100)^-Supuestos!E$24</f>
        <v/>
      </c>
      <c r="O100">
        <f>N100*(1+H100)^-Supuestos!F$24</f>
        <v/>
      </c>
      <c r="P100">
        <f>O100*(1+I100)^-Supuestos!G$24</f>
        <v/>
      </c>
      <c r="Q100">
        <f>P100*(1+J100)^-Supuestos!H$24</f>
        <v/>
      </c>
      <c r="R100">
        <f>(1+E100)^-(Supuestos!C$24/2)</f>
        <v/>
      </c>
      <c r="S100">
        <f>L100*(1+F100)^-(Supuestos!D$24/2)</f>
        <v/>
      </c>
      <c r="T100">
        <f>M100*(1+G100)^-(Supuestos!E$24/2)</f>
        <v/>
      </c>
      <c r="U100">
        <f>N100*(1+H100)^-(Supuestos!F$24/2)</f>
        <v/>
      </c>
      <c r="V100">
        <f>O100*(1+I100)^-(Supuestos!G$24/2)</f>
        <v/>
      </c>
      <c r="W100">
        <f>P100*(1+J100)^-(Supuestos!H$24/2)</f>
        <v/>
      </c>
      <c r="X100">
        <f>Supuestos!C$23*(1-$C100+$C100*((1+Supuestos!$B$4+$B100/10000)/(1+Supuestos!$B$4))^Supuestos!C$25)</f>
        <v/>
      </c>
      <c r="Y100">
        <f>Supuestos!D$23*(1-$C100+$C100*((1+Supuestos!$B$4+$B100/10000)/(1+Supuestos!$B$4))^Supuestos!D$25)</f>
        <v/>
      </c>
      <c r="Z100">
        <f>Supuestos!E$23*(1-$C100+$C100*((1+Supuestos!$B$4+$B100/10000)/(1+Supuestos!$B$4))^Supuestos!E$25)</f>
        <v/>
      </c>
      <c r="AA100">
        <f>Supuestos!F$23*(1-$C100+$C100*((1+Supuestos!$B$4+$B100/10000)/(1+Supuestos!$B$4))^Supuestos!F$25)</f>
        <v/>
      </c>
      <c r="AB100">
        <f>Supuestos!G$23*(1-$C100+$C100*((1+Supuestos!$B$4+$B100/10000)/(1+Supuestos!$B$4))^Supuestos!G$25)</f>
        <v/>
      </c>
      <c r="AC100">
        <f>Supuestos!H$23*(1-$C100+$C100*((1+Supuestos!$B$4+$B100/10000)/(1+Supuestos!$B$4))^Supuestos!H$25)</f>
        <v/>
      </c>
      <c r="AD100">
        <f>Supuestos!I$23*(1-$C100+$C100*((1+Supuestos!$B$4+$B100/10000)/(1+Supuestos!$B$4))^Supuestos!I$25)</f>
        <v/>
      </c>
      <c r="AE100">
        <f>SUMPRODUCT(X100:AC100,R100:W100)</f>
        <v/>
      </c>
      <c r="AF100">
        <f>(1+Supuestos!$B$5)/(1+Supuestos!$B$4)*(1+Supuestos!$B$4+$B100/10000)-1</f>
        <v/>
      </c>
      <c r="AG100">
        <f>AD100/(K100-AF100)</f>
        <v/>
      </c>
      <c r="AH100">
        <f>AG100*Q100</f>
        <v/>
      </c>
      <c r="AI100">
        <f>(AE100+AH100-Supuestos!$B$7-Supuestos!$B$8)/Supuestos!$B$9</f>
        <v/>
      </c>
      <c r="AJ100">
        <f>AI100/AI$5-1</f>
        <v/>
      </c>
    </row>
    <row r="101">
      <c r="A101" t="n">
        <v>-50</v>
      </c>
      <c r="B101" t="n">
        <v>-50</v>
      </c>
      <c r="C101" t="n">
        <v>0.7</v>
      </c>
      <c r="D101" t="inlineStr">
        <is>
          <t>Mix Δi=-100 θ=0.7</t>
        </is>
      </c>
      <c r="E101">
        <f>(1-Supuestos!C$28)*((1+((1+Supuestos!C$26)/(1+Supuestos!$B$4)-1+Supuestos!$B$14*$A101/10000))*(1+Supuestos!$B$4+$B101/10000)-1)+Supuestos!C$28*((1+Supuestos!C$27+$A101/10000)*(1+Supuestos!$B$4+$B101/10000)-1)*(1-Supuestos!$B$6)</f>
        <v/>
      </c>
      <c r="F101">
        <f>(1-Supuestos!D$28)*((1+((1+Supuestos!D$26)/(1+Supuestos!$B$4)-1+Supuestos!$B$14*$A101/10000))*(1+Supuestos!$B$4+$B101/10000)-1)+Supuestos!D$28*((1+Supuestos!D$27+$A101/10000)*(1+Supuestos!$B$4+$B101/10000)-1)*(1-Supuestos!$B$6)</f>
        <v/>
      </c>
      <c r="G101">
        <f>(1-Supuestos!E$28)*((1+((1+Supuestos!E$26)/(1+Supuestos!$B$4)-1+Supuestos!$B$14*$A101/10000))*(1+Supuestos!$B$4+$B101/10000)-1)+Supuestos!E$28*((1+Supuestos!E$27+$A101/10000)*(1+Supuestos!$B$4+$B101/10000)-1)*(1-Supuestos!$B$6)</f>
        <v/>
      </c>
      <c r="H101">
        <f>(1-Supuestos!F$28)*((1+((1+Supuestos!F$26)/(1+Supuestos!$B$4)-1+Supuestos!$B$14*$A101/10000))*(1+Supuestos!$B$4+$B101/10000)-1)+Supuestos!F$28*((1+Supuestos!F$27+$A101/10000)*(1+Supuestos!$B$4+$B101/10000)-1)*(1-Supuestos!$B$6)</f>
        <v/>
      </c>
      <c r="I101">
        <f>(1-Supuestos!G$28)*((1+((1+Supuestos!G$26)/(1+Supuestos!$B$4)-1+Supuestos!$B$14*$A101/10000))*(1+Supuestos!$B$4+$B101/10000)-1)+Supuestos!G$28*((1+Supuestos!G$27+$A101/10000)*(1+Supuestos!$B$4+$B101/10000)-1)*(1-Supuestos!$B$6)</f>
        <v/>
      </c>
      <c r="J101">
        <f>(1-Supuestos!H$28)*((1+((1+Supuestos!H$26)/(1+Supuestos!$B$4)-1+Supuestos!$B$14*$A101/10000))*(1+Supuestos!$B$4+$B101/10000)-1)+Supuestos!H$28*((1+Supuestos!H$27+$A101/10000)*(1+Supuestos!$B$4+$B101/10000)-1)*(1-Supuestos!$B$6)</f>
        <v/>
      </c>
      <c r="K101">
        <f>(1-Supuestos!I$28)*((1+((1+Supuestos!I$26)/(1+Supuestos!$B$4)-1+Supuestos!$B$14*$A101/10000))*(1+Supuestos!$B$4+$B101/10000)-1)+Supuestos!I$28*((1+Supuestos!I$27+$A101/10000)*(1+Supuestos!$B$4+$B101/10000)-1)*(1-Supuestos!$B$6)</f>
        <v/>
      </c>
      <c r="L101">
        <f>(1+E101)^-Supuestos!C$24</f>
        <v/>
      </c>
      <c r="M101">
        <f>L101*(1+F101)^-Supuestos!D$24</f>
        <v/>
      </c>
      <c r="N101">
        <f>M101*(1+G101)^-Supuestos!E$24</f>
        <v/>
      </c>
      <c r="O101">
        <f>N101*(1+H101)^-Supuestos!F$24</f>
        <v/>
      </c>
      <c r="P101">
        <f>O101*(1+I101)^-Supuestos!G$24</f>
        <v/>
      </c>
      <c r="Q101">
        <f>P101*(1+J101)^-Supuestos!H$24</f>
        <v/>
      </c>
      <c r="R101">
        <f>(1+E101)^-(Supuestos!C$24/2)</f>
        <v/>
      </c>
      <c r="S101">
        <f>L101*(1+F101)^-(Supuestos!D$24/2)</f>
        <v/>
      </c>
      <c r="T101">
        <f>M101*(1+G101)^-(Supuestos!E$24/2)</f>
        <v/>
      </c>
      <c r="U101">
        <f>N101*(1+H101)^-(Supuestos!F$24/2)</f>
        <v/>
      </c>
      <c r="V101">
        <f>O101*(1+I101)^-(Supuestos!G$24/2)</f>
        <v/>
      </c>
      <c r="W101">
        <f>P101*(1+J101)^-(Supuestos!H$24/2)</f>
        <v/>
      </c>
      <c r="X101">
        <f>Supuestos!C$23*(1-$C101+$C101*((1+Supuestos!$B$4+$B101/10000)/(1+Supuestos!$B$4))^Supuestos!C$25)</f>
        <v/>
      </c>
      <c r="Y101">
        <f>Supuestos!D$23*(1-$C101+$C101*((1+Supuestos!$B$4+$B101/10000)/(1+Supuestos!$B$4))^Supuestos!D$25)</f>
        <v/>
      </c>
      <c r="Z101">
        <f>Supuestos!E$23*(1-$C101+$C101*((1+Supuestos!$B$4+$B101/10000)/(1+Supuestos!$B$4))^Supuestos!E$25)</f>
        <v/>
      </c>
      <c r="AA101">
        <f>Supuestos!F$23*(1-$C101+$C101*((1+Supuestos!$B$4+$B101/10000)/(1+Supuestos!$B$4))^Supuestos!F$25)</f>
        <v/>
      </c>
      <c r="AB101">
        <f>Supuestos!G$23*(1-$C101+$C101*((1+Supuestos!$B$4+$B101/10000)/(1+Supuestos!$B$4))^Supuestos!G$25)</f>
        <v/>
      </c>
      <c r="AC101">
        <f>Supuestos!H$23*(1-$C101+$C101*((1+Supuestos!$B$4+$B101/10000)/(1+Supuestos!$B$4))^Supuestos!H$25)</f>
        <v/>
      </c>
      <c r="AD101">
        <f>Supuestos!I$23*(1-$C101+$C101*((1+Supuestos!$B$4+$B101/10000)/(1+Supuestos!$B$4))^Supuestos!I$25)</f>
        <v/>
      </c>
      <c r="AE101">
        <f>SUMPRODUCT(X101:AC101,R101:W101)</f>
        <v/>
      </c>
      <c r="AF101">
        <f>(1+Supuestos!$B$5)/(1+Supuestos!$B$4)*(1+Supuestos!$B$4+$B101/10000)-1</f>
        <v/>
      </c>
      <c r="AG101">
        <f>AD101/(K101-AF101)</f>
        <v/>
      </c>
      <c r="AH101">
        <f>AG101*Q101</f>
        <v/>
      </c>
      <c r="AI101">
        <f>(AE101+AH101-Supuestos!$B$7-Supuestos!$B$8)/Supuestos!$B$9</f>
        <v/>
      </c>
      <c r="AJ101">
        <f>AI101/AI$5-1</f>
        <v/>
      </c>
    </row>
    <row r="102">
      <c r="A102" t="n">
        <v>-40</v>
      </c>
      <c r="B102" t="n">
        <v>-60</v>
      </c>
      <c r="C102" t="n">
        <v>0.7</v>
      </c>
      <c r="D102" t="inlineStr">
        <is>
          <t>Mix Δi=-100 θ=0.7</t>
        </is>
      </c>
      <c r="E102">
        <f>(1-Supuestos!C$28)*((1+((1+Supuestos!C$26)/(1+Supuestos!$B$4)-1+Supuestos!$B$14*$A102/10000))*(1+Supuestos!$B$4+$B102/10000)-1)+Supuestos!C$28*((1+Supuestos!C$27+$A102/10000)*(1+Supuestos!$B$4+$B102/10000)-1)*(1-Supuestos!$B$6)</f>
        <v/>
      </c>
      <c r="F102">
        <f>(1-Supuestos!D$28)*((1+((1+Supuestos!D$26)/(1+Supuestos!$B$4)-1+Supuestos!$B$14*$A102/10000))*(1+Supuestos!$B$4+$B102/10000)-1)+Supuestos!D$28*((1+Supuestos!D$27+$A102/10000)*(1+Supuestos!$B$4+$B102/10000)-1)*(1-Supuestos!$B$6)</f>
        <v/>
      </c>
      <c r="G102">
        <f>(1-Supuestos!E$28)*((1+((1+Supuestos!E$26)/(1+Supuestos!$B$4)-1+Supuestos!$B$14*$A102/10000))*(1+Supuestos!$B$4+$B102/10000)-1)+Supuestos!E$28*((1+Supuestos!E$27+$A102/10000)*(1+Supuestos!$B$4+$B102/10000)-1)*(1-Supuestos!$B$6)</f>
        <v/>
      </c>
      <c r="H102">
        <f>(1-Supuestos!F$28)*((1+((1+Supuestos!F$26)/(1+Supuestos!$B$4)-1+Supuestos!$B$14*$A102/10000))*(1+Supuestos!$B$4+$B102/10000)-1)+Supuestos!F$28*((1+Supuestos!F$27+$A102/10000)*(1+Supuestos!$B$4+$B102/10000)-1)*(1-Supuestos!$B$6)</f>
        <v/>
      </c>
      <c r="I102">
        <f>(1-Supuestos!G$28)*((1+((1+Supuestos!G$26)/(1+Supuestos!$B$4)-1+Supuestos!$B$14*$A102/10000))*(1+Supuestos!$B$4+$B102/10000)-1)+Supuestos!G$28*((1+Supuestos!G$27+$A102/10000)*(1+Supuestos!$B$4+$B102/10000)-1)*(1-Supuestos!$B$6)</f>
        <v/>
      </c>
      <c r="J102">
        <f>(1-Supuestos!H$28)*((1+((1+Supuestos!H$26)/(1+Supuestos!$B$4)-1+Supuestos!$B$14*$A102/10000))*(1+Supuestos!$B$4+$B102/10000)-1)+Supuestos!H$28*((1+Supuestos!H$27+$A102/10000)*(1+Supuestos!$B$4+$B102/10000)-1)*(1-Supuestos!$B$6)</f>
        <v/>
      </c>
      <c r="K102">
        <f>(1-Supuestos!I$28)*((1+((1+Supuestos!I$26)/(1+Supuestos!$B$4)-1+Supuestos!$B$14*$A102/10000))*(1+Supuestos!$B$4+$B102/10000)-1)+Supuestos!I$28*((1+Supuestos!I$27+$A102/10000)*(1+Supuestos!$B$4+$B102/10000)-1)*(1-Supuestos!$B$6)</f>
        <v/>
      </c>
      <c r="L102">
        <f>(1+E102)^-Supuestos!C$24</f>
        <v/>
      </c>
      <c r="M102">
        <f>L102*(1+F102)^-Supuestos!D$24</f>
        <v/>
      </c>
      <c r="N102">
        <f>M102*(1+G102)^-Supuestos!E$24</f>
        <v/>
      </c>
      <c r="O102">
        <f>N102*(1+H102)^-Supuestos!F$24</f>
        <v/>
      </c>
      <c r="P102">
        <f>O102*(1+I102)^-Supuestos!G$24</f>
        <v/>
      </c>
      <c r="Q102">
        <f>P102*(1+J102)^-Supuestos!H$24</f>
        <v/>
      </c>
      <c r="R102">
        <f>(1+E102)^-(Supuestos!C$24/2)</f>
        <v/>
      </c>
      <c r="S102">
        <f>L102*(1+F102)^-(Supuestos!D$24/2)</f>
        <v/>
      </c>
      <c r="T102">
        <f>M102*(1+G102)^-(Supuestos!E$24/2)</f>
        <v/>
      </c>
      <c r="U102">
        <f>N102*(1+H102)^-(Supuestos!F$24/2)</f>
        <v/>
      </c>
      <c r="V102">
        <f>O102*(1+I102)^-(Supuestos!G$24/2)</f>
        <v/>
      </c>
      <c r="W102">
        <f>P102*(1+J102)^-(Supuestos!H$24/2)</f>
        <v/>
      </c>
      <c r="X102">
        <f>Supuestos!C$23*(1-$C102+$C102*((1+Supuestos!$B$4+$B102/10000)/(1+Supuestos!$B$4))^Supuestos!C$25)</f>
        <v/>
      </c>
      <c r="Y102">
        <f>Supuestos!D$23*(1-$C102+$C102*((1+Supuestos!$B$4+$B102/10000)/(1+Supuestos!$B$4))^Supuestos!D$25)</f>
        <v/>
      </c>
      <c r="Z102">
        <f>Supuestos!E$23*(1-$C102+$C102*((1+Supuestos!$B$4+$B102/10000)/(1+Supuestos!$B$4))^Supuestos!E$25)</f>
        <v/>
      </c>
      <c r="AA102">
        <f>Supuestos!F$23*(1-$C102+$C102*((1+Supuestos!$B$4+$B102/10000)/(1+Supuestos!$B$4))^Supuestos!F$25)</f>
        <v/>
      </c>
      <c r="AB102">
        <f>Supuestos!G$23*(1-$C102+$C102*((1+Supuestos!$B$4+$B102/10000)/(1+Supuestos!$B$4))^Supuestos!G$25)</f>
        <v/>
      </c>
      <c r="AC102">
        <f>Supuestos!H$23*(1-$C102+$C102*((1+Supuestos!$B$4+$B102/10000)/(1+Supuestos!$B$4))^Supuestos!H$25)</f>
        <v/>
      </c>
      <c r="AD102">
        <f>Supuestos!I$23*(1-$C102+$C102*((1+Supuestos!$B$4+$B102/10000)/(1+Supuestos!$B$4))^Supuestos!I$25)</f>
        <v/>
      </c>
      <c r="AE102">
        <f>SUMPRODUCT(X102:AC102,R102:W102)</f>
        <v/>
      </c>
      <c r="AF102">
        <f>(1+Supuestos!$B$5)/(1+Supuestos!$B$4)*(1+Supuestos!$B$4+$B102/10000)-1</f>
        <v/>
      </c>
      <c r="AG102">
        <f>AD102/(K102-AF102)</f>
        <v/>
      </c>
      <c r="AH102">
        <f>AG102*Q102</f>
        <v/>
      </c>
      <c r="AI102">
        <f>(AE102+AH102-Supuestos!$B$7-Supuestos!$B$8)/Supuestos!$B$9</f>
        <v/>
      </c>
      <c r="AJ102">
        <f>AI102/AI$5-1</f>
        <v/>
      </c>
    </row>
    <row r="103">
      <c r="A103" t="n">
        <v>-30</v>
      </c>
      <c r="B103" t="n">
        <v>-70</v>
      </c>
      <c r="C103" t="n">
        <v>0.7</v>
      </c>
      <c r="D103" t="inlineStr">
        <is>
          <t>Mix Δi=-100 θ=0.7</t>
        </is>
      </c>
      <c r="E103">
        <f>(1-Supuestos!C$28)*((1+((1+Supuestos!C$26)/(1+Supuestos!$B$4)-1+Supuestos!$B$14*$A103/10000))*(1+Supuestos!$B$4+$B103/10000)-1)+Supuestos!C$28*((1+Supuestos!C$27+$A103/10000)*(1+Supuestos!$B$4+$B103/10000)-1)*(1-Supuestos!$B$6)</f>
        <v/>
      </c>
      <c r="F103">
        <f>(1-Supuestos!D$28)*((1+((1+Supuestos!D$26)/(1+Supuestos!$B$4)-1+Supuestos!$B$14*$A103/10000))*(1+Supuestos!$B$4+$B103/10000)-1)+Supuestos!D$28*((1+Supuestos!D$27+$A103/10000)*(1+Supuestos!$B$4+$B103/10000)-1)*(1-Supuestos!$B$6)</f>
        <v/>
      </c>
      <c r="G103">
        <f>(1-Supuestos!E$28)*((1+((1+Supuestos!E$26)/(1+Supuestos!$B$4)-1+Supuestos!$B$14*$A103/10000))*(1+Supuestos!$B$4+$B103/10000)-1)+Supuestos!E$28*((1+Supuestos!E$27+$A103/10000)*(1+Supuestos!$B$4+$B103/10000)-1)*(1-Supuestos!$B$6)</f>
        <v/>
      </c>
      <c r="H103">
        <f>(1-Supuestos!F$28)*((1+((1+Supuestos!F$26)/(1+Supuestos!$B$4)-1+Supuestos!$B$14*$A103/10000))*(1+Supuestos!$B$4+$B103/10000)-1)+Supuestos!F$28*((1+Supuestos!F$27+$A103/10000)*(1+Supuestos!$B$4+$B103/10000)-1)*(1-Supuestos!$B$6)</f>
        <v/>
      </c>
      <c r="I103">
        <f>(1-Supuestos!G$28)*((1+((1+Supuestos!G$26)/(1+Supuestos!$B$4)-1+Supuestos!$B$14*$A103/10000))*(1+Supuestos!$B$4+$B103/10000)-1)+Supuestos!G$28*((1+Supuestos!G$27+$A103/10000)*(1+Supuestos!$B$4+$B103/10000)-1)*(1-Supuestos!$B$6)</f>
        <v/>
      </c>
      <c r="J103">
        <f>(1-Supuestos!H$28)*((1+((1+Supuestos!H$26)/(1+Supuestos!$B$4)-1+Supuestos!$B$14*$A103/10000))*(1+Supuestos!$B$4+$B103/10000)-1)+Supuestos!H$28*((1+Supuestos!H$27+$A103/10000)*(1+Supuestos!$B$4+$B103/10000)-1)*(1-Supuestos!$B$6)</f>
        <v/>
      </c>
      <c r="K103">
        <f>(1-Supuestos!I$28)*((1+((1+Supuestos!I$26)/(1+Supuestos!$B$4)-1+Supuestos!$B$14*$A103/10000))*(1+Supuestos!$B$4+$B103/10000)-1)+Supuestos!I$28*((1+Supuestos!I$27+$A103/10000)*(1+Supuestos!$B$4+$B103/10000)-1)*(1-Supuestos!$B$6)</f>
        <v/>
      </c>
      <c r="L103">
        <f>(1+E103)^-Supuestos!C$24</f>
        <v/>
      </c>
      <c r="M103">
        <f>L103*(1+F103)^-Supuestos!D$24</f>
        <v/>
      </c>
      <c r="N103">
        <f>M103*(1+G103)^-Supuestos!E$24</f>
        <v/>
      </c>
      <c r="O103">
        <f>N103*(1+H103)^-Supuestos!F$24</f>
        <v/>
      </c>
      <c r="P103">
        <f>O103*(1+I103)^-Supuestos!G$24</f>
        <v/>
      </c>
      <c r="Q103">
        <f>P103*(1+J103)^-Supuestos!H$24</f>
        <v/>
      </c>
      <c r="R103">
        <f>(1+E103)^-(Supuestos!C$24/2)</f>
        <v/>
      </c>
      <c r="S103">
        <f>L103*(1+F103)^-(Supuestos!D$24/2)</f>
        <v/>
      </c>
      <c r="T103">
        <f>M103*(1+G103)^-(Supuestos!E$24/2)</f>
        <v/>
      </c>
      <c r="U103">
        <f>N103*(1+H103)^-(Supuestos!F$24/2)</f>
        <v/>
      </c>
      <c r="V103">
        <f>O103*(1+I103)^-(Supuestos!G$24/2)</f>
        <v/>
      </c>
      <c r="W103">
        <f>P103*(1+J103)^-(Supuestos!H$24/2)</f>
        <v/>
      </c>
      <c r="X103">
        <f>Supuestos!C$23*(1-$C103+$C103*((1+Supuestos!$B$4+$B103/10000)/(1+Supuestos!$B$4))^Supuestos!C$25)</f>
        <v/>
      </c>
      <c r="Y103">
        <f>Supuestos!D$23*(1-$C103+$C103*((1+Supuestos!$B$4+$B103/10000)/(1+Supuestos!$B$4))^Supuestos!D$25)</f>
        <v/>
      </c>
      <c r="Z103">
        <f>Supuestos!E$23*(1-$C103+$C103*((1+Supuestos!$B$4+$B103/10000)/(1+Supuestos!$B$4))^Supuestos!E$25)</f>
        <v/>
      </c>
      <c r="AA103">
        <f>Supuestos!F$23*(1-$C103+$C103*((1+Supuestos!$B$4+$B103/10000)/(1+Supuestos!$B$4))^Supuestos!F$25)</f>
        <v/>
      </c>
      <c r="AB103">
        <f>Supuestos!G$23*(1-$C103+$C103*((1+Supuestos!$B$4+$B103/10000)/(1+Supuestos!$B$4))^Supuestos!G$25)</f>
        <v/>
      </c>
      <c r="AC103">
        <f>Supuestos!H$23*(1-$C103+$C103*((1+Supuestos!$B$4+$B103/10000)/(1+Supuestos!$B$4))^Supuestos!H$25)</f>
        <v/>
      </c>
      <c r="AD103">
        <f>Supuestos!I$23*(1-$C103+$C103*((1+Supuestos!$B$4+$B103/10000)/(1+Supuestos!$B$4))^Supuestos!I$25)</f>
        <v/>
      </c>
      <c r="AE103">
        <f>SUMPRODUCT(X103:AC103,R103:W103)</f>
        <v/>
      </c>
      <c r="AF103">
        <f>(1+Supuestos!$B$5)/(1+Supuestos!$B$4)*(1+Supuestos!$B$4+$B103/10000)-1</f>
        <v/>
      </c>
      <c r="AG103">
        <f>AD103/(K103-AF103)</f>
        <v/>
      </c>
      <c r="AH103">
        <f>AG103*Q103</f>
        <v/>
      </c>
      <c r="AI103">
        <f>(AE103+AH103-Supuestos!$B$7-Supuestos!$B$8)/Supuestos!$B$9</f>
        <v/>
      </c>
      <c r="AJ103">
        <f>AI103/AI$5-1</f>
        <v/>
      </c>
    </row>
    <row r="104">
      <c r="A104" t="n">
        <v>-20</v>
      </c>
      <c r="B104" t="n">
        <v>-80</v>
      </c>
      <c r="C104" t="n">
        <v>0.7</v>
      </c>
      <c r="D104" t="inlineStr">
        <is>
          <t>Mix Δi=-100 θ=0.7</t>
        </is>
      </c>
      <c r="E104">
        <f>(1-Supuestos!C$28)*((1+((1+Supuestos!C$26)/(1+Supuestos!$B$4)-1+Supuestos!$B$14*$A104/10000))*(1+Supuestos!$B$4+$B104/10000)-1)+Supuestos!C$28*((1+Supuestos!C$27+$A104/10000)*(1+Supuestos!$B$4+$B104/10000)-1)*(1-Supuestos!$B$6)</f>
        <v/>
      </c>
      <c r="F104">
        <f>(1-Supuestos!D$28)*((1+((1+Supuestos!D$26)/(1+Supuestos!$B$4)-1+Supuestos!$B$14*$A104/10000))*(1+Supuestos!$B$4+$B104/10000)-1)+Supuestos!D$28*((1+Supuestos!D$27+$A104/10000)*(1+Supuestos!$B$4+$B104/10000)-1)*(1-Supuestos!$B$6)</f>
        <v/>
      </c>
      <c r="G104">
        <f>(1-Supuestos!E$28)*((1+((1+Supuestos!E$26)/(1+Supuestos!$B$4)-1+Supuestos!$B$14*$A104/10000))*(1+Supuestos!$B$4+$B104/10000)-1)+Supuestos!E$28*((1+Supuestos!E$27+$A104/10000)*(1+Supuestos!$B$4+$B104/10000)-1)*(1-Supuestos!$B$6)</f>
        <v/>
      </c>
      <c r="H104">
        <f>(1-Supuestos!F$28)*((1+((1+Supuestos!F$26)/(1+Supuestos!$B$4)-1+Supuestos!$B$14*$A104/10000))*(1+Supuestos!$B$4+$B104/10000)-1)+Supuestos!F$28*((1+Supuestos!F$27+$A104/10000)*(1+Supuestos!$B$4+$B104/10000)-1)*(1-Supuestos!$B$6)</f>
        <v/>
      </c>
      <c r="I104">
        <f>(1-Supuestos!G$28)*((1+((1+Supuestos!G$26)/(1+Supuestos!$B$4)-1+Supuestos!$B$14*$A104/10000))*(1+Supuestos!$B$4+$B104/10000)-1)+Supuestos!G$28*((1+Supuestos!G$27+$A104/10000)*(1+Supuestos!$B$4+$B104/10000)-1)*(1-Supuestos!$B$6)</f>
        <v/>
      </c>
      <c r="J104">
        <f>(1-Supuestos!H$28)*((1+((1+Supuestos!H$26)/(1+Supuestos!$B$4)-1+Supuestos!$B$14*$A104/10000))*(1+Supuestos!$B$4+$B104/10000)-1)+Supuestos!H$28*((1+Supuestos!H$27+$A104/10000)*(1+Supuestos!$B$4+$B104/10000)-1)*(1-Supuestos!$B$6)</f>
        <v/>
      </c>
      <c r="K104">
        <f>(1-Supuestos!I$28)*((1+((1+Supuestos!I$26)/(1+Supuestos!$B$4)-1+Supuestos!$B$14*$A104/10000))*(1+Supuestos!$B$4+$B104/10000)-1)+Supuestos!I$28*((1+Supuestos!I$27+$A104/10000)*(1+Supuestos!$B$4+$B104/10000)-1)*(1-Supuestos!$B$6)</f>
        <v/>
      </c>
      <c r="L104">
        <f>(1+E104)^-Supuestos!C$24</f>
        <v/>
      </c>
      <c r="M104">
        <f>L104*(1+F104)^-Supuestos!D$24</f>
        <v/>
      </c>
      <c r="N104">
        <f>M104*(1+G104)^-Supuestos!E$24</f>
        <v/>
      </c>
      <c r="O104">
        <f>N104*(1+H104)^-Supuestos!F$24</f>
        <v/>
      </c>
      <c r="P104">
        <f>O104*(1+I104)^-Supuestos!G$24</f>
        <v/>
      </c>
      <c r="Q104">
        <f>P104*(1+J104)^-Supuestos!H$24</f>
        <v/>
      </c>
      <c r="R104">
        <f>(1+E104)^-(Supuestos!C$24/2)</f>
        <v/>
      </c>
      <c r="S104">
        <f>L104*(1+F104)^-(Supuestos!D$24/2)</f>
        <v/>
      </c>
      <c r="T104">
        <f>M104*(1+G104)^-(Supuestos!E$24/2)</f>
        <v/>
      </c>
      <c r="U104">
        <f>N104*(1+H104)^-(Supuestos!F$24/2)</f>
        <v/>
      </c>
      <c r="V104">
        <f>O104*(1+I104)^-(Supuestos!G$24/2)</f>
        <v/>
      </c>
      <c r="W104">
        <f>P104*(1+J104)^-(Supuestos!H$24/2)</f>
        <v/>
      </c>
      <c r="X104">
        <f>Supuestos!C$23*(1-$C104+$C104*((1+Supuestos!$B$4+$B104/10000)/(1+Supuestos!$B$4))^Supuestos!C$25)</f>
        <v/>
      </c>
      <c r="Y104">
        <f>Supuestos!D$23*(1-$C104+$C104*((1+Supuestos!$B$4+$B104/10000)/(1+Supuestos!$B$4))^Supuestos!D$25)</f>
        <v/>
      </c>
      <c r="Z104">
        <f>Supuestos!E$23*(1-$C104+$C104*((1+Supuestos!$B$4+$B104/10000)/(1+Supuestos!$B$4))^Supuestos!E$25)</f>
        <v/>
      </c>
      <c r="AA104">
        <f>Supuestos!F$23*(1-$C104+$C104*((1+Supuestos!$B$4+$B104/10000)/(1+Supuestos!$B$4))^Supuestos!F$25)</f>
        <v/>
      </c>
      <c r="AB104">
        <f>Supuestos!G$23*(1-$C104+$C104*((1+Supuestos!$B$4+$B104/10000)/(1+Supuestos!$B$4))^Supuestos!G$25)</f>
        <v/>
      </c>
      <c r="AC104">
        <f>Supuestos!H$23*(1-$C104+$C104*((1+Supuestos!$B$4+$B104/10000)/(1+Supuestos!$B$4))^Supuestos!H$25)</f>
        <v/>
      </c>
      <c r="AD104">
        <f>Supuestos!I$23*(1-$C104+$C104*((1+Supuestos!$B$4+$B104/10000)/(1+Supuestos!$B$4))^Supuestos!I$25)</f>
        <v/>
      </c>
      <c r="AE104">
        <f>SUMPRODUCT(X104:AC104,R104:W104)</f>
        <v/>
      </c>
      <c r="AF104">
        <f>(1+Supuestos!$B$5)/(1+Supuestos!$B$4)*(1+Supuestos!$B$4+$B104/10000)-1</f>
        <v/>
      </c>
      <c r="AG104">
        <f>AD104/(K104-AF104)</f>
        <v/>
      </c>
      <c r="AH104">
        <f>AG104*Q104</f>
        <v/>
      </c>
      <c r="AI104">
        <f>(AE104+AH104-Supuestos!$B$7-Supuestos!$B$8)/Supuestos!$B$9</f>
        <v/>
      </c>
      <c r="AJ104">
        <f>AI104/AI$5-1</f>
        <v/>
      </c>
    </row>
    <row r="105">
      <c r="A105" t="n">
        <v>-9.999999999999998</v>
      </c>
      <c r="B105" t="n">
        <v>-90</v>
      </c>
      <c r="C105" t="n">
        <v>0.7</v>
      </c>
      <c r="D105" t="inlineStr">
        <is>
          <t>Mix Δi=-100 θ=0.7</t>
        </is>
      </c>
      <c r="E105">
        <f>(1-Supuestos!C$28)*((1+((1+Supuestos!C$26)/(1+Supuestos!$B$4)-1+Supuestos!$B$14*$A105/10000))*(1+Supuestos!$B$4+$B105/10000)-1)+Supuestos!C$28*((1+Supuestos!C$27+$A105/10000)*(1+Supuestos!$B$4+$B105/10000)-1)*(1-Supuestos!$B$6)</f>
        <v/>
      </c>
      <c r="F105">
        <f>(1-Supuestos!D$28)*((1+((1+Supuestos!D$26)/(1+Supuestos!$B$4)-1+Supuestos!$B$14*$A105/10000))*(1+Supuestos!$B$4+$B105/10000)-1)+Supuestos!D$28*((1+Supuestos!D$27+$A105/10000)*(1+Supuestos!$B$4+$B105/10000)-1)*(1-Supuestos!$B$6)</f>
        <v/>
      </c>
      <c r="G105">
        <f>(1-Supuestos!E$28)*((1+((1+Supuestos!E$26)/(1+Supuestos!$B$4)-1+Supuestos!$B$14*$A105/10000))*(1+Supuestos!$B$4+$B105/10000)-1)+Supuestos!E$28*((1+Supuestos!E$27+$A105/10000)*(1+Supuestos!$B$4+$B105/10000)-1)*(1-Supuestos!$B$6)</f>
        <v/>
      </c>
      <c r="H105">
        <f>(1-Supuestos!F$28)*((1+((1+Supuestos!F$26)/(1+Supuestos!$B$4)-1+Supuestos!$B$14*$A105/10000))*(1+Supuestos!$B$4+$B105/10000)-1)+Supuestos!F$28*((1+Supuestos!F$27+$A105/10000)*(1+Supuestos!$B$4+$B105/10000)-1)*(1-Supuestos!$B$6)</f>
        <v/>
      </c>
      <c r="I105">
        <f>(1-Supuestos!G$28)*((1+((1+Supuestos!G$26)/(1+Supuestos!$B$4)-1+Supuestos!$B$14*$A105/10000))*(1+Supuestos!$B$4+$B105/10000)-1)+Supuestos!G$28*((1+Supuestos!G$27+$A105/10000)*(1+Supuestos!$B$4+$B105/10000)-1)*(1-Supuestos!$B$6)</f>
        <v/>
      </c>
      <c r="J105">
        <f>(1-Supuestos!H$28)*((1+((1+Supuestos!H$26)/(1+Supuestos!$B$4)-1+Supuestos!$B$14*$A105/10000))*(1+Supuestos!$B$4+$B105/10000)-1)+Supuestos!H$28*((1+Supuestos!H$27+$A105/10000)*(1+Supuestos!$B$4+$B105/10000)-1)*(1-Supuestos!$B$6)</f>
        <v/>
      </c>
      <c r="K105">
        <f>(1-Supuestos!I$28)*((1+((1+Supuestos!I$26)/(1+Supuestos!$B$4)-1+Supuestos!$B$14*$A105/10000))*(1+Supuestos!$B$4+$B105/10000)-1)+Supuestos!I$28*((1+Supuestos!I$27+$A105/10000)*(1+Supuestos!$B$4+$B105/10000)-1)*(1-Supuestos!$B$6)</f>
        <v/>
      </c>
      <c r="L105">
        <f>(1+E105)^-Supuestos!C$24</f>
        <v/>
      </c>
      <c r="M105">
        <f>L105*(1+F105)^-Supuestos!D$24</f>
        <v/>
      </c>
      <c r="N105">
        <f>M105*(1+G105)^-Supuestos!E$24</f>
        <v/>
      </c>
      <c r="O105">
        <f>N105*(1+H105)^-Supuestos!F$24</f>
        <v/>
      </c>
      <c r="P105">
        <f>O105*(1+I105)^-Supuestos!G$24</f>
        <v/>
      </c>
      <c r="Q105">
        <f>P105*(1+J105)^-Supuestos!H$24</f>
        <v/>
      </c>
      <c r="R105">
        <f>(1+E105)^-(Supuestos!C$24/2)</f>
        <v/>
      </c>
      <c r="S105">
        <f>L105*(1+F105)^-(Supuestos!D$24/2)</f>
        <v/>
      </c>
      <c r="T105">
        <f>M105*(1+G105)^-(Supuestos!E$24/2)</f>
        <v/>
      </c>
      <c r="U105">
        <f>N105*(1+H105)^-(Supuestos!F$24/2)</f>
        <v/>
      </c>
      <c r="V105">
        <f>O105*(1+I105)^-(Supuestos!G$24/2)</f>
        <v/>
      </c>
      <c r="W105">
        <f>P105*(1+J105)^-(Supuestos!H$24/2)</f>
        <v/>
      </c>
      <c r="X105">
        <f>Supuestos!C$23*(1-$C105+$C105*((1+Supuestos!$B$4+$B105/10000)/(1+Supuestos!$B$4))^Supuestos!C$25)</f>
        <v/>
      </c>
      <c r="Y105">
        <f>Supuestos!D$23*(1-$C105+$C105*((1+Supuestos!$B$4+$B105/10000)/(1+Supuestos!$B$4))^Supuestos!D$25)</f>
        <v/>
      </c>
      <c r="Z105">
        <f>Supuestos!E$23*(1-$C105+$C105*((1+Supuestos!$B$4+$B105/10000)/(1+Supuestos!$B$4))^Supuestos!E$25)</f>
        <v/>
      </c>
      <c r="AA105">
        <f>Supuestos!F$23*(1-$C105+$C105*((1+Supuestos!$B$4+$B105/10000)/(1+Supuestos!$B$4))^Supuestos!F$25)</f>
        <v/>
      </c>
      <c r="AB105">
        <f>Supuestos!G$23*(1-$C105+$C105*((1+Supuestos!$B$4+$B105/10000)/(1+Supuestos!$B$4))^Supuestos!G$25)</f>
        <v/>
      </c>
      <c r="AC105">
        <f>Supuestos!H$23*(1-$C105+$C105*((1+Supuestos!$B$4+$B105/10000)/(1+Supuestos!$B$4))^Supuestos!H$25)</f>
        <v/>
      </c>
      <c r="AD105">
        <f>Supuestos!I$23*(1-$C105+$C105*((1+Supuestos!$B$4+$B105/10000)/(1+Supuestos!$B$4))^Supuestos!I$25)</f>
        <v/>
      </c>
      <c r="AE105">
        <f>SUMPRODUCT(X105:AC105,R105:W105)</f>
        <v/>
      </c>
      <c r="AF105">
        <f>(1+Supuestos!$B$5)/(1+Supuestos!$B$4)*(1+Supuestos!$B$4+$B105/10000)-1</f>
        <v/>
      </c>
      <c r="AG105">
        <f>AD105/(K105-AF105)</f>
        <v/>
      </c>
      <c r="AH105">
        <f>AG105*Q105</f>
        <v/>
      </c>
      <c r="AI105">
        <f>(AE105+AH105-Supuestos!$B$7-Supuestos!$B$8)/Supuestos!$B$9</f>
        <v/>
      </c>
      <c r="AJ105">
        <f>AI105/AI$5-1</f>
        <v/>
      </c>
    </row>
    <row r="106">
      <c r="A106" t="n">
        <v>-0</v>
      </c>
      <c r="B106" t="n">
        <v>-100</v>
      </c>
      <c r="C106" t="n">
        <v>0.7</v>
      </c>
      <c r="D106" t="inlineStr">
        <is>
          <t>Mix Δi=-100 θ=0.7</t>
        </is>
      </c>
      <c r="E106">
        <f>(1-Supuestos!C$28)*((1+((1+Supuestos!C$26)/(1+Supuestos!$B$4)-1+Supuestos!$B$14*$A106/10000))*(1+Supuestos!$B$4+$B106/10000)-1)+Supuestos!C$28*((1+Supuestos!C$27+$A106/10000)*(1+Supuestos!$B$4+$B106/10000)-1)*(1-Supuestos!$B$6)</f>
        <v/>
      </c>
      <c r="F106">
        <f>(1-Supuestos!D$28)*((1+((1+Supuestos!D$26)/(1+Supuestos!$B$4)-1+Supuestos!$B$14*$A106/10000))*(1+Supuestos!$B$4+$B106/10000)-1)+Supuestos!D$28*((1+Supuestos!D$27+$A106/10000)*(1+Supuestos!$B$4+$B106/10000)-1)*(1-Supuestos!$B$6)</f>
        <v/>
      </c>
      <c r="G106">
        <f>(1-Supuestos!E$28)*((1+((1+Supuestos!E$26)/(1+Supuestos!$B$4)-1+Supuestos!$B$14*$A106/10000))*(1+Supuestos!$B$4+$B106/10000)-1)+Supuestos!E$28*((1+Supuestos!E$27+$A106/10000)*(1+Supuestos!$B$4+$B106/10000)-1)*(1-Supuestos!$B$6)</f>
        <v/>
      </c>
      <c r="H106">
        <f>(1-Supuestos!F$28)*((1+((1+Supuestos!F$26)/(1+Supuestos!$B$4)-1+Supuestos!$B$14*$A106/10000))*(1+Supuestos!$B$4+$B106/10000)-1)+Supuestos!F$28*((1+Supuestos!F$27+$A106/10000)*(1+Supuestos!$B$4+$B106/10000)-1)*(1-Supuestos!$B$6)</f>
        <v/>
      </c>
      <c r="I106">
        <f>(1-Supuestos!G$28)*((1+((1+Supuestos!G$26)/(1+Supuestos!$B$4)-1+Supuestos!$B$14*$A106/10000))*(1+Supuestos!$B$4+$B106/10000)-1)+Supuestos!G$28*((1+Supuestos!G$27+$A106/10000)*(1+Supuestos!$B$4+$B106/10000)-1)*(1-Supuestos!$B$6)</f>
        <v/>
      </c>
      <c r="J106">
        <f>(1-Supuestos!H$28)*((1+((1+Supuestos!H$26)/(1+Supuestos!$B$4)-1+Supuestos!$B$14*$A106/10000))*(1+Supuestos!$B$4+$B106/10000)-1)+Supuestos!H$28*((1+Supuestos!H$27+$A106/10000)*(1+Supuestos!$B$4+$B106/10000)-1)*(1-Supuestos!$B$6)</f>
        <v/>
      </c>
      <c r="K106">
        <f>(1-Supuestos!I$28)*((1+((1+Supuestos!I$26)/(1+Supuestos!$B$4)-1+Supuestos!$B$14*$A106/10000))*(1+Supuestos!$B$4+$B106/10000)-1)+Supuestos!I$28*((1+Supuestos!I$27+$A106/10000)*(1+Supuestos!$B$4+$B106/10000)-1)*(1-Supuestos!$B$6)</f>
        <v/>
      </c>
      <c r="L106">
        <f>(1+E106)^-Supuestos!C$24</f>
        <v/>
      </c>
      <c r="M106">
        <f>L106*(1+F106)^-Supuestos!D$24</f>
        <v/>
      </c>
      <c r="N106">
        <f>M106*(1+G106)^-Supuestos!E$24</f>
        <v/>
      </c>
      <c r="O106">
        <f>N106*(1+H106)^-Supuestos!F$24</f>
        <v/>
      </c>
      <c r="P106">
        <f>O106*(1+I106)^-Supuestos!G$24</f>
        <v/>
      </c>
      <c r="Q106">
        <f>P106*(1+J106)^-Supuestos!H$24</f>
        <v/>
      </c>
      <c r="R106">
        <f>(1+E106)^-(Supuestos!C$24/2)</f>
        <v/>
      </c>
      <c r="S106">
        <f>L106*(1+F106)^-(Supuestos!D$24/2)</f>
        <v/>
      </c>
      <c r="T106">
        <f>M106*(1+G106)^-(Supuestos!E$24/2)</f>
        <v/>
      </c>
      <c r="U106">
        <f>N106*(1+H106)^-(Supuestos!F$24/2)</f>
        <v/>
      </c>
      <c r="V106">
        <f>O106*(1+I106)^-(Supuestos!G$24/2)</f>
        <v/>
      </c>
      <c r="W106">
        <f>P106*(1+J106)^-(Supuestos!H$24/2)</f>
        <v/>
      </c>
      <c r="X106">
        <f>Supuestos!C$23*(1-$C106+$C106*((1+Supuestos!$B$4+$B106/10000)/(1+Supuestos!$B$4))^Supuestos!C$25)</f>
        <v/>
      </c>
      <c r="Y106">
        <f>Supuestos!D$23*(1-$C106+$C106*((1+Supuestos!$B$4+$B106/10000)/(1+Supuestos!$B$4))^Supuestos!D$25)</f>
        <v/>
      </c>
      <c r="Z106">
        <f>Supuestos!E$23*(1-$C106+$C106*((1+Supuestos!$B$4+$B106/10000)/(1+Supuestos!$B$4))^Supuestos!E$25)</f>
        <v/>
      </c>
      <c r="AA106">
        <f>Supuestos!F$23*(1-$C106+$C106*((1+Supuestos!$B$4+$B106/10000)/(1+Supuestos!$B$4))^Supuestos!F$25)</f>
        <v/>
      </c>
      <c r="AB106">
        <f>Supuestos!G$23*(1-$C106+$C106*((1+Supuestos!$B$4+$B106/10000)/(1+Supuestos!$B$4))^Supuestos!G$25)</f>
        <v/>
      </c>
      <c r="AC106">
        <f>Supuestos!H$23*(1-$C106+$C106*((1+Supuestos!$B$4+$B106/10000)/(1+Supuestos!$B$4))^Supuestos!H$25)</f>
        <v/>
      </c>
      <c r="AD106">
        <f>Supuestos!I$23*(1-$C106+$C106*((1+Supuestos!$B$4+$B106/10000)/(1+Supuestos!$B$4))^Supuestos!I$25)</f>
        <v/>
      </c>
      <c r="AE106">
        <f>SUMPRODUCT(X106:AC106,R106:W106)</f>
        <v/>
      </c>
      <c r="AF106">
        <f>(1+Supuestos!$B$5)/(1+Supuestos!$B$4)*(1+Supuestos!$B$4+$B106/10000)-1</f>
        <v/>
      </c>
      <c r="AG106">
        <f>AD106/(K106-AF106)</f>
        <v/>
      </c>
      <c r="AH106">
        <f>AG106*Q106</f>
        <v/>
      </c>
      <c r="AI106">
        <f>(AE106+AH106-Supuestos!$B$7-Supuestos!$B$8)/Supuestos!$B$9</f>
        <v/>
      </c>
      <c r="AJ106">
        <f>AI106/AI$5-1</f>
        <v/>
      </c>
    </row>
    <row r="107">
      <c r="A107">
        <f>Supuestos!B15</f>
        <v/>
      </c>
      <c r="B107">
        <f>Supuestos!B16</f>
        <v/>
      </c>
      <c r="C107">
        <f>Supuestos!$B$13</f>
        <v/>
      </c>
      <c r="D107" t="inlineStr">
        <is>
          <t>Escenario único</t>
        </is>
      </c>
      <c r="E107">
        <f>(1-Supuestos!C$28)*((1+((1+Supuestos!C$26)/(1+Supuestos!$B$4)-1+Supuestos!$B$14*$A107/10000))*(1+Supuestos!$B$4+$B107/10000)-1)+Supuestos!C$28*((1+Supuestos!C$27+$A107/10000)*(1+Supuestos!$B$4+$B107/10000)-1)*(1-Supuestos!$B$6)</f>
        <v/>
      </c>
      <c r="F107">
        <f>(1-Supuestos!D$28)*((1+((1+Supuestos!D$26)/(1+Supuestos!$B$4)-1+Supuestos!$B$14*$A107/10000))*(1+Supuestos!$B$4+$B107/10000)-1)+Supuestos!D$28*((1+Supuestos!D$27+$A107/10000)*(1+Supuestos!$B$4+$B107/10000)-1)*(1-Supuestos!$B$6)</f>
        <v/>
      </c>
      <c r="G107">
        <f>(1-Supuestos!E$28)*((1+((1+Supuestos!E$26)/(1+Supuestos!$B$4)-1+Supuestos!$B$14*$A107/10000))*(1+Supuestos!$B$4+$B107/10000)-1)+Supuestos!E$28*((1+Supuestos!E$27+$A107/10000)*(1+Supuestos!$B$4+$B107/10000)-1)*(1-Supuestos!$B$6)</f>
        <v/>
      </c>
      <c r="H107">
        <f>(1-Supuestos!F$28)*((1+((1+Supuestos!F$26)/(1+Supuestos!$B$4)-1+Supuestos!$B$14*$A107/10000))*(1+Supuestos!$B$4+$B107/10000)-1)+Supuestos!F$28*((1+Supuestos!F$27+$A107/10000)*(1+Supuestos!$B$4+$B107/10000)-1)*(1-Supuestos!$B$6)</f>
        <v/>
      </c>
      <c r="I107">
        <f>(1-Supuestos!G$28)*((1+((1+Supuestos!G$26)/(1+Supuestos!$B$4)-1+Supuestos!$B$14*$A107/10000))*(1+Supuestos!$B$4+$B107/10000)-1)+Supuestos!G$28*((1+Supuestos!G$27+$A107/10000)*(1+Supuestos!$B$4+$B107/10000)-1)*(1-Supuestos!$B$6)</f>
        <v/>
      </c>
      <c r="J107">
        <f>(1-Supuestos!H$28)*((1+((1+Supuestos!H$26)/(1+Supuestos!$B$4)-1+Supuestos!$B$14*$A107/10000))*(1+Supuestos!$B$4+$B107/10000)-1)+Supuestos!H$28*((1+Supuestos!H$27+$A107/10000)*(1+Supuestos!$B$4+$B107/10000)-1)*(1-Supuestos!$B$6)</f>
        <v/>
      </c>
      <c r="K107">
        <f>(1-Supuestos!I$28)*((1+((1+Supuestos!I$26)/(1+Supuestos!$B$4)-1+Supuestos!$B$14*$A107/10000))*(1+Supuestos!$B$4+$B107/10000)-1)+Supuestos!I$28*((1+Supuestos!I$27+$A107/10000)*(1+Supuestos!$B$4+$B107/10000)-1)*(1-Supuestos!$B$6)</f>
        <v/>
      </c>
      <c r="L107">
        <f>(1+E107)^-Supuestos!C$24</f>
        <v/>
      </c>
      <c r="M107">
        <f>L107*(1+F107)^-Supuestos!D$24</f>
        <v/>
      </c>
      <c r="N107">
        <f>M107*(1+G107)^-Supuestos!E$24</f>
        <v/>
      </c>
      <c r="O107">
        <f>N107*(1+H107)^-Supuestos!F$24</f>
        <v/>
      </c>
      <c r="P107">
        <f>O107*(1+I107)^-Supuestos!G$24</f>
        <v/>
      </c>
      <c r="Q107">
        <f>P107*(1+J107)^-Supuestos!H$24</f>
        <v/>
      </c>
      <c r="R107">
        <f>(1+E107)^-(Supuestos!C$24/2)</f>
        <v/>
      </c>
      <c r="S107">
        <f>L107*(1+F107)^-(Supuestos!D$24/2)</f>
        <v/>
      </c>
      <c r="T107">
        <f>M107*(1+G107)^-(Supuestos!E$24/2)</f>
        <v/>
      </c>
      <c r="U107">
        <f>N107*(1+H107)^-(Supuestos!F$24/2)</f>
        <v/>
      </c>
      <c r="V107">
        <f>O107*(1+I107)^-(Supuestos!G$24/2)</f>
        <v/>
      </c>
      <c r="W107">
        <f>P107*(1+J107)^-(Supuestos!H$24/2)</f>
        <v/>
      </c>
      <c r="X107">
        <f>Supuestos!C$23*(1-$C107+$C107*((1+Supuestos!$B$4+$B107/10000)/(1+Supuestos!$B$4))^Supuestos!C$25)</f>
        <v/>
      </c>
      <c r="Y107">
        <f>Supuestos!D$23*(1-$C107+$C107*((1+Supuestos!$B$4+$B107/10000)/(1+Supuestos!$B$4))^Supuestos!D$25)</f>
        <v/>
      </c>
      <c r="Z107">
        <f>Supuestos!E$23*(1-$C107+$C107*((1+Supuestos!$B$4+$B107/10000)/(1+Supuestos!$B$4))^Supuestos!E$25)</f>
        <v/>
      </c>
      <c r="AA107">
        <f>Supuestos!F$23*(1-$C107+$C107*((1+Supuestos!$B$4+$B107/10000)/(1+Supuestos!$B$4))^Supuestos!F$25)</f>
        <v/>
      </c>
      <c r="AB107">
        <f>Supuestos!G$23*(1-$C107+$C107*((1+Supuestos!$B$4+$B107/10000)/(1+Supuestos!$B$4))^Supuestos!G$25)</f>
        <v/>
      </c>
      <c r="AC107">
        <f>Supuestos!H$23*(1-$C107+$C107*((1+Supuestos!$B$4+$B107/10000)/(1+Supuestos!$B$4))^Supuestos!H$25)</f>
        <v/>
      </c>
      <c r="AD107">
        <f>Supuestos!I$23*(1-$C107+$C107*((1+Supuestos!$B$4+$B107/10000)/(1+Supuestos!$B$4))^Supuestos!I$25)</f>
        <v/>
      </c>
      <c r="AE107">
        <f>SUMPRODUCT(X107:AC107,R107:W107)</f>
        <v/>
      </c>
      <c r="AF107">
        <f>(1+Supuestos!$B$5)/(1+Supuestos!$B$4)*(1+Supuestos!$B$4+$B107/10000)-1</f>
        <v/>
      </c>
      <c r="AG107">
        <f>AD107/(K107-AF107)</f>
        <v/>
      </c>
      <c r="AH107">
        <f>AG107*Q107</f>
        <v/>
      </c>
      <c r="AI107">
        <f>(AE107+AH107-Supuestos!$B$7-Supuestos!$B$8)/Supuestos!$B$9</f>
        <v/>
      </c>
      <c r="AJ107">
        <f>AI107/AI$5-1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Semanal: precio de Mallplaza, tasas a 10 años (BCCh) e IPSA</t>
        </is>
      </c>
    </row>
    <row r="2">
      <c r="A2" t="inlineStr">
        <is>
          <t>Fuente: Mallplaza_Tasas_Historico.xlsx, hoja Datos (último dato de cada semana). Azul = dato; negro = fórmula.</t>
        </is>
      </c>
    </row>
    <row r="4">
      <c r="A4" t="inlineStr">
        <is>
          <t>Semana (último día)</t>
        </is>
      </c>
      <c r="B4" t="inlineStr">
        <is>
          <t>Mallplaza (CLP)</t>
        </is>
      </c>
      <c r="C4" t="inlineStr">
        <is>
          <t>BCP10 (%)</t>
        </is>
      </c>
      <c r="D4" t="inlineStr">
        <is>
          <t>BCU10 (%)</t>
        </is>
      </c>
      <c r="E4" t="inlineStr">
        <is>
          <t>IPSA</t>
        </is>
      </c>
      <c r="F4" t="inlineStr">
        <is>
          <t>Inflación implícita (%)</t>
        </is>
      </c>
      <c r="G4" t="inlineStr">
        <is>
          <t>Δ ln precio</t>
        </is>
      </c>
      <c r="H4" t="inlineStr">
        <is>
          <t>Δ BCU10 (pp)</t>
        </is>
      </c>
      <c r="I4" t="inlineStr">
        <is>
          <t>Δ infl. implícita (pp)</t>
        </is>
      </c>
      <c r="J4" t="inlineStr">
        <is>
          <t>Δ ln IPSA</t>
        </is>
      </c>
    </row>
    <row r="5">
      <c r="A5" s="6" t="n">
        <v>45478</v>
      </c>
      <c r="B5" s="4" t="n">
        <v>1381.56</v>
      </c>
      <c r="C5" s="4" t="n">
        <v>6.22</v>
      </c>
      <c r="D5" s="4" t="n">
        <v>3.1</v>
      </c>
      <c r="E5" s="4" t="n">
        <v>6483.67</v>
      </c>
      <c r="F5">
        <f>C5-D5</f>
        <v/>
      </c>
    </row>
    <row r="6">
      <c r="A6" s="6" t="n">
        <v>45485</v>
      </c>
      <c r="B6" s="4" t="n">
        <v>1362.81</v>
      </c>
      <c r="C6" s="4" t="n">
        <v>6.11</v>
      </c>
      <c r="D6" s="4" t="n">
        <v>2.9</v>
      </c>
      <c r="E6" s="4" t="n">
        <v>6550.01</v>
      </c>
      <c r="F6">
        <f>C6-D6</f>
        <v/>
      </c>
      <c r="G6">
        <f>LN(B6/B5)</f>
        <v/>
      </c>
      <c r="H6">
        <f>D6-D5</f>
        <v/>
      </c>
      <c r="I6">
        <f>F6-F5</f>
        <v/>
      </c>
      <c r="J6">
        <f>LN(E6/E5)</f>
        <v/>
      </c>
    </row>
    <row r="7">
      <c r="A7" s="6" t="n">
        <v>45492</v>
      </c>
      <c r="B7" s="4" t="n">
        <v>1421.03</v>
      </c>
      <c r="C7" s="4" t="n">
        <v>6.1</v>
      </c>
      <c r="D7" s="4" t="n">
        <v>2.87</v>
      </c>
      <c r="E7" s="4" t="n">
        <v>6558.68</v>
      </c>
      <c r="F7">
        <f>C7-D7</f>
        <v/>
      </c>
      <c r="G7">
        <f>LN(B7/B6)</f>
        <v/>
      </c>
      <c r="H7">
        <f>D7-D6</f>
        <v/>
      </c>
      <c r="I7">
        <f>F7-F6</f>
        <v/>
      </c>
      <c r="J7">
        <f>LN(E7/E6)</f>
        <v/>
      </c>
    </row>
    <row r="8">
      <c r="A8" s="6" t="n">
        <v>45499</v>
      </c>
      <c r="B8" s="4" t="n">
        <v>1440.77</v>
      </c>
      <c r="C8" s="4" t="n">
        <v>6.08</v>
      </c>
      <c r="D8" s="4" t="n">
        <v>2.77</v>
      </c>
      <c r="E8" s="4" t="n">
        <v>6432.16</v>
      </c>
      <c r="F8">
        <f>C8-D8</f>
        <v/>
      </c>
      <c r="G8">
        <f>LN(B8/B7)</f>
        <v/>
      </c>
      <c r="H8">
        <f>D8-D7</f>
        <v/>
      </c>
      <c r="I8">
        <f>F8-F7</f>
        <v/>
      </c>
      <c r="J8">
        <f>LN(E8/E7)</f>
        <v/>
      </c>
    </row>
    <row r="9">
      <c r="A9" s="6" t="n">
        <v>45506</v>
      </c>
      <c r="B9" s="4" t="n">
        <v>1423.4</v>
      </c>
      <c r="C9" s="4" t="n">
        <v>5.99</v>
      </c>
      <c r="D9" s="4" t="n">
        <v>2.6</v>
      </c>
      <c r="E9" s="4" t="n">
        <v>6315.46</v>
      </c>
      <c r="F9">
        <f>C9-D9</f>
        <v/>
      </c>
      <c r="G9">
        <f>LN(B9/B8)</f>
        <v/>
      </c>
      <c r="H9">
        <f>D9-D8</f>
        <v/>
      </c>
      <c r="I9">
        <f>F9-F8</f>
        <v/>
      </c>
      <c r="J9">
        <f>LN(E9/E8)</f>
        <v/>
      </c>
    </row>
    <row r="10">
      <c r="A10" s="6" t="n">
        <v>45513</v>
      </c>
      <c r="B10" s="4" t="n">
        <v>1460.5</v>
      </c>
      <c r="C10" s="4" t="n">
        <v>5.91</v>
      </c>
      <c r="D10" s="4" t="n">
        <v>2.53</v>
      </c>
      <c r="E10" s="4" t="n">
        <v>6320.96</v>
      </c>
      <c r="F10">
        <f>C10-D10</f>
        <v/>
      </c>
      <c r="G10">
        <f>LN(B10/B9)</f>
        <v/>
      </c>
      <c r="H10">
        <f>D10-D9</f>
        <v/>
      </c>
      <c r="I10">
        <f>F10-F9</f>
        <v/>
      </c>
      <c r="J10">
        <f>LN(E10/E9)</f>
        <v/>
      </c>
    </row>
    <row r="11">
      <c r="A11" s="6" t="n">
        <v>45520</v>
      </c>
      <c r="B11" s="4" t="n">
        <v>1512.11</v>
      </c>
      <c r="C11" s="4" t="n">
        <v>5.8</v>
      </c>
      <c r="D11" s="4" t="n">
        <v>2.49</v>
      </c>
      <c r="E11" s="4" t="n">
        <v>6457.74</v>
      </c>
      <c r="F11">
        <f>C11-D11</f>
        <v/>
      </c>
      <c r="G11">
        <f>LN(B11/B10)</f>
        <v/>
      </c>
      <c r="H11">
        <f>D11-D10</f>
        <v/>
      </c>
      <c r="I11">
        <f>F11-F10</f>
        <v/>
      </c>
      <c r="J11">
        <f>LN(E11/E10)</f>
        <v/>
      </c>
    </row>
    <row r="12">
      <c r="A12" s="6" t="n">
        <v>45527</v>
      </c>
      <c r="B12" s="4" t="n">
        <v>1519.71</v>
      </c>
      <c r="C12" s="4" t="n">
        <v>5.73</v>
      </c>
      <c r="D12" s="4" t="n">
        <v>2.4</v>
      </c>
      <c r="E12" s="4" t="n">
        <v>6463.24</v>
      </c>
      <c r="F12">
        <f>C12-D12</f>
        <v/>
      </c>
      <c r="G12">
        <f>LN(B12/B11)</f>
        <v/>
      </c>
      <c r="H12">
        <f>D12-D11</f>
        <v/>
      </c>
      <c r="I12">
        <f>F12-F11</f>
        <v/>
      </c>
      <c r="J12">
        <f>LN(E12/E11)</f>
        <v/>
      </c>
    </row>
    <row r="13">
      <c r="A13" s="6" t="n">
        <v>45534</v>
      </c>
      <c r="B13" s="4" t="n">
        <v>1490.21</v>
      </c>
      <c r="C13" s="4" t="n">
        <v>5.64</v>
      </c>
      <c r="D13" s="4" t="n">
        <v>2.37</v>
      </c>
      <c r="E13" s="4" t="n">
        <v>6459.96</v>
      </c>
      <c r="F13">
        <f>C13-D13</f>
        <v/>
      </c>
      <c r="G13">
        <f>LN(B13/B12)</f>
        <v/>
      </c>
      <c r="H13">
        <f>D13-D12</f>
        <v/>
      </c>
      <c r="I13">
        <f>F13-F12</f>
        <v/>
      </c>
      <c r="J13">
        <f>LN(E13/E12)</f>
        <v/>
      </c>
    </row>
    <row r="14">
      <c r="A14" s="6" t="n">
        <v>45541</v>
      </c>
      <c r="B14" s="4" t="n">
        <v>1506.29</v>
      </c>
      <c r="C14" s="4" t="n">
        <v>5.5</v>
      </c>
      <c r="D14" s="4" t="n">
        <v>2.26</v>
      </c>
      <c r="E14" s="4" t="n">
        <v>6245.42</v>
      </c>
      <c r="F14">
        <f>C14-D14</f>
        <v/>
      </c>
      <c r="G14">
        <f>LN(B14/B13)</f>
        <v/>
      </c>
      <c r="H14">
        <f>D14-D13</f>
        <v/>
      </c>
      <c r="I14">
        <f>F14-F13</f>
        <v/>
      </c>
      <c r="J14">
        <f>LN(E14/E13)</f>
        <v/>
      </c>
    </row>
    <row r="15">
      <c r="A15" s="6" t="n">
        <v>45547</v>
      </c>
      <c r="B15" s="4" t="n">
        <v>1509.05</v>
      </c>
      <c r="C15" s="4" t="n">
        <v>5.37</v>
      </c>
      <c r="D15" s="4" t="n">
        <v>2.1</v>
      </c>
      <c r="E15" s="4" t="n">
        <v>6343.16</v>
      </c>
      <c r="F15">
        <f>C15-D15</f>
        <v/>
      </c>
      <c r="G15">
        <f>LN(B15/B14)</f>
        <v/>
      </c>
      <c r="H15">
        <f>D15-D14</f>
        <v/>
      </c>
      <c r="I15">
        <f>F15-F14</f>
        <v/>
      </c>
      <c r="J15">
        <f>LN(E15/E14)</f>
        <v/>
      </c>
    </row>
    <row r="16">
      <c r="A16" s="6" t="n">
        <v>45562</v>
      </c>
      <c r="B16" s="4" t="n">
        <v>1580.6</v>
      </c>
      <c r="C16" s="4" t="n">
        <v>5.16</v>
      </c>
      <c r="D16" s="4" t="n">
        <v>1.82</v>
      </c>
      <c r="E16" s="4" t="n">
        <v>6530.73</v>
      </c>
      <c r="F16">
        <f>C16-D16</f>
        <v/>
      </c>
      <c r="G16">
        <f>LN(B16/B15)</f>
        <v/>
      </c>
      <c r="H16">
        <f>D16-D15</f>
        <v/>
      </c>
      <c r="I16">
        <f>F16-F15</f>
        <v/>
      </c>
      <c r="J16">
        <f>LN(E16/E15)</f>
        <v/>
      </c>
    </row>
    <row r="17">
      <c r="A17" s="6" t="n">
        <v>45568</v>
      </c>
      <c r="B17" s="4" t="n">
        <v>1524.65</v>
      </c>
      <c r="C17" s="4" t="n">
        <v>5.3</v>
      </c>
      <c r="D17" s="4" t="n">
        <v>2</v>
      </c>
      <c r="E17" s="4" t="n">
        <v>6389.82</v>
      </c>
      <c r="F17">
        <f>C17-D17</f>
        <v/>
      </c>
      <c r="G17">
        <f>LN(B17/B16)</f>
        <v/>
      </c>
      <c r="H17">
        <f>D17-D16</f>
        <v/>
      </c>
      <c r="I17">
        <f>F17-F16</f>
        <v/>
      </c>
      <c r="J17">
        <f>LN(E17/E16)</f>
        <v/>
      </c>
    </row>
    <row r="18">
      <c r="A18" s="6" t="n">
        <v>45575</v>
      </c>
      <c r="B18" s="4" t="n">
        <v>1588.79</v>
      </c>
      <c r="C18" s="4" t="n">
        <v>5.57</v>
      </c>
      <c r="D18" s="4" t="n">
        <v>2.31</v>
      </c>
      <c r="E18" s="4" t="n">
        <v>6578.77</v>
      </c>
      <c r="F18">
        <f>C18-D18</f>
        <v/>
      </c>
      <c r="G18">
        <f>LN(B18/B17)</f>
        <v/>
      </c>
      <c r="H18">
        <f>D18-D17</f>
        <v/>
      </c>
      <c r="I18">
        <f>F18-F17</f>
        <v/>
      </c>
      <c r="J18">
        <f>LN(E18/E17)</f>
        <v/>
      </c>
    </row>
    <row r="19">
      <c r="A19" s="6" t="n">
        <v>45583</v>
      </c>
      <c r="B19" s="4" t="n">
        <v>1569.05</v>
      </c>
      <c r="C19" s="4" t="n">
        <v>5.49</v>
      </c>
      <c r="D19" s="4" t="n">
        <v>2.21</v>
      </c>
      <c r="E19" s="4" t="n">
        <v>6643.52</v>
      </c>
      <c r="F19">
        <f>C19-D19</f>
        <v/>
      </c>
      <c r="G19">
        <f>LN(B19/B18)</f>
        <v/>
      </c>
      <c r="H19">
        <f>D19-D18</f>
        <v/>
      </c>
      <c r="I19">
        <f>F19-F18</f>
        <v/>
      </c>
      <c r="J19">
        <f>LN(E19/E18)</f>
        <v/>
      </c>
    </row>
    <row r="20">
      <c r="A20" s="6" t="n">
        <v>45589</v>
      </c>
      <c r="B20" s="4" t="n">
        <v>1564.22</v>
      </c>
      <c r="C20" s="4" t="n">
        <v>5.75</v>
      </c>
      <c r="D20" s="4" t="n">
        <v>2.4</v>
      </c>
      <c r="E20" s="4" t="n">
        <v>6725.8</v>
      </c>
      <c r="F20">
        <f>C20-D20</f>
        <v/>
      </c>
      <c r="G20">
        <f>LN(B20/B19)</f>
        <v/>
      </c>
      <c r="H20">
        <f>D20-D19</f>
        <v/>
      </c>
      <c r="I20">
        <f>F20-F19</f>
        <v/>
      </c>
      <c r="J20">
        <f>LN(E20/E19)</f>
        <v/>
      </c>
    </row>
    <row r="21">
      <c r="A21" s="6" t="n">
        <v>45595</v>
      </c>
      <c r="B21" s="4" t="n">
        <v>1549.32</v>
      </c>
      <c r="C21" s="4" t="n">
        <v>5.76</v>
      </c>
      <c r="D21" s="4" t="n">
        <v>2.5</v>
      </c>
      <c r="E21" s="4" t="n">
        <v>6550.32</v>
      </c>
      <c r="F21">
        <f>C21-D21</f>
        <v/>
      </c>
      <c r="G21">
        <f>LN(B21/B20)</f>
        <v/>
      </c>
      <c r="H21">
        <f>D21-D20</f>
        <v/>
      </c>
      <c r="I21">
        <f>F21-F20</f>
        <v/>
      </c>
      <c r="J21">
        <f>LN(E21/E20)</f>
        <v/>
      </c>
    </row>
    <row r="22">
      <c r="A22" s="6" t="n">
        <v>45604</v>
      </c>
      <c r="B22" s="4" t="n">
        <v>1516.75</v>
      </c>
      <c r="C22" s="4" t="n">
        <v>5.8</v>
      </c>
      <c r="D22" s="4" t="n">
        <v>2.35</v>
      </c>
      <c r="E22" s="4" t="n">
        <v>6519.72</v>
      </c>
      <c r="F22">
        <f>C22-D22</f>
        <v/>
      </c>
      <c r="G22">
        <f>LN(B22/B21)</f>
        <v/>
      </c>
      <c r="H22">
        <f>D22-D21</f>
        <v/>
      </c>
      <c r="I22">
        <f>F22-F21</f>
        <v/>
      </c>
      <c r="J22">
        <f>LN(E22/E21)</f>
        <v/>
      </c>
    </row>
    <row r="23">
      <c r="A23" s="6" t="n">
        <v>45616</v>
      </c>
      <c r="B23" s="4" t="n">
        <v>1502.94</v>
      </c>
      <c r="C23" s="4" t="n">
        <v>5.91</v>
      </c>
      <c r="D23" s="4" t="n">
        <v>2.41</v>
      </c>
      <c r="E23" s="4" t="n">
        <v>6576.33</v>
      </c>
      <c r="F23">
        <f>C23-D23</f>
        <v/>
      </c>
      <c r="G23">
        <f>LN(B23/B22)</f>
        <v/>
      </c>
      <c r="H23">
        <f>D23-D22</f>
        <v/>
      </c>
      <c r="I23">
        <f>F23-F22</f>
        <v/>
      </c>
      <c r="J23">
        <f>LN(E23/E22)</f>
        <v/>
      </c>
    </row>
    <row r="24">
      <c r="A24" s="6" t="n">
        <v>45625</v>
      </c>
      <c r="B24" s="4" t="n">
        <v>1623.33</v>
      </c>
      <c r="C24" s="4" t="n">
        <v>5.68</v>
      </c>
      <c r="D24" s="4" t="n">
        <v>2.18</v>
      </c>
      <c r="E24" s="4" t="n">
        <v>6576.6</v>
      </c>
      <c r="F24">
        <f>C24-D24</f>
        <v/>
      </c>
      <c r="G24">
        <f>LN(B24/B23)</f>
        <v/>
      </c>
      <c r="H24">
        <f>D24-D23</f>
        <v/>
      </c>
      <c r="I24">
        <f>F24-F23</f>
        <v/>
      </c>
      <c r="J24">
        <f>LN(E24/E23)</f>
        <v/>
      </c>
    </row>
    <row r="25">
      <c r="A25" s="6" t="n">
        <v>45632</v>
      </c>
      <c r="B25" s="4" t="n">
        <v>1646.03</v>
      </c>
      <c r="C25" s="4" t="n">
        <v>5.58</v>
      </c>
      <c r="D25" s="4" t="n">
        <v>2.18</v>
      </c>
      <c r="E25" s="4" t="n">
        <v>6648.65</v>
      </c>
      <c r="F25">
        <f>C25-D25</f>
        <v/>
      </c>
      <c r="G25">
        <f>LN(B25/B24)</f>
        <v/>
      </c>
      <c r="H25">
        <f>D25-D24</f>
        <v/>
      </c>
      <c r="I25">
        <f>F25-F24</f>
        <v/>
      </c>
      <c r="J25">
        <f>LN(E25/E24)</f>
        <v/>
      </c>
    </row>
    <row r="26">
      <c r="A26" s="6" t="n">
        <v>45645</v>
      </c>
      <c r="B26" s="4" t="n">
        <v>1672</v>
      </c>
      <c r="C26" s="4" t="n">
        <v>5.88</v>
      </c>
      <c r="D26" s="4" t="n">
        <v>2.4</v>
      </c>
      <c r="E26" s="4" t="n">
        <v>6699.84</v>
      </c>
      <c r="F26">
        <f>C26-D26</f>
        <v/>
      </c>
      <c r="G26">
        <f>LN(B26/B25)</f>
        <v/>
      </c>
      <c r="H26">
        <f>D26-D25</f>
        <v/>
      </c>
      <c r="I26">
        <f>F26-F25</f>
        <v/>
      </c>
      <c r="J26">
        <f>LN(E26/E25)</f>
        <v/>
      </c>
    </row>
    <row r="27">
      <c r="A27" s="6" t="n">
        <v>45653</v>
      </c>
      <c r="B27" s="4" t="n">
        <v>1630.1</v>
      </c>
      <c r="C27" s="4" t="n">
        <v>5.99</v>
      </c>
      <c r="D27" s="4" t="n">
        <v>2.65</v>
      </c>
      <c r="E27" s="4" t="n">
        <v>6703.27</v>
      </c>
      <c r="F27">
        <f>C27-D27</f>
        <v/>
      </c>
      <c r="G27">
        <f>LN(B27/B26)</f>
        <v/>
      </c>
      <c r="H27">
        <f>D27-D26</f>
        <v/>
      </c>
      <c r="I27">
        <f>F27-F26</f>
        <v/>
      </c>
      <c r="J27">
        <f>LN(E27/E26)</f>
        <v/>
      </c>
    </row>
    <row r="28">
      <c r="A28" s="6" t="n">
        <v>45659</v>
      </c>
      <c r="B28" s="4" t="n">
        <v>1630</v>
      </c>
      <c r="C28" s="4" t="n">
        <v>5.93</v>
      </c>
      <c r="D28" s="4" t="n">
        <v>2.58</v>
      </c>
      <c r="E28" s="4" t="n">
        <v>6681.92</v>
      </c>
      <c r="F28">
        <f>C28-D28</f>
        <v/>
      </c>
      <c r="G28">
        <f>LN(B28/B27)</f>
        <v/>
      </c>
      <c r="H28">
        <f>D28-D27</f>
        <v/>
      </c>
      <c r="I28">
        <f>F28-F27</f>
        <v/>
      </c>
      <c r="J28">
        <f>LN(E28/E27)</f>
        <v/>
      </c>
    </row>
    <row r="29">
      <c r="A29" s="6" t="n">
        <v>45666</v>
      </c>
      <c r="B29" s="4" t="n">
        <v>1620</v>
      </c>
      <c r="C29" s="4" t="n">
        <v>6.05</v>
      </c>
      <c r="D29" s="4" t="n">
        <v>2.75</v>
      </c>
      <c r="E29" s="4" t="n">
        <v>6802.58</v>
      </c>
      <c r="F29">
        <f>C29-D29</f>
        <v/>
      </c>
      <c r="G29">
        <f>LN(B29/B28)</f>
        <v/>
      </c>
      <c r="H29">
        <f>D29-D28</f>
        <v/>
      </c>
      <c r="I29">
        <f>F29-F28</f>
        <v/>
      </c>
      <c r="J29">
        <f>LN(E29/E28)</f>
        <v/>
      </c>
    </row>
    <row r="30">
      <c r="A30" s="6" t="n">
        <v>45674</v>
      </c>
      <c r="B30" s="4" t="n">
        <v>1601</v>
      </c>
      <c r="C30" s="4" t="n">
        <v>5.93</v>
      </c>
      <c r="D30" s="4" t="n">
        <v>2.64</v>
      </c>
      <c r="E30" s="4" t="n">
        <v>6958.79</v>
      </c>
      <c r="F30">
        <f>C30-D30</f>
        <v/>
      </c>
      <c r="G30">
        <f>LN(B30/B29)</f>
        <v/>
      </c>
      <c r="H30">
        <f>D30-D29</f>
        <v/>
      </c>
      <c r="I30">
        <f>F30-F29</f>
        <v/>
      </c>
      <c r="J30">
        <f>LN(E30/E29)</f>
        <v/>
      </c>
    </row>
    <row r="31">
      <c r="A31" s="6" t="n">
        <v>45681</v>
      </c>
      <c r="B31" s="4" t="n">
        <v>1684.8</v>
      </c>
      <c r="C31" s="4" t="n">
        <v>6.01</v>
      </c>
      <c r="D31" s="4" t="n">
        <v>2.38</v>
      </c>
      <c r="E31" s="4" t="n">
        <v>7068.67</v>
      </c>
      <c r="F31">
        <f>C31-D31</f>
        <v/>
      </c>
      <c r="G31">
        <f>LN(B31/B30)</f>
        <v/>
      </c>
      <c r="H31">
        <f>D31-D30</f>
        <v/>
      </c>
      <c r="I31">
        <f>F31-F30</f>
        <v/>
      </c>
      <c r="J31">
        <f>LN(E31/E30)</f>
        <v/>
      </c>
    </row>
    <row r="32">
      <c r="A32" s="6" t="n">
        <v>45688</v>
      </c>
      <c r="B32" s="4" t="n">
        <v>1759.9</v>
      </c>
      <c r="C32" s="4" t="n">
        <v>6.03</v>
      </c>
      <c r="D32" s="4" t="n">
        <v>2.55</v>
      </c>
      <c r="E32" s="4" t="n">
        <v>7199.59</v>
      </c>
      <c r="F32">
        <f>C32-D32</f>
        <v/>
      </c>
      <c r="G32">
        <f>LN(B32/B31)</f>
        <v/>
      </c>
      <c r="H32">
        <f>D32-D31</f>
        <v/>
      </c>
      <c r="I32">
        <f>F32-F31</f>
        <v/>
      </c>
      <c r="J32">
        <f>LN(E32/E31)</f>
        <v/>
      </c>
    </row>
    <row r="33">
      <c r="A33" s="6" t="n">
        <v>45694</v>
      </c>
      <c r="B33" s="4" t="n">
        <v>1805</v>
      </c>
      <c r="C33" s="4" t="n">
        <v>5.98</v>
      </c>
      <c r="D33" s="4" t="n">
        <v>2.49</v>
      </c>
      <c r="E33" s="4" t="n">
        <v>7301.44</v>
      </c>
      <c r="F33">
        <f>C33-D33</f>
        <v/>
      </c>
      <c r="G33">
        <f>LN(B33/B32)</f>
        <v/>
      </c>
      <c r="H33">
        <f>D33-D32</f>
        <v/>
      </c>
      <c r="I33">
        <f>F33-F32</f>
        <v/>
      </c>
      <c r="J33">
        <f>LN(E33/E32)</f>
        <v/>
      </c>
    </row>
    <row r="34">
      <c r="A34" s="6" t="n">
        <v>45699</v>
      </c>
      <c r="B34" s="4" t="n">
        <v>1791</v>
      </c>
      <c r="C34" s="4" t="n">
        <v>6</v>
      </c>
      <c r="D34" s="4" t="n">
        <v>2.45</v>
      </c>
      <c r="E34" s="4" t="n">
        <v>7278.04</v>
      </c>
      <c r="F34">
        <f>C34-D34</f>
        <v/>
      </c>
      <c r="G34">
        <f>LN(B34/B33)</f>
        <v/>
      </c>
      <c r="H34">
        <f>D34-D33</f>
        <v/>
      </c>
      <c r="I34">
        <f>F34-F33</f>
        <v/>
      </c>
      <c r="J34">
        <f>LN(E34/E33)</f>
        <v/>
      </c>
    </row>
    <row r="35">
      <c r="A35" s="6" t="n">
        <v>45708</v>
      </c>
      <c r="B35" s="4" t="n">
        <v>1881.3</v>
      </c>
      <c r="C35" s="4" t="n">
        <v>6.1</v>
      </c>
      <c r="D35" s="4" t="n">
        <v>2.6</v>
      </c>
      <c r="E35" s="4" t="n">
        <v>7322.48</v>
      </c>
      <c r="F35">
        <f>C35-D35</f>
        <v/>
      </c>
      <c r="G35">
        <f>LN(B35/B34)</f>
        <v/>
      </c>
      <c r="H35">
        <f>D35-D34</f>
        <v/>
      </c>
      <c r="I35">
        <f>F35-F34</f>
        <v/>
      </c>
      <c r="J35">
        <f>LN(E35/E34)</f>
        <v/>
      </c>
    </row>
    <row r="36">
      <c r="A36" s="6" t="n">
        <v>45716</v>
      </c>
      <c r="B36" s="4" t="n">
        <v>1900</v>
      </c>
      <c r="C36" s="4" t="n">
        <v>5.94</v>
      </c>
      <c r="D36" s="4" t="n">
        <v>2.65</v>
      </c>
      <c r="E36" s="4" t="n">
        <v>7332.12</v>
      </c>
      <c r="F36">
        <f>C36-D36</f>
        <v/>
      </c>
      <c r="G36">
        <f>LN(B36/B35)</f>
        <v/>
      </c>
      <c r="H36">
        <f>D36-D35</f>
        <v/>
      </c>
      <c r="I36">
        <f>F36-F35</f>
        <v/>
      </c>
      <c r="J36">
        <f>LN(E36/E35)</f>
        <v/>
      </c>
    </row>
    <row r="37">
      <c r="A37" s="6" t="n">
        <v>45720</v>
      </c>
      <c r="B37" s="4" t="n">
        <v>1855</v>
      </c>
      <c r="C37" s="4" t="n">
        <v>5.86</v>
      </c>
      <c r="D37" s="4" t="n">
        <v>2.58</v>
      </c>
      <c r="E37" s="4" t="n">
        <v>7313.89</v>
      </c>
      <c r="F37">
        <f>C37-D37</f>
        <v/>
      </c>
      <c r="G37">
        <f>LN(B37/B36)</f>
        <v/>
      </c>
      <c r="H37">
        <f>D37-D36</f>
        <v/>
      </c>
      <c r="I37">
        <f>F37-F36</f>
        <v/>
      </c>
      <c r="J37">
        <f>LN(E37/E36)</f>
        <v/>
      </c>
    </row>
    <row r="38">
      <c r="A38" s="6" t="n">
        <v>45730</v>
      </c>
      <c r="B38" s="4" t="n">
        <v>1940</v>
      </c>
      <c r="C38" s="4" t="n">
        <v>5.76</v>
      </c>
      <c r="D38" s="4" t="n">
        <v>2.52</v>
      </c>
      <c r="E38" s="4" t="n">
        <v>7509</v>
      </c>
      <c r="F38">
        <f>C38-D38</f>
        <v/>
      </c>
      <c r="G38">
        <f>LN(B38/B37)</f>
        <v/>
      </c>
      <c r="H38">
        <f>D38-D37</f>
        <v/>
      </c>
      <c r="I38">
        <f>F38-F37</f>
        <v/>
      </c>
      <c r="J38">
        <f>LN(E38/E37)</f>
        <v/>
      </c>
    </row>
    <row r="39">
      <c r="A39" s="6" t="n">
        <v>45735</v>
      </c>
      <c r="B39" s="4" t="n">
        <v>1970.1</v>
      </c>
      <c r="C39" s="4" t="n">
        <v>5.76</v>
      </c>
      <c r="D39" s="4" t="n">
        <v>2.54</v>
      </c>
      <c r="E39" s="4" t="n">
        <v>7594.95</v>
      </c>
      <c r="F39">
        <f>C39-D39</f>
        <v/>
      </c>
      <c r="G39">
        <f>LN(B39/B38)</f>
        <v/>
      </c>
      <c r="H39">
        <f>D39-D38</f>
        <v/>
      </c>
      <c r="I39">
        <f>F39-F38</f>
        <v/>
      </c>
      <c r="J39">
        <f>LN(E39/E38)</f>
        <v/>
      </c>
    </row>
    <row r="40">
      <c r="A40" s="6" t="n">
        <v>45744</v>
      </c>
      <c r="B40" s="4" t="n">
        <v>1970</v>
      </c>
      <c r="C40" s="4" t="n">
        <v>5.85</v>
      </c>
      <c r="D40" s="4" t="n">
        <v>2.63</v>
      </c>
      <c r="E40" s="4" t="n">
        <v>7694.49</v>
      </c>
      <c r="F40">
        <f>C40-D40</f>
        <v/>
      </c>
      <c r="G40">
        <f>LN(B40/B39)</f>
        <v/>
      </c>
      <c r="H40">
        <f>D40-D39</f>
        <v/>
      </c>
      <c r="I40">
        <f>F40-F39</f>
        <v/>
      </c>
      <c r="J40">
        <f>LN(E40/E39)</f>
        <v/>
      </c>
    </row>
    <row r="41">
      <c r="A41" s="6" t="n">
        <v>45751</v>
      </c>
      <c r="B41" s="4" t="n">
        <v>2000</v>
      </c>
      <c r="C41" s="4" t="n">
        <v>5.55</v>
      </c>
      <c r="D41" s="4" t="n">
        <v>2.28</v>
      </c>
      <c r="E41" s="4" t="n">
        <v>7504.21</v>
      </c>
      <c r="F41">
        <f>C41-D41</f>
        <v/>
      </c>
      <c r="G41">
        <f>LN(B41/B40)</f>
        <v/>
      </c>
      <c r="H41">
        <f>D41-D40</f>
        <v/>
      </c>
      <c r="I41">
        <f>F41-F40</f>
        <v/>
      </c>
      <c r="J41">
        <f>LN(E41/E40)</f>
        <v/>
      </c>
    </row>
    <row r="42">
      <c r="A42" s="6" t="n">
        <v>45758</v>
      </c>
      <c r="B42" s="4" t="n">
        <v>2049.9</v>
      </c>
      <c r="C42" s="4" t="n">
        <v>5.68</v>
      </c>
      <c r="D42" s="4" t="n">
        <v>2.42</v>
      </c>
      <c r="E42" s="4" t="n">
        <v>7430.69</v>
      </c>
      <c r="F42">
        <f>C42-D42</f>
        <v/>
      </c>
      <c r="G42">
        <f>LN(B42/B41)</f>
        <v/>
      </c>
      <c r="H42">
        <f>D42-D41</f>
        <v/>
      </c>
      <c r="I42">
        <f>F42-F41</f>
        <v/>
      </c>
      <c r="J42">
        <f>LN(E42/E41)</f>
        <v/>
      </c>
    </row>
    <row r="43">
      <c r="A43" s="6" t="n">
        <v>45764</v>
      </c>
      <c r="B43" s="4" t="n">
        <v>2179.9</v>
      </c>
      <c r="C43" s="4" t="n">
        <v>5.58</v>
      </c>
      <c r="D43" s="4" t="n">
        <v>2.49</v>
      </c>
      <c r="E43" s="4" t="n">
        <v>7815.25</v>
      </c>
      <c r="F43">
        <f>C43-D43</f>
        <v/>
      </c>
      <c r="G43">
        <f>LN(B43/B42)</f>
        <v/>
      </c>
      <c r="H43">
        <f>D43-D42</f>
        <v/>
      </c>
      <c r="I43">
        <f>F43-F42</f>
        <v/>
      </c>
      <c r="J43">
        <f>LN(E43/E42)</f>
        <v/>
      </c>
    </row>
    <row r="44">
      <c r="A44" s="6" t="n">
        <v>45772</v>
      </c>
      <c r="B44" s="4" t="n">
        <v>2200</v>
      </c>
      <c r="C44" s="4" t="n">
        <v>5.71</v>
      </c>
      <c r="D44" s="4" t="n">
        <v>2.48</v>
      </c>
      <c r="E44" s="4" t="n">
        <v>7991.62</v>
      </c>
      <c r="F44">
        <f>C44-D44</f>
        <v/>
      </c>
      <c r="G44">
        <f>LN(B44/B43)</f>
        <v/>
      </c>
      <c r="H44">
        <f>D44-D43</f>
        <v/>
      </c>
      <c r="I44">
        <f>F44-F43</f>
        <v/>
      </c>
      <c r="J44">
        <f>LN(E44/E43)</f>
        <v/>
      </c>
    </row>
    <row r="45">
      <c r="A45" s="6" t="n">
        <v>45777</v>
      </c>
      <c r="B45" s="4" t="n">
        <v>2225</v>
      </c>
      <c r="C45" s="4" t="n">
        <v>5.7</v>
      </c>
      <c r="D45" s="4" t="n">
        <v>2.45</v>
      </c>
      <c r="E45" s="4" t="n">
        <v>8041.14</v>
      </c>
      <c r="F45">
        <f>C45-D45</f>
        <v/>
      </c>
      <c r="G45">
        <f>LN(B45/B44)</f>
        <v/>
      </c>
      <c r="H45">
        <f>D45-D44</f>
        <v/>
      </c>
      <c r="I45">
        <f>F45-F44</f>
        <v/>
      </c>
      <c r="J45">
        <f>LN(E45/E44)</f>
        <v/>
      </c>
    </row>
    <row r="46">
      <c r="A46" s="6" t="n">
        <v>45784</v>
      </c>
      <c r="B46" s="4" t="n">
        <v>2240</v>
      </c>
      <c r="C46" s="4" t="n">
        <v>5.78</v>
      </c>
      <c r="D46" s="4" t="n">
        <v>2.53</v>
      </c>
      <c r="E46" s="4" t="n">
        <v>8173.81</v>
      </c>
      <c r="F46">
        <f>C46-D46</f>
        <v/>
      </c>
      <c r="G46">
        <f>LN(B46/B45)</f>
        <v/>
      </c>
      <c r="H46">
        <f>D46-D45</f>
        <v/>
      </c>
      <c r="I46">
        <f>F46-F45</f>
        <v/>
      </c>
      <c r="J46">
        <f>LN(E46/E45)</f>
        <v/>
      </c>
    </row>
    <row r="47">
      <c r="A47" s="6" t="n">
        <v>45793</v>
      </c>
      <c r="B47" s="4" t="n">
        <v>2177</v>
      </c>
      <c r="C47" s="4" t="n">
        <v>5.75</v>
      </c>
      <c r="D47" s="4" t="n">
        <v>2.56</v>
      </c>
      <c r="E47" s="4" t="n">
        <v>8386.16</v>
      </c>
      <c r="F47">
        <f>C47-D47</f>
        <v/>
      </c>
      <c r="G47">
        <f>LN(B47/B46)</f>
        <v/>
      </c>
      <c r="H47">
        <f>D47-D46</f>
        <v/>
      </c>
      <c r="I47">
        <f>F47-F46</f>
        <v/>
      </c>
      <c r="J47">
        <f>LN(E47/E46)</f>
        <v/>
      </c>
    </row>
    <row r="48">
      <c r="A48" s="6" t="n">
        <v>45799</v>
      </c>
      <c r="B48" s="4" t="n">
        <v>2225.5</v>
      </c>
      <c r="C48" s="4" t="n">
        <v>5.8</v>
      </c>
      <c r="D48" s="4" t="n">
        <v>2.58</v>
      </c>
      <c r="E48" s="4" t="n">
        <v>8367.620000000001</v>
      </c>
      <c r="F48">
        <f>C48-D48</f>
        <v/>
      </c>
      <c r="G48">
        <f>LN(B48/B47)</f>
        <v/>
      </c>
      <c r="H48">
        <f>D48-D47</f>
        <v/>
      </c>
      <c r="I48">
        <f>F48-F47</f>
        <v/>
      </c>
      <c r="J48">
        <f>LN(E48/E47)</f>
        <v/>
      </c>
    </row>
    <row r="49">
      <c r="A49" s="6" t="n">
        <v>45807</v>
      </c>
      <c r="B49" s="4" t="n">
        <v>2060</v>
      </c>
      <c r="C49" s="4" t="n">
        <v>5.77</v>
      </c>
      <c r="D49" s="4" t="n">
        <v>2.57</v>
      </c>
      <c r="E49" s="4" t="n">
        <v>8047.51</v>
      </c>
      <c r="F49">
        <f>C49-D49</f>
        <v/>
      </c>
      <c r="G49">
        <f>LN(B49/B48)</f>
        <v/>
      </c>
      <c r="H49">
        <f>D49-D48</f>
        <v/>
      </c>
      <c r="I49">
        <f>F49-F48</f>
        <v/>
      </c>
      <c r="J49">
        <f>LN(E49/E48)</f>
        <v/>
      </c>
    </row>
    <row r="50">
      <c r="A50" s="6" t="n">
        <v>45813</v>
      </c>
      <c r="B50" s="4" t="n">
        <v>2070</v>
      </c>
      <c r="C50" s="4" t="n">
        <v>5.75</v>
      </c>
      <c r="D50" s="4" t="n">
        <v>2.6</v>
      </c>
      <c r="E50" s="4" t="n">
        <v>8145.59</v>
      </c>
      <c r="F50">
        <f>C50-D50</f>
        <v/>
      </c>
      <c r="G50">
        <f>LN(B50/B49)</f>
        <v/>
      </c>
      <c r="H50">
        <f>D50-D49</f>
        <v/>
      </c>
      <c r="I50">
        <f>F50-F49</f>
        <v/>
      </c>
      <c r="J50">
        <f>LN(E50/E49)</f>
        <v/>
      </c>
    </row>
    <row r="51">
      <c r="A51" s="6" t="n">
        <v>45821</v>
      </c>
      <c r="B51" s="4" t="n">
        <v>2080</v>
      </c>
      <c r="C51" s="4" t="n">
        <v>5.76</v>
      </c>
      <c r="D51" s="4" t="n">
        <v>2.61</v>
      </c>
      <c r="E51" s="4" t="n">
        <v>8209.92</v>
      </c>
      <c r="F51">
        <f>C51-D51</f>
        <v/>
      </c>
      <c r="G51">
        <f>LN(B51/B50)</f>
        <v/>
      </c>
      <c r="H51">
        <f>D51-D50</f>
        <v/>
      </c>
      <c r="I51">
        <f>F51-F50</f>
        <v/>
      </c>
      <c r="J51">
        <f>LN(E51/E50)</f>
        <v/>
      </c>
    </row>
    <row r="52">
      <c r="A52" s="6" t="n">
        <v>45824</v>
      </c>
      <c r="B52" s="4" t="n">
        <v>2070.6</v>
      </c>
      <c r="C52" s="4" t="n">
        <v>5.73</v>
      </c>
      <c r="D52" s="4" t="n">
        <v>2.6</v>
      </c>
      <c r="E52" s="4" t="n">
        <v>8165.29</v>
      </c>
      <c r="F52">
        <f>C52-D52</f>
        <v/>
      </c>
      <c r="G52">
        <f>LN(B52/B51)</f>
        <v/>
      </c>
      <c r="H52">
        <f>D52-D51</f>
        <v/>
      </c>
      <c r="I52">
        <f>F52-F51</f>
        <v/>
      </c>
      <c r="J52">
        <f>LN(E52/E51)</f>
        <v/>
      </c>
    </row>
    <row r="53">
      <c r="A53" s="6" t="n">
        <v>45835</v>
      </c>
      <c r="B53" s="4" t="n">
        <v>2050.1</v>
      </c>
      <c r="C53" s="4" t="n">
        <v>5.68</v>
      </c>
      <c r="D53" s="4" t="n">
        <v>2.69</v>
      </c>
      <c r="E53" s="4" t="n">
        <v>8213.08</v>
      </c>
      <c r="F53">
        <f>C53-D53</f>
        <v/>
      </c>
      <c r="G53">
        <f>LN(B53/B52)</f>
        <v/>
      </c>
      <c r="H53">
        <f>D53-D52</f>
        <v/>
      </c>
      <c r="I53">
        <f>F53-F52</f>
        <v/>
      </c>
      <c r="J53">
        <f>LN(E53/E52)</f>
        <v/>
      </c>
    </row>
    <row r="54">
      <c r="A54" s="6" t="n">
        <v>45841</v>
      </c>
      <c r="B54" s="4" t="n">
        <v>2080</v>
      </c>
      <c r="C54" s="4" t="n">
        <v>5.67</v>
      </c>
      <c r="D54" s="4" t="n">
        <v>2.65</v>
      </c>
      <c r="E54" s="4" t="n">
        <v>8290.26</v>
      </c>
      <c r="F54">
        <f>C54-D54</f>
        <v/>
      </c>
      <c r="G54">
        <f>LN(B54/B53)</f>
        <v/>
      </c>
      <c r="H54">
        <f>D54-D53</f>
        <v/>
      </c>
      <c r="I54">
        <f>F54-F53</f>
        <v/>
      </c>
      <c r="J54">
        <f>LN(E54/E53)</f>
        <v/>
      </c>
    </row>
    <row r="55">
      <c r="A55" s="6" t="n">
        <v>45849</v>
      </c>
      <c r="B55" s="4" t="n">
        <v>2190</v>
      </c>
      <c r="C55" s="4" t="n">
        <v>5.61</v>
      </c>
      <c r="D55" s="4" t="n">
        <v>2.68</v>
      </c>
      <c r="E55" s="4" t="n">
        <v>8231.92</v>
      </c>
      <c r="F55">
        <f>C55-D55</f>
        <v/>
      </c>
      <c r="G55">
        <f>LN(B55/B54)</f>
        <v/>
      </c>
      <c r="H55">
        <f>D55-D54</f>
        <v/>
      </c>
      <c r="I55">
        <f>F55-F54</f>
        <v/>
      </c>
      <c r="J55">
        <f>LN(E55/E54)</f>
        <v/>
      </c>
    </row>
    <row r="56">
      <c r="A56" s="6" t="n">
        <v>45863</v>
      </c>
      <c r="B56" s="4" t="n">
        <v>2065</v>
      </c>
      <c r="C56" s="4" t="n">
        <v>5.6</v>
      </c>
      <c r="D56" s="4" t="n">
        <v>2.52</v>
      </c>
      <c r="E56" s="4" t="n">
        <v>8221.9</v>
      </c>
      <c r="F56">
        <f>C56-D56</f>
        <v/>
      </c>
      <c r="G56">
        <f>LN(B56/B55)</f>
        <v/>
      </c>
      <c r="H56">
        <f>D56-D55</f>
        <v/>
      </c>
      <c r="I56">
        <f>F56-F55</f>
        <v/>
      </c>
      <c r="J56">
        <f>LN(E56/E55)</f>
        <v/>
      </c>
    </row>
    <row r="57">
      <c r="A57" s="6" t="n">
        <v>45870</v>
      </c>
      <c r="B57" s="4" t="n">
        <v>2124</v>
      </c>
      <c r="C57" s="4" t="n">
        <v>5.6</v>
      </c>
      <c r="D57" s="4" t="n">
        <v>2.45</v>
      </c>
      <c r="E57" s="4" t="n">
        <v>8161.33</v>
      </c>
      <c r="F57">
        <f>C57-D57</f>
        <v/>
      </c>
      <c r="G57">
        <f>LN(B57/B56)</f>
        <v/>
      </c>
      <c r="H57">
        <f>D57-D56</f>
        <v/>
      </c>
      <c r="I57">
        <f>F57-F56</f>
        <v/>
      </c>
      <c r="J57">
        <f>LN(E57/E56)</f>
        <v/>
      </c>
    </row>
    <row r="58">
      <c r="A58" s="6" t="n">
        <v>45877</v>
      </c>
      <c r="B58" s="4" t="n">
        <v>2164.9</v>
      </c>
      <c r="C58" s="4" t="n">
        <v>5.63</v>
      </c>
      <c r="D58" s="4" t="n">
        <v>2.36</v>
      </c>
      <c r="E58" s="4" t="n">
        <v>8520.530000000001</v>
      </c>
      <c r="F58">
        <f>C58-D58</f>
        <v/>
      </c>
      <c r="G58">
        <f>LN(B58/B57)</f>
        <v/>
      </c>
      <c r="H58">
        <f>D58-D57</f>
        <v/>
      </c>
      <c r="I58">
        <f>F58-F57</f>
        <v/>
      </c>
      <c r="J58">
        <f>LN(E58/E57)</f>
        <v/>
      </c>
    </row>
    <row r="59">
      <c r="A59" s="6" t="n">
        <v>45882</v>
      </c>
      <c r="B59" s="4" t="n">
        <v>2228.1</v>
      </c>
      <c r="C59" s="4" t="n">
        <v>5.59</v>
      </c>
      <c r="D59" s="4" t="n">
        <v>2.37</v>
      </c>
      <c r="E59" s="4" t="n">
        <v>8737.860000000001</v>
      </c>
      <c r="F59">
        <f>C59-D59</f>
        <v/>
      </c>
      <c r="G59">
        <f>LN(B59/B58)</f>
        <v/>
      </c>
      <c r="H59">
        <f>D59-D58</f>
        <v/>
      </c>
      <c r="I59">
        <f>F59-F58</f>
        <v/>
      </c>
      <c r="J59">
        <f>LN(E59/E58)</f>
        <v/>
      </c>
    </row>
    <row r="60">
      <c r="A60" s="6" t="n">
        <v>45891</v>
      </c>
      <c r="B60" s="4" t="n">
        <v>2242.2</v>
      </c>
      <c r="C60" s="4" t="n">
        <v>5.57</v>
      </c>
      <c r="D60" s="4" t="n">
        <v>2.49</v>
      </c>
      <c r="E60" s="4" t="n">
        <v>8854.26</v>
      </c>
      <c r="F60">
        <f>C60-D60</f>
        <v/>
      </c>
      <c r="G60">
        <f>LN(B60/B59)</f>
        <v/>
      </c>
      <c r="H60">
        <f>D60-D59</f>
        <v/>
      </c>
      <c r="I60">
        <f>F60-F59</f>
        <v/>
      </c>
      <c r="J60">
        <f>LN(E60/E59)</f>
        <v/>
      </c>
    </row>
    <row r="61">
      <c r="A61" s="6" t="n">
        <v>45898</v>
      </c>
      <c r="B61" s="4" t="n">
        <v>2270.1</v>
      </c>
      <c r="C61" s="4" t="n">
        <v>5.63</v>
      </c>
      <c r="D61" s="4" t="n">
        <v>2.48</v>
      </c>
      <c r="E61" s="4" t="n">
        <v>8899.91</v>
      </c>
      <c r="F61">
        <f>C61-D61</f>
        <v/>
      </c>
      <c r="G61">
        <f>LN(B61/B60)</f>
        <v/>
      </c>
      <c r="H61">
        <f>D61-D60</f>
        <v/>
      </c>
      <c r="I61">
        <f>F61-F60</f>
        <v/>
      </c>
      <c r="J61">
        <f>LN(E61/E60)</f>
        <v/>
      </c>
    </row>
    <row r="62">
      <c r="A62" s="6" t="n">
        <v>45905</v>
      </c>
      <c r="B62" s="4" t="n">
        <v>2454.11</v>
      </c>
      <c r="C62" s="4" t="n">
        <v>5.67</v>
      </c>
      <c r="D62" s="4" t="n">
        <v>2.41</v>
      </c>
      <c r="E62" s="4" t="n">
        <v>9210.68</v>
      </c>
      <c r="F62">
        <f>C62-D62</f>
        <v/>
      </c>
      <c r="G62">
        <f>LN(B62/B61)</f>
        <v/>
      </c>
      <c r="H62">
        <f>D62-D61</f>
        <v/>
      </c>
      <c r="I62">
        <f>F62-F61</f>
        <v/>
      </c>
      <c r="J62">
        <f>LN(E62/E61)</f>
        <v/>
      </c>
    </row>
    <row r="63">
      <c r="A63" s="6" t="n">
        <v>45912</v>
      </c>
      <c r="B63" s="4" t="n">
        <v>2515</v>
      </c>
      <c r="C63" s="4" t="n">
        <v>5.62</v>
      </c>
      <c r="D63" s="4" t="n">
        <v>2.42</v>
      </c>
      <c r="E63" s="4" t="n">
        <v>8989.75</v>
      </c>
      <c r="F63">
        <f>C63-D63</f>
        <v/>
      </c>
      <c r="G63">
        <f>LN(B63/B62)</f>
        <v/>
      </c>
      <c r="H63">
        <f>D63-D62</f>
        <v/>
      </c>
      <c r="I63">
        <f>F63-F62</f>
        <v/>
      </c>
      <c r="J63">
        <f>LN(E63/E62)</f>
        <v/>
      </c>
    </row>
    <row r="64">
      <c r="A64" s="6" t="n">
        <v>45916</v>
      </c>
      <c r="B64" s="4" t="n">
        <v>2580</v>
      </c>
      <c r="C64" s="4" t="n">
        <v>5.6</v>
      </c>
      <c r="D64" s="4" t="n">
        <v>2.41</v>
      </c>
      <c r="E64" s="4" t="n">
        <v>9066.030000000001</v>
      </c>
      <c r="F64">
        <f>C64-D64</f>
        <v/>
      </c>
      <c r="G64">
        <f>LN(B64/B63)</f>
        <v/>
      </c>
      <c r="H64">
        <f>D64-D63</f>
        <v/>
      </c>
      <c r="I64">
        <f>F64-F63</f>
        <v/>
      </c>
      <c r="J64">
        <f>LN(E64/E63)</f>
        <v/>
      </c>
    </row>
    <row r="65">
      <c r="A65" s="6" t="n">
        <v>45925</v>
      </c>
      <c r="B65" s="4" t="n">
        <v>2585</v>
      </c>
      <c r="C65" s="4" t="n">
        <v>5.58</v>
      </c>
      <c r="D65" s="4" t="n">
        <v>2.4</v>
      </c>
      <c r="E65" s="4" t="n">
        <v>9040.459999999999</v>
      </c>
      <c r="F65">
        <f>C65-D65</f>
        <v/>
      </c>
      <c r="G65">
        <f>LN(B65/B64)</f>
        <v/>
      </c>
      <c r="H65">
        <f>D65-D64</f>
        <v/>
      </c>
      <c r="I65">
        <f>F65-F64</f>
        <v/>
      </c>
      <c r="J65">
        <f>LN(E65/E64)</f>
        <v/>
      </c>
    </row>
    <row r="66">
      <c r="A66" s="6" t="n">
        <v>45932</v>
      </c>
      <c r="B66" s="4" t="n">
        <v>2580</v>
      </c>
      <c r="C66" s="4" t="n">
        <v>5.63</v>
      </c>
      <c r="D66" s="4" t="n">
        <v>2.34</v>
      </c>
      <c r="E66" s="4" t="n">
        <v>8899.67</v>
      </c>
      <c r="F66">
        <f>C66-D66</f>
        <v/>
      </c>
      <c r="G66">
        <f>LN(B66/B65)</f>
        <v/>
      </c>
      <c r="H66">
        <f>D66-D65</f>
        <v/>
      </c>
      <c r="I66">
        <f>F66-F65</f>
        <v/>
      </c>
      <c r="J66">
        <f>LN(E66/E65)</f>
        <v/>
      </c>
    </row>
    <row r="67">
      <c r="A67" s="6" t="n">
        <v>45940</v>
      </c>
      <c r="B67" s="4" t="n">
        <v>2537</v>
      </c>
      <c r="C67" s="4" t="n">
        <v>5.58</v>
      </c>
      <c r="D67" s="4" t="n">
        <v>2.34</v>
      </c>
      <c r="E67" s="4" t="n">
        <v>8675.799999999999</v>
      </c>
      <c r="F67">
        <f>C67-D67</f>
        <v/>
      </c>
      <c r="G67">
        <f>LN(B67/B66)</f>
        <v/>
      </c>
      <c r="H67">
        <f>D67-D66</f>
        <v/>
      </c>
      <c r="I67">
        <f>F67-F66</f>
        <v/>
      </c>
      <c r="J67">
        <f>LN(E67/E66)</f>
        <v/>
      </c>
    </row>
    <row r="68">
      <c r="A68" s="6" t="n">
        <v>45947</v>
      </c>
      <c r="B68" s="4" t="n">
        <v>2689.9</v>
      </c>
      <c r="C68" s="4" t="n">
        <v>5.57</v>
      </c>
      <c r="D68" s="4" t="n">
        <v>2.36</v>
      </c>
      <c r="E68" s="4" t="n">
        <v>9129.98</v>
      </c>
      <c r="F68">
        <f>C68-D68</f>
        <v/>
      </c>
      <c r="G68">
        <f>LN(B68/B67)</f>
        <v/>
      </c>
      <c r="H68">
        <f>D68-D67</f>
        <v/>
      </c>
      <c r="I68">
        <f>F68-F67</f>
        <v/>
      </c>
      <c r="J68">
        <f>LN(E68/E67)</f>
        <v/>
      </c>
    </row>
    <row r="69">
      <c r="A69" s="6" t="n">
        <v>45954</v>
      </c>
      <c r="B69" s="4" t="n">
        <v>2730</v>
      </c>
      <c r="C69" s="4" t="n">
        <v>5.55</v>
      </c>
      <c r="D69" s="4" t="n">
        <v>2.38</v>
      </c>
      <c r="E69" s="4" t="n">
        <v>9184.41</v>
      </c>
      <c r="F69">
        <f>C69-D69</f>
        <v/>
      </c>
      <c r="G69">
        <f>LN(B69/B68)</f>
        <v/>
      </c>
      <c r="H69">
        <f>D69-D68</f>
        <v/>
      </c>
      <c r="I69">
        <f>F69-F68</f>
        <v/>
      </c>
      <c r="J69">
        <f>LN(E69/E68)</f>
        <v/>
      </c>
    </row>
    <row r="70">
      <c r="A70" s="6" t="n">
        <v>45960</v>
      </c>
      <c r="B70" s="4" t="n">
        <v>2655</v>
      </c>
      <c r="C70" s="4" t="n">
        <v>5.56</v>
      </c>
      <c r="D70" s="4" t="n">
        <v>2.37</v>
      </c>
      <c r="E70" s="4" t="n">
        <v>9428.889999999999</v>
      </c>
      <c r="F70">
        <f>C70-D70</f>
        <v/>
      </c>
      <c r="G70">
        <f>LN(B70/B69)</f>
        <v/>
      </c>
      <c r="H70">
        <f>D70-D69</f>
        <v/>
      </c>
      <c r="I70">
        <f>F70-F69</f>
        <v/>
      </c>
      <c r="J70">
        <f>LN(E70/E69)</f>
        <v/>
      </c>
    </row>
    <row r="71">
      <c r="A71" s="6" t="n">
        <v>45968</v>
      </c>
      <c r="B71" s="4" t="n">
        <v>2955</v>
      </c>
      <c r="C71" s="4" t="n">
        <v>5.52</v>
      </c>
      <c r="D71" s="4" t="n">
        <v>2.37</v>
      </c>
      <c r="E71" s="4" t="n">
        <v>9605.059999999999</v>
      </c>
      <c r="F71">
        <f>C71-D71</f>
        <v/>
      </c>
      <c r="G71">
        <f>LN(B71/B70)</f>
        <v/>
      </c>
      <c r="H71">
        <f>D71-D70</f>
        <v/>
      </c>
      <c r="I71">
        <f>F71-F70</f>
        <v/>
      </c>
      <c r="J71">
        <f>LN(E71/E70)</f>
        <v/>
      </c>
    </row>
    <row r="72">
      <c r="A72" s="6" t="n">
        <v>45975</v>
      </c>
      <c r="B72" s="4" t="n">
        <v>2977</v>
      </c>
      <c r="C72" s="4" t="n">
        <v>5.38</v>
      </c>
      <c r="D72" s="4" t="n">
        <v>2.36</v>
      </c>
      <c r="E72" s="4" t="n">
        <v>9603.02</v>
      </c>
      <c r="F72">
        <f>C72-D72</f>
        <v/>
      </c>
      <c r="G72">
        <f>LN(B72/B71)</f>
        <v/>
      </c>
      <c r="H72">
        <f>D72-D71</f>
        <v/>
      </c>
      <c r="I72">
        <f>F72-F71</f>
        <v/>
      </c>
      <c r="J72">
        <f>LN(E72/E71)</f>
        <v/>
      </c>
    </row>
    <row r="73">
      <c r="A73" s="6" t="n">
        <v>45981</v>
      </c>
      <c r="B73" s="4" t="n">
        <v>3015</v>
      </c>
      <c r="C73" s="4" t="n">
        <v>5.35</v>
      </c>
      <c r="D73" s="4" t="n">
        <v>2.33</v>
      </c>
      <c r="E73" s="4" t="n">
        <v>9802.08</v>
      </c>
      <c r="F73">
        <f>C73-D73</f>
        <v/>
      </c>
      <c r="G73">
        <f>LN(B73/B72)</f>
        <v/>
      </c>
      <c r="H73">
        <f>D73-D72</f>
        <v/>
      </c>
      <c r="I73">
        <f>F73-F72</f>
        <v/>
      </c>
      <c r="J73">
        <f>LN(E73/E72)</f>
        <v/>
      </c>
    </row>
    <row r="74">
      <c r="A74" s="6" t="n">
        <v>45986</v>
      </c>
      <c r="B74" s="4" t="n">
        <v>3110</v>
      </c>
      <c r="C74" s="4" t="n">
        <v>5.31</v>
      </c>
      <c r="D74" s="4" t="n">
        <v>2.31</v>
      </c>
      <c r="E74" s="4" t="n">
        <v>9950.809999999999</v>
      </c>
      <c r="F74">
        <f>C74-D74</f>
        <v/>
      </c>
      <c r="G74">
        <f>LN(B74/B73)</f>
        <v/>
      </c>
      <c r="H74">
        <f>D74-D73</f>
        <v/>
      </c>
      <c r="I74">
        <f>F74-F73</f>
        <v/>
      </c>
      <c r="J74">
        <f>LN(E74/E73)</f>
        <v/>
      </c>
    </row>
    <row r="75">
      <c r="A75" s="6" t="n">
        <v>45996</v>
      </c>
      <c r="B75" s="4" t="n">
        <v>3243</v>
      </c>
      <c r="C75" s="4" t="n">
        <v>5.32</v>
      </c>
      <c r="D75" s="4" t="n">
        <v>2.32</v>
      </c>
      <c r="E75" s="4" t="n">
        <v>10222.61</v>
      </c>
      <c r="F75">
        <f>C75-D75</f>
        <v/>
      </c>
      <c r="G75">
        <f>LN(B75/B74)</f>
        <v/>
      </c>
      <c r="H75">
        <f>D75-D74</f>
        <v/>
      </c>
      <c r="I75">
        <f>F75-F74</f>
        <v/>
      </c>
      <c r="J75">
        <f>LN(E75/E74)</f>
        <v/>
      </c>
    </row>
    <row r="76">
      <c r="A76" s="6" t="n">
        <v>46003</v>
      </c>
      <c r="B76" s="4" t="n">
        <v>3275</v>
      </c>
      <c r="C76" s="4" t="n">
        <v>5.32</v>
      </c>
      <c r="D76" s="4" t="n">
        <v>2.34</v>
      </c>
      <c r="E76" s="4" t="n">
        <v>10400.01</v>
      </c>
      <c r="F76">
        <f>C76-D76</f>
        <v/>
      </c>
      <c r="G76">
        <f>LN(B76/B75)</f>
        <v/>
      </c>
      <c r="H76">
        <f>D76-D75</f>
        <v/>
      </c>
      <c r="I76">
        <f>F76-F75</f>
        <v/>
      </c>
      <c r="J76">
        <f>LN(E76/E75)</f>
        <v/>
      </c>
    </row>
    <row r="77">
      <c r="A77" s="6" t="n">
        <v>46009</v>
      </c>
      <c r="B77" s="4" t="n">
        <v>3140</v>
      </c>
      <c r="C77" s="4" t="n">
        <v>5.39</v>
      </c>
      <c r="D77" s="4" t="n">
        <v>2.32</v>
      </c>
      <c r="E77" s="4" t="n">
        <v>10194.26</v>
      </c>
      <c r="F77">
        <f>C77-D77</f>
        <v/>
      </c>
      <c r="G77">
        <f>LN(B77/B76)</f>
        <v/>
      </c>
      <c r="H77">
        <f>D77-D76</f>
        <v/>
      </c>
      <c r="I77">
        <f>F77-F76</f>
        <v/>
      </c>
      <c r="J77">
        <f>LN(E77/E76)</f>
        <v/>
      </c>
    </row>
    <row r="78">
      <c r="A78" s="6" t="n">
        <v>46017</v>
      </c>
      <c r="B78" s="4" t="n">
        <v>3125</v>
      </c>
      <c r="C78" s="4" t="n">
        <v>5.4</v>
      </c>
      <c r="D78" s="4" t="n">
        <v>2.34</v>
      </c>
      <c r="E78" s="4" t="n">
        <v>10483.15</v>
      </c>
      <c r="F78">
        <f>C78-D78</f>
        <v/>
      </c>
      <c r="G78">
        <f>LN(B78/B77)</f>
        <v/>
      </c>
      <c r="H78">
        <f>D78-D77</f>
        <v/>
      </c>
      <c r="I78">
        <f>F78-F77</f>
        <v/>
      </c>
      <c r="J78">
        <f>LN(E78/E77)</f>
        <v/>
      </c>
    </row>
    <row r="79">
      <c r="A79" s="6" t="n">
        <v>46020</v>
      </c>
      <c r="B79" s="4" t="n">
        <v>3194.9</v>
      </c>
      <c r="C79" s="4" t="n">
        <v>5.41</v>
      </c>
      <c r="D79" s="4" t="n">
        <v>2.33</v>
      </c>
      <c r="E79" s="4" t="n">
        <v>10521.68</v>
      </c>
      <c r="F79">
        <f>C79-D79</f>
        <v/>
      </c>
      <c r="G79">
        <f>LN(B79/B78)</f>
        <v/>
      </c>
      <c r="H79">
        <f>D79-D78</f>
        <v/>
      </c>
      <c r="I79">
        <f>F79-F78</f>
        <v/>
      </c>
      <c r="J79">
        <f>LN(E79/E78)</f>
        <v/>
      </c>
    </row>
    <row r="80">
      <c r="A80" s="6" t="n">
        <v>46031</v>
      </c>
      <c r="B80" s="4" t="n">
        <v>3395</v>
      </c>
      <c r="C80" s="4" t="n">
        <v>5.31</v>
      </c>
      <c r="D80" s="4" t="n">
        <v>2.31</v>
      </c>
      <c r="E80" s="4" t="n">
        <v>10929.15</v>
      </c>
      <c r="F80">
        <f>C80-D80</f>
        <v/>
      </c>
      <c r="G80">
        <f>LN(B80/B79)</f>
        <v/>
      </c>
      <c r="H80">
        <f>D80-D79</f>
        <v/>
      </c>
      <c r="I80">
        <f>F80-F79</f>
        <v/>
      </c>
      <c r="J80">
        <f>LN(E80/E79)</f>
        <v/>
      </c>
    </row>
    <row r="81">
      <c r="A81" s="6" t="n">
        <v>46038</v>
      </c>
      <c r="B81" s="4" t="n">
        <v>3650</v>
      </c>
      <c r="C81" s="4" t="n">
        <v>5.34</v>
      </c>
      <c r="D81" s="4" t="n">
        <v>2.32</v>
      </c>
      <c r="E81" s="4" t="n">
        <v>11156.73</v>
      </c>
      <c r="F81">
        <f>C81-D81</f>
        <v/>
      </c>
      <c r="G81">
        <f>LN(B81/B80)</f>
        <v/>
      </c>
      <c r="H81">
        <f>D81-D80</f>
        <v/>
      </c>
      <c r="I81">
        <f>F81-F80</f>
        <v/>
      </c>
      <c r="J81">
        <f>LN(E81/E80)</f>
        <v/>
      </c>
    </row>
    <row r="82">
      <c r="A82" s="6" t="n">
        <v>46045</v>
      </c>
      <c r="B82" s="4" t="n">
        <v>3800</v>
      </c>
      <c r="C82" s="4" t="n">
        <v>5.34</v>
      </c>
      <c r="D82" s="4" t="n">
        <v>2.33</v>
      </c>
      <c r="E82" s="4" t="n">
        <v>11500.1</v>
      </c>
      <c r="F82">
        <f>C82-D82</f>
        <v/>
      </c>
      <c r="G82">
        <f>LN(B82/B81)</f>
        <v/>
      </c>
      <c r="H82">
        <f>D82-D81</f>
        <v/>
      </c>
      <c r="I82">
        <f>F82-F81</f>
        <v/>
      </c>
      <c r="J82">
        <f>LN(E82/E81)</f>
        <v/>
      </c>
    </row>
    <row r="83">
      <c r="A83" s="6" t="n">
        <v>46052</v>
      </c>
      <c r="B83" s="4" t="n">
        <v>3800</v>
      </c>
      <c r="C83" s="4" t="n">
        <v>5.34</v>
      </c>
      <c r="D83" s="4" t="n">
        <v>2.33</v>
      </c>
      <c r="E83" s="4" t="n">
        <v>11420.07</v>
      </c>
      <c r="F83">
        <f>C83-D83</f>
        <v/>
      </c>
      <c r="G83">
        <f>LN(B83/B82)</f>
        <v/>
      </c>
      <c r="H83">
        <f>D83-D82</f>
        <v/>
      </c>
      <c r="I83">
        <f>F83-F82</f>
        <v/>
      </c>
      <c r="J83">
        <f>LN(E83/E82)</f>
        <v/>
      </c>
    </row>
    <row r="84">
      <c r="A84" s="6" t="n">
        <v>46057</v>
      </c>
      <c r="B84" s="4" t="n">
        <v>3889.9</v>
      </c>
      <c r="C84" s="4" t="n">
        <v>5.34</v>
      </c>
      <c r="D84" s="4" t="n">
        <v>2.36</v>
      </c>
      <c r="E84" s="4" t="n">
        <v>11425.88</v>
      </c>
      <c r="F84">
        <f>C84-D84</f>
        <v/>
      </c>
      <c r="G84">
        <f>LN(B84/B83)</f>
        <v/>
      </c>
      <c r="H84">
        <f>D84-D83</f>
        <v/>
      </c>
      <c r="I84">
        <f>F84-F83</f>
        <v/>
      </c>
      <c r="J84">
        <f>LN(E84/E83)</f>
        <v/>
      </c>
    </row>
    <row r="85">
      <c r="A85" s="6" t="n">
        <v>46063</v>
      </c>
      <c r="B85" s="4" t="n">
        <v>3725.5</v>
      </c>
      <c r="C85" s="4" t="n">
        <v>5.31</v>
      </c>
      <c r="D85" s="4" t="n">
        <v>2.31</v>
      </c>
      <c r="E85" s="4" t="n">
        <v>11009.28</v>
      </c>
      <c r="F85">
        <f>C85-D85</f>
        <v/>
      </c>
      <c r="G85">
        <f>LN(B85/B84)</f>
        <v/>
      </c>
      <c r="H85">
        <f>D85-D84</f>
        <v/>
      </c>
      <c r="I85">
        <f>F85-F84</f>
        <v/>
      </c>
      <c r="J85">
        <f>LN(E85/E84)</f>
        <v/>
      </c>
    </row>
    <row r="86">
      <c r="A86" s="6" t="n">
        <v>46073</v>
      </c>
      <c r="B86" s="4" t="n">
        <v>3905</v>
      </c>
      <c r="C86" s="4" t="n">
        <v>5.28</v>
      </c>
      <c r="D86" s="4" t="n">
        <v>2.3</v>
      </c>
      <c r="E86" s="4" t="n">
        <v>10855.08</v>
      </c>
      <c r="F86">
        <f>C86-D86</f>
        <v/>
      </c>
      <c r="G86">
        <f>LN(B86/B85)</f>
        <v/>
      </c>
      <c r="H86">
        <f>D86-D85</f>
        <v/>
      </c>
      <c r="I86">
        <f>F86-F85</f>
        <v/>
      </c>
      <c r="J86">
        <f>LN(E86/E85)</f>
        <v/>
      </c>
    </row>
    <row r="87">
      <c r="A87" s="6" t="n">
        <v>46080</v>
      </c>
      <c r="B87" s="4" t="n">
        <v>4080</v>
      </c>
      <c r="C87" s="4" t="n">
        <v>5.25</v>
      </c>
      <c r="D87" s="4" t="n">
        <v>2.29</v>
      </c>
      <c r="E87" s="4" t="n">
        <v>10877.74</v>
      </c>
      <c r="F87">
        <f>C87-D87</f>
        <v/>
      </c>
      <c r="G87">
        <f>LN(B87/B86)</f>
        <v/>
      </c>
      <c r="H87">
        <f>D87-D86</f>
        <v/>
      </c>
      <c r="I87">
        <f>F87-F86</f>
        <v/>
      </c>
      <c r="J87">
        <f>LN(E87/E86)</f>
        <v/>
      </c>
    </row>
    <row r="88">
      <c r="A88" s="6" t="n">
        <v>46085</v>
      </c>
      <c r="B88" s="4" t="n">
        <v>3920</v>
      </c>
      <c r="C88" s="4" t="n">
        <v>5.3</v>
      </c>
      <c r="D88" s="4" t="n">
        <v>2.24</v>
      </c>
      <c r="E88" s="4" t="n">
        <v>10494.97</v>
      </c>
      <c r="F88">
        <f>C88-D88</f>
        <v/>
      </c>
      <c r="G88">
        <f>LN(B88/B87)</f>
        <v/>
      </c>
      <c r="H88">
        <f>D88-D87</f>
        <v/>
      </c>
      <c r="I88">
        <f>F88-F87</f>
        <v/>
      </c>
      <c r="J88">
        <f>LN(E88/E87)</f>
        <v/>
      </c>
    </row>
    <row r="89">
      <c r="A89" s="6" t="n">
        <v>46094</v>
      </c>
      <c r="B89" s="4" t="n">
        <v>3824.9</v>
      </c>
      <c r="C89" s="4" t="n">
        <v>5.46</v>
      </c>
      <c r="D89" s="4" t="n">
        <v>2.15</v>
      </c>
      <c r="E89" s="4" t="n">
        <v>10466.52</v>
      </c>
      <c r="F89">
        <f>C89-D89</f>
        <v/>
      </c>
      <c r="G89">
        <f>LN(B89/B88)</f>
        <v/>
      </c>
      <c r="H89">
        <f>D89-D88</f>
        <v/>
      </c>
      <c r="I89">
        <f>F89-F88</f>
        <v/>
      </c>
      <c r="J89">
        <f>LN(E89/E88)</f>
        <v/>
      </c>
    </row>
    <row r="90">
      <c r="A90" s="6" t="n">
        <v>46101</v>
      </c>
      <c r="B90" s="4" t="n">
        <v>3900</v>
      </c>
      <c r="C90" s="4" t="n">
        <v>5.66</v>
      </c>
      <c r="D90" s="4" t="n">
        <v>2.25</v>
      </c>
      <c r="E90" s="4" t="n">
        <v>10277.51</v>
      </c>
      <c r="F90">
        <f>C90-D90</f>
        <v/>
      </c>
      <c r="G90">
        <f>LN(B90/B89)</f>
        <v/>
      </c>
      <c r="H90">
        <f>D90-D89</f>
        <v/>
      </c>
      <c r="I90">
        <f>F90-F89</f>
        <v/>
      </c>
      <c r="J90">
        <f>LN(E90/E89)</f>
        <v/>
      </c>
    </row>
    <row r="91">
      <c r="A91" s="6" t="n">
        <v>46108</v>
      </c>
      <c r="B91" s="4" t="n">
        <v>3810</v>
      </c>
      <c r="C91" s="4" t="n">
        <v>5.69</v>
      </c>
      <c r="D91" s="4" t="n">
        <v>2.16</v>
      </c>
      <c r="E91" s="4" t="n">
        <v>10417.19</v>
      </c>
      <c r="F91">
        <f>C91-D91</f>
        <v/>
      </c>
      <c r="G91">
        <f>LN(B91/B90)</f>
        <v/>
      </c>
      <c r="H91">
        <f>D91-D90</f>
        <v/>
      </c>
      <c r="I91">
        <f>F91-F90</f>
        <v/>
      </c>
      <c r="J91">
        <f>LN(E91/E90)</f>
        <v/>
      </c>
    </row>
    <row r="92">
      <c r="A92" s="6" t="n">
        <v>46114</v>
      </c>
      <c r="B92" s="4" t="n">
        <v>4000</v>
      </c>
      <c r="C92" s="4" t="n">
        <v>5.56</v>
      </c>
      <c r="D92" s="4" t="n">
        <v>2.1</v>
      </c>
      <c r="E92" s="4" t="n">
        <v>10739.15</v>
      </c>
      <c r="F92">
        <f>C92-D92</f>
        <v/>
      </c>
      <c r="G92">
        <f>LN(B92/B91)</f>
        <v/>
      </c>
      <c r="H92">
        <f>D92-D91</f>
        <v/>
      </c>
      <c r="I92">
        <f>F92-F91</f>
        <v/>
      </c>
      <c r="J92">
        <f>LN(E92/E91)</f>
        <v/>
      </c>
    </row>
    <row r="93">
      <c r="A93" s="6" t="n">
        <v>46122</v>
      </c>
      <c r="B93" s="4" t="n">
        <v>4150</v>
      </c>
      <c r="C93" s="4" t="n">
        <v>5.46</v>
      </c>
      <c r="D93" s="4" t="n">
        <v>2.1</v>
      </c>
      <c r="E93" s="4" t="n">
        <v>11076.65</v>
      </c>
      <c r="F93">
        <f>C93-D93</f>
        <v/>
      </c>
      <c r="G93">
        <f>LN(B93/B92)</f>
        <v/>
      </c>
      <c r="H93">
        <f>D93-D92</f>
        <v/>
      </c>
      <c r="I93">
        <f>F93-F92</f>
        <v/>
      </c>
      <c r="J93">
        <f>LN(E93/E92)</f>
        <v/>
      </c>
    </row>
    <row r="94">
      <c r="A94" s="6" t="n">
        <v>46129</v>
      </c>
      <c r="B94" s="4" t="n">
        <v>4585</v>
      </c>
      <c r="C94" s="4" t="n">
        <v>5.34</v>
      </c>
      <c r="D94" s="4" t="n">
        <v>2.15</v>
      </c>
      <c r="E94" s="4" t="n">
        <v>11429.19</v>
      </c>
      <c r="F94">
        <f>C94-D94</f>
        <v/>
      </c>
      <c r="G94">
        <f>LN(B94/B93)</f>
        <v/>
      </c>
      <c r="H94">
        <f>D94-D93</f>
        <v/>
      </c>
      <c r="I94">
        <f>F94-F93</f>
        <v/>
      </c>
      <c r="J94">
        <f>LN(E94/E93)</f>
        <v/>
      </c>
    </row>
    <row r="95">
      <c r="A95" s="6" t="n">
        <v>46135</v>
      </c>
      <c r="B95" s="4" t="n">
        <v>4414.7</v>
      </c>
      <c r="C95" s="4" t="n">
        <v>5.46</v>
      </c>
      <c r="D95" s="4" t="n">
        <v>2.18</v>
      </c>
      <c r="E95" s="4" t="n">
        <v>10992.09</v>
      </c>
      <c r="F95">
        <f>C95-D95</f>
        <v/>
      </c>
      <c r="G95">
        <f>LN(B95/B94)</f>
        <v/>
      </c>
      <c r="H95">
        <f>D95-D94</f>
        <v/>
      </c>
      <c r="I95">
        <f>F95-F94</f>
        <v/>
      </c>
      <c r="J95">
        <f>LN(E95/E94)</f>
        <v/>
      </c>
    </row>
    <row r="96">
      <c r="A96" s="6" t="n">
        <v>46142</v>
      </c>
      <c r="B96" s="4" t="n">
        <v>4469.9</v>
      </c>
      <c r="C96" s="4" t="n">
        <v>5.61</v>
      </c>
      <c r="D96" s="4" t="n">
        <v>2.21</v>
      </c>
      <c r="E96" s="4" t="n">
        <v>10908.3</v>
      </c>
      <c r="F96">
        <f>C96-D96</f>
        <v/>
      </c>
      <c r="G96">
        <f>LN(B96/B95)</f>
        <v/>
      </c>
      <c r="H96">
        <f>D96-D95</f>
        <v/>
      </c>
      <c r="I96">
        <f>F96-F95</f>
        <v/>
      </c>
      <c r="J96">
        <f>LN(E96/E95)</f>
        <v/>
      </c>
    </row>
    <row r="97">
      <c r="A97" s="6" t="n">
        <v>46150</v>
      </c>
      <c r="B97" s="4" t="n">
        <v>4009</v>
      </c>
      <c r="C97" s="4" t="n">
        <v>5.56</v>
      </c>
      <c r="D97" s="4" t="n">
        <v>2.25</v>
      </c>
      <c r="E97" s="4" t="n">
        <v>10758.9</v>
      </c>
      <c r="F97">
        <f>C97-D97</f>
        <v/>
      </c>
      <c r="G97">
        <f>LN(B97/B96)</f>
        <v/>
      </c>
      <c r="H97">
        <f>D97-D96</f>
        <v/>
      </c>
      <c r="I97">
        <f>F97-F96</f>
        <v/>
      </c>
      <c r="J97">
        <f>LN(E97/E96)</f>
        <v/>
      </c>
    </row>
    <row r="98">
      <c r="A98" s="6" t="n">
        <v>46156</v>
      </c>
      <c r="B98" s="4" t="n">
        <v>3746.3</v>
      </c>
      <c r="C98" s="4" t="n">
        <v>5.53</v>
      </c>
      <c r="D98" s="4" t="n">
        <v>2.27</v>
      </c>
      <c r="E98" s="4" t="n">
        <v>10482.27</v>
      </c>
      <c r="F98">
        <f>C98-D98</f>
        <v/>
      </c>
      <c r="G98">
        <f>LN(B98/B97)</f>
        <v/>
      </c>
      <c r="H98">
        <f>D98-D97</f>
        <v/>
      </c>
      <c r="I98">
        <f>F98-F97</f>
        <v/>
      </c>
      <c r="J98">
        <f>LN(E98/E97)</f>
        <v/>
      </c>
    </row>
    <row r="99">
      <c r="A99" s="6" t="n">
        <v>46164</v>
      </c>
      <c r="B99" s="4" t="n">
        <v>3849.9</v>
      </c>
      <c r="C99" s="4" t="n">
        <v>5.62</v>
      </c>
      <c r="D99" s="4" t="n">
        <v>2.31</v>
      </c>
      <c r="E99" s="4" t="n">
        <v>10563.88</v>
      </c>
      <c r="F99">
        <f>C99-D99</f>
        <v/>
      </c>
      <c r="G99">
        <f>LN(B99/B98)</f>
        <v/>
      </c>
      <c r="H99">
        <f>D99-D98</f>
        <v/>
      </c>
      <c r="I99">
        <f>F99-F98</f>
        <v/>
      </c>
      <c r="J99">
        <f>LN(E99/E98)</f>
        <v/>
      </c>
    </row>
    <row r="100">
      <c r="A100" s="6" t="n">
        <v>46171</v>
      </c>
      <c r="B100" s="4" t="n">
        <v>3880</v>
      </c>
      <c r="C100" s="4" t="n">
        <v>5.53</v>
      </c>
      <c r="D100" s="4" t="n">
        <v>2.38</v>
      </c>
      <c r="E100" s="4" t="n">
        <v>10788.19</v>
      </c>
      <c r="F100">
        <f>C100-D100</f>
        <v/>
      </c>
      <c r="G100">
        <f>LN(B100/B99)</f>
        <v/>
      </c>
      <c r="H100">
        <f>D100-D99</f>
        <v/>
      </c>
      <c r="I100">
        <f>F100-F99</f>
        <v/>
      </c>
      <c r="J100">
        <f>LN(E100/E99)</f>
        <v/>
      </c>
    </row>
    <row r="101">
      <c r="A101" s="6" t="n">
        <v>46177</v>
      </c>
      <c r="B101" s="4" t="n">
        <v>3600</v>
      </c>
      <c r="C101" s="4" t="n">
        <v>5.57</v>
      </c>
      <c r="D101" s="4" t="n">
        <v>2.45</v>
      </c>
      <c r="E101" s="4" t="n">
        <v>10304.04</v>
      </c>
      <c r="F101">
        <f>C101-D101</f>
        <v/>
      </c>
      <c r="G101">
        <f>LN(B101/B100)</f>
        <v/>
      </c>
      <c r="H101">
        <f>D101-D100</f>
        <v/>
      </c>
      <c r="I101">
        <f>F101-F100</f>
        <v/>
      </c>
      <c r="J101">
        <f>LN(E101/E100)</f>
        <v/>
      </c>
    </row>
    <row r="102">
      <c r="A102" s="6" t="n">
        <v>46185</v>
      </c>
      <c r="B102" s="4" t="n">
        <v>3712</v>
      </c>
      <c r="C102" s="4" t="n">
        <v>5.54</v>
      </c>
      <c r="D102" s="4" t="n">
        <v>2.5</v>
      </c>
      <c r="E102" s="4" t="n">
        <v>10922.98</v>
      </c>
      <c r="F102">
        <f>C102-D102</f>
        <v/>
      </c>
      <c r="G102">
        <f>LN(B102/B101)</f>
        <v/>
      </c>
      <c r="H102">
        <f>D102-D101</f>
        <v/>
      </c>
      <c r="I102">
        <f>F102-F101</f>
        <v/>
      </c>
      <c r="J102">
        <f>LN(E102/E101)</f>
        <v/>
      </c>
    </row>
    <row r="103">
      <c r="A103" s="6" t="n">
        <v>46192</v>
      </c>
      <c r="B103" s="4" t="n">
        <v>3820</v>
      </c>
      <c r="C103" s="4" t="n">
        <v>5.45</v>
      </c>
      <c r="D103" s="4" t="n">
        <v>2.49</v>
      </c>
      <c r="E103" s="4" t="n">
        <v>10888.43</v>
      </c>
      <c r="F103">
        <f>C103-D103</f>
        <v/>
      </c>
      <c r="G103">
        <f>LN(B103/B102)</f>
        <v/>
      </c>
      <c r="H103">
        <f>D103-D102</f>
        <v/>
      </c>
      <c r="I103">
        <f>F103-F102</f>
        <v/>
      </c>
      <c r="J103">
        <f>LN(E103/E102)</f>
        <v/>
      </c>
    </row>
    <row r="104">
      <c r="A104" s="6" t="n">
        <v>46199</v>
      </c>
      <c r="B104" s="4" t="n">
        <v>3765</v>
      </c>
      <c r="C104" s="4" t="n">
        <v>5.45</v>
      </c>
      <c r="D104" s="4" t="n">
        <v>2.43</v>
      </c>
      <c r="E104" s="4" t="n">
        <v>10762.98</v>
      </c>
      <c r="F104">
        <f>C104-D104</f>
        <v/>
      </c>
      <c r="G104">
        <f>LN(B104/B103)</f>
        <v/>
      </c>
      <c r="H104">
        <f>D104-D103</f>
        <v/>
      </c>
      <c r="I104">
        <f>F104-F103</f>
        <v/>
      </c>
      <c r="J104">
        <f>LN(E104/E103)</f>
        <v/>
      </c>
    </row>
    <row r="105">
      <c r="A105" s="6" t="n">
        <v>46206</v>
      </c>
      <c r="B105" s="4" t="n">
        <v>3919.7</v>
      </c>
      <c r="C105" s="4" t="n">
        <v>5.42</v>
      </c>
      <c r="D105" s="4" t="n">
        <v>2.45</v>
      </c>
      <c r="E105" s="4" t="n">
        <v>10821.14</v>
      </c>
      <c r="F105">
        <f>C105-D105</f>
        <v/>
      </c>
      <c r="G105">
        <f>LN(B105/B104)</f>
        <v/>
      </c>
      <c r="H105">
        <f>D105-D104</f>
        <v/>
      </c>
      <c r="I105">
        <f>F105-F104</f>
        <v/>
      </c>
      <c r="J105">
        <f>LN(E105/E104)</f>
        <v/>
      </c>
    </row>
    <row r="106">
      <c r="A106" s="6" t="n">
        <v>46213</v>
      </c>
      <c r="B106" s="4" t="n">
        <v>3901</v>
      </c>
      <c r="C106" s="4" t="n">
        <v>5.48</v>
      </c>
      <c r="D106" s="4" t="n">
        <v>2.42</v>
      </c>
      <c r="E106" s="4" t="n">
        <v>10960.89</v>
      </c>
      <c r="F106">
        <f>C106-D106</f>
        <v/>
      </c>
      <c r="G106">
        <f>LN(B106/B105)</f>
        <v/>
      </c>
      <c r="H106">
        <f>D106-D105</f>
        <v/>
      </c>
      <c r="I106">
        <f>F106-F105</f>
        <v/>
      </c>
      <c r="J106">
        <f>LN(E106/E105)</f>
        <v/>
      </c>
    </row>
    <row r="107">
      <c r="A107" s="6" t="n">
        <v>46220</v>
      </c>
      <c r="B107" s="4" t="n">
        <v>3950</v>
      </c>
      <c r="C107" s="4" t="n">
        <v>5.54</v>
      </c>
      <c r="D107" s="4" t="n">
        <v>2.44</v>
      </c>
      <c r="E107" s="4" t="n">
        <v>10886.14</v>
      </c>
      <c r="F107">
        <f>C107-D107</f>
        <v/>
      </c>
      <c r="G107">
        <f>LN(B107/B106)</f>
        <v/>
      </c>
      <c r="H107">
        <f>D107-D106</f>
        <v/>
      </c>
      <c r="I107">
        <f>F107-F106</f>
        <v/>
      </c>
      <c r="J107">
        <f>LN(E107/E106)</f>
        <v/>
      </c>
    </row>
    <row r="108">
      <c r="A108" s="6" t="n">
        <v>46225</v>
      </c>
      <c r="B108" s="4" t="n">
        <v>3820.2</v>
      </c>
      <c r="C108" s="4" t="n">
        <v>5.68</v>
      </c>
      <c r="D108" s="4" t="n">
        <v>2.48</v>
      </c>
      <c r="E108" s="4" t="n">
        <v>11009.22</v>
      </c>
      <c r="F108">
        <f>C108-D108</f>
        <v/>
      </c>
      <c r="G108">
        <f>LN(B108/B107)</f>
        <v/>
      </c>
      <c r="H108">
        <f>D108-D107</f>
        <v/>
      </c>
      <c r="I108">
        <f>F108-F107</f>
        <v/>
      </c>
      <c r="J108">
        <f>LN(E108/E107)</f>
        <v/>
      </c>
    </row>
    <row r="109">
      <c r="A109" s="6" t="n">
        <v>46233</v>
      </c>
      <c r="B109" s="4" t="n">
        <v>3690</v>
      </c>
      <c r="C109" s="4" t="n">
        <v>5.68</v>
      </c>
      <c r="D109" s="4" t="n">
        <v>2.53</v>
      </c>
      <c r="E109" s="4" t="n">
        <v>11030.67</v>
      </c>
      <c r="F109">
        <f>C109-D109</f>
        <v/>
      </c>
      <c r="G109">
        <f>LN(B109/B108)</f>
        <v/>
      </c>
      <c r="H109">
        <f>D109-D108</f>
        <v/>
      </c>
      <c r="I109">
        <f>F109-F108</f>
        <v/>
      </c>
      <c r="J109">
        <f>LN(E109/E108)</f>
        <v/>
      </c>
    </row>
    <row r="110">
      <c r="A110" s="6" t="n">
        <v>46240</v>
      </c>
      <c r="B110" s="4" t="n">
        <v>3940</v>
      </c>
      <c r="C110" s="4" t="n">
        <v>5.63</v>
      </c>
      <c r="D110" s="4" t="n">
        <v>2.56</v>
      </c>
      <c r="E110" s="4" t="n">
        <v>11275.15</v>
      </c>
      <c r="F110">
        <f>C110-D110</f>
        <v/>
      </c>
      <c r="G110">
        <f>LN(B110/B109)</f>
        <v/>
      </c>
      <c r="H110">
        <f>D110-D109</f>
        <v/>
      </c>
      <c r="I110">
        <f>F110-F109</f>
        <v/>
      </c>
      <c r="J110">
        <f>LN(E110/E109)</f>
        <v/>
      </c>
    </row>
    <row r="111">
      <c r="A111" s="6" t="n">
        <v>46248</v>
      </c>
      <c r="B111" s="4" t="n">
        <v>3970</v>
      </c>
      <c r="C111" s="4" t="n">
        <v>5.66</v>
      </c>
      <c r="D111" s="4" t="n">
        <v>2.52</v>
      </c>
      <c r="E111" s="4" t="n">
        <v>11042.67</v>
      </c>
      <c r="F111">
        <f>C111-D111</f>
        <v/>
      </c>
      <c r="G111">
        <f>LN(B111/B110)</f>
        <v/>
      </c>
      <c r="H111">
        <f>D111-D110</f>
        <v/>
      </c>
      <c r="I111">
        <f>F111-F110</f>
        <v/>
      </c>
      <c r="J111">
        <f>LN(E111/E110)</f>
        <v/>
      </c>
    </row>
    <row r="112">
      <c r="A112" s="6" t="n">
        <v>46253</v>
      </c>
      <c r="B112" s="4" t="n">
        <v>4000.1</v>
      </c>
      <c r="C112" s="4" t="n">
        <v>5.7</v>
      </c>
      <c r="D112" s="4" t="n">
        <v>2.51</v>
      </c>
      <c r="E112" s="4" t="n">
        <v>11241.32</v>
      </c>
      <c r="F112">
        <f>C112-D112</f>
        <v/>
      </c>
      <c r="G112">
        <f>LN(B112/B111)</f>
        <v/>
      </c>
      <c r="H112">
        <f>D112-D111</f>
        <v/>
      </c>
      <c r="I112">
        <f>F112-F111</f>
        <v/>
      </c>
      <c r="J112">
        <f>LN(E112/E111)</f>
        <v/>
      </c>
    </row>
    <row r="113">
      <c r="A113" s="6" t="n">
        <v>46259</v>
      </c>
      <c r="B113" s="4" t="n">
        <v>4062</v>
      </c>
      <c r="C113" s="4" t="n">
        <v>5.7</v>
      </c>
      <c r="D113" s="4" t="n">
        <v>2.51</v>
      </c>
      <c r="E113" s="4" t="n">
        <v>11450.75</v>
      </c>
      <c r="F113">
        <f>C113-D113</f>
        <v/>
      </c>
      <c r="G113">
        <f>LN(B113/B112)</f>
        <v/>
      </c>
      <c r="H113">
        <f>D113-D112</f>
        <v/>
      </c>
      <c r="I113">
        <f>F113-F112</f>
        <v/>
      </c>
      <c r="J113">
        <f>LN(E113/E112)</f>
        <v/>
      </c>
    </row>
    <row r="114">
      <c r="A114" s="6" t="n">
        <v>46268</v>
      </c>
      <c r="B114" s="4" t="n">
        <v>3955.04</v>
      </c>
      <c r="C114" s="4" t="n">
        <v>5.71</v>
      </c>
      <c r="D114" s="4" t="n">
        <v>2.54</v>
      </c>
      <c r="E114" s="4" t="n">
        <v>11479.48</v>
      </c>
      <c r="F114">
        <f>C114-D114</f>
        <v/>
      </c>
      <c r="G114">
        <f>LN(B114/B113)</f>
        <v/>
      </c>
      <c r="H114">
        <f>D114-D113</f>
        <v/>
      </c>
      <c r="I114">
        <f>F114-F113</f>
        <v/>
      </c>
      <c r="J114">
        <f>LN(E114/E113)</f>
        <v/>
      </c>
    </row>
    <row r="115">
      <c r="A115" s="6" t="n">
        <v>46276</v>
      </c>
      <c r="B115" s="4" t="n">
        <v>3850</v>
      </c>
      <c r="C115" s="4" t="n">
        <v>6</v>
      </c>
      <c r="D115" s="4" t="n">
        <v>2.52</v>
      </c>
      <c r="E115" s="4" t="n">
        <v>11220.6</v>
      </c>
      <c r="F115">
        <f>C115-D115</f>
        <v/>
      </c>
      <c r="G115">
        <f>LN(B115/B114)</f>
        <v/>
      </c>
      <c r="H115">
        <f>D115-D114</f>
        <v/>
      </c>
      <c r="I115">
        <f>F115-F114</f>
        <v/>
      </c>
      <c r="J115">
        <f>LN(E115/E114)</f>
        <v/>
      </c>
    </row>
    <row r="116">
      <c r="A116" s="6" t="n">
        <v>46282</v>
      </c>
      <c r="B116" s="4" t="n">
        <v>3900</v>
      </c>
      <c r="C116" s="4" t="n">
        <v>6.03</v>
      </c>
      <c r="D116" s="4" t="n">
        <v>2.62</v>
      </c>
      <c r="E116" s="4" t="n">
        <v>11381.18</v>
      </c>
      <c r="F116">
        <f>C116-D116</f>
        <v/>
      </c>
      <c r="G116">
        <f>LN(B116/B115)</f>
        <v/>
      </c>
      <c r="H116">
        <f>D116-D115</f>
        <v/>
      </c>
      <c r="I116">
        <f>F116-F115</f>
        <v/>
      </c>
      <c r="J116">
        <f>LN(E116/E115)</f>
        <v/>
      </c>
    </row>
    <row r="117">
      <c r="A117" s="6" t="n">
        <v>46289</v>
      </c>
      <c r="B117" s="4" t="n">
        <v>3666</v>
      </c>
      <c r="C117" s="4" t="n">
        <v>6.04</v>
      </c>
      <c r="D117" s="4" t="n">
        <v>2.73</v>
      </c>
      <c r="E117" s="4" t="n">
        <v>11299.82</v>
      </c>
      <c r="F117">
        <f>C117-D117</f>
        <v/>
      </c>
      <c r="G117">
        <f>LN(B117/B116)</f>
        <v/>
      </c>
      <c r="H117">
        <f>D117-D116</f>
        <v/>
      </c>
      <c r="I117">
        <f>F117-F116</f>
        <v/>
      </c>
      <c r="J117">
        <f>LN(E117/E116)</f>
        <v/>
      </c>
    </row>
    <row r="118">
      <c r="A118" s="6" t="n">
        <v>46295</v>
      </c>
      <c r="B118" s="4" t="n">
        <v>3555</v>
      </c>
      <c r="C118" s="4" t="n">
        <v>6.25</v>
      </c>
      <c r="D118" s="4" t="n">
        <v>2.82</v>
      </c>
      <c r="E118" s="4" t="n">
        <v>10969.49</v>
      </c>
      <c r="F118">
        <f>C118-D118</f>
        <v/>
      </c>
      <c r="G118">
        <f>LN(B118/B117)</f>
        <v/>
      </c>
      <c r="H118">
        <f>D118-D117</f>
        <v/>
      </c>
      <c r="I118">
        <f>F118-F117</f>
        <v/>
      </c>
      <c r="J118">
        <f>LN(E118/E117)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2026-10-17T16:38:11Z</dcterms:created>
  <dcterms:modified xmlns:dcterms="http://purl.org/dc/terms/" xmlns:xsi="http://www.w3.org/2001/XMLSchema-instance" xsi:type="dcterms:W3CDTF">2026-10-17T16:38:11Z</dcterms:modified>
</cp:coreProperties>
</file>