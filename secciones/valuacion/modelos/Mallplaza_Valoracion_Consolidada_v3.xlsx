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mbios" sheetId="1" state="visible" r:id="rId3"/>
    <sheet name="Supuestos" sheetId="2" state="visible" r:id="rId4"/>
    <sheet name="WACC" sheetId="3" state="visible" r:id="rId5"/>
    <sheet name="Forecast_Base" sheetId="4" state="visible" r:id="rId6"/>
    <sheet name="Expansion" sheetId="5" state="visible" r:id="rId7"/>
    <sheet name="Capital_Trabajo" sheetId="6" state="visible" r:id="rId8"/>
    <sheet name="DCF" sheetId="7" state="visible" r:id="rId9"/>
    <sheet name="Deuda" sheetId="8" state="visible" r:id="rId10"/>
    <sheet name="APV" sheetId="9" state="visible" r:id="rId11"/>
    <sheet name="Sensibilidad" sheetId="10" state="visible" r:id="rId12"/>
    <sheet name="Comparables" sheetId="11" state="visible" r:id="rId13"/>
    <sheet name="Precio_Objetivo" sheetId="12" state="visible" r:id="rId14"/>
    <sheet name="Datos_BBG" sheetId="13" state="visible" r:id="rId15"/>
    <sheet name="Notas_Fuentes" sheetId="14" state="visible" r:id="rId16"/>
    <sheet name="TIR_Implicita" sheetId="15" state="visible" r:id="rId17"/>
    <sheet name="TIR_Accionista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<sst xmlns="http://schemas.openxmlformats.org/spreadsheetml/2006/main" count="1373" uniqueCount="824">
  <si>
    <t xml:space="preserve">Mallplaza (Plaza S.A.) — Valorización consolidada v2</t>
  </si>
  <si>
    <t xml:space="preserve">Resumen y cambios respecto de 'Mallplaza Valoracion Consolidada VF.xlsx'. Todas las cifras de esta hoja son vínculos vivos.</t>
  </si>
  <si>
    <t xml:space="preserve">Resultado</t>
  </si>
  <si>
    <t xml:space="preserve">Valor por acción DCF (CLP)</t>
  </si>
  <si>
    <t xml:space="preserve">Valor por acción por múltiplos — EV/EBITDA LTM (CLP)</t>
  </si>
  <si>
    <t xml:space="preserve">Precio objetivo 80% DCF / 20% múltiplos (CLP)</t>
  </si>
  <si>
    <t xml:space="preserve">Precio 30-09-2026 (CLP)</t>
  </si>
  <si>
    <t xml:space="preserve">Upside / (downside) del precio objetivo</t>
  </si>
  <si>
    <t xml:space="preserve">Valor por acción APV — chequeo (CLP)</t>
  </si>
  <si>
    <t xml:space="preserve">WACC nominal: 2S26E → terminal</t>
  </si>
  <si>
    <t xml:space="preserve">DFN/EBITDA: hoy → 2031</t>
  </si>
  <si>
    <t xml:space="preserve">Comparación con el VF</t>
  </si>
  <si>
    <t xml:space="preserve">Valor por acción DCF VF (CLP)</t>
  </si>
  <si>
    <t xml:space="preserve">Diferencia DCF v2 − VF (CLP)</t>
  </si>
  <si>
    <t xml:space="preserve">Precio objetivo VF (CLP)</t>
  </si>
  <si>
    <t xml:space="preserve">Qué cambió en v2</t>
  </si>
  <si>
    <t xml:space="preserve">1. Estructura de capital: parte en la DFN/EBITDA real de jun-26 (2,36x) y converge linealmente a 3,5x al cierre de 2031 (Supuestos C, editable). El valor terminal usa 3,5x.</t>
  </si>
  <si>
    <t xml:space="preserve">2. Deuda: la caja sobrante se registra como distribución adicional a accionistas (recompra o dividendo extra), de modo que la DFN sigue la trayectoria objetivo. En el VF la DFN bajaba a ~1,0x mientras la WACC suponía 3,5x.</t>
  </si>
  <si>
    <t xml:space="preserve">3. WACC por período: el D/E parte en la estructura actual del modelo original (19,98%) y converge a la objetivo (28,52%) en 2031; beta, Ke, Kd y WACC se recalculan cada año y el DCF descuenta con factores acumulados.</t>
  </si>
  <si>
    <t xml:space="preserve">4. Costo de la deuda: +25 pb de Kd real por cada vuelta de DFN/EBITDA sobre 2,36x (supuesto del equipo). Afecta la WACC y el costo financiero.</t>
  </si>
  <si>
    <t xml:space="preserve">5. Reajuste UF tratado como gasto deducible en la hoja Deuda (no cambia el EV).</t>
  </si>
  <si>
    <t xml:space="preserve">6. Nuevas hojas: APV (chequeo de consistencia) y Sensibilidad (WACC vs g con fórmulas vivas; objetivo de deuda vs spread).</t>
  </si>
  <si>
    <t xml:space="preserve">7. Todo el libro queda vinculado: betas y CRP → WACC; Capital_Trabajo → Supuestos; Expansion → DCF; Datos_BBG → Comparables → Precio_Objetivo.</t>
  </si>
  <si>
    <t xml:space="preserve">8. Sin cambios de supuestos: forecast operativo, expansión, capital de trabajo, g terminal, múltiplos y puente a patrimonio.</t>
  </si>
  <si>
    <t xml:space="preserve">Control: Supuestos C, switch = 0 → reproduce exactamente el VF (WACC 10,37% constante; CLP 1.880; precio objetivo CLP 2.095).</t>
  </si>
  <si>
    <t xml:space="preserve">NUEVO · v3: hojas TIR_Implicita (TIR de la firma, tasa única, Buscar objetivo) y TIR_Accionista (TIR de la firma, del accionista y por escenario, nominal y real, fórmulas vivas).</t>
  </si>
  <si>
    <t xml:space="preserve">NUEVO · v3: sin cambios en las demás hojas (valores idénticos a v2). El 7,57% de TIR_Implicita es una tasa única; el 7,56% de la Figura 34/V6 desplaza en paralelo la WACC de cada período.</t>
  </si>
  <si>
    <t xml:space="preserve">Supuestos — modelo consolidado de valoración Mallplaza (Plaza S.A.) · v2</t>
  </si>
  <si>
    <t xml:space="preserve">Única hoja de inputs. Azul = dato ingresado · negro = fórmula · verde = vínculo a otra hoja · fondo amarillo = supuesto clave del equipo. MM CLP salvo indicación. Tags: [R] reportado · [P] consenso/forecast · [C] cálculo · [S] supuesto del equipo.</t>
  </si>
  <si>
    <t xml:space="preserve">Concepto</t>
  </si>
  <si>
    <t xml:space="preserve">Valor</t>
  </si>
  <si>
    <t xml:space="preserve">Unidad</t>
  </si>
  <si>
    <t xml:space="preserve">Tag</t>
  </si>
  <si>
    <t xml:space="preserve">Fuente / comentario</t>
  </si>
  <si>
    <t xml:space="preserve">A. General y puente a patrimonio</t>
  </si>
  <si>
    <t xml:space="preserve">Fecha de valorización</t>
  </si>
  <si>
    <t xml:space="preserve">30-06-2026</t>
  </si>
  <si>
    <t xml:space="preserve">fecha</t>
  </si>
  <si>
    <t xml:space="preserve">S</t>
  </si>
  <si>
    <t xml:space="preserve">Coincide con la última DFN y minoritarios reportados (Release 2Q26).</t>
  </si>
  <si>
    <t xml:space="preserve">Precio de referencia</t>
  </si>
  <si>
    <t xml:space="preserve">CLP</t>
  </si>
  <si>
    <t xml:space="preserve">R</t>
  </si>
  <si>
    <t xml:space="preserve">Bloomberg PX_LAST al 30-09-2026 (Datos_BBG).</t>
  </si>
  <si>
    <t xml:space="preserve">Acciones en circulación</t>
  </si>
  <si>
    <t xml:space="preserve">MM</t>
  </si>
  <si>
    <t xml:space="preserve">Bloomberg: market cap / precio (Datos_BBG).</t>
  </si>
  <si>
    <t xml:space="preserve">Deuda financiera neta 30-06-2026 (definición compañía)</t>
  </si>
  <si>
    <t xml:space="preserve">MM CLP</t>
  </si>
  <si>
    <t xml:space="preserve">Release 2Q26 / Análisis Razonado 1S26.</t>
  </si>
  <si>
    <t xml:space="preserve">Participaciones no controladoras (libro) 30-06-2026</t>
  </si>
  <si>
    <t xml:space="preserve">Release 2Q26. Libro como proxy del valor de mercado [S].</t>
  </si>
  <si>
    <t xml:space="preserve">Caja y equivalentes 30-06-2026</t>
  </si>
  <si>
    <t xml:space="preserve">Release 2Q26. Se mantiene constante para pasar de DFN a deuda bruta.</t>
  </si>
  <si>
    <t xml:space="preserve">EBITDA LTM 2T26 (definición compañía)</t>
  </si>
  <si>
    <t xml:space="preserve">Release 2Q26, p. 29.</t>
  </si>
  <si>
    <t xml:space="preserve">Deuda neta Mallplaza para múltiplos (BBG NET_DEBT)</t>
  </si>
  <si>
    <t xml:space="preserve">Misma definición que los pares (Bloomberg), solo para el método de múltiplos.</t>
  </si>
  <si>
    <t xml:space="preserve">B. WACC (fórmulas en hoja WACC)</t>
  </si>
  <si>
    <t xml:space="preserve">Rf — bono del Tesoro de EE.UU.</t>
  </si>
  <si>
    <t xml:space="preserve">%</t>
  </si>
  <si>
    <t xml:space="preserve">Tasa_WACC.xlsm, FFCF!C11.</t>
  </si>
  <si>
    <t xml:space="preserve">Rf — tasa "Chile" del archivo original</t>
  </si>
  <si>
    <t xml:space="preserve">Tasa_WACC.xlsm, FFCF!E11. Si ya incluye riesgo Chile, el CRP se contaría dos veces.</t>
  </si>
  <si>
    <t xml:space="preserve">Rf usada en el Ke (1 = "Chile" · 2 = EE.UU.)</t>
  </si>
  <si>
    <t xml:space="preserve">switch</t>
  </si>
  <si>
    <t xml:space="preserve">Rf = bono de EE.UU.; el CRP se suma aparte (sin doble conteo).</t>
  </si>
  <si>
    <t xml:space="preserve">Inflación de largo plazo EE.UU. (breakeven 10Y, jun-26)</t>
  </si>
  <si>
    <t xml:space="preserve">Bloomberg USGG10YR − USGGT10Y al 30-06-2026.</t>
  </si>
  <si>
    <t xml:space="preserve">Convertir el Ke en USD a CLP con el diferencial de inflación (1 = sí)</t>
  </si>
  <si>
    <t xml:space="preserve">Ke CLP = (1 + Ke USD) × (1 + inflación Chile) / (1 + inflación EE.UU.) − 1.</t>
  </si>
  <si>
    <t xml:space="preserve">Prima por riesgo de mercado (ERP)</t>
  </si>
  <si>
    <t xml:space="preserve">Damodaran (Tasa_WACC.xlsm, FFCF!B73).</t>
  </si>
  <si>
    <t xml:space="preserve">CRP Chile</t>
  </si>
  <si>
    <t xml:space="preserve">Tasa_WACC.xlsm, FFCF!C79.</t>
  </si>
  <si>
    <t xml:space="preserve">CRP Perú</t>
  </si>
  <si>
    <t xml:space="preserve">Tasa_WACC.xlsm, FFCF!C80.</t>
  </si>
  <si>
    <t xml:space="preserve">CRP Colombia</t>
  </si>
  <si>
    <t xml:space="preserve">Tasa_WACC.xlsm, FFCF!C81.</t>
  </si>
  <si>
    <t xml:space="preserve">Ingresos LTM consolidados (ponderador CRP)</t>
  </si>
  <si>
    <t xml:space="preserve">Tasa_WACC.xlsm, FFCF!C83.</t>
  </si>
  <si>
    <t xml:space="preserve">Ingresos LTM Chile</t>
  </si>
  <si>
    <t xml:space="preserve">Tasa_WACC.xlsm, FFCF!C86.</t>
  </si>
  <si>
    <t xml:space="preserve">Ingresos LTM Perú</t>
  </si>
  <si>
    <t xml:space="preserve">miles PEN</t>
  </si>
  <si>
    <t xml:space="preserve">Tasa_WACC.xlsm, FFCF!C90.</t>
  </si>
  <si>
    <t xml:space="preserve">Ingresos LTM Colombia</t>
  </si>
  <si>
    <t xml:space="preserve">MM COP</t>
  </si>
  <si>
    <t xml:space="preserve">Tasa_WACC.xlsm, FFCF!C93.</t>
  </si>
  <si>
    <t xml:space="preserve">USDCLP (ponderador CRP)</t>
  </si>
  <si>
    <t xml:space="preserve">CLP/USD</t>
  </si>
  <si>
    <t xml:space="preserve">Tasa_WACC.xlsm, FFCF!C87.</t>
  </si>
  <si>
    <t xml:space="preserve">USDPEN (ponderador CRP)</t>
  </si>
  <si>
    <t xml:space="preserve">PEN/USD</t>
  </si>
  <si>
    <t xml:space="preserve">Tasa_WACC.xlsm, FFCF!C91.</t>
  </si>
  <si>
    <t xml:space="preserve">USDCOP (ponderador CRP)</t>
  </si>
  <si>
    <t xml:space="preserve">COP/USD</t>
  </si>
  <si>
    <t xml:space="preserve">Tasa_WACC.xlsm, FFCF!C94.</t>
  </si>
  <si>
    <t xml:space="preserve">Kd real — cupón última emisión en UF (nivel de apalancamiento actual)</t>
  </si>
  <si>
    <t xml:space="preserve">Tasa_WACC.xlsm, FFCF!B115. Tasa REAL (UF): se pasa a nominal con la inflación LP.</t>
  </si>
  <si>
    <t xml:space="preserve">Inflación de largo plazo Chile</t>
  </si>
  <si>
    <t xml:space="preserve">Meta BCCh. Se usa para Kd nominal, conversión del Ke y crecimiento terminal real.</t>
  </si>
  <si>
    <t xml:space="preserve">Tasa de impuesto Chile (escudo de la deuda y re-apalancamiento)</t>
  </si>
  <si>
    <t xml:space="preserve">Ley de Impuesto a la Renta. La deuda está emitida en Chile (79% en UF).</t>
  </si>
  <si>
    <t xml:space="preserve">Deuda financiera bruta Mallplaza (estructura actual)</t>
  </si>
  <si>
    <t xml:space="preserve">Tasa_WACC.xlsm, FFCF!G23:G24.</t>
  </si>
  <si>
    <t xml:space="preserve">Market cap Mallplaza (estructura de la WACC)</t>
  </si>
  <si>
    <t xml:space="preserve">Tasa_WACC.xlsm, FFCF!G26.</t>
  </si>
  <si>
    <t xml:space="preserve">C. Política de deuda (v2: estructura actual → objetivo de largo plazo)</t>
  </si>
  <si>
    <t xml:space="preserve">Política de deuda (1 = convergencia al objetivo · 0 = WACC constante del VF)</t>
  </si>
  <si>
    <t xml:space="preserve">Con 0 se reproduce el DCF VF: 3,5x desde hoy, WACC 10,37% constante, CLP 1.880.</t>
  </si>
  <si>
    <t xml:space="preserve">DFN / EBITDA inicial (30-06-2026)</t>
  </si>
  <si>
    <t xml:space="preserve">x</t>
  </si>
  <si>
    <t xml:space="preserve">C</t>
  </si>
  <si>
    <t xml:space="preserve">DFN / EBITDA LTM.</t>
  </si>
  <si>
    <t xml:space="preserve">DFN / EBITDA objetivo de largo plazo</t>
  </si>
  <si>
    <t xml:space="preserve">La compañía usa su capacidad de deuda para crecer. Referencias: 3,78x dic-24 (post Open Plaza Perú); Parque Arauco 5,7x; Cencosud Shopping 2,1x.</t>
  </si>
  <si>
    <t xml:space="preserve">Año en que se alcanza el objetivo (al 31-dic)</t>
  </si>
  <si>
    <t xml:space="preserve">año</t>
  </si>
  <si>
    <t xml:space="preserve">Convergencia lineal desde el nivel inicial; el valor terminal usa el objetivo.</t>
  </si>
  <si>
    <t xml:space="preserve">Horizonte de convergencia</t>
  </si>
  <si>
    <t xml:space="preserve">años</t>
  </si>
  <si>
    <t xml:space="preserve">Años entre el 30-06-2026 y el 31-dic del año objetivo.</t>
  </si>
  <si>
    <t xml:space="preserve">Aumento del Kd real por cada 1,0x de DFN/EBITDA sobre el nivel inicial</t>
  </si>
  <si>
    <t xml:space="preserve">Más deuda → menor clasificación y mayor spread. Calibrar con spreads de bonos corporativos UF por clasificación. Afecta la WACC y el costo financiero de la hoja Deuda.</t>
  </si>
  <si>
    <t xml:space="preserve">Costo financiero neto / DFN de apertura (sin reajuste UF), nivel inicial</t>
  </si>
  <si>
    <t xml:space="preserve">Exhibits v6: 1S26 anualizado.</t>
  </si>
  <si>
    <t xml:space="preserve">Deuda en UF / deuda total</t>
  </si>
  <si>
    <t xml:space="preserve">Release 2Q26.</t>
  </si>
  <si>
    <t xml:space="preserve">Payout sobre utilidad distribuible</t>
  </si>
  <si>
    <t xml:space="preserve">Política de dividendos (EEFF dic-25, Nota 20e).</t>
  </si>
  <si>
    <t xml:space="preserve">Dividendos 2026E totales</t>
  </si>
  <si>
    <t xml:space="preserve">P</t>
  </si>
  <si>
    <t xml:space="preserve">Exhibits v6 (40% × distribuible 2025).</t>
  </si>
  <si>
    <t xml:space="preserve">Dividendos pagados 1S26</t>
  </si>
  <si>
    <t xml:space="preserve">EEFF jun-26, flujos.</t>
  </si>
  <si>
    <t xml:space="preserve">Utilidad distribuible 2026E (año completo)</t>
  </si>
  <si>
    <t xml:space="preserve">Exhibits v6.</t>
  </si>
  <si>
    <t xml:space="preserve">D. Forecast base (motor operativo, Exhibits v6)</t>
  </si>
  <si>
    <t xml:space="preserve">Ingresos 1S26 real</t>
  </si>
  <si>
    <t xml:space="preserve">Release 2Q26, p. 31.</t>
  </si>
  <si>
    <t xml:space="preserve">EBITDA 1S26 real usado para aislar el 2S26</t>
  </si>
  <si>
    <t xml:space="preserve">Release informa 270.573 (p. 8): diferencia de redondeo.</t>
  </si>
  <si>
    <t xml:space="preserve">Ingresos 2025A</t>
  </si>
  <si>
    <t xml:space="preserve">EEFF dic-25.</t>
  </si>
  <si>
    <t xml:space="preserve">D&amp;A / ingresos</t>
  </si>
  <si>
    <t xml:space="preserve">D&amp;A LTM / ingresos LTM (Exhibits v6).</t>
  </si>
  <si>
    <t xml:space="preserve">Capex de mantención + TI / ingresos</t>
  </si>
  <si>
    <t xml:space="preserve">Entre 2024 (~4,8%) y UDM 2T26 (~6,6%).</t>
  </si>
  <si>
    <t xml:space="preserve">Tasa de impuesto operacional de largo plazo</t>
  </si>
  <si>
    <t xml:space="preserve">Trayectoria 16,8% → 27%; 27% desde 2030.</t>
  </si>
  <si>
    <t xml:space="preserve">E. Expansión continua post-pipeline</t>
  </si>
  <si>
    <t xml:space="preserve">Incluir expansión continua (1 = sí)</t>
  </si>
  <si>
    <t xml:space="preserve">La compañía sigue expandiendo GLA después de 2028 a un ritmo parecido al histórico.</t>
  </si>
  <si>
    <t xml:space="preserve">GLA orgánico agregado 2022</t>
  </si>
  <si>
    <t xml:space="preserve">m²</t>
  </si>
  <si>
    <t xml:space="preserve">GLA orgánico agregado 2023</t>
  </si>
  <si>
    <t xml:space="preserve">GLA orgánico agregado 2025</t>
  </si>
  <si>
    <t xml:space="preserve">Release 2Q26, p. 29. Se excluye 2024 (413.628 m², incluye compra de Open Plaza Perú).</t>
  </si>
  <si>
    <t xml:space="preserve">GLA nuevo por año desde la primera apertura</t>
  </si>
  <si>
    <t xml:space="preserve">Promedio 2022, 2023 y 2025. El pipeline 2026–2028 promedia ~41.000 m²/año.</t>
  </si>
  <si>
    <t xml:space="preserve">Primer año de apertura de la expansión genérica</t>
  </si>
  <si>
    <t xml:space="preserve">El pipeline informado termina en 2028 (Release 2Q26, p. 13).</t>
  </si>
  <si>
    <t xml:space="preserve">Capex desembolsado 2 años antes de abrir</t>
  </si>
  <si>
    <t xml:space="preserve">50% en t−2 y 50% en t−1. Ingresos desde el año de apertura.</t>
  </si>
  <si>
    <t xml:space="preserve">Inversión total pipeline en curso</t>
  </si>
  <si>
    <t xml:space="preserve">MMUSD</t>
  </si>
  <si>
    <t xml:space="preserve">Release 2Q26, p. 13.</t>
  </si>
  <si>
    <t xml:space="preserve">m² del pipeline en curso</t>
  </si>
  <si>
    <t xml:space="preserve">Costo por m² de expansión</t>
  </si>
  <si>
    <t xml:space="preserve">USD/m²</t>
  </si>
  <si>
    <t xml:space="preserve">Inversión total / m² del pipeline.</t>
  </si>
  <si>
    <t xml:space="preserve">USDCLP para convertir el costo (2026)</t>
  </si>
  <si>
    <t xml:space="preserve">Forecast v6 (consenso ECFC).</t>
  </si>
  <si>
    <t xml:space="preserve">m² del pipeline en Chile</t>
  </si>
  <si>
    <t xml:space="preserve">Release 2Q26, p. 13: Trébol, Oeste, Norte, La Serena.</t>
  </si>
  <si>
    <t xml:space="preserve">m² del pipeline en Perú</t>
  </si>
  <si>
    <t xml:space="preserve">Release 2Q26, p. 13: Trujillo, Piura, La Marina, Angamos.</t>
  </si>
  <si>
    <t xml:space="preserve">Mix de la expansión en Chile</t>
  </si>
  <si>
    <t xml:space="preserve">Replica el mix país del pipeline actual; el resto va a Perú.</t>
  </si>
  <si>
    <t xml:space="preserve">Margen EBITDA Chile</t>
  </si>
  <si>
    <t xml:space="preserve">Forecast v6.</t>
  </si>
  <si>
    <t xml:space="preserve">Margen EBITDA Perú</t>
  </si>
  <si>
    <t xml:space="preserve">Factor de ingreso: año de apertura</t>
  </si>
  <si>
    <t xml:space="preserve">Apertura a mitad de año × 70% de productividad.</t>
  </si>
  <si>
    <t xml:space="preserve">Factor de ingreso: segundo año</t>
  </si>
  <si>
    <t xml:space="preserve">Factor de ingreso: tercer año en adelante</t>
  </si>
  <si>
    <t xml:space="preserve">Yield on cost (EBITDA maduro / inversión) — dejar vacío para usar el derivado</t>
  </si>
  <si>
    <t xml:space="preserve">Si el equipo tiene la guía de retorno de proyectos, ingresarla aquí.</t>
  </si>
  <si>
    <t xml:space="preserve">F. Capital de trabajo</t>
  </si>
  <si>
    <t xml:space="preserve">Incluir variación de capital de trabajo (1 = sí)</t>
  </si>
  <si>
    <t xml:space="preserve">Ver hoja Capital_Trabajo.</t>
  </si>
  <si>
    <t xml:space="preserve">Capital de trabajo neto / ingresos (dic-25, constante)</t>
  </si>
  <si>
    <t xml:space="preserve">Hoja Capital_Trabajo.</t>
  </si>
  <si>
    <t xml:space="preserve">G. Valor terminal</t>
  </si>
  <si>
    <t xml:space="preserve">Crecimiento terminal nominal (g)</t>
  </si>
  <si>
    <t xml:space="preserve">Igual a la inflación LP (0% real). Con RONIC &lt; WACC real, crecer resta valor.</t>
  </si>
  <si>
    <t xml:space="preserve">Crecimiento terminal real implícito</t>
  </si>
  <si>
    <t xml:space="preserve">Solo el crecimiento real exige reinversión.</t>
  </si>
  <si>
    <t xml:space="preserve">H. Precio objetivo y múltiplos</t>
  </si>
  <si>
    <t xml:space="preserve">Peso del DCF en el precio objetivo</t>
  </si>
  <si>
    <t xml:space="preserve">80% DCF / 20% múltiplos.</t>
  </si>
  <si>
    <t xml:space="preserve">Peso de los comparables chilenos en el múltiplo</t>
  </si>
  <si>
    <t xml:space="preserve">70% mediana Chile + 30% mediana del set común.</t>
  </si>
  <si>
    <t xml:space="preserve">Umbral 'no significativo' (múltiplo mayor a → NM)</t>
  </si>
  <si>
    <t xml:space="preserve">Archivo de comparables.</t>
  </si>
  <si>
    <t xml:space="preserve">I. Tipos de cambio para comparables (30-06-2026)</t>
  </si>
  <si>
    <t xml:space="preserve">USD por USD</t>
  </si>
  <si>
    <t xml:space="preserve">—</t>
  </si>
  <si>
    <t xml:space="preserve">BRL por USD</t>
  </si>
  <si>
    <t xml:space="preserve">BRL</t>
  </si>
  <si>
    <t xml:space="preserve">Cierre 30-jun-2026.</t>
  </si>
  <si>
    <t xml:space="preserve">MXN por USD</t>
  </si>
  <si>
    <t xml:space="preserve">MXN</t>
  </si>
  <si>
    <t xml:space="preserve">Banxico, cierre 30-jun-2026.</t>
  </si>
  <si>
    <t xml:space="preserve">ARS por USD</t>
  </si>
  <si>
    <t xml:space="preserve">ARS</t>
  </si>
  <si>
    <t xml:space="preserve">Oficial mayorista, cierre 30-jun-2026.</t>
  </si>
  <si>
    <t xml:space="preserve">CLP por CLP</t>
  </si>
  <si>
    <t xml:space="preserve">CLP por USD</t>
  </si>
  <si>
    <t xml:space="preserve">Dólar observado BCCh 30-jun-2026.</t>
  </si>
  <si>
    <t xml:space="preserve">CLP por BRL</t>
  </si>
  <si>
    <t xml:space="preserve">CLP por MXN</t>
  </si>
  <si>
    <t xml:space="preserve">CLP por ARS</t>
  </si>
  <si>
    <t xml:space="preserve">J. Referencias de control (modelo VF)</t>
  </si>
  <si>
    <t xml:space="preserve">Valor por acción DCF VF</t>
  </si>
  <si>
    <t xml:space="preserve">DCF VF. El switch de la sección C en 0 debe reproducirlo.</t>
  </si>
  <si>
    <t xml:space="preserve">WACC nominal VF (constante)</t>
  </si>
  <si>
    <t xml:space="preserve">Hoja WACC del VF.</t>
  </si>
  <si>
    <t xml:space="preserve">Precio objetivo VF</t>
  </si>
  <si>
    <t xml:space="preserve">Hoja Precio_Objetivo del VF.</t>
  </si>
  <si>
    <t xml:space="preserve">WACC nominal en CLP por período — misma lógica que Tasa_WACC.xlsm (FFCF) con correcciones</t>
  </si>
  <si>
    <t xml:space="preserve">Correcciones del VF: (1) Kd real UF pasado a nominal; (2) escudo fiscal (1 − t); (3) set de pares = coincidencia betas–comparables. v2: la estructura de capital, la beta y el Kd cambian cada período según la hoja Deuda.</t>
  </si>
  <si>
    <t xml:space="preserve">A. Betas de los pares</t>
  </si>
  <si>
    <t xml:space="preserve">Empresa</t>
  </si>
  <si>
    <t xml:space="preserve">Ticker BBG</t>
  </si>
  <si>
    <t xml:space="preserve">País</t>
  </si>
  <si>
    <t xml:space="preserve">Beta apalancada</t>
  </si>
  <si>
    <t xml:space="preserve">Deuda</t>
  </si>
  <si>
    <t xml:space="preserve">Market cap</t>
  </si>
  <si>
    <t xml:space="preserve">Impuesto</t>
  </si>
  <si>
    <t xml:space="preserve">Beta desapalancada</t>
  </si>
  <si>
    <t xml:space="preserve">En set común (1/0)</t>
  </si>
  <si>
    <t xml:space="preserve">Beta incluida</t>
  </si>
  <si>
    <t xml:space="preserve">Parque Arauco</t>
  </si>
  <si>
    <t xml:space="preserve">PARAUCO CI</t>
  </si>
  <si>
    <t xml:space="preserve">Chile</t>
  </si>
  <si>
    <t xml:space="preserve">Cencosud Shopping</t>
  </si>
  <si>
    <t xml:space="preserve">CENCOMAL CI</t>
  </si>
  <si>
    <t xml:space="preserve">Allos</t>
  </si>
  <si>
    <t xml:space="preserve">ALOS3 BZ</t>
  </si>
  <si>
    <t xml:space="preserve">Brasil</t>
  </si>
  <si>
    <t xml:space="preserve">Iguatemi</t>
  </si>
  <si>
    <t xml:space="preserve">IGTI11 BZ</t>
  </si>
  <si>
    <t xml:space="preserve">Costa Verde</t>
  </si>
  <si>
    <t xml:space="preserve">n/d (no está en comparables)</t>
  </si>
  <si>
    <t xml:space="preserve">México</t>
  </si>
  <si>
    <t xml:space="preserve">IRSA</t>
  </si>
  <si>
    <t xml:space="preserve">IRSA AR</t>
  </si>
  <si>
    <t xml:space="preserve">Argentina</t>
  </si>
  <si>
    <t xml:space="preserve">Multiplan</t>
  </si>
  <si>
    <t xml:space="preserve">MULT3 BZ</t>
  </si>
  <si>
    <t xml:space="preserve">Beta desapalancada: mediana del set común</t>
  </si>
  <si>
    <t xml:space="preserve">B. Riesgo país ponderado por ingresos</t>
  </si>
  <si>
    <t xml:space="preserve">Ponderación Chile (ingresos)</t>
  </si>
  <si>
    <t xml:space="preserve">Ingresos Perú en MM CLP</t>
  </si>
  <si>
    <t xml:space="preserve">Ingresos Colombia en MM CLP</t>
  </si>
  <si>
    <t xml:space="preserve">Ponderación Perú</t>
  </si>
  <si>
    <t xml:space="preserve">Ponderación Colombia</t>
  </si>
  <si>
    <t xml:space="preserve">CRP ponderado Mallplaza</t>
  </si>
  <si>
    <t xml:space="preserve">Rf usada</t>
  </si>
  <si>
    <t xml:space="preserve">C. Estructura de capital original del modelo (extremos de la convergencia)</t>
  </si>
  <si>
    <t xml:space="preserve">Deuda bruta actual / market cap = D/E actual (punto de partida)</t>
  </si>
  <si>
    <t xml:space="preserve">Estructura actual calculada en el modelo original (Tasa_WACC.xlsm, FFCF!G23:G26): 1.579.315 / 7.905.900.</t>
  </si>
  <si>
    <t xml:space="preserve">Deuda objetivo = DFN/EBITDA objetivo × EBITDA LTM + caja</t>
  </si>
  <si>
    <t xml:space="preserve">D/E objetivo (punto de llegada, valor terminal)</t>
  </si>
  <si>
    <t xml:space="preserve">Estructura objetivo calculada en el modelo original (3,5x): 28,52%.</t>
  </si>
  <si>
    <t xml:space="preserve">Control: Ke del archivo original (Rf "Chile", estructura actual, sin conversión)</t>
  </si>
  <si>
    <t xml:space="preserve">Debe dar 11,31% (Tasa_WACC.xlsm, FFCF!B112).</t>
  </si>
  <si>
    <t xml:space="preserve">D. WACC por período (D/E converge linealmente de la estructura actual a la objetivo)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</si>
  <si>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</si>
  <si>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</si>
  <si>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</si>
  <si>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</si>
  <si>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</si>
  <si>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</si>
  <si>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</si>
  <si>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DFN / EBITDA (cierre del período)</t>
  </si>
  <si>
    <t xml:space="preserve">Años desde 30-06-2026 al cierre del período</t>
  </si>
  <si>
    <t xml:space="preserve">D/E usado</t>
  </si>
  <si>
    <t xml:space="preserve">Convergencia lineal desde el D/E actual (19,98%) hasta el objetivo (28,52%) en el año objetivo de Supuestos C; el terminal usa el objetivo. Switch 0: objetivo desde hoy (VF).</t>
  </si>
  <si>
    <t xml:space="preserve">D/V</t>
  </si>
  <si>
    <t xml:space="preserve">E/V</t>
  </si>
  <si>
    <t xml:space="preserve">Beta re-apalancada</t>
  </si>
  <si>
    <t xml:space="preserve">Ke antes de conversión = Rf + β × ERP + CRP</t>
  </si>
  <si>
    <t xml:space="preserve">Ke nominal CLP</t>
  </si>
  <si>
    <t xml:space="preserve">Con Rf de EE.UU. el Ke queda en USD y se pasa a CLP por diferencial de inflación.</t>
  </si>
  <si>
    <t xml:space="preserve">Kd real (UF) con spread por apalancamiento</t>
  </si>
  <si>
    <t xml:space="preserve">Kd nominal CLP = (1 + Kd real)(1 + inflación) − 1</t>
  </si>
  <si>
    <t xml:space="preserve">Kd nominal después de impuestos</t>
  </si>
  <si>
    <t xml:space="preserve">WACC nominal CLP</t>
  </si>
  <si>
    <t xml:space="preserve">WACC real implícita</t>
  </si>
  <si>
    <t xml:space="preserve">Referencia: WACC constante del VF</t>
  </si>
  <si>
    <t xml:space="preserve">Con el switch de política de deuda en 0, todas las columnas deben dar este valor.</t>
  </si>
  <si>
    <t xml:space="preserve">Referencia: WACC real tasación Nota 11 Chile jun-26</t>
  </si>
  <si>
    <t xml:space="preserve">Punto medio del rango de la Nota 11 (Exhibits v6, E7).</t>
  </si>
  <si>
    <t xml:space="preserve">Forecast base — motor operativo (Mallplaza_FA_Exhibits_v6.xlsx), 2S26E–2031E</t>
  </si>
  <si>
    <t xml:space="preserve">Cifras del forecast del equipo en azul, basadas en el pipeline anunciado hasta 2028. Sin la expansión post-2028 (hoja Expansion).</t>
  </si>
  <si>
    <t xml:space="preserve">Fuente / supuesto</t>
  </si>
  <si>
    <t xml:space="preserve">Ingresos año calendario (2026E = año completo)</t>
  </si>
  <si>
    <t xml:space="preserve">Exhibits v6, Forecast fila "Ingresos ordinarios consolidados".</t>
  </si>
  <si>
    <t xml:space="preserve">Ingresos del período (2S26E = 2026E − 1S26 real)</t>
  </si>
  <si>
    <t xml:space="preserve">EBITDA año calendario</t>
  </si>
  <si>
    <t xml:space="preserve">Exhibits v6, Forecast bloque E.</t>
  </si>
  <si>
    <t xml:space="preserve">EBITDA del período</t>
  </si>
  <si>
    <t xml:space="preserve">Margen EBITDA</t>
  </si>
  <si>
    <t xml:space="preserve">D&amp;A</t>
  </si>
  <si>
    <t xml:space="preserve">D&amp;A / ingresos LTM × ingresos.</t>
  </si>
  <si>
    <t xml:space="preserve">Tasa de impuesto operacional en caja</t>
  </si>
  <si>
    <t xml:space="preserve">Exhibits v6: impuesto corriente / (EBITDA − costo financiero), 16,8% → 27%.</t>
  </si>
  <si>
    <t xml:space="preserve">Capex de proyectos en curso (MMUSD)</t>
  </si>
  <si>
    <t xml:space="preserve">Release 2Q26, pp. 12–14: remanente por proyecto repartido hasta su apertura.</t>
  </si>
  <si>
    <t xml:space="preserve">USDCLP promedio</t>
  </si>
  <si>
    <t xml:space="preserve">2S26E promedio del semestre; 2027+ consenso ECFC; 2029+ constante.</t>
  </si>
  <si>
    <t xml:space="preserve">Capex de proyectos en curso (MM CLP)</t>
  </si>
  <si>
    <t xml:space="preserve">Capex de mantención + TI</t>
  </si>
  <si>
    <t xml:space="preserve">5,5% de ingresos (2S26E: medio año de 2026E).</t>
  </si>
  <si>
    <t xml:space="preserve">Capex base total</t>
  </si>
  <si>
    <t xml:space="preserve">Sin la expansión post-pipeline (hoja Expansion).</t>
  </si>
  <si>
    <t xml:space="preserve">Ingreso anual por m² Chile (CLP)</t>
  </si>
  <si>
    <t xml:space="preserve">Exhibits v6, Forecast bloque D, Chile. Se aplica al GLA nuevo.</t>
  </si>
  <si>
    <t xml:space="preserve">Ingreso anual por m² Perú (PEN)</t>
  </si>
  <si>
    <t xml:space="preserve">Exhibits v6, Forecast bloque D, Perú.</t>
  </si>
  <si>
    <t xml:space="preserve">CLP por PEN (promedio)</t>
  </si>
  <si>
    <t xml:space="preserve">Exhibits v6, Forecast bloque A.</t>
  </si>
  <si>
    <t xml:space="preserve">Expansión continua post-pipeline — capex con 2 años de construcción y rampa de ingresos</t>
  </si>
  <si>
    <t xml:space="preserve">Cada cohorte abre GLA nuevo al ritmo histórico. El capex se gasta en los 2 años previos a la apertura y los ingresos parten en el año de apertura con la rampa 35% / 90% / 100%. Se apaga con Supuestos E.</t>
  </si>
  <si>
    <t xml:space="preserve">Año del período</t>
  </si>
  <si>
    <t xml:space="preserve">Año (número)</t>
  </si>
  <si>
    <t xml:space="preserve">Índice de costo (IPC Chile, 2026 = 1)</t>
  </si>
  <si>
    <t xml:space="preserve">Costo por m² (MM CLP)</t>
  </si>
  <si>
    <t xml:space="preserve">Costo del pipeline (USD/m²) × USDCLP 2026, indexado a IPC (obras en UF).</t>
  </si>
  <si>
    <t xml:space="preserve">Ingreso por m² de la expansión (CLP, mix Chile/Perú)</t>
  </si>
  <si>
    <t xml:space="preserve">Margen EBITDA de la expansión</t>
  </si>
  <si>
    <t xml:space="preserve">A. m² que abre cada cohorte</t>
  </si>
  <si>
    <t xml:space="preserve">Las cohortes que abren después de 2031 tienen su capex dentro del horizonte: sostienen el valor terminal.</t>
  </si>
  <si>
    <t xml:space="preserve">B. Capex por cohorte (MM CLP)</t>
  </si>
  <si>
    <t xml:space="preserve">Total</t>
  </si>
  <si>
    <t xml:space="preserve">C. Ingresos por cohorte (MM CLP)</t>
  </si>
  <si>
    <t xml:space="preserve">EBITDA de la expansión</t>
  </si>
  <si>
    <t xml:space="preserve">D. Retorno de la expansión (alimenta el valor terminal)</t>
  </si>
  <si>
    <t xml:space="preserve">Yield on cost derivado (EBITDA maduro por m² / costo por m², 2026)</t>
  </si>
  <si>
    <t xml:space="preserve">Misma productividad que el forecast asume para el pipeline actual. El ingreso se indexa a inflación: es un yield real.</t>
  </si>
  <si>
    <t xml:space="preserve">Yield on cost usado</t>
  </si>
  <si>
    <t xml:space="preserve">RONIC real después de impuestos = yield × (1 − t)</t>
  </si>
  <si>
    <t xml:space="preserve">Comparar con la WACC real (hoja WACC): si el RONIC es menor, crecer destruye valor.</t>
  </si>
  <si>
    <t xml:space="preserve">Ajuste de productividad de la expansión = yield usado / derivado</t>
  </si>
  <si>
    <t xml:space="preserve">Multiplica los ingresos de la expansión.</t>
  </si>
  <si>
    <t xml:space="preserve">Capital de trabajo — saldos de los EEFF y supuesto del modelo</t>
  </si>
  <si>
    <t xml:space="preserve">A. Saldos de balance operativos (MM CLP; EEFF consolidados Plaza S.A. y Filiales)</t>
  </si>
  <si>
    <t xml:space="preserve">Cuenta</t>
  </si>
  <si>
    <t xml:space="preserve">dic-23</t>
  </si>
  <si>
    <t xml:space="preserve">dic-24</t>
  </si>
  <si>
    <t xml:space="preserve">dic-25</t>
  </si>
  <si>
    <t xml:space="preserve">mar-26</t>
  </si>
  <si>
    <t xml:space="preserve">Fuente</t>
  </si>
  <si>
    <t xml:space="preserve">(+) Deudores comerciales y otras cuentas por cobrar corrientes</t>
  </si>
  <si>
    <t xml:space="preserve">dic-23: EEFF mar-24, p. 3 · dic-24: EEFF jun-25, p. 3 · dic-25 y mar-26: EEFF mar-26, p. 3 (M$ / 1.000).</t>
  </si>
  <si>
    <t xml:space="preserve">(+) Cuentas por cobrar a entidades relacionadas corrientes</t>
  </si>
  <si>
    <t xml:space="preserve">Arriendos por cobrar a tiendas del grupo controlador: operativo.</t>
  </si>
  <si>
    <t xml:space="preserve">Cuentas por pagar comerciales y otras cuentas por pagar (total)</t>
  </si>
  <si>
    <t xml:space="preserve">Incluye la provisión del dividendo mínimo (Nota 2.25), que es financiamiento y se excluye.</t>
  </si>
  <si>
    <t xml:space="preserve">    menos: dividendo mínimo provisionado estimado (30% × utilidad distribuible)</t>
  </si>
  <si>
    <t xml:space="preserve">Nota 2.25. Supone sin dividendos provisorios.</t>
  </si>
  <si>
    <t xml:space="preserve">(−) Cuentas por pagar comerciales operativas (sin dividendos)</t>
  </si>
  <si>
    <t xml:space="preserve">(−) Cuentas por pagar a entidades relacionadas corrientes</t>
  </si>
  <si>
    <t xml:space="preserve">(−) Otros pasivos no financieros corrientes</t>
  </si>
  <si>
    <t xml:space="preserve">Principalmente arriendos cobrados por anticipado y garantías: operativo.</t>
  </si>
  <si>
    <t xml:space="preserve">Ingresos del año</t>
  </si>
  <si>
    <t xml:space="preserve">Exhibits v6, Inputs.</t>
  </si>
  <si>
    <t xml:space="preserve">Excluidos: caja, deuda financiera y activos/pasivos por impuestos (los impuestos ya están en caja en el NOPAT).</t>
  </si>
  <si>
    <t xml:space="preserve">B. Capital de trabajo neto operativo</t>
  </si>
  <si>
    <t xml:space="preserve">Capital de trabajo neto operativo</t>
  </si>
  <si>
    <t xml:space="preserve">Capital de trabajo neto / ingresos</t>
  </si>
  <si>
    <t xml:space="preserve">Referencia: Δ capital de trabajo neto / Δ ingresos (dic-23 → dic-25)</t>
  </si>
  <si>
    <t xml:space="preserve">Distorsionado: dic-24 ya consolida Perú pero los ingresos 2024 solo traen un mes.</t>
  </si>
  <si>
    <t xml:space="preserve">Supuesto del modelo: capital de trabajo neto / ingresos constante al nivel de dic-25</t>
  </si>
  <si>
    <t xml:space="preserve">Inversión anual = este % × Δ ingresos. Va a Supuestos (sección F).</t>
  </si>
  <si>
    <t xml:space="preserve">C. Lectura</t>
  </si>
  <si>
    <t xml:space="preserve">1. Capital de trabajo neto operativo = deudores + cuentas por cobrar relacionadas − cuentas por pagar comerciales (sin dividendos) − cuentas por pagar relacionadas − otros pasivos no financieros.</t>
  </si>
  <si>
    <t xml:space="preserve">2. La provisión del dividendo mínimo se resta de las cuentas por pagar porque es una obligación con accionistas, no de la operación.</t>
  </si>
  <si>
    <t xml:space="preserve">3. Limitación: las cuentas por pagar comerciales también incluyen proveedores de obras (capex). Sin el desglose de la Nota 14/15 no se pueden separar.</t>
  </si>
  <si>
    <t xml:space="preserve">4. Hay estacionalidad (mar-26: deudores bajan por recaudación, cuentas por pagar suben por el dividendo): se compara cierre contra cierre.</t>
  </si>
  <si>
    <t xml:space="preserve">5. Se usa el nivel de dic-25 porque es el primer cierre con Perú completo tanto en balance como en ingresos.</t>
  </si>
  <si>
    <t xml:space="preserve">D. Referencia: brecha EBITDA − flujo operativo (MM CLP)</t>
  </si>
  <si>
    <t xml:space="preserve">FY2024</t>
  </si>
  <si>
    <t xml:space="preserve">FY2025</t>
  </si>
  <si>
    <t xml:space="preserve">1S26</t>
  </si>
  <si>
    <t xml:space="preserve">EBITDA</t>
  </si>
  <si>
    <t xml:space="preserve">Flujo operativo (EEFF)</t>
  </si>
  <si>
    <t xml:space="preserve">Brecha = impuestos pagados + capital de trabajo + otros</t>
  </si>
  <si>
    <t xml:space="preserve">Exhibits v6 (Inputs, E4_Cash). Mezcla impuestos y capital de trabajo: solo referencial.</t>
  </si>
  <si>
    <t xml:space="preserve">DCF de FCFF — Mallplaza · CLP nominales · valorización 30-06-2026 · WACC por período</t>
  </si>
  <si>
    <t xml:space="preserve">Flujos 2S26E–2031E con la expansión continua; valor terminal con reinversión explícita (solo el crecimiento real exige capex). Convención de mitad de período. Cada período se descuenta con su propia WACC (hoja WACC).</t>
  </si>
  <si>
    <t xml:space="preserve">Terminal (2032E)</t>
  </si>
  <si>
    <t xml:space="preserve">Ingresos base</t>
  </si>
  <si>
    <t xml:space="preserve">Ingresos expansión</t>
  </si>
  <si>
    <t xml:space="preserve">Ingresos totales</t>
  </si>
  <si>
    <t xml:space="preserve">Crecimiento ingresos (año calendario)</t>
  </si>
  <si>
    <t xml:space="preserve">EBITDA base</t>
  </si>
  <si>
    <t xml:space="preserve">EBITDA expansión</t>
  </si>
  <si>
    <t xml:space="preserve">EBITDA total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</si>
  <si>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</si>
  <si>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</si>
  <si>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</si>
  <si>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</si>
  <si>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</si>
  <si>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</si>
  <si>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 base (pipeline + mantención)</t>
  </si>
  <si>
    <t xml:space="preserve">Terminal: mantención 5,5% de ingresos.</t>
  </si>
  <si>
    <t xml:space="preserve">(−) Capex expansión / reinversión terminal</t>
  </si>
  <si>
    <t xml:space="preserve">Terminal: reinversión = g real / RONIC × NOPAT (value driver).</t>
  </si>
  <si>
    <t xml:space="preserve">(−) Inversión en capital de trabajo</t>
  </si>
  <si>
    <t xml:space="preserve">% del Δ ingresos (Supuestos F). 2S26E: medio año.</t>
  </si>
  <si>
    <t xml:space="preserve">FCFF</t>
  </si>
  <si>
    <t xml:space="preserve">Descuento: WACC por período</t>
  </si>
  <si>
    <t xml:space="preserve">WACC nominal del período (hoja WACC)</t>
  </si>
  <si>
    <t xml:space="preserve">Fracción de año del período</t>
  </si>
  <si>
    <t xml:space="preserve">Factor de descuento al cierre del período</t>
  </si>
  <si>
    <t xml:space="preserve">Factor de descuento a mitad del período</t>
  </si>
  <si>
    <t xml:space="preserve">2S26E a 0,25 años; luego la mitad de cada año desde el 30-06-2026.</t>
  </si>
  <si>
    <t xml:space="preserve">Valor presente del FCFF</t>
  </si>
  <si>
    <t xml:space="preserve">Normalización 2031: base + expansión financiada (cohortes cuyo capex cae completo en el horizonte) a madurez</t>
  </si>
  <si>
    <t xml:space="preserve">Último año de apertura con capex completo dentro del horizonte</t>
  </si>
  <si>
    <t xml:space="preserve">El capex de esas cohortes ya está en el FCFF explícito, pero sus ingresos maduran después de 2031: el año terminal los cuenta al 100%. La cohorte siguiente (solo parte del capex dentro) queda en la reinversión terminal.</t>
  </si>
  <si>
    <t xml:space="preserve">m² maduros que se suman al año terminal</t>
  </si>
  <si>
    <t xml:space="preserve">Ingresos 2031 normalizados</t>
  </si>
  <si>
    <t xml:space="preserve">EBITDA 2031 normalizado</t>
  </si>
  <si>
    <t xml:space="preserve">Valor de la empresa → valor por acción</t>
  </si>
  <si>
    <t xml:space="preserve">WACC terminal (estructura objetivo)</t>
  </si>
  <si>
    <t xml:space="preserve">Tasa de reinversión terminal (g real / RONIC)</t>
  </si>
  <si>
    <t xml:space="preserve">Valor terminal al 31-12-2031 = FCFF 2032E / (WACC terminal − g)</t>
  </si>
  <si>
    <t xml:space="preserve">Valor presente del valor terminal</t>
  </si>
  <si>
    <t xml:space="preserve">Suma VP del FCFF explícito</t>
  </si>
  <si>
    <t xml:space="preserve">Enterprise value</t>
  </si>
  <si>
    <t xml:space="preserve">(−) Deuda financiera neta 30-06-2026</t>
  </si>
  <si>
    <t xml:space="preserve">(−) Minoritarios (libro)</t>
  </si>
  <si>
    <t xml:space="preserve">Valor del patrimonio</t>
  </si>
  <si>
    <t xml:space="preserve">Acciones (MM)</t>
  </si>
  <si>
    <t xml:space="preserve">Las distribuciones adicionales de la hoja Deuda no se restan: el patrimonio de hoy es EV − DFN de hoy.</t>
  </si>
  <si>
    <t xml:space="preserve">Upside / (downside)</t>
  </si>
  <si>
    <t xml:space="preserve">Chequeos</t>
  </si>
  <si>
    <t xml:space="preserve">VP del valor terminal / EV</t>
  </si>
  <si>
    <t xml:space="preserve">DCF anterior del equipo: 72%.</t>
  </si>
  <si>
    <t xml:space="preserve">EV / EBITDA LTM implícito</t>
  </si>
  <si>
    <t xml:space="preserve">Comparar con la hoja Comparables.</t>
  </si>
  <si>
    <t xml:space="preserve">Cap rate implícito sobre el EV (EBITDA LTM / EV)</t>
  </si>
  <si>
    <t xml:space="preserve">Mercado ~6,0%; pares Chile ~6,4%; libro (EBITDA LTM / PI) 7,5%; Gran Plaza 9,4%.</t>
  </si>
  <si>
    <t xml:space="preserve">Cap rate implícito del valor terminal (EBITDA 2032E / VT)</t>
  </si>
  <si>
    <t xml:space="preserve">WACC real terminal</t>
  </si>
  <si>
    <t xml:space="preserve">Nota 11 Chile jun-26: 5,55% real.</t>
  </si>
  <si>
    <t xml:space="preserve">RONIC real de la expansión</t>
  </si>
  <si>
    <t xml:space="preserve">Si es menor que la WACC real, la expansión resta valor.</t>
  </si>
  <si>
    <t xml:space="preserve">DFN / EBITDA al cierre de 2031 (hoja Deuda)</t>
  </si>
  <si>
    <t xml:space="preserve">Debe igualar el objetivo de Supuestos C.</t>
  </si>
  <si>
    <t xml:space="preserve">Valor por acción DCF VF (WACC constante 10,37%)</t>
  </si>
  <si>
    <t xml:space="preserve">Diferencia v2 vs VF (CLP)</t>
  </si>
  <si>
    <t xml:space="preserve">Valor por acción APV (hoja APV)</t>
  </si>
  <si>
    <t xml:space="preserve">Diferencia DCF vs APV (% del APV)</t>
  </si>
  <si>
    <t xml:space="preserve">Chequeo de consistencia: deben quedar cerca.</t>
  </si>
  <si>
    <t xml:space="preserve">Deuda — trayectoria desde la estructura actual hasta el objetivo de largo plazo</t>
  </si>
  <si>
    <t xml:space="preserve">DFN(t) = DFN(t−1) − FCFF + costo financiero y reajuste UF (después de impuestos) + dividendos ordinarios + distribución adicional. La distribución adicional (recompra o dividendo extra) cierra la brecha con el DFN/EBITDA objetivo. No entra en el EV (FCFF desapalancado): define la estructura de capital de la WACC.</t>
  </si>
  <si>
    <t xml:space="preserve">EBITDA año calendario (para el ratio)</t>
  </si>
  <si>
    <t xml:space="preserve">2S26E: EBITDA 2026E año completo (LTM al cierre).</t>
  </si>
  <si>
    <t xml:space="preserve">DFN de apertura</t>
  </si>
  <si>
    <t xml:space="preserve">DFN / EBITDA de apertura</t>
  </si>
  <si>
    <t xml:space="preserve">Costo financiero neto / DFN (con spread por apalancamiento)</t>
  </si>
  <si>
    <t xml:space="preserve">3,08% inicial + spread por cada vuelta sobre el nivel inicial.</t>
  </si>
  <si>
    <t xml:space="preserve">(−) FCFF</t>
  </si>
  <si>
    <t xml:space="preserve">Costo financiero neto antes de impuestos</t>
  </si>
  <si>
    <t xml:space="preserve">(+) Costo financiero neto después de impuestos</t>
  </si>
  <si>
    <t xml:space="preserve">Reajuste UF de la deuda antes de impuestos</t>
  </si>
  <si>
    <t xml:space="preserve">(+) Reajuste UF después de impuestos</t>
  </si>
  <si>
    <t xml:space="preserve">v2: el reajuste UF es gasto financiero deducible (el VF lo sumaba sin escudo). Consistente con Kd nominal × (1 − t) en la WACC.</t>
  </si>
  <si>
    <t xml:space="preserve">Utilidad distribuible proxy (FFO − reajuste UF)</t>
  </si>
  <si>
    <t xml:space="preserve">2S26E: distribuible 2026E de Exhibits v6. Proxy sin minoritarios.</t>
  </si>
  <si>
    <t xml:space="preserve">(+) Dividendos ordinarios</t>
  </si>
  <si>
    <t xml:space="preserve">2S26E: dividendos 2026E − pagado 1S26. 2027E+: payout × distribuible del año anterior.</t>
  </si>
  <si>
    <t xml:space="preserve">DFN de cierre antes de distribución adicional</t>
  </si>
  <si>
    <t xml:space="preserve">DFN / EBITDA objetivo del período</t>
  </si>
  <si>
    <t xml:space="preserve">Convergencia lineal hasta el año objetivo (Supuestos C).</t>
  </si>
  <si>
    <t xml:space="preserve">DFN objetivo</t>
  </si>
  <si>
    <t xml:space="preserve">(+) Distribución adicional a accionistas (recompra / dividendo extra)</t>
  </si>
  <si>
    <t xml:space="preserve">Negativo = la compañía tendría que retener caja para no superar el objetivo.</t>
  </si>
  <si>
    <t xml:space="preserve">DFN de cierre</t>
  </si>
  <si>
    <t xml:space="preserve">DFN / EBITDA de cierre</t>
  </si>
  <si>
    <t xml:space="preserve">Deuda financiera bruta de cierre (DFN + caja)</t>
  </si>
  <si>
    <t xml:space="preserve">Caja constante al nivel de jun-26.</t>
  </si>
  <si>
    <t xml:space="preserve">Capacidad de deuda remanente al objetivo de LP (objetivo × EBITDA − DFN)</t>
  </si>
  <si>
    <t xml:space="preserve">Distribuciones adicionales acumuladas</t>
  </si>
  <si>
    <t xml:space="preserve">APV — chequeo de consistencia: valor desapalancado + VP de los escudos fiscales de la deuda proyectada</t>
  </si>
  <si>
    <t xml:space="preserve">Los escudos se descuentan a Ku porque la deuda se reajusta con el tamaño de la empresa (objetivo como múltiplo del EBITDA), el mismo supuesto implícito en una WACC.</t>
  </si>
  <si>
    <t xml:space="preserve">Ku antes de conversión = Rf + βu × ERP + CRP</t>
  </si>
  <si>
    <t xml:space="preserve">Ku nominal CLP</t>
  </si>
  <si>
    <t xml:space="preserve">Factor de descuento a Ku, cierre</t>
  </si>
  <si>
    <t xml:space="preserve">Factor de descuento a Ku, mitad</t>
  </si>
  <si>
    <t xml:space="preserve">VP del FCFF a Ku</t>
  </si>
  <si>
    <t xml:space="preserve">Deuda bruta de apertura</t>
  </si>
  <si>
    <t xml:space="preserve">Kd nominal del período (hoja WACC)</t>
  </si>
  <si>
    <t xml:space="preserve">Escudo fiscal = t × Kd × D</t>
  </si>
  <si>
    <t xml:space="preserve">Terminal: escudo 2032E sobre la deuda de cierre 2031, creciendo con g.</t>
  </si>
  <si>
    <t xml:space="preserve">VP del escudo fiscal a Ku</t>
  </si>
  <si>
    <t xml:space="preserve">Valor desapalancado (FCFF a Ku)</t>
  </si>
  <si>
    <t xml:space="preserve">VP de los escudos fiscales</t>
  </si>
  <si>
    <t xml:space="preserve">Enterprise value APV</t>
  </si>
  <si>
    <t xml:space="preserve">Valor por acción APV (CLP)</t>
  </si>
  <si>
    <t xml:space="preserve">  de lo cual: valor sin deuda (CLP/acción)</t>
  </si>
  <si>
    <t xml:space="preserve">  de lo cual: escudos fiscales (CLP/acción)</t>
  </si>
  <si>
    <t xml:space="preserve">Sensibilidad — valor por acción DCF (CLP)</t>
  </si>
  <si>
    <t xml:space="preserve">Tabla 1: desplazamiento paralelo de la WACC de todos los períodos (filas) vs g nominal terminal (columnas). Fórmulas vivas.</t>
  </si>
  <si>
    <t xml:space="preserve">Δ WACC \ g</t>
  </si>
  <si>
    <t xml:space="preserve">La celda resaltada debe igualar el valor por acción de la hoja DCF.</t>
  </si>
  <si>
    <t xml:space="preserve">Tabla 2 (estática): DFN/EBITDA objetivo (filas) vs spread por vuelta de apalancamiento (columnas). El D/E objetivo se recalcula con cada nivel. Generada cambiando Supuestos C; no se actualiza sola.</t>
  </si>
  <si>
    <t xml:space="preserve">DFN/EBITDA objetivo \ spread</t>
  </si>
  <si>
    <t xml:space="preserve">Actual (2,36x, sin aumento)</t>
  </si>
  <si>
    <t xml:space="preserve">3,0x</t>
  </si>
  <si>
    <t xml:space="preserve">3,5x</t>
  </si>
  <si>
    <t xml:space="preserve">4,0x</t>
  </si>
  <si>
    <t xml:space="preserve">Valores estáticos (no se recalculan). Resaltado = caso base.</t>
  </si>
  <si>
    <t xml:space="preserve">Auxiliar (no editar): FCFF 2032E según g</t>
  </si>
  <si>
    <t xml:space="preserve">FCFF 2032E</t>
  </si>
  <si>
    <t xml:space="preserve">Auxiliar: factores de descuento por Δ (C–H = períodos)</t>
  </si>
  <si>
    <t xml:space="preserve">DF cierre (Δ -1.00%)</t>
  </si>
  <si>
    <t xml:space="preserve">DF mitad (Δ -1.00%)</t>
  </si>
  <si>
    <t xml:space="preserve">VP FCFF (Δ -1.00%)</t>
  </si>
  <si>
    <t xml:space="preserve">DF cierre (Δ -0.50%)</t>
  </si>
  <si>
    <t xml:space="preserve">DF mitad (Δ -0.50%)</t>
  </si>
  <si>
    <t xml:space="preserve">VP FCFF (Δ -0.50%)</t>
  </si>
  <si>
    <t xml:space="preserve">DF cierre (Δ +0.00%)</t>
  </si>
  <si>
    <t xml:space="preserve">DF mitad (Δ +0.00%)</t>
  </si>
  <si>
    <t xml:space="preserve">VP FCFF (Δ +0.00%)</t>
  </si>
  <si>
    <t xml:space="preserve">DF cierre (Δ +0.50%)</t>
  </si>
  <si>
    <t xml:space="preserve">DF mitad (Δ +0.50%)</t>
  </si>
  <si>
    <t xml:space="preserve">VP FCFF (Δ +0.50%)</t>
  </si>
  <si>
    <t xml:space="preserve">DF cierre (Δ +1.00%)</t>
  </si>
  <si>
    <t xml:space="preserve">DF mitad (Δ +1.00%)</t>
  </si>
  <si>
    <t xml:space="preserve">VP FCFF (Δ +1.00%)</t>
  </si>
  <si>
    <t xml:space="preserve">Comparables — múltiplos LTM y NTM con el mismo set de pares que la WACC</t>
  </si>
  <si>
    <t xml:space="preserve">Set común = empresas con beta en la WACC y con datos en Bloomberg. Estadístico principal: 70% mediana Chile + 30% mediana del set común (Supuestos H). MM CLP con TC del 30-06-2026; precio 30-09-2026.</t>
  </si>
  <si>
    <t xml:space="preserve">Columnas auxiliares para las medianas (no editar)</t>
  </si>
  <si>
    <t xml:space="preserve">Ticker</t>
  </si>
  <si>
    <t xml:space="preserve">Set (1/0)</t>
  </si>
  <si>
    <t xml:space="preserve">Chile (1/0)</t>
  </si>
  <si>
    <t xml:space="preserve">Deuda neta</t>
  </si>
  <si>
    <t xml:space="preserve">Minoritarios</t>
  </si>
  <si>
    <t xml:space="preserve">EV</t>
  </si>
  <si>
    <t xml:space="preserve">Ingresos LTM</t>
  </si>
  <si>
    <t xml:space="preserve">EBITDA LTM</t>
  </si>
  <si>
    <t xml:space="preserve">EBIT LTM</t>
  </si>
  <si>
    <t xml:space="preserve">Utilidad LTM</t>
  </si>
  <si>
    <t xml:space="preserve">Patrimonio</t>
  </si>
  <si>
    <t xml:space="preserve">EBITDA NTM</t>
  </si>
  <si>
    <t xml:space="preserve">EV/EBITDA LTM</t>
  </si>
  <si>
    <t xml:space="preserve">EV/EBITDA NTM</t>
  </si>
  <si>
    <t xml:space="preserve">EV/EBIT LTM</t>
  </si>
  <si>
    <t xml:space="preserve">P/E LTM</t>
  </si>
  <si>
    <t xml:space="preserve">P/BV</t>
  </si>
  <si>
    <t xml:space="preserve">EV/EBITDA LTM set</t>
  </si>
  <si>
    <t xml:space="preserve">EV/EBITDA NTM set</t>
  </si>
  <si>
    <t xml:space="preserve">EV/EBIT LTM set</t>
  </si>
  <si>
    <t xml:space="preserve">P/E LTM set</t>
  </si>
  <si>
    <t xml:space="preserve">P/BV set</t>
  </si>
  <si>
    <t xml:space="preserve">EV/EBITDA LTM Chile</t>
  </si>
  <si>
    <t xml:space="preserve">EV/EBITDA NTM Chile</t>
  </si>
  <si>
    <t xml:space="preserve">EV/EBIT LTM Chile</t>
  </si>
  <si>
    <t xml:space="preserve">P/E LTM Chile</t>
  </si>
  <si>
    <t xml:space="preserve">P/BV Chile</t>
  </si>
  <si>
    <t xml:space="preserve">Mallplaza</t>
  </si>
  <si>
    <t xml:space="preserve">Target</t>
  </si>
  <si>
    <t xml:space="preserve">Fibra Danhos</t>
  </si>
  <si>
    <t xml:space="preserve">Estadísticos (excluyen a Mallplaza)</t>
  </si>
  <si>
    <t xml:space="preserve">Mediana set común</t>
  </si>
  <si>
    <t xml:space="preserve">Mediana Chile (set común)</t>
  </si>
  <si>
    <t xml:space="preserve">Múltiplo ponderado (70% Chile / 30% set común)</t>
  </si>
  <si>
    <t xml:space="preserve">N° pares set común</t>
  </si>
  <si>
    <t xml:space="preserve">Mallplaza vs ponderado (prima / (descuento))</t>
  </si>
  <si>
    <t xml:space="preserve">Notas: P/E y P/BV mezclan pares a valor razonable (Chile, IRSA) con pares a costo (Brasil); usar como referencia. EV/EBITDA es el método principal (neutral a la contabilidad de propiedades). IRSA: cifras NIC 29 y NTM de 1 analista. Fibra Danhos queda fuera del set (no tiene beta en la WACC).</t>
  </si>
  <si>
    <t xml:space="preserve">Precio objetivo — 80% DCF / 20% múltiplos (EV/EBITDA ponderado 70% Chile)</t>
  </si>
  <si>
    <t xml:space="preserve">A. Valor por múltiplos (Mallplaza)</t>
  </si>
  <si>
    <t xml:space="preserve">Múltiplo</t>
  </si>
  <si>
    <t xml:space="preserve">Múltiplo ponderado</t>
  </si>
  <si>
    <t xml:space="preserve">Métrica Mallplaza</t>
  </si>
  <si>
    <t xml:space="preserve">Valor por acción (CLP)</t>
  </si>
  <si>
    <t xml:space="preserve">EV/EBITDA LTM (método principal)</t>
  </si>
  <si>
    <t xml:space="preserve">EV implícito − deuda neta BBG − minoritarios, / acciones.</t>
  </si>
  <si>
    <t xml:space="preserve">P/E LTM (referencia: incluye revalorización)</t>
  </si>
  <si>
    <t xml:space="preserve">P/BV (referencia)</t>
  </si>
  <si>
    <t xml:space="preserve">B. Precio objetivo combinado</t>
  </si>
  <si>
    <t xml:space="preserve">Valor DCF (CLP)</t>
  </si>
  <si>
    <t xml:space="preserve">Valor por múltiplos: EV/EBITDA LTM ponderado (CLP)</t>
  </si>
  <si>
    <t xml:space="preserve">Peso DCF</t>
  </si>
  <si>
    <t xml:space="preserve">Precio objetivo (CLP)</t>
  </si>
  <si>
    <t xml:space="preserve">Referencia: precio objetivo VF (CLP)</t>
  </si>
  <si>
    <t xml:space="preserve">C. Lectura rápida</t>
  </si>
  <si>
    <t xml:space="preserve">Cap rate implícito del DCF (EBITDA LTM / EV)</t>
  </si>
  <si>
    <t xml:space="preserve">Cap rate implícito del mercado (EBITDA LTM / EV de mercado)</t>
  </si>
  <si>
    <t xml:space="preserve">Cap rate de los pares chilenos (1 / EV/EBITDA LTM mediana Chile)</t>
  </si>
  <si>
    <t xml:space="preserve">WACC nominal terminal</t>
  </si>
  <si>
    <t xml:space="preserve">Datos Bloomberg en moneda local (millones)</t>
  </si>
  <si>
    <t xml:space="preserve">EBITDA = IS_COMPARABLE_EBITDA (salvo nota) · EBIT = EBITDA − D&amp;A (CF_DEPR_AMORT) · LTM = suma 3T25–2T26 · Balance LTM al 30-jun-2026</t>
  </si>
  <si>
    <t xml:space="preserve">Grupo</t>
  </si>
  <si>
    <t xml:space="preserve">Moneda</t>
  </si>
  <si>
    <t xml:space="preserve">Período</t>
  </si>
  <si>
    <t xml:space="preserve">Revenue</t>
  </si>
  <si>
    <t xml:space="preserve">Net Income (controladora)</t>
  </si>
  <si>
    <t xml:space="preserve">Book Value</t>
  </si>
  <si>
    <t xml:space="preserve">Net Debt (BBG)</t>
  </si>
  <si>
    <t xml:space="preserve">Market Cap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</si>
  <si>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</si>
  <si>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</si>
  <si>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</si>
  <si>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</si>
  <si>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</si>
  <si>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</si>
  <si>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FY2022</t>
  </si>
  <si>
    <t xml:space="preserve">FY2023</t>
  </si>
  <si>
    <t xml:space="preserve">Net Income incluye revalorización de propiedades (~1,0 bn).</t>
  </si>
  <si>
    <t xml:space="preserve">LTM</t>
  </si>
  <si>
    <t xml:space="preserve">Core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</si>
  <si>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</si>
  <si>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</si>
  <si>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Revenue BBG 7.481 incluye ítems no recurrentes de la combinación con brMalls; se usa 2.804 (S&amp;P). P/E NM por ganancia no recurrente.</t>
  </si>
  <si>
    <t xml:space="preserve">EBITDA = EBITDA_ADJUSTED (comparable incluía ganancia por venta de activos).</t>
  </si>
  <si>
    <t xml:space="preserve">Q1-26 EBITDA = EBITDA_ADJUSTED.</t>
  </si>
  <si>
    <t xml:space="preserve">Sensibilidad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</si>
  <si>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</si>
  <si>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</si>
  <si>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</si>
  <si>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</si>
  <si>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</si>
  <si>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</si>
  <si>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</si>
  <si>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NTM — consenso Bloomberg BEst, 12 meses forward mezclado (BEST_FPERIOD_OVERRIDE = BF), al 07-oct-2026</t>
  </si>
  <si>
    <t xml:space="preserve">Revenue NTM</t>
  </si>
  <si>
    <t xml:space="preserve">EBIT NTM</t>
  </si>
  <si>
    <t xml:space="preserve">Net Income NTM</t>
  </si>
  <si>
    <t xml:space="preserve">Nº analistas</t>
  </si>
  <si>
    <t xml:space="preserve">NTM</t>
  </si>
  <si>
    <t xml:space="preserve">Consenso EBIT &gt; EBITDA (distintos sets de analistas).</t>
  </si>
  <si>
    <t xml:space="preserve">Solo 1 analista: consenso no representativo.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</si>
  <si>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</si>
  <si>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</si>
  <si>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</si>
  <si>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</si>
  <si>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</si>
  <si>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D&amp;A.</t>
  </si>
  <si>
    <t xml:space="preserve">Excepciones EBITDA</t>
  </si>
  <si>
    <t xml:space="preserve">Se usó EBITDA_ADJUSTED donde el comparable era inconsistente: Cencosud Shopping FY2022 y 1T26; Iguatemi FY2025 y 1T26; IRSA todos los períodos.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</si>
  <si>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</si>
  <si>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La tabla principal es LTM.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</si>
  <si>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</si>
  <si>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</si>
  <si>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Global). P/E FY2023 NM.</t>
  </si>
  <si>
    <t xml:space="preserve">Ejercicio jul-jun; cifras bajo NIC 29: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</si>
  <si>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</si>
  <si>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Priorizar EV/EBITDA.</t>
  </si>
  <si>
    <t xml:space="preserve">v2 — Estructura de capital</t>
  </si>
  <si>
    <t xml:space="preserve">La WACC del VF suponía 3,5x DFN/EBITDA desde hoy y para siempre, mientras los flujos del propio modelo desapalancaban la compañía a ~1,0x en 2031. v2 parte en 2,36x, converge a 3,5x en 2031 y registra la caja sobrante como distribución adicional a accionistas, de modo que la deuda de la WACC existe en el plan.</t>
  </si>
  <si>
    <t xml:space="preserve">v2 — WACC por período</t>
  </si>
  <si>
    <t xml:space="preserve">El D/E converge linealmente desde la estructura actual del modelo original (deuda bruta / market cap = 19,98%) hasta la objetivo (28,52%, 3,5x) en 2031; beta, Ke, Kd y WACC se recalculan cada año. El DCF descuenta con factores acumulados.</t>
  </si>
  <si>
    <t xml:space="preserve">v2 — Costo de la deuda</t>
  </si>
  <si>
    <t xml:space="preserve">+25 pb de Kd real por cada vuelta de DFN/EBITDA sobre el nivel inicial (supuesto del equipo, editable). Afecta la WACC y el costo financiero de la hoja Deuda.</t>
  </si>
  <si>
    <t xml:space="preserve">v2 — Reajuste UF</t>
  </si>
  <si>
    <t xml:space="preserve">Tratado como gasto financiero deducible en la hoja Deuda. No afecta el EV.</t>
  </si>
  <si>
    <t xml:space="preserve">v2 — Chequeos</t>
  </si>
  <si>
    <t xml:space="preserve">Switch de política de deuda = 0 reproduce el VF (CLP 1.880). La hoja APV (valor sin deuda + escudos fiscales) debe quedar cerca del DCF.</t>
  </si>
  <si>
    <t xml:space="preserve">TIR implícita en el precio — Mallplaza</t>
  </si>
  <si>
    <t xml:space="preserve">NUEVO</t>
  </si>
  <si>
    <t xml:space="preserve">Tasa única (nominal CLP) que hace que el DCF dé el precio de mercado. Mismos flujos, valor terminal y puente que la hoja DCF.</t>
  </si>
  <si>
    <t xml:space="preserve">Tasa de descuento única (nominal CLP)</t>
  </si>
  <si>
    <t xml:space="preserve">← Celda que mueve Buscar objetivo</t>
  </si>
  <si>
    <t xml:space="preserve">Equivalente real (UF)</t>
  </si>
  <si>
    <t xml:space="preserve">WACC real terminal del modelo</t>
  </si>
  <si>
    <t xml:space="preserve">Diferencia vs WACC real (pb)</t>
  </si>
  <si>
    <t xml:space="preserve">FCFF (hoja DCF)</t>
  </si>
  <si>
    <t xml:space="preserve">Fracción de año</t>
  </si>
  <si>
    <t xml:space="preserve">Factor al cierre</t>
  </si>
  <si>
    <t xml:space="preserve">Factor a mitad de período</t>
  </si>
  <si>
    <t xml:space="preserve">VP del FCFF</t>
  </si>
  <si>
    <t xml:space="preserve">Suma VP FCFF explícito</t>
  </si>
  <si>
    <t xml:space="preserve">FCFF terminal 2032E (hoja DCF)</t>
  </si>
  <si>
    <t xml:space="preserve">Crecimiento terminal g</t>
  </si>
  <si>
    <t xml:space="preserve">Valor terminal al 31-12-2031</t>
  </si>
  <si>
    <t xml:space="preserve">VP del valor terminal</t>
  </si>
  <si>
    <t xml:space="preserve">(−) DFN 30-06-2026</t>
  </si>
  <si>
    <t xml:space="preserve">(−) Minoritarios</t>
  </si>
  <si>
    <t xml:space="preserve">Precio de mercado 30-09-2026 (CLP)</t>
  </si>
  <si>
    <t xml:space="preserve">Diferencia (debe ser 0)</t>
  </si>
  <si>
    <t xml:space="preserve">Cómo recalcular (si cambian flujos o precio):</t>
  </si>
  <si>
    <t xml:space="preserve">Datos → Análisis de hipótesis → Buscar objetivo · Definir celda: C26 · Con el valor: precio (C27) · Cambiando la celda: C4.</t>
  </si>
  <si>
    <t xml:space="preserve">Chequeo: con C4 = WACC del modelo por período el valor da CLP 1.857; aquí se usa una tasa única para todos los períodos y el terminal.</t>
  </si>
  <si>
    <t xml:space="preserve">Lectura: quien compra a CLP 3.555 obtiene esta rentabilidad si se cumplen nuestros flujos; es la "WACC implícita en el precio" de las Figuras 28 y 33.</t>
  </si>
  <si>
    <t xml:space="preserve">TIR del accionista y de la firma · nominal CLP y real (UF)</t>
  </si>
  <si>
    <t xml:space="preserve">TIR = retorno de quien compra al precio de mercado si se cumple el modelo (mismos FCFF, distribuciones de la hoja Deuda y valor de salida de la hoja DCF). Se compara con el costo de capital: firma vs WACC; accionista vs Ke.</t>
  </si>
  <si>
    <t xml:space="preserve">Convención: flujos a mitad de período desde el 30-06-26 (igual que la hoja DCF). Real (UF) = (1 + nominal)/(1 + π) − 1, con π = Supuestos!B34. Verde = vínculo a otra hoja · azul = dato pegado · negro = fórmula · amarillo = celda nueva.</t>
  </si>
  <si>
    <t xml:space="preserve">RESUMEN: qué rentabilidad obtiene quien compra y cómo se compara con su costo de capital</t>
  </si>
  <si>
    <t xml:space="preserve">Comprador (precio de compra) · costo de capital de referencia</t>
  </si>
  <si>
    <t xml:space="preserve">TIR nominal CLP</t>
  </si>
  <si>
    <t xml:space="preserve">TIR real (UF)</t>
  </si>
  <si>
    <t xml:space="preserve">Costo de capital nominal</t>
  </si>
  <si>
    <t xml:space="preserve">Costo de capital real</t>
  </si>
  <si>
    <t xml:space="preserve">Brecha nominal (pb)</t>
  </si>
  <si>
    <t xml:space="preserve">Brecha real (pb)</t>
  </si>
  <si>
    <t xml:space="preserve">Qué mide</t>
  </si>
  <si>
    <t xml:space="preserve">Firma: compra a CLP 3.555 (flujos FCFF) · vs WACC terminal</t>
  </si>
  <si>
    <t xml:space="preserve">Tasa que iguala el DCF al precio: la WACC que el mercado aplica hoy</t>
  </si>
  <si>
    <t xml:space="preserve">Accionista: compra a CLP 3.555, sale a nuestro valor 2031 · vs Ke terminal</t>
  </si>
  <si>
    <t xml:space="preserve">Retorno si el mercado converge a nuestro valor en 2031</t>
  </si>
  <si>
    <t xml:space="preserve">Accionista: compra a CLP 3.555, el mercado mantiene la tasa implícita · vs Ke</t>
  </si>
  <si>
    <t xml:space="preserve">Cota superior: no hay re-rating, la tasa del precio se sostiene</t>
  </si>
  <si>
    <t xml:space="preserve">Accionista: compra al precio objetivo (control) · vs Ke terminal</t>
  </si>
  <si>
    <t xml:space="preserve">Al precio objetivo el retorno queda cerca del Ke</t>
  </si>
  <si>
    <t xml:space="preserve">Accionista: compra al valor DCF (control de consistencia) · vs Ke terminal</t>
  </si>
  <si>
    <t xml:space="preserve">Debería ser ≈ Ke; la diferencia mide la inconsistencia WACC–Ke del modelo</t>
  </si>
  <si>
    <t xml:space="preserve">Lectura: brecha = TIR − costo de capital. Negativa = el precio paga menos que el riesgo que se asume (sin margen de seguridad). Firma vs WACC; accionista vs Ke (puntual: terminal).</t>
  </si>
  <si>
    <t xml:space="preserve">Nota: la TIR del accionista excluye los flujos de minoritarios y usa la salida con el valor terminal del DCF; la trayectoria de DFN incluye la distribución adicional (hoja Deuda).</t>
  </si>
  <si>
    <t xml:space="preserve">A. INSUMOS (vínculos vivos a Supuestos, WACC, DCF, Deuda y Precio_Objetivo)</t>
  </si>
  <si>
    <t xml:space="preserve">Nominal CLP</t>
  </si>
  <si>
    <t xml:space="preserve">Real (UF)</t>
  </si>
  <si>
    <t xml:space="preserve">Inflación de largo plazo Chile π (puente de Fisher nominal ↔ real)</t>
  </si>
  <si>
    <t xml:space="preserve">Precio de mercado 30-09-26 (CLP por acción)</t>
  </si>
  <si>
    <t xml:space="preserve">Precio objetivo 80% DCF / 20% múltiplos (CLP por acción)</t>
  </si>
  <si>
    <t xml:space="preserve">Valor DCF por acción (CLP)</t>
  </si>
  <si>
    <t xml:space="preserve">Acciones en circulación (MM)</t>
  </si>
  <si>
    <t xml:space="preserve">Capitalización bursátil a precio de mercado (MM CLP)</t>
  </si>
  <si>
    <t xml:space="preserve">(+) Deuda financiera neta 30-06-26 (MM CLP)</t>
  </si>
  <si>
    <t xml:space="preserve">(+) Minoritarios (libro) (MM CLP)</t>
  </si>
  <si>
    <t xml:space="preserve">Enterprise value de mercado (MM CLP)</t>
  </si>
  <si>
    <t xml:space="preserve">WACC terminal (costo de capital de la firma)</t>
  </si>
  <si>
    <t xml:space="preserve">Ke terminal (costo de capital del accionista)</t>
  </si>
  <si>
    <t xml:space="preserve">Kd después de impuestos terminal</t>
  </si>
  <si>
    <t xml:space="preserve">Ke del primer período (2S26E)</t>
  </si>
  <si>
    <t xml:space="preserve">B. FLUJOS POR PERÍODO (MM CLP nominales; vínculos a DCF y Deuda)</t>
  </si>
  <si>
    <t xml:space="preserve">Terminal 2032E</t>
  </si>
  <si>
    <t xml:space="preserve">Suma</t>
  </si>
  <si>
    <t xml:space="preserve">Años desde el 30-06-26 al cierre del período</t>
  </si>
  <si>
    <t xml:space="preserve">Años desde el 30-06-26 a la mitad del período (momento del flujo)</t>
  </si>
  <si>
    <t xml:space="preserve">FCFF (hoja DCF): flujo de la firma</t>
  </si>
  <si>
    <t xml:space="preserve">Dividendos ordinarios al accionista (hoja Deuda)</t>
  </si>
  <si>
    <t xml:space="preserve">Distribución adicional a accionistas, mantiene la DFN en la trayectoria objetivo (hoja Deuda)</t>
  </si>
  <si>
    <t xml:space="preserve">Distribuciones totales al accionista (nominal CLP)</t>
  </si>
  <si>
    <t xml:space="preserve">Distribuciones totales en CLP reales de jun-26 (deflactadas por π)</t>
  </si>
  <si>
    <t xml:space="preserve">Distribución por acción (CLP nominales)</t>
  </si>
  <si>
    <t xml:space="preserve">C. VALOR DE SALIDA DEL ACCIONISTA AL 31-12-2031 (nominal CLP)</t>
  </si>
  <si>
    <t xml:space="preserve">Valor terminal de la firma con la WACC terminal y g del modelo (hoja DCF)</t>
  </si>
  <si>
    <t xml:space="preserve">(−) DFN al cierre de 2031 (hoja Deuda, ya incluye 3,5x EBITDA)</t>
  </si>
  <si>
    <t xml:space="preserve">(−) Minoritarios (libro, igual que el DCF)</t>
  </si>
  <si>
    <t xml:space="preserve">Valor del patrimonio de salida: nuestro valor (MM CLP)</t>
  </si>
  <si>
    <t xml:space="preserve">   por acción de hoy (CLP, nominal de 2031)</t>
  </si>
  <si>
    <t xml:space="preserve">Valor terminal de la firma si el mercado mantiene la tasa implícita (FCFF 2032E / (TIR firma − g))</t>
  </si>
  <si>
    <t xml:space="preserve">Valor del patrimonio de salida: tasa implícita en el precio (MM CLP)</t>
  </si>
  <si>
    <t xml:space="preserve">D. TIR DE LA FIRMA AL PRECIO DE MERCADO (flujos FCFF; tasa única nominal CLP)</t>
  </si>
  <si>
    <t xml:space="preserve">r tal que VP(FCFF 2S26E–2031E, mitad de período) + VP(FCFF 2032E / (r − g)) = EV de mercado. Resuelta con iteraciones de Newton (sin Buscar objetivo): se recalcula sola.</t>
  </si>
  <si>
    <t xml:space="preserve">Iteración (parte de g + 1 punto)</t>
  </si>
  <si>
    <t xml:space="preserve">r (iteración)</t>
  </si>
  <si>
    <t xml:space="preserve">VP(r)</t>
  </si>
  <si>
    <t xml:space="preserve">VP(r) − EV</t>
  </si>
  <si>
    <t xml:space="preserve">dVP/dr</t>
  </si>
  <si>
    <t xml:space="preserve">r siguiente</t>
  </si>
  <si>
    <t xml:space="preserve">Iteración 0</t>
  </si>
  <si>
    <t xml:space="preserve">Iteración 1</t>
  </si>
  <si>
    <t xml:space="preserve">Iteración 2</t>
  </si>
  <si>
    <t xml:space="preserve">Iteración 3</t>
  </si>
  <si>
    <t xml:space="preserve">Iteración 4</t>
  </si>
  <si>
    <t xml:space="preserve">Iteración 5</t>
  </si>
  <si>
    <t xml:space="preserve">Iteración 6</t>
  </si>
  <si>
    <t xml:space="preserve">Iteración 7</t>
  </si>
  <si>
    <t xml:space="preserve">Iteración 8</t>
  </si>
  <si>
    <t xml:space="preserve">Iteración 9</t>
  </si>
  <si>
    <t xml:space="preserve">Iteración 10</t>
  </si>
  <si>
    <t xml:space="preserve">Iteración 11</t>
  </si>
  <si>
    <t xml:space="preserve">Iteración 12</t>
  </si>
  <si>
    <t xml:space="preserve">Iteración 13</t>
  </si>
  <si>
    <t xml:space="preserve">Iteración 14</t>
  </si>
  <si>
    <t xml:space="preserve">TIR de la firma, nominal CLP (tasa única)</t>
  </si>
  <si>
    <t xml:space="preserve">TIR de la firma, real (UF)</t>
  </si>
  <si>
    <t xml:space="preserve">Chequeo: valor por acción del DCF con esa tasa (CLP); debe igualar el precio de mercado</t>
  </si>
  <si>
    <t xml:space="preserve">Chequeo: diferencia con la hoja TIR_Implicita!C4 (pb); la V6 del informe desplaza toda la curva de WACC (7,56%), aquí es una tasa única (7,57%)</t>
  </si>
  <si>
    <t xml:space="preserve">E. TIR DEL ACCIONISTA (distribuciones + valor de salida; TIR() trimestral anualizada)</t>
  </si>
  <si>
    <t xml:space="preserve">Línea de tiempo trimestral desde el 30-06-26 (t = 0): flujos a mitad de período (trimestres 1, 4, 8, 12, 16, 20) y salida el 31-12-31 (trimestre 22). TIR anual = (1 + TIR trimestral)^4 − 1.</t>
  </si>
  <si>
    <t xml:space="preserve">Precio de compra por acción (CLP)</t>
  </si>
  <si>
    <t xml:space="preserve">Trimestre q (MM CLP nominales; compra = flujo negativo)</t>
  </si>
  <si>
    <t xml:space="preserve">Años</t>
  </si>
  <si>
    <t xml:space="preserve">Distribuciones</t>
  </si>
  <si>
    <t xml:space="preserve">Salida: nuestro valor</t>
  </si>
  <si>
    <t xml:space="preserve">Salida: tasa implícita</t>
  </si>
  <si>
    <t xml:space="preserve">Flujo: compra a precio de mercado</t>
  </si>
  <si>
    <t xml:space="preserve">Flujo: compra a precio objetivo</t>
  </si>
  <si>
    <t xml:space="preserve">Flujo: compra a valor DCF</t>
  </si>
  <si>
    <t xml:space="preserve">Flujo: mercado + salida a tasa implícita</t>
  </si>
  <si>
    <t xml:space="preserve">TIR trimestral (función TIR de Excel)</t>
  </si>
  <si>
    <t xml:space="preserve">TIR del accionista, nominal CLP (anual)</t>
  </si>
  <si>
    <t xml:space="preserve">TIR del accionista, real (UF) (anual)</t>
  </si>
  <si>
    <t xml:space="preserve">Chequeo: VP de los flujos a la TIR trimestral (debe ser 0)</t>
  </si>
  <si>
    <t xml:space="preserve">F. TIR DE LA FIRMA POR ESCENARIO (mismo EV de mercado; FCFF de la réplica del DCF v2)</t>
  </si>
  <si>
    <t xml:space="preserve">Bear/bull: FCFF pegados desde la réplica de anexos_valuacion.py (azul; no son fórmulas, no hay hoja de escenarios en el modelo). Base: vínculo vivo a DCF. Cada escenario se compara con su propia WACC terminal.</t>
  </si>
  <si>
    <t xml:space="preserve">Escenario (TIR de la firma al precio de mercado)</t>
  </si>
  <si>
    <t xml:space="preserve">TIR nominal</t>
  </si>
  <si>
    <t xml:space="preserve">WACC terminal nominal</t>
  </si>
  <si>
    <t xml:space="preserve">WACC terminal real</t>
  </si>
  <si>
    <t xml:space="preserve">DCF de la réplica (CLP)</t>
  </si>
  <si>
    <t xml:space="preserve">Bear (réplica)</t>
  </si>
  <si>
    <t xml:space="preserve">Base (modelo v2)</t>
  </si>
  <si>
    <t xml:space="preserve">Bull (réplica)</t>
  </si>
  <si>
    <t xml:space="preserve">Escenario · Bear: WACC +100 pb en todos los períodos; margen EBITDA mínimo histórico (75,8%)</t>
  </si>
  <si>
    <t xml:space="preserve">FCFF (MM CLP nominales) 2S26E–2031E y terminal 2032E</t>
  </si>
  <si>
    <t xml:space="preserve">g terminal nominal</t>
  </si>
  <si>
    <t xml:space="preserve">Desplazamiento de la WACC respecto del modelo (pb)</t>
  </si>
  <si>
    <t xml:space="preserve">WACC terminal nominal del escenario</t>
  </si>
  <si>
    <t xml:space="preserve">Iteraciones de Newton (r0 = g + 1 punto; 15 pasos) en la fila siguiente: columnas C a Q</t>
  </si>
  <si>
    <t xml:space="preserve">r_k</t>
  </si>
  <si>
    <t xml:space="preserve">TIR de la firma del escenario, nominal CLP</t>
  </si>
  <si>
    <t xml:space="preserve">Escenario · Base: modelo v2</t>
  </si>
  <si>
    <t xml:space="preserve">Escenario · Bull: WACC −100 pb, g 2,5% nominal, margen máximo histórico (81,3%), impuesto 23%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</si>
</sst>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#,##0"/>
    <numFmt numFmtId="166" formatCode="0.00%;\(0.00%\);\-"/>
    <numFmt numFmtId="167" formatCode="0.00\x"/>
    <numFmt numFmtId="168" formatCode="#,##0;\(#,##0\)"/>
    <numFmt numFmtId="169" formatCode="@"/>
    <numFmt numFmtId="170" formatCode="#,##0;\(#,##0\);\-"/>
    <numFmt numFmtId="171" formatCode="0"/>
    <numFmt numFmtId="172" formatCode="#,##0.00"/>
    <numFmt numFmtId="173" formatCode="0.00"/>
    <numFmt numFmtId="174" formatCode="0.0"/>
    <numFmt numFmtId="175" formatCode="#,##0.0"/>
    <numFmt numFmtId="176" formatCode="0.000"/>
    <numFmt numFmtId="177" formatCode="0.0000"/>
    <numFmt numFmtId="178" formatCode="#,##0.0000"/>
    <numFmt numFmtId="179" formatCode="0.000000"/>
    <numFmt numFmtId="180" formatCode="#,##0.00;\(#,##0.00\);\-"/>
    <numFmt numFmtId="181" formatCode="0.00000"/>
    <numFmt numFmtId="182" formatCode="0.0\x"/>
    <numFmt numFmtId="183" formatCode="\+0.00%;\-0.00%;0.00%"/>
    <numFmt numFmtId="184" formatCode="0.00%"/>
    <numFmt numFmtId="185" formatCode="#,##0.000"/>
    <numFmt numFmtId="186" formatCode="#,##0.000000"/>
    <numFmt numFmtId="187" formatCode="#,##0;\(#,##0\);\-"/>
    <numFmt numFmtId="188" formatCode="0.0000%"/>
    <numFmt numFmtId="189" formatCode="0.0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ECB100"/>
        <bgColor rgb="FFFFCC00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CB1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</cols>
  <sheetData>
    <row r="1" customFormat="false" ht="15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DCF!C49</f>
        <v>1856.81199718015</v>
      </c>
    </row>
    <row r="6" customFormat="false" ht="15" hidden="false" customHeight="false" outlineLevel="0" collapsed="false">
      <c r="A6" s="4" t="s">
        <v>4</v>
      </c>
      <c r="B6" s="6" t="n">
        <f aca="false">Precio_Objetivo!D5</f>
        <v>2951.38547083101</v>
      </c>
    </row>
    <row r="7" customFormat="false" ht="15" hidden="false" customHeight="false" outlineLevel="0" collapsed="false">
      <c r="A7" s="4" t="s">
        <v>5</v>
      </c>
      <c r="B7" s="5" t="n">
        <f aca="false">Precio_Objetivo!B15</f>
        <v>2075.72669191032</v>
      </c>
    </row>
    <row r="8" customFormat="false" ht="15" hidden="false" customHeight="false" outlineLevel="0" collapsed="false">
      <c r="A8" s="4" t="s">
        <v>6</v>
      </c>
      <c r="B8" s="6" t="n">
        <f aca="false">Supuestos!$B$8</f>
        <v>3555</v>
      </c>
    </row>
    <row r="9" customFormat="false" ht="15" hidden="false" customHeight="false" outlineLevel="0" collapsed="false">
      <c r="A9" s="4" t="s">
        <v>7</v>
      </c>
      <c r="B9" s="7" t="n">
        <f aca="false">Precio_Objetivo!B17</f>
        <v>-0.416110635186971</v>
      </c>
    </row>
    <row r="10" customFormat="false" ht="15" hidden="false" customHeight="false" outlineLevel="0" collapsed="false">
      <c r="A10" s="4" t="s">
        <v>8</v>
      </c>
      <c r="B10" s="6" t="n">
        <f aca="false">DCF!C63</f>
        <v>1893.65312381858</v>
      </c>
    </row>
    <row r="11" customFormat="false" ht="15" hidden="false" customHeight="false" outlineLevel="0" collapsed="false">
      <c r="A11" s="4" t="s">
        <v>9</v>
      </c>
      <c r="B11" s="7" t="n">
        <f aca="false">WACC!C43</f>
        <v>0.10536861207682</v>
      </c>
      <c r="C11" s="7" t="n">
        <f aca="false">WACC!I43</f>
        <v>0.104138867416108</v>
      </c>
    </row>
    <row r="12" customFormat="false" ht="15" hidden="false" customHeight="false" outlineLevel="0" collapsed="false">
      <c r="A12" s="4" t="s">
        <v>10</v>
      </c>
      <c r="B12" s="8" t="n">
        <f aca="false">Supuestos!$B$41</f>
        <v>2.3594373640893</v>
      </c>
      <c r="C12" s="8" t="n">
        <f aca="false">Deuda!H22</f>
        <v>3.5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  <c r="B15" s="6" t="n">
        <f aca="false">Supuestos!$B$108</f>
        <v>1880.36835821122</v>
      </c>
    </row>
    <row r="16" customFormat="false" ht="15" hidden="false" customHeight="false" outlineLevel="0" collapsed="false">
      <c r="A16" s="4" t="s">
        <v>13</v>
      </c>
      <c r="B16" s="9" t="n">
        <f aca="false">DCF!C62</f>
        <v>-23.5563610310733</v>
      </c>
    </row>
    <row r="17" customFormat="false" ht="15" hidden="false" customHeight="false" outlineLevel="0" collapsed="false">
      <c r="A17" s="4" t="s">
        <v>14</v>
      </c>
      <c r="B17" s="6" t="n">
        <f aca="false">Supuestos!$B$110</f>
        <v>2094.57181982194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4" t="s">
        <v>24</v>
      </c>
    </row>
    <row r="31" customFormat="false" ht="15" hidden="false" customHeight="false" outlineLevel="0" collapsed="false">
      <c r="A31" s="10" t="s">
        <v>25</v>
      </c>
    </row>
    <row r="32" customFormat="false" ht="15" hidden="false" customHeight="false" outlineLevel="0" collapsed="false">
      <c r="A32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10"/>
  </cols>
  <sheetData>
    <row r="1" customFormat="false" ht="15.75" hidden="false" customHeight="tru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</row>
    <row r="6" customFormat="false" ht="15" hidden="false" customHeight="false" outlineLevel="0" collapsed="false">
      <c r="A6" s="3" t="s">
        <v>34</v>
      </c>
    </row>
    <row r="7" customFormat="false" ht="15" hidden="false" customHeight="false" outlineLevel="0" collapsed="false">
      <c r="A7" s="4" t="s">
        <v>35</v>
      </c>
      <c r="B7" s="12" t="s">
        <v>36</v>
      </c>
      <c r="C7" s="4" t="s">
        <v>37</v>
      </c>
      <c r="D7" s="4" t="s">
        <v>38</v>
      </c>
      <c r="E7" s="4" t="s">
        <v>39</v>
      </c>
    </row>
    <row r="8" customFormat="false" ht="15" hidden="false" customHeight="false" outlineLevel="0" collapsed="false">
      <c r="A8" s="4" t="s">
        <v>40</v>
      </c>
      <c r="B8" s="13" t="n">
        <v>3555</v>
      </c>
      <c r="C8" s="4" t="s">
        <v>41</v>
      </c>
      <c r="D8" s="4" t="s">
        <v>42</v>
      </c>
      <c r="E8" s="4" t="s">
        <v>43</v>
      </c>
    </row>
    <row r="9" customFormat="false" ht="15" hidden="false" customHeight="false" outlineLevel="0" collapsed="false">
      <c r="A9" s="4" t="s">
        <v>44</v>
      </c>
      <c r="B9" s="13" t="n">
        <v>2190</v>
      </c>
      <c r="C9" s="4" t="s">
        <v>45</v>
      </c>
      <c r="D9" s="4" t="s">
        <v>42</v>
      </c>
      <c r="E9" s="4" t="s">
        <v>46</v>
      </c>
    </row>
    <row r="10" customFormat="false" ht="15" hidden="false" customHeight="false" outlineLevel="0" collapsed="false">
      <c r="A10" s="4" t="s">
        <v>47</v>
      </c>
      <c r="B10" s="14" t="n">
        <v>1285740</v>
      </c>
      <c r="C10" s="4" t="s">
        <v>48</v>
      </c>
      <c r="D10" s="4" t="s">
        <v>42</v>
      </c>
      <c r="E10" s="4" t="s">
        <v>49</v>
      </c>
    </row>
    <row r="11" customFormat="false" ht="15" hidden="false" customHeight="false" outlineLevel="0" collapsed="false">
      <c r="A11" s="4" t="s">
        <v>50</v>
      </c>
      <c r="B11" s="14" t="n">
        <v>50841</v>
      </c>
      <c r="C11" s="4" t="s">
        <v>48</v>
      </c>
      <c r="D11" s="4" t="s">
        <v>42</v>
      </c>
      <c r="E11" s="4" t="s">
        <v>51</v>
      </c>
    </row>
    <row r="12" customFormat="false" ht="15" hidden="false" customHeight="false" outlineLevel="0" collapsed="false">
      <c r="A12" s="4" t="s">
        <v>52</v>
      </c>
      <c r="B12" s="14" t="n">
        <v>347621</v>
      </c>
      <c r="C12" s="4" t="s">
        <v>48</v>
      </c>
      <c r="D12" s="4" t="s">
        <v>42</v>
      </c>
      <c r="E12" s="4" t="s">
        <v>53</v>
      </c>
    </row>
    <row r="13" customFormat="false" ht="15" hidden="false" customHeight="false" outlineLevel="0" collapsed="false">
      <c r="A13" s="4" t="s">
        <v>54</v>
      </c>
      <c r="B13" s="14" t="n">
        <v>544935</v>
      </c>
      <c r="C13" s="4" t="s">
        <v>48</v>
      </c>
      <c r="D13" s="4" t="s">
        <v>42</v>
      </c>
      <c r="E13" s="4" t="s">
        <v>55</v>
      </c>
    </row>
    <row r="14" customFormat="false" ht="15" hidden="false" customHeight="false" outlineLevel="0" collapsed="false">
      <c r="A14" s="4" t="s">
        <v>56</v>
      </c>
      <c r="B14" s="14" t="n">
        <v>1311568.558</v>
      </c>
      <c r="C14" s="4" t="s">
        <v>48</v>
      </c>
      <c r="D14" s="4" t="s">
        <v>42</v>
      </c>
      <c r="E14" s="4" t="s">
        <v>57</v>
      </c>
    </row>
    <row r="16" customFormat="false" ht="15" hidden="false" customHeight="false" outlineLevel="0" collapsed="false">
      <c r="A16" s="3" t="s">
        <v>58</v>
      </c>
    </row>
    <row r="17" customFormat="false" ht="15" hidden="false" customHeight="false" outlineLevel="0" collapsed="false">
      <c r="A17" s="4" t="s">
        <v>59</v>
      </c>
      <c r="B17" s="15" t="n">
        <v>0.049778</v>
      </c>
      <c r="C17" s="4" t="s">
        <v>60</v>
      </c>
      <c r="D17" s="4" t="s">
        <v>42</v>
      </c>
      <c r="E17" s="4" t="s">
        <v>61</v>
      </c>
    </row>
    <row r="18" customFormat="false" ht="15" hidden="false" customHeight="false" outlineLevel="0" collapsed="false">
      <c r="A18" s="4" t="s">
        <v>62</v>
      </c>
      <c r="B18" s="15" t="n">
        <v>0.0543</v>
      </c>
      <c r="C18" s="4" t="s">
        <v>60</v>
      </c>
      <c r="D18" s="4" t="s">
        <v>42</v>
      </c>
      <c r="E18" s="4" t="s">
        <v>63</v>
      </c>
    </row>
    <row r="19" customFormat="false" ht="15" hidden="false" customHeight="false" outlineLevel="0" collapsed="false">
      <c r="A19" s="4" t="s">
        <v>64</v>
      </c>
      <c r="B19" s="16" t="n">
        <v>2</v>
      </c>
      <c r="C19" s="4" t="s">
        <v>65</v>
      </c>
      <c r="D19" s="4" t="s">
        <v>38</v>
      </c>
      <c r="E19" s="4" t="s">
        <v>66</v>
      </c>
    </row>
    <row r="20" customFormat="false" ht="15" hidden="false" customHeight="false" outlineLevel="0" collapsed="false">
      <c r="A20" s="4" t="s">
        <v>67</v>
      </c>
      <c r="B20" s="15" t="n">
        <v>0.022431</v>
      </c>
      <c r="C20" s="4" t="s">
        <v>60</v>
      </c>
      <c r="D20" s="4" t="s">
        <v>42</v>
      </c>
      <c r="E20" s="4" t="s">
        <v>68</v>
      </c>
    </row>
    <row r="21" customFormat="false" ht="15" hidden="false" customHeight="false" outlineLevel="0" collapsed="false">
      <c r="A21" s="4" t="s">
        <v>69</v>
      </c>
      <c r="B21" s="17" t="n">
        <v>1</v>
      </c>
      <c r="C21" s="4" t="s">
        <v>65</v>
      </c>
      <c r="D21" s="4" t="s">
        <v>38</v>
      </c>
      <c r="E21" s="4" t="s">
        <v>70</v>
      </c>
    </row>
    <row r="22" customFormat="false" ht="15" hidden="false" customHeight="false" outlineLevel="0" collapsed="false">
      <c r="A22" s="4" t="s">
        <v>71</v>
      </c>
      <c r="B22" s="15" t="n">
        <v>0.0414</v>
      </c>
      <c r="C22" s="4" t="s">
        <v>60</v>
      </c>
      <c r="D22" s="4" t="s">
        <v>42</v>
      </c>
      <c r="E22" s="4" t="s">
        <v>72</v>
      </c>
    </row>
    <row r="23" customFormat="false" ht="15" hidden="false" customHeight="false" outlineLevel="0" collapsed="false">
      <c r="A23" s="4" t="s">
        <v>73</v>
      </c>
      <c r="B23" s="15" t="n">
        <v>0.0104</v>
      </c>
      <c r="C23" s="4" t="s">
        <v>60</v>
      </c>
      <c r="D23" s="4" t="s">
        <v>42</v>
      </c>
      <c r="E23" s="4" t="s">
        <v>74</v>
      </c>
    </row>
    <row r="24" customFormat="false" ht="15" hidden="false" customHeight="false" outlineLevel="0" collapsed="false">
      <c r="A24" s="4" t="s">
        <v>75</v>
      </c>
      <c r="B24" s="15" t="n">
        <v>0.0155</v>
      </c>
      <c r="C24" s="4" t="s">
        <v>60</v>
      </c>
      <c r="D24" s="4" t="s">
        <v>42</v>
      </c>
      <c r="E24" s="4" t="s">
        <v>76</v>
      </c>
    </row>
    <row r="25" customFormat="false" ht="15" hidden="false" customHeight="false" outlineLevel="0" collapsed="false">
      <c r="A25" s="4" t="s">
        <v>77</v>
      </c>
      <c r="B25" s="15" t="n">
        <v>0.037</v>
      </c>
      <c r="C25" s="4" t="s">
        <v>60</v>
      </c>
      <c r="D25" s="4" t="s">
        <v>42</v>
      </c>
      <c r="E25" s="4" t="s">
        <v>78</v>
      </c>
    </row>
    <row r="26" customFormat="false" ht="15" hidden="false" customHeight="false" outlineLevel="0" collapsed="false">
      <c r="A26" s="4" t="s">
        <v>79</v>
      </c>
      <c r="B26" s="14" t="n">
        <v>677333</v>
      </c>
      <c r="C26" s="4" t="s">
        <v>48</v>
      </c>
      <c r="D26" s="4" t="s">
        <v>42</v>
      </c>
      <c r="E26" s="4" t="s">
        <v>80</v>
      </c>
    </row>
    <row r="27" customFormat="false" ht="15" hidden="false" customHeight="false" outlineLevel="0" collapsed="false">
      <c r="A27" s="4" t="s">
        <v>81</v>
      </c>
      <c r="B27" s="14" t="n">
        <v>486084</v>
      </c>
      <c r="C27" s="4" t="s">
        <v>48</v>
      </c>
      <c r="D27" s="4" t="s">
        <v>42</v>
      </c>
      <c r="E27" s="4" t="s">
        <v>82</v>
      </c>
    </row>
    <row r="28" customFormat="false" ht="15" hidden="false" customHeight="false" outlineLevel="0" collapsed="false">
      <c r="A28" s="4" t="s">
        <v>83</v>
      </c>
      <c r="B28" s="14" t="n">
        <v>463174</v>
      </c>
      <c r="C28" s="4" t="s">
        <v>84</v>
      </c>
      <c r="D28" s="4" t="s">
        <v>42</v>
      </c>
      <c r="E28" s="4" t="s">
        <v>85</v>
      </c>
    </row>
    <row r="29" customFormat="false" ht="15" hidden="false" customHeight="false" outlineLevel="0" collapsed="false">
      <c r="A29" s="4" t="s">
        <v>86</v>
      </c>
      <c r="B29" s="14" t="n">
        <v>275461</v>
      </c>
      <c r="C29" s="4" t="s">
        <v>87</v>
      </c>
      <c r="D29" s="4" t="s">
        <v>42</v>
      </c>
      <c r="E29" s="4" t="s">
        <v>88</v>
      </c>
    </row>
    <row r="30" customFormat="false" ht="15" hidden="false" customHeight="false" outlineLevel="0" collapsed="false">
      <c r="A30" s="4" t="s">
        <v>89</v>
      </c>
      <c r="B30" s="18" t="n">
        <v>922.21</v>
      </c>
      <c r="C30" s="4" t="s">
        <v>90</v>
      </c>
      <c r="D30" s="4" t="s">
        <v>42</v>
      </c>
      <c r="E30" s="4" t="s">
        <v>91</v>
      </c>
    </row>
    <row r="31" customFormat="false" ht="15" hidden="false" customHeight="false" outlineLevel="0" collapsed="false">
      <c r="A31" s="4" t="s">
        <v>92</v>
      </c>
      <c r="B31" s="19" t="n">
        <v>3.41</v>
      </c>
      <c r="C31" s="4" t="s">
        <v>93</v>
      </c>
      <c r="D31" s="4" t="s">
        <v>42</v>
      </c>
      <c r="E31" s="4" t="s">
        <v>94</v>
      </c>
    </row>
    <row r="32" customFormat="false" ht="15" hidden="false" customHeight="false" outlineLevel="0" collapsed="false">
      <c r="A32" s="4" t="s">
        <v>95</v>
      </c>
      <c r="B32" s="18" t="n">
        <v>3416.45</v>
      </c>
      <c r="C32" s="4" t="s">
        <v>96</v>
      </c>
      <c r="D32" s="4" t="s">
        <v>42</v>
      </c>
      <c r="E32" s="4" t="s">
        <v>97</v>
      </c>
    </row>
    <row r="33" customFormat="false" ht="15" hidden="false" customHeight="false" outlineLevel="0" collapsed="false">
      <c r="A33" s="4" t="s">
        <v>98</v>
      </c>
      <c r="B33" s="15" t="n">
        <v>0.036</v>
      </c>
      <c r="C33" s="4" t="s">
        <v>60</v>
      </c>
      <c r="D33" s="4" t="s">
        <v>42</v>
      </c>
      <c r="E33" s="4" t="s">
        <v>99</v>
      </c>
    </row>
    <row r="34" customFormat="false" ht="15" hidden="false" customHeight="false" outlineLevel="0" collapsed="false">
      <c r="A34" s="4" t="s">
        <v>100</v>
      </c>
      <c r="B34" s="15" t="n">
        <v>0.03</v>
      </c>
      <c r="C34" s="4" t="s">
        <v>60</v>
      </c>
      <c r="D34" s="4" t="s">
        <v>38</v>
      </c>
      <c r="E34" s="4" t="s">
        <v>101</v>
      </c>
    </row>
    <row r="35" customFormat="false" ht="15" hidden="false" customHeight="false" outlineLevel="0" collapsed="false">
      <c r="A35" s="4" t="s">
        <v>102</v>
      </c>
      <c r="B35" s="15" t="n">
        <v>0.27</v>
      </c>
      <c r="C35" s="4" t="s">
        <v>60</v>
      </c>
      <c r="D35" s="4" t="s">
        <v>42</v>
      </c>
      <c r="E35" s="4" t="s">
        <v>103</v>
      </c>
    </row>
    <row r="36" customFormat="false" ht="15" hidden="false" customHeight="false" outlineLevel="0" collapsed="false">
      <c r="A36" s="4" t="s">
        <v>104</v>
      </c>
      <c r="B36" s="14" t="n">
        <v>1579315.2</v>
      </c>
      <c r="C36" s="4" t="s">
        <v>48</v>
      </c>
      <c r="D36" s="4" t="s">
        <v>42</v>
      </c>
      <c r="E36" s="4" t="s">
        <v>105</v>
      </c>
    </row>
    <row r="37" customFormat="false" ht="15" hidden="false" customHeight="false" outlineLevel="0" collapsed="false">
      <c r="A37" s="4" t="s">
        <v>106</v>
      </c>
      <c r="B37" s="14" t="n">
        <v>7905900</v>
      </c>
      <c r="C37" s="4" t="s">
        <v>48</v>
      </c>
      <c r="D37" s="4" t="s">
        <v>42</v>
      </c>
      <c r="E37" s="4" t="s">
        <v>107</v>
      </c>
    </row>
    <row r="39" customFormat="false" ht="15" hidden="false" customHeight="false" outlineLevel="0" collapsed="false">
      <c r="A39" s="3" t="s">
        <v>108</v>
      </c>
    </row>
    <row r="40" customFormat="false" ht="15" hidden="false" customHeight="false" outlineLevel="0" collapsed="false">
      <c r="A40" s="4" t="s">
        <v>109</v>
      </c>
      <c r="B40" s="16" t="n">
        <v>1</v>
      </c>
      <c r="C40" s="4" t="s">
        <v>65</v>
      </c>
      <c r="D40" s="4" t="s">
        <v>38</v>
      </c>
      <c r="E40" s="4" t="s">
        <v>110</v>
      </c>
    </row>
    <row r="41" customFormat="false" ht="15" hidden="false" customHeight="false" outlineLevel="0" collapsed="false">
      <c r="A41" s="4" t="s">
        <v>111</v>
      </c>
      <c r="B41" s="20" t="n">
        <f aca="false">$B$10/$B$13</f>
        <v>2.3594373640893</v>
      </c>
      <c r="C41" s="4" t="s">
        <v>112</v>
      </c>
      <c r="D41" s="4" t="s">
        <v>113</v>
      </c>
      <c r="E41" s="4" t="s">
        <v>114</v>
      </c>
    </row>
    <row r="42" customFormat="false" ht="15" hidden="false" customHeight="false" outlineLevel="0" collapsed="false">
      <c r="A42" s="4" t="s">
        <v>115</v>
      </c>
      <c r="B42" s="21" t="n">
        <v>3.5</v>
      </c>
      <c r="C42" s="4" t="s">
        <v>112</v>
      </c>
      <c r="D42" s="4" t="s">
        <v>38</v>
      </c>
      <c r="E42" s="4" t="s">
        <v>116</v>
      </c>
    </row>
    <row r="43" customFormat="false" ht="15" hidden="false" customHeight="false" outlineLevel="0" collapsed="false">
      <c r="A43" s="4" t="s">
        <v>117</v>
      </c>
      <c r="B43" s="16" t="n">
        <v>2031</v>
      </c>
      <c r="C43" s="4" t="s">
        <v>118</v>
      </c>
      <c r="D43" s="4" t="s">
        <v>38</v>
      </c>
      <c r="E43" s="4" t="s">
        <v>119</v>
      </c>
    </row>
    <row r="44" customFormat="false" ht="15" hidden="false" customHeight="false" outlineLevel="0" collapsed="false">
      <c r="A44" s="4" t="s">
        <v>120</v>
      </c>
      <c r="B44" s="22" t="n">
        <f aca="false">$B$43-2026+0.5</f>
        <v>5.5</v>
      </c>
      <c r="C44" s="4" t="s">
        <v>121</v>
      </c>
      <c r="D44" s="4" t="s">
        <v>113</v>
      </c>
      <c r="E44" s="4" t="s">
        <v>122</v>
      </c>
    </row>
    <row r="45" customFormat="false" ht="15" hidden="false" customHeight="false" outlineLevel="0" collapsed="false">
      <c r="A45" s="4" t="s">
        <v>123</v>
      </c>
      <c r="B45" s="23" t="n">
        <v>0.0025</v>
      </c>
      <c r="C45" s="4" t="s">
        <v>60</v>
      </c>
      <c r="D45" s="4" t="s">
        <v>38</v>
      </c>
      <c r="E45" s="4" t="s">
        <v>124</v>
      </c>
    </row>
    <row r="46" customFormat="false" ht="15" hidden="false" customHeight="false" outlineLevel="0" collapsed="false">
      <c r="A46" s="4" t="s">
        <v>125</v>
      </c>
      <c r="B46" s="15" t="n">
        <v>0.0308</v>
      </c>
      <c r="C46" s="4" t="s">
        <v>60</v>
      </c>
      <c r="D46" s="4" t="s">
        <v>113</v>
      </c>
      <c r="E46" s="4" t="s">
        <v>126</v>
      </c>
    </row>
    <row r="47" customFormat="false" ht="15" hidden="false" customHeight="false" outlineLevel="0" collapsed="false">
      <c r="A47" s="4" t="s">
        <v>127</v>
      </c>
      <c r="B47" s="15" t="n">
        <v>0.79</v>
      </c>
      <c r="C47" s="4" t="s">
        <v>60</v>
      </c>
      <c r="D47" s="4" t="s">
        <v>42</v>
      </c>
      <c r="E47" s="4" t="s">
        <v>128</v>
      </c>
    </row>
    <row r="48" customFormat="false" ht="15" hidden="false" customHeight="false" outlineLevel="0" collapsed="false">
      <c r="A48" s="4" t="s">
        <v>129</v>
      </c>
      <c r="B48" s="15" t="n">
        <v>0.4</v>
      </c>
      <c r="C48" s="4" t="s">
        <v>60</v>
      </c>
      <c r="D48" s="4" t="s">
        <v>42</v>
      </c>
      <c r="E48" s="4" t="s">
        <v>130</v>
      </c>
    </row>
    <row r="49" customFormat="false" ht="15" hidden="false" customHeight="false" outlineLevel="0" collapsed="false">
      <c r="A49" s="4" t="s">
        <v>131</v>
      </c>
      <c r="B49" s="14" t="n">
        <v>147724.8</v>
      </c>
      <c r="C49" s="4" t="s">
        <v>48</v>
      </c>
      <c r="D49" s="4" t="s">
        <v>132</v>
      </c>
      <c r="E49" s="4" t="s">
        <v>133</v>
      </c>
    </row>
    <row r="50" customFormat="false" ht="15" hidden="false" customHeight="false" outlineLevel="0" collapsed="false">
      <c r="A50" s="4" t="s">
        <v>134</v>
      </c>
      <c r="B50" s="14" t="n">
        <v>87617</v>
      </c>
      <c r="C50" s="4" t="s">
        <v>48</v>
      </c>
      <c r="D50" s="4" t="s">
        <v>42</v>
      </c>
      <c r="E50" s="4" t="s">
        <v>135</v>
      </c>
    </row>
    <row r="51" customFormat="false" ht="15" hidden="false" customHeight="false" outlineLevel="0" collapsed="false">
      <c r="A51" s="4" t="s">
        <v>136</v>
      </c>
      <c r="B51" s="14" t="n">
        <v>380038.816382312</v>
      </c>
      <c r="C51" s="4" t="s">
        <v>48</v>
      </c>
      <c r="D51" s="4" t="s">
        <v>132</v>
      </c>
      <c r="E51" s="4" t="s">
        <v>137</v>
      </c>
    </row>
    <row r="53" customFormat="false" ht="15" hidden="false" customHeight="false" outlineLevel="0" collapsed="false">
      <c r="A53" s="3" t="s">
        <v>138</v>
      </c>
    </row>
    <row r="54" customFormat="false" ht="15" hidden="false" customHeight="false" outlineLevel="0" collapsed="false">
      <c r="A54" s="4" t="s">
        <v>139</v>
      </c>
      <c r="B54" s="14" t="n">
        <v>339530</v>
      </c>
      <c r="C54" s="4" t="s">
        <v>48</v>
      </c>
      <c r="D54" s="4" t="s">
        <v>42</v>
      </c>
      <c r="E54" s="4" t="s">
        <v>140</v>
      </c>
    </row>
    <row r="55" customFormat="false" ht="15" hidden="false" customHeight="false" outlineLevel="0" collapsed="false">
      <c r="A55" s="4" t="s">
        <v>141</v>
      </c>
      <c r="B55" s="14" t="n">
        <v>270574</v>
      </c>
      <c r="C55" s="4" t="s">
        <v>48</v>
      </c>
      <c r="D55" s="4" t="s">
        <v>42</v>
      </c>
      <c r="E55" s="4" t="s">
        <v>142</v>
      </c>
    </row>
    <row r="56" customFormat="false" ht="15" hidden="false" customHeight="false" outlineLevel="0" collapsed="false">
      <c r="A56" s="4" t="s">
        <v>143</v>
      </c>
      <c r="B56" s="14" t="n">
        <v>653911</v>
      </c>
      <c r="C56" s="4" t="s">
        <v>48</v>
      </c>
      <c r="D56" s="4" t="s">
        <v>42</v>
      </c>
      <c r="E56" s="4" t="s">
        <v>144</v>
      </c>
    </row>
    <row r="57" customFormat="false" ht="15" hidden="false" customHeight="false" outlineLevel="0" collapsed="false">
      <c r="A57" s="4" t="s">
        <v>145</v>
      </c>
      <c r="B57" s="15" t="n">
        <v>0.00703642078564015</v>
      </c>
      <c r="C57" s="4" t="s">
        <v>60</v>
      </c>
      <c r="D57" s="4" t="s">
        <v>113</v>
      </c>
      <c r="E57" s="4" t="s">
        <v>146</v>
      </c>
    </row>
    <row r="58" customFormat="false" ht="15" hidden="false" customHeight="false" outlineLevel="0" collapsed="false">
      <c r="A58" s="4" t="s">
        <v>147</v>
      </c>
      <c r="B58" s="15" t="n">
        <v>0.055</v>
      </c>
      <c r="C58" s="4" t="s">
        <v>60</v>
      </c>
      <c r="D58" s="4" t="s">
        <v>38</v>
      </c>
      <c r="E58" s="4" t="s">
        <v>148</v>
      </c>
    </row>
    <row r="59" customFormat="false" ht="15" hidden="false" customHeight="false" outlineLevel="0" collapsed="false">
      <c r="A59" s="4" t="s">
        <v>149</v>
      </c>
      <c r="B59" s="15" t="n">
        <v>0.27</v>
      </c>
      <c r="C59" s="4" t="s">
        <v>60</v>
      </c>
      <c r="D59" s="4" t="s">
        <v>38</v>
      </c>
      <c r="E59" s="4" t="s">
        <v>150</v>
      </c>
    </row>
    <row r="61" customFormat="false" ht="15" hidden="false" customHeight="false" outlineLevel="0" collapsed="false">
      <c r="A61" s="3" t="s">
        <v>151</v>
      </c>
    </row>
    <row r="62" customFormat="false" ht="15" hidden="false" customHeight="false" outlineLevel="0" collapsed="false">
      <c r="A62" s="4" t="s">
        <v>152</v>
      </c>
      <c r="B62" s="16" t="n">
        <v>1</v>
      </c>
      <c r="C62" s="4" t="s">
        <v>65</v>
      </c>
      <c r="D62" s="4" t="s">
        <v>38</v>
      </c>
      <c r="E62" s="4" t="s">
        <v>153</v>
      </c>
    </row>
    <row r="63" customFormat="false" ht="15" hidden="false" customHeight="false" outlineLevel="0" collapsed="false">
      <c r="A63" s="4" t="s">
        <v>154</v>
      </c>
      <c r="B63" s="13" t="n">
        <v>30458</v>
      </c>
      <c r="C63" s="4" t="s">
        <v>155</v>
      </c>
      <c r="D63" s="4" t="s">
        <v>42</v>
      </c>
      <c r="E63" s="4" t="s">
        <v>55</v>
      </c>
    </row>
    <row r="64" customFormat="false" ht="15" hidden="false" customHeight="false" outlineLevel="0" collapsed="false">
      <c r="A64" s="4" t="s">
        <v>156</v>
      </c>
      <c r="B64" s="13" t="n">
        <v>38618</v>
      </c>
      <c r="C64" s="4" t="s">
        <v>155</v>
      </c>
      <c r="D64" s="4" t="s">
        <v>42</v>
      </c>
      <c r="E64" s="4" t="s">
        <v>55</v>
      </c>
    </row>
    <row r="65" customFormat="false" ht="15" hidden="false" customHeight="false" outlineLevel="0" collapsed="false">
      <c r="A65" s="4" t="s">
        <v>157</v>
      </c>
      <c r="B65" s="13" t="n">
        <v>12150</v>
      </c>
      <c r="C65" s="4" t="s">
        <v>155</v>
      </c>
      <c r="D65" s="4" t="s">
        <v>42</v>
      </c>
      <c r="E65" s="4" t="s">
        <v>158</v>
      </c>
    </row>
    <row r="66" customFormat="false" ht="15" hidden="false" customHeight="false" outlineLevel="0" collapsed="false">
      <c r="A66" s="4" t="s">
        <v>159</v>
      </c>
      <c r="B66" s="24" t="n">
        <f aca="false">AVERAGE($B$63,$B$64,$B$65)</f>
        <v>27075.3333333333</v>
      </c>
      <c r="C66" s="4" t="s">
        <v>155</v>
      </c>
      <c r="D66" s="4" t="s">
        <v>113</v>
      </c>
      <c r="E66" s="4" t="s">
        <v>160</v>
      </c>
    </row>
    <row r="67" customFormat="false" ht="15" hidden="false" customHeight="false" outlineLevel="0" collapsed="false">
      <c r="A67" s="4" t="s">
        <v>161</v>
      </c>
      <c r="B67" s="17" t="n">
        <v>2029</v>
      </c>
      <c r="C67" s="4" t="s">
        <v>118</v>
      </c>
      <c r="D67" s="4" t="s">
        <v>38</v>
      </c>
      <c r="E67" s="4" t="s">
        <v>162</v>
      </c>
    </row>
    <row r="68" customFormat="false" ht="15" hidden="false" customHeight="false" outlineLevel="0" collapsed="false">
      <c r="A68" s="4" t="s">
        <v>163</v>
      </c>
      <c r="B68" s="15" t="n">
        <v>0.5</v>
      </c>
      <c r="C68" s="4" t="s">
        <v>60</v>
      </c>
      <c r="D68" s="4" t="s">
        <v>38</v>
      </c>
      <c r="E68" s="4" t="s">
        <v>164</v>
      </c>
    </row>
    <row r="69" customFormat="false" ht="15" hidden="false" customHeight="false" outlineLevel="0" collapsed="false">
      <c r="A69" s="4" t="s">
        <v>165</v>
      </c>
      <c r="B69" s="25" t="n">
        <v>613.2</v>
      </c>
      <c r="C69" s="4" t="s">
        <v>166</v>
      </c>
      <c r="D69" s="4" t="s">
        <v>42</v>
      </c>
      <c r="E69" s="4" t="s">
        <v>167</v>
      </c>
    </row>
    <row r="70" customFormat="false" ht="15" hidden="false" customHeight="false" outlineLevel="0" collapsed="false">
      <c r="A70" s="4" t="s">
        <v>168</v>
      </c>
      <c r="B70" s="13" t="n">
        <v>170200</v>
      </c>
      <c r="C70" s="4" t="s">
        <v>155</v>
      </c>
      <c r="D70" s="4" t="s">
        <v>42</v>
      </c>
      <c r="E70" s="4" t="s">
        <v>167</v>
      </c>
    </row>
    <row r="71" customFormat="false" ht="15" hidden="false" customHeight="false" outlineLevel="0" collapsed="false">
      <c r="A71" s="4" t="s">
        <v>169</v>
      </c>
      <c r="B71" s="26" t="n">
        <f aca="false">$B$69*1000000/$B$70</f>
        <v>3602.82021151586</v>
      </c>
      <c r="C71" s="4" t="s">
        <v>170</v>
      </c>
      <c r="D71" s="4" t="s">
        <v>113</v>
      </c>
      <c r="E71" s="4" t="s">
        <v>171</v>
      </c>
    </row>
    <row r="72" customFormat="false" ht="15" hidden="false" customHeight="false" outlineLevel="0" collapsed="false">
      <c r="A72" s="4" t="s">
        <v>172</v>
      </c>
      <c r="B72" s="18" t="n">
        <v>921</v>
      </c>
      <c r="C72" s="4" t="s">
        <v>90</v>
      </c>
      <c r="D72" s="4" t="s">
        <v>132</v>
      </c>
      <c r="E72" s="4" t="s">
        <v>173</v>
      </c>
    </row>
    <row r="73" customFormat="false" ht="15" hidden="false" customHeight="false" outlineLevel="0" collapsed="false">
      <c r="A73" s="4" t="s">
        <v>174</v>
      </c>
      <c r="B73" s="13" t="n">
        <v>67900</v>
      </c>
      <c r="C73" s="4" t="s">
        <v>155</v>
      </c>
      <c r="D73" s="4" t="s">
        <v>42</v>
      </c>
      <c r="E73" s="4" t="s">
        <v>175</v>
      </c>
    </row>
    <row r="74" customFormat="false" ht="15" hidden="false" customHeight="false" outlineLevel="0" collapsed="false">
      <c r="A74" s="4" t="s">
        <v>176</v>
      </c>
      <c r="B74" s="13" t="n">
        <v>55800</v>
      </c>
      <c r="C74" s="4" t="s">
        <v>155</v>
      </c>
      <c r="D74" s="4" t="s">
        <v>42</v>
      </c>
      <c r="E74" s="4" t="s">
        <v>177</v>
      </c>
    </row>
    <row r="75" customFormat="false" ht="15" hidden="false" customHeight="false" outlineLevel="0" collapsed="false">
      <c r="A75" s="4" t="s">
        <v>178</v>
      </c>
      <c r="B75" s="27" t="n">
        <f aca="false">$B$73/($B$73+$B$74)</f>
        <v>0.54890864995958</v>
      </c>
      <c r="C75" s="4" t="s">
        <v>60</v>
      </c>
      <c r="D75" s="4" t="s">
        <v>113</v>
      </c>
      <c r="E75" s="4" t="s">
        <v>179</v>
      </c>
    </row>
    <row r="76" customFormat="false" ht="15" hidden="false" customHeight="false" outlineLevel="0" collapsed="false">
      <c r="A76" s="4" t="s">
        <v>180</v>
      </c>
      <c r="B76" s="15" t="n">
        <v>0.8</v>
      </c>
      <c r="C76" s="4" t="s">
        <v>60</v>
      </c>
      <c r="D76" s="4" t="s">
        <v>38</v>
      </c>
      <c r="E76" s="4" t="s">
        <v>181</v>
      </c>
    </row>
    <row r="77" customFormat="false" ht="15" hidden="false" customHeight="false" outlineLevel="0" collapsed="false">
      <c r="A77" s="4" t="s">
        <v>182</v>
      </c>
      <c r="B77" s="15" t="n">
        <v>0.82</v>
      </c>
      <c r="C77" s="4" t="s">
        <v>60</v>
      </c>
      <c r="D77" s="4" t="s">
        <v>38</v>
      </c>
      <c r="E77" s="4" t="s">
        <v>181</v>
      </c>
    </row>
    <row r="78" customFormat="false" ht="15" hidden="false" customHeight="false" outlineLevel="0" collapsed="false">
      <c r="A78" s="4" t="s">
        <v>183</v>
      </c>
      <c r="B78" s="15" t="n">
        <v>0.35</v>
      </c>
      <c r="C78" s="4" t="s">
        <v>60</v>
      </c>
      <c r="D78" s="4" t="s">
        <v>38</v>
      </c>
      <c r="E78" s="4" t="s">
        <v>184</v>
      </c>
    </row>
    <row r="79" customFormat="false" ht="15" hidden="false" customHeight="false" outlineLevel="0" collapsed="false">
      <c r="A79" s="4" t="s">
        <v>185</v>
      </c>
      <c r="B79" s="15" t="n">
        <v>0.9</v>
      </c>
      <c r="C79" s="4" t="s">
        <v>60</v>
      </c>
      <c r="D79" s="4" t="s">
        <v>38</v>
      </c>
      <c r="E79" s="4" t="s">
        <v>181</v>
      </c>
    </row>
    <row r="80" customFormat="false" ht="15" hidden="false" customHeight="false" outlineLevel="0" collapsed="false">
      <c r="A80" s="4" t="s">
        <v>186</v>
      </c>
      <c r="B80" s="15" t="n">
        <v>1</v>
      </c>
      <c r="C80" s="4" t="s">
        <v>60</v>
      </c>
      <c r="D80" s="4" t="s">
        <v>38</v>
      </c>
      <c r="E80" s="4" t="s">
        <v>181</v>
      </c>
    </row>
    <row r="81" customFormat="false" ht="15" hidden="false" customHeight="false" outlineLevel="0" collapsed="false">
      <c r="A81" s="4" t="s">
        <v>187</v>
      </c>
      <c r="B81" s="15"/>
      <c r="C81" s="4" t="s">
        <v>60</v>
      </c>
      <c r="D81" s="4" t="s">
        <v>38</v>
      </c>
      <c r="E81" s="4" t="s">
        <v>188</v>
      </c>
    </row>
    <row r="83" customFormat="false" ht="15" hidden="false" customHeight="false" outlineLevel="0" collapsed="false">
      <c r="A83" s="3" t="s">
        <v>189</v>
      </c>
    </row>
    <row r="84" customFormat="false" ht="15" hidden="false" customHeight="false" outlineLevel="0" collapsed="false">
      <c r="A84" s="4" t="s">
        <v>190</v>
      </c>
      <c r="B84" s="17" t="n">
        <v>1</v>
      </c>
      <c r="C84" s="4" t="s">
        <v>65</v>
      </c>
      <c r="D84" s="4" t="s">
        <v>38</v>
      </c>
      <c r="E84" s="4" t="s">
        <v>191</v>
      </c>
    </row>
    <row r="85" customFormat="false" ht="15" hidden="false" customHeight="false" outlineLevel="0" collapsed="false">
      <c r="A85" s="4" t="s">
        <v>192</v>
      </c>
      <c r="B85" s="7" t="n">
        <f aca="false">Capital_Trabajo!F20</f>
        <v>0.156043408047884</v>
      </c>
      <c r="C85" s="4" t="s">
        <v>60</v>
      </c>
      <c r="D85" s="4" t="s">
        <v>113</v>
      </c>
      <c r="E85" s="4" t="s">
        <v>193</v>
      </c>
    </row>
    <row r="87" customFormat="false" ht="15" hidden="false" customHeight="false" outlineLevel="0" collapsed="false">
      <c r="A87" s="3" t="s">
        <v>194</v>
      </c>
    </row>
    <row r="88" customFormat="false" ht="15" hidden="false" customHeight="false" outlineLevel="0" collapsed="false">
      <c r="A88" s="4" t="s">
        <v>195</v>
      </c>
      <c r="B88" s="23" t="n">
        <v>0.03</v>
      </c>
      <c r="C88" s="4" t="s">
        <v>60</v>
      </c>
      <c r="D88" s="4" t="s">
        <v>38</v>
      </c>
      <c r="E88" s="4" t="s">
        <v>196</v>
      </c>
    </row>
    <row r="89" customFormat="false" ht="15" hidden="false" customHeight="false" outlineLevel="0" collapsed="false">
      <c r="A89" s="4" t="s">
        <v>197</v>
      </c>
      <c r="B89" s="27" t="n">
        <f aca="false">(1+$B$88)/(1+$B$34)-1</f>
        <v>0</v>
      </c>
      <c r="C89" s="4" t="s">
        <v>60</v>
      </c>
      <c r="D89" s="4" t="s">
        <v>113</v>
      </c>
      <c r="E89" s="4" t="s">
        <v>198</v>
      </c>
    </row>
    <row r="91" customFormat="false" ht="15" hidden="false" customHeight="false" outlineLevel="0" collapsed="false">
      <c r="A91" s="3" t="s">
        <v>199</v>
      </c>
    </row>
    <row r="92" customFormat="false" ht="15" hidden="false" customHeight="false" outlineLevel="0" collapsed="false">
      <c r="A92" s="4" t="s">
        <v>200</v>
      </c>
      <c r="B92" s="23" t="n">
        <v>0.8</v>
      </c>
      <c r="C92" s="4" t="s">
        <v>60</v>
      </c>
      <c r="D92" s="4" t="s">
        <v>38</v>
      </c>
      <c r="E92" s="4" t="s">
        <v>201</v>
      </c>
    </row>
    <row r="93" customFormat="false" ht="15" hidden="false" customHeight="false" outlineLevel="0" collapsed="false">
      <c r="A93" s="4" t="s">
        <v>202</v>
      </c>
      <c r="B93" s="15" t="n">
        <v>0.7</v>
      </c>
      <c r="C93" s="4" t="s">
        <v>60</v>
      </c>
      <c r="D93" s="4" t="s">
        <v>38</v>
      </c>
      <c r="E93" s="4" t="s">
        <v>203</v>
      </c>
    </row>
    <row r="94" customFormat="false" ht="15" hidden="false" customHeight="false" outlineLevel="0" collapsed="false">
      <c r="A94" s="4" t="s">
        <v>204</v>
      </c>
      <c r="B94" s="17" t="n">
        <v>100</v>
      </c>
      <c r="C94" s="4" t="s">
        <v>112</v>
      </c>
      <c r="D94" s="4" t="s">
        <v>38</v>
      </c>
      <c r="E94" s="4" t="s">
        <v>205</v>
      </c>
    </row>
    <row r="96" customFormat="false" ht="15" hidden="false" customHeight="false" outlineLevel="0" collapsed="false">
      <c r="A96" s="3" t="s">
        <v>206</v>
      </c>
    </row>
    <row r="97" customFormat="false" ht="15" hidden="false" customHeight="false" outlineLevel="0" collapsed="false">
      <c r="A97" s="4" t="s">
        <v>207</v>
      </c>
      <c r="B97" s="17" t="n">
        <v>1</v>
      </c>
      <c r="C97" s="4"/>
      <c r="D97" s="4" t="s">
        <v>42</v>
      </c>
      <c r="E97" s="4" t="s">
        <v>208</v>
      </c>
    </row>
    <row r="98" customFormat="false" ht="15" hidden="false" customHeight="false" outlineLevel="0" collapsed="false">
      <c r="A98" s="4" t="s">
        <v>209</v>
      </c>
      <c r="B98" s="28" t="n">
        <v>5.163</v>
      </c>
      <c r="C98" s="4" t="s">
        <v>210</v>
      </c>
      <c r="D98" s="4" t="s">
        <v>42</v>
      </c>
      <c r="E98" s="4" t="s">
        <v>211</v>
      </c>
    </row>
    <row r="99" customFormat="false" ht="15" hidden="false" customHeight="false" outlineLevel="0" collapsed="false">
      <c r="A99" s="4" t="s">
        <v>212</v>
      </c>
      <c r="B99" s="29" t="n">
        <v>17.4986</v>
      </c>
      <c r="C99" s="4" t="s">
        <v>213</v>
      </c>
      <c r="D99" s="4" t="s">
        <v>42</v>
      </c>
      <c r="E99" s="4" t="s">
        <v>214</v>
      </c>
    </row>
    <row r="100" customFormat="false" ht="15" hidden="false" customHeight="false" outlineLevel="0" collapsed="false">
      <c r="A100" s="4" t="s">
        <v>215</v>
      </c>
      <c r="B100" s="13" t="n">
        <v>1482</v>
      </c>
      <c r="C100" s="4" t="s">
        <v>216</v>
      </c>
      <c r="D100" s="4" t="s">
        <v>42</v>
      </c>
      <c r="E100" s="4" t="s">
        <v>217</v>
      </c>
    </row>
    <row r="101" customFormat="false" ht="15" hidden="false" customHeight="false" outlineLevel="0" collapsed="false">
      <c r="A101" s="4" t="s">
        <v>218</v>
      </c>
      <c r="B101" s="17" t="n">
        <v>1</v>
      </c>
      <c r="C101" s="4" t="s">
        <v>41</v>
      </c>
      <c r="D101" s="4" t="s">
        <v>42</v>
      </c>
      <c r="E101" s="4" t="s">
        <v>208</v>
      </c>
    </row>
    <row r="102" customFormat="false" ht="15" hidden="false" customHeight="false" outlineLevel="0" collapsed="false">
      <c r="A102" s="4" t="s">
        <v>219</v>
      </c>
      <c r="B102" s="18" t="n">
        <v>922.34</v>
      </c>
      <c r="C102" s="4" t="s">
        <v>41</v>
      </c>
      <c r="D102" s="4" t="s">
        <v>42</v>
      </c>
      <c r="E102" s="4" t="s">
        <v>220</v>
      </c>
    </row>
    <row r="103" customFormat="false" ht="15" hidden="false" customHeight="false" outlineLevel="0" collapsed="false">
      <c r="A103" s="4" t="s">
        <v>221</v>
      </c>
      <c r="B103" s="30" t="n">
        <f aca="false">$B$102/$B$98</f>
        <v>178.644199109045</v>
      </c>
      <c r="C103" s="4" t="s">
        <v>41</v>
      </c>
      <c r="D103" s="4" t="s">
        <v>113</v>
      </c>
      <c r="E103" s="4"/>
    </row>
    <row r="104" customFormat="false" ht="15" hidden="false" customHeight="false" outlineLevel="0" collapsed="false">
      <c r="A104" s="4" t="s">
        <v>222</v>
      </c>
      <c r="B104" s="30" t="n">
        <f aca="false">$B$102/$B$99</f>
        <v>52.7093596059113</v>
      </c>
      <c r="C104" s="4" t="s">
        <v>41</v>
      </c>
      <c r="D104" s="4" t="s">
        <v>113</v>
      </c>
      <c r="E104" s="4"/>
    </row>
    <row r="105" customFormat="false" ht="15" hidden="false" customHeight="false" outlineLevel="0" collapsed="false">
      <c r="A105" s="4" t="s">
        <v>223</v>
      </c>
      <c r="B105" s="31" t="n">
        <f aca="false">$B$102/$B$100</f>
        <v>0.622361673414305</v>
      </c>
      <c r="C105" s="4" t="s">
        <v>41</v>
      </c>
      <c r="D105" s="4" t="s">
        <v>113</v>
      </c>
      <c r="E105" s="4"/>
    </row>
    <row r="107" customFormat="false" ht="15" hidden="false" customHeight="false" outlineLevel="0" collapsed="false">
      <c r="A107" s="3" t="s">
        <v>224</v>
      </c>
    </row>
    <row r="108" customFormat="false" ht="15" hidden="false" customHeight="false" outlineLevel="0" collapsed="false">
      <c r="A108" s="4" t="s">
        <v>225</v>
      </c>
      <c r="B108" s="13" t="n">
        <v>1880.36835821122</v>
      </c>
      <c r="C108" s="4" t="s">
        <v>41</v>
      </c>
      <c r="D108" s="4" t="s">
        <v>113</v>
      </c>
      <c r="E108" s="4" t="s">
        <v>226</v>
      </c>
    </row>
    <row r="109" customFormat="false" ht="15" hidden="false" customHeight="false" outlineLevel="0" collapsed="false">
      <c r="A109" s="4" t="s">
        <v>227</v>
      </c>
      <c r="B109" s="15" t="n">
        <v>0.103663074859808</v>
      </c>
      <c r="C109" s="4" t="s">
        <v>60</v>
      </c>
      <c r="D109" s="4" t="s">
        <v>113</v>
      </c>
      <c r="E109" s="4" t="s">
        <v>228</v>
      </c>
    </row>
    <row r="110" customFormat="false" ht="15" hidden="false" customHeight="false" outlineLevel="0" collapsed="false">
      <c r="A110" s="4" t="s">
        <v>229</v>
      </c>
      <c r="B110" s="13" t="n">
        <v>2094.57181982194</v>
      </c>
      <c r="C110" s="4" t="s">
        <v>41</v>
      </c>
      <c r="D110" s="4" t="s">
        <v>113</v>
      </c>
      <c r="E110" s="4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9" min="3" style="0" width="13"/>
    <col collapsed="false" customWidth="true" hidden="false" outlineLevel="0" max="10" min="10" style="0" width="80"/>
  </cols>
  <sheetData>
    <row r="1" customFormat="false" ht="15.75" hidden="false" customHeight="tru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3" t="s">
        <v>233</v>
      </c>
    </row>
    <row r="5" customFormat="false" ht="15" hidden="false" customHeight="false" outlineLevel="0" collapsed="false">
      <c r="A5" s="11" t="s">
        <v>234</v>
      </c>
      <c r="B5" s="11" t="s">
        <v>235</v>
      </c>
      <c r="C5" s="11" t="s">
        <v>236</v>
      </c>
      <c r="D5" s="11" t="s">
        <v>237</v>
      </c>
      <c r="E5" s="11" t="s">
        <v>238</v>
      </c>
      <c r="F5" s="11" t="s">
        <v>239</v>
      </c>
      <c r="G5" s="11" t="s">
        <v>240</v>
      </c>
      <c r="H5" s="11" t="s">
        <v>241</v>
      </c>
      <c r="I5" s="11" t="s">
        <v>242</v>
      </c>
      <c r="J5" s="11" t="s">
        <v>243</v>
      </c>
    </row>
    <row r="6" customFormat="false" ht="15" hidden="false" customHeight="false" outlineLevel="0" collapsed="false">
      <c r="A6" s="4" t="s">
        <v>244</v>
      </c>
      <c r="B6" s="4" t="s">
        <v>245</v>
      </c>
      <c r="C6" s="4" t="s">
        <v>246</v>
      </c>
      <c r="D6" s="28" t="n">
        <v>1.25</v>
      </c>
      <c r="E6" s="14" t="n">
        <v>1700506.9</v>
      </c>
      <c r="F6" s="14" t="n">
        <v>3828031</v>
      </c>
      <c r="G6" s="15" t="n">
        <v>0.27</v>
      </c>
      <c r="H6" s="32" t="n">
        <f aca="false">D6/(1+(1-G6)*E6/F6)</f>
        <v>0.943906137051591</v>
      </c>
      <c r="I6" s="33" t="n">
        <f aca="false">IF(COUNTIFS(Comparables!$B$5:$B$12,B6,Comparables!$D$5:$D$12,1)&gt;0,1,0)</f>
        <v>1</v>
      </c>
      <c r="J6" s="32" t="n">
        <f aca="false">IF(I6=1,H6,"")</f>
        <v>0.943906137051591</v>
      </c>
    </row>
    <row r="7" customFormat="false" ht="15" hidden="false" customHeight="false" outlineLevel="0" collapsed="false">
      <c r="A7" s="4" t="s">
        <v>247</v>
      </c>
      <c r="B7" s="4" t="s">
        <v>248</v>
      </c>
      <c r="C7" s="4" t="s">
        <v>246</v>
      </c>
      <c r="D7" s="28" t="n">
        <v>1.075</v>
      </c>
      <c r="E7" s="14" t="n">
        <v>762153.7</v>
      </c>
      <c r="F7" s="14" t="n">
        <v>3942858</v>
      </c>
      <c r="G7" s="15" t="n">
        <v>0.27</v>
      </c>
      <c r="H7" s="32" t="n">
        <f aca="false">D7/(1+(1-G7)*E7/F7)</f>
        <v>0.942066122568686</v>
      </c>
      <c r="I7" s="33" t="n">
        <f aca="false">IF(COUNTIFS(Comparables!$B$5:$B$12,B7,Comparables!$D$5:$D$12,1)&gt;0,1,0)</f>
        <v>1</v>
      </c>
      <c r="J7" s="32" t="n">
        <f aca="false">IF(I7=1,H7,"")</f>
        <v>0.942066122568686</v>
      </c>
    </row>
    <row r="8" customFormat="false" ht="15" hidden="false" customHeight="false" outlineLevel="0" collapsed="false">
      <c r="A8" s="4" t="s">
        <v>249</v>
      </c>
      <c r="B8" s="4" t="s">
        <v>250</v>
      </c>
      <c r="C8" s="4" t="s">
        <v>251</v>
      </c>
      <c r="D8" s="28" t="n">
        <v>1.164</v>
      </c>
      <c r="E8" s="14" t="n">
        <v>960191</v>
      </c>
      <c r="F8" s="14" t="n">
        <v>2712166.2</v>
      </c>
      <c r="G8" s="15" t="n">
        <v>0.34</v>
      </c>
      <c r="H8" s="32" t="n">
        <f aca="false">D8/(1+(1-G8)*E8/F8)</f>
        <v>0.943533506604902</v>
      </c>
      <c r="I8" s="33" t="n">
        <f aca="false">IF(COUNTIFS(Comparables!$B$5:$B$12,B8,Comparables!$D$5:$D$12,1)&gt;0,1,0)</f>
        <v>1</v>
      </c>
      <c r="J8" s="32" t="n">
        <f aca="false">IF(I8=1,H8,"")</f>
        <v>0.943533506604902</v>
      </c>
    </row>
    <row r="9" customFormat="false" ht="15" hidden="false" customHeight="false" outlineLevel="0" collapsed="false">
      <c r="A9" s="4" t="s">
        <v>252</v>
      </c>
      <c r="B9" s="4" t="s">
        <v>253</v>
      </c>
      <c r="C9" s="4" t="s">
        <v>251</v>
      </c>
      <c r="D9" s="28" t="n">
        <v>0.908</v>
      </c>
      <c r="E9" s="14" t="n">
        <v>647396.6</v>
      </c>
      <c r="F9" s="14" t="n">
        <v>1421560.1</v>
      </c>
      <c r="G9" s="15" t="n">
        <v>0.34</v>
      </c>
      <c r="H9" s="32" t="n">
        <f aca="false">D9/(1+(1-G9)*E9/F9)</f>
        <v>0.698154126385161</v>
      </c>
      <c r="I9" s="33" t="n">
        <f aca="false">IF(COUNTIFS(Comparables!$B$5:$B$12,B9,Comparables!$D$5:$D$12,1)&gt;0,1,0)</f>
        <v>1</v>
      </c>
      <c r="J9" s="32" t="n">
        <f aca="false">IF(I9=1,H9,"")</f>
        <v>0.698154126385161</v>
      </c>
    </row>
    <row r="10" customFormat="false" ht="15" hidden="false" customHeight="false" outlineLevel="0" collapsed="false">
      <c r="A10" s="4" t="s">
        <v>254</v>
      </c>
      <c r="B10" s="4" t="s">
        <v>255</v>
      </c>
      <c r="C10" s="4" t="s">
        <v>256</v>
      </c>
      <c r="D10" s="28" t="n">
        <v>0.025</v>
      </c>
      <c r="E10" s="14" t="n">
        <v>203967.5</v>
      </c>
      <c r="F10" s="14" t="n">
        <v>489349.7</v>
      </c>
      <c r="G10" s="15" t="n">
        <v>0.3</v>
      </c>
      <c r="H10" s="32" t="n">
        <f aca="false">D10/(1+(1-G10)*E10/F10)</f>
        <v>0.0193532999977299</v>
      </c>
      <c r="I10" s="33" t="n">
        <f aca="false">IF(COUNTIFS(Comparables!$B$5:$B$12,B10,Comparables!$D$5:$D$12,1)&gt;0,1,0)</f>
        <v>0</v>
      </c>
      <c r="J10" s="32" t="str">
        <f aca="false">IF(I10=1,H10,"")</f>
        <v/>
      </c>
    </row>
    <row r="11" customFormat="false" ht="15" hidden="false" customHeight="false" outlineLevel="0" collapsed="false">
      <c r="A11" s="4" t="s">
        <v>257</v>
      </c>
      <c r="B11" s="4" t="s">
        <v>258</v>
      </c>
      <c r="C11" s="4" t="s">
        <v>259</v>
      </c>
      <c r="D11" s="28" t="n">
        <v>0.427</v>
      </c>
      <c r="E11" s="14" t="n">
        <v>625046.5</v>
      </c>
      <c r="F11" s="14" t="n">
        <v>1218777.1</v>
      </c>
      <c r="G11" s="15" t="n">
        <v>0.35</v>
      </c>
      <c r="H11" s="32" t="n">
        <f aca="false">D11/(1+(1-G11)*E11/F11)</f>
        <v>0.320245823758863</v>
      </c>
      <c r="I11" s="33" t="n">
        <f aca="false">IF(COUNTIFS(Comparables!$B$5:$B$12,B11,Comparables!$D$5:$D$12,1)&gt;0,1,0)</f>
        <v>1</v>
      </c>
      <c r="J11" s="32" t="n">
        <f aca="false">IF(I11=1,H11,"")</f>
        <v>0.320245823758863</v>
      </c>
    </row>
    <row r="12" customFormat="false" ht="15" hidden="false" customHeight="false" outlineLevel="0" collapsed="false">
      <c r="A12" s="4" t="s">
        <v>260</v>
      </c>
      <c r="B12" s="4" t="s">
        <v>261</v>
      </c>
      <c r="C12" s="4" t="s">
        <v>251</v>
      </c>
      <c r="D12" s="28" t="n">
        <v>1.219</v>
      </c>
      <c r="E12" s="14" t="n">
        <v>191478.3</v>
      </c>
      <c r="F12" s="14" t="n">
        <v>2959844.9</v>
      </c>
      <c r="G12" s="15" t="n">
        <v>0.34</v>
      </c>
      <c r="H12" s="32" t="n">
        <f aca="false">D12/(1+(1-G12)*E12/F12)</f>
        <v>1.16908394650073</v>
      </c>
      <c r="I12" s="33" t="n">
        <f aca="false">IF(COUNTIFS(Comparables!$B$5:$B$12,B12,Comparables!$D$5:$D$12,1)&gt;0,1,0)</f>
        <v>1</v>
      </c>
      <c r="J12" s="32" t="n">
        <f aca="false">IF(I12=1,H12,"")</f>
        <v>1.16908394650073</v>
      </c>
    </row>
    <row r="13" customFormat="false" ht="15" hidden="false" customHeight="false" outlineLevel="0" collapsed="false">
      <c r="A13" s="3" t="s">
        <v>262</v>
      </c>
      <c r="H13" s="34" t="n">
        <f aca="false">MEDIAN(J6:J12)</f>
        <v>0.942799814586794</v>
      </c>
      <c r="I13" s="4" t="n">
        <f aca="false">COUNT(J6:J12)</f>
        <v>6</v>
      </c>
    </row>
    <row r="15" customFormat="false" ht="15" hidden="false" customHeight="false" outlineLevel="0" collapsed="false">
      <c r="A15" s="3" t="s">
        <v>263</v>
      </c>
    </row>
    <row r="16" customFormat="false" ht="15" hidden="false" customHeight="false" outlineLevel="0" collapsed="false">
      <c r="A16" s="4" t="s">
        <v>264</v>
      </c>
      <c r="C16" s="27" t="n">
        <f aca="false">Supuestos!$B$27/Supuestos!$B$26</f>
        <v>0.717644053958688</v>
      </c>
    </row>
    <row r="17" customFormat="false" ht="15" hidden="false" customHeight="false" outlineLevel="0" collapsed="false">
      <c r="A17" s="4" t="s">
        <v>265</v>
      </c>
      <c r="C17" s="35" t="n">
        <f aca="false">Supuestos!$B$28/Supuestos!$B$31*Supuestos!$B$30/1000</f>
        <v>125262.080510264</v>
      </c>
    </row>
    <row r="18" customFormat="false" ht="15" hidden="false" customHeight="false" outlineLevel="0" collapsed="false">
      <c r="A18" s="4" t="s">
        <v>266</v>
      </c>
      <c r="C18" s="35" t="n">
        <f aca="false">Supuestos!$B$29/Supuestos!$B$32*Supuestos!$B$30</f>
        <v>74355.8046539537</v>
      </c>
    </row>
    <row r="19" customFormat="false" ht="15" hidden="false" customHeight="false" outlineLevel="0" collapsed="false">
      <c r="A19" s="4" t="s">
        <v>267</v>
      </c>
      <c r="C19" s="27" t="n">
        <f aca="false">(1-$C$16)*$C$17/($C$17+$C$18)</f>
        <v>0.17718098364023</v>
      </c>
    </row>
    <row r="20" customFormat="false" ht="15" hidden="false" customHeight="false" outlineLevel="0" collapsed="false">
      <c r="A20" s="4" t="s">
        <v>268</v>
      </c>
      <c r="C20" s="27" t="n">
        <f aca="false">(1-$C$16)*$C$18/($C$17+$C$18)</f>
        <v>0.105174962401082</v>
      </c>
    </row>
    <row r="21" customFormat="false" ht="15" hidden="false" customHeight="false" outlineLevel="0" collapsed="false">
      <c r="A21" s="3" t="s">
        <v>269</v>
      </c>
      <c r="C21" s="36" t="n">
        <f aca="false">$C$16*Supuestos!$B$23+$C$19*Supuestos!$B$24+$C$20*Supuestos!$B$25</f>
        <v>0.014101277016434</v>
      </c>
    </row>
    <row r="22" customFormat="false" ht="15" hidden="false" customHeight="false" outlineLevel="0" collapsed="false">
      <c r="A22" s="4" t="s">
        <v>270</v>
      </c>
      <c r="C22" s="27" t="n">
        <f aca="false">IF(Supuestos!$B$19=1,Supuestos!$B$18,Supuestos!$B$17)</f>
        <v>0.049778</v>
      </c>
    </row>
    <row r="24" customFormat="false" ht="15" hidden="false" customHeight="false" outlineLevel="0" collapsed="false">
      <c r="A24" s="3" t="s">
        <v>271</v>
      </c>
    </row>
    <row r="25" customFormat="false" ht="15" hidden="false" customHeight="false" outlineLevel="0" collapsed="false">
      <c r="A25" s="4" t="s">
        <v>272</v>
      </c>
      <c r="C25" s="36" t="n">
        <f aca="false">Supuestos!$B$36/Supuestos!$B$37</f>
        <v>0.199764125526506</v>
      </c>
      <c r="D25" s="2" t="s">
        <v>273</v>
      </c>
    </row>
    <row r="26" customFormat="false" ht="15" hidden="false" customHeight="false" outlineLevel="0" collapsed="false">
      <c r="A26" s="4" t="s">
        <v>274</v>
      </c>
      <c r="C26" s="35" t="n">
        <f aca="false">Supuestos!$B$42*Supuestos!$B$13+Supuestos!$B$12</f>
        <v>2254893.5</v>
      </c>
    </row>
    <row r="27" customFormat="false" ht="15" hidden="false" customHeight="false" outlineLevel="0" collapsed="false">
      <c r="A27" s="4" t="s">
        <v>275</v>
      </c>
      <c r="C27" s="36" t="n">
        <f aca="false">C26/Supuestos!$B$37</f>
        <v>0.285216547135683</v>
      </c>
      <c r="D27" s="2" t="s">
        <v>276</v>
      </c>
    </row>
    <row r="28" customFormat="false" ht="15" hidden="false" customHeight="false" outlineLevel="0" collapsed="false">
      <c r="A28" s="4" t="s">
        <v>277</v>
      </c>
      <c r="C28" s="27" t="n">
        <f aca="false">Supuestos!$B$18+$H$13*(1+(1-Supuestos!$B$35)*Supuestos!$B$36/Supuestos!$B$37)*Supuestos!$B$22+$C$21</f>
        <v>0.113125127698424</v>
      </c>
      <c r="D28" s="2" t="s">
        <v>278</v>
      </c>
    </row>
    <row r="30" customFormat="false" ht="15" hidden="false" customHeight="false" outlineLevel="0" collapsed="false">
      <c r="A30" s="3" t="s">
        <v>279</v>
      </c>
    </row>
    <row r="31" customFormat="false" ht="15" hidden="false" customHeight="false" outlineLevel="0" collapsed="false">
      <c r="A31" s="11" t="s">
        <v>29</v>
      </c>
      <c r="B31" s="37"/>
      <c r="C31" s="38" t="s">
        <v>280</v>
      </c>
      <c r="D31" s="38" t="s">
        <v>281</v>
      </c>
      <c r="E31" s="38" t="s">
        <v>282</v>
      </c>
      <c r="F31" s="38" t="s">
        <v>283</v>
      </c>
      <c r="G31" s="38" t="s">
        <v>284</v>
      </c>
      <c r="H31" s="38" t="s">
        <v>285</v>
      </c>
      <c r="I31" s="38" t="s">
        <v>286</v>
      </c>
    </row>
    <row r="32" customFormat="false" ht="15" hidden="false" customHeight="false" outlineLevel="0" collapsed="false">
      <c r="A32" s="4" t="s">
        <v>287</v>
      </c>
      <c r="C32" s="8" t="n">
        <f aca="false">Deuda!C22</f>
        <v>2.46312487644481</v>
      </c>
      <c r="D32" s="8" t="n">
        <f aca="false">Deuda!D22</f>
        <v>2.67049990115585</v>
      </c>
      <c r="E32" s="8" t="n">
        <f aca="false">Deuda!E22</f>
        <v>2.87787492586689</v>
      </c>
      <c r="F32" s="8" t="n">
        <f aca="false">Deuda!F22</f>
        <v>3.08524995057793</v>
      </c>
      <c r="G32" s="8" t="n">
        <f aca="false">Deuda!G22</f>
        <v>3.29262497528896</v>
      </c>
      <c r="H32" s="8" t="n">
        <f aca="false">Deuda!H22</f>
        <v>3.5</v>
      </c>
      <c r="I32" s="20" t="n">
        <f aca="false">IF(Supuestos!$B$40=1,Supuestos!$B$42,Deuda!H22)</f>
        <v>3.5</v>
      </c>
    </row>
    <row r="33" customFormat="false" ht="15" hidden="false" customHeight="false" outlineLevel="0" collapsed="false">
      <c r="A33" s="4" t="s">
        <v>288</v>
      </c>
      <c r="C33" s="39" t="n">
        <f aca="false">Deuda!C5</f>
        <v>0.5</v>
      </c>
      <c r="D33" s="39" t="n">
        <f aca="false">Deuda!D5</f>
        <v>1.5</v>
      </c>
      <c r="E33" s="39" t="n">
        <f aca="false">Deuda!E5</f>
        <v>2.5</v>
      </c>
      <c r="F33" s="39" t="n">
        <f aca="false">Deuda!F5</f>
        <v>3.5</v>
      </c>
      <c r="G33" s="39" t="n">
        <f aca="false">Deuda!G5</f>
        <v>4.5</v>
      </c>
      <c r="H33" s="39" t="n">
        <f aca="false">Deuda!H5</f>
        <v>5.5</v>
      </c>
    </row>
    <row r="34" customFormat="false" ht="15" hidden="false" customHeight="false" outlineLevel="0" collapsed="false">
      <c r="A34" s="3" t="s">
        <v>289</v>
      </c>
      <c r="C34" s="40" t="n">
        <f aca="false">IF(Supuestos!$B$40=1,WACC!$C$25+(WACC!$C$27-WACC!$C$25)*MIN(1,C33/Supuestos!$B$44),WACC!$C$27)</f>
        <v>0.207532527490976</v>
      </c>
      <c r="D34" s="40" t="n">
        <f aca="false">IF(Supuestos!$B$40=1,WACC!$C$25+(WACC!$C$27-WACC!$C$25)*MIN(1,D33/Supuestos!$B$44),WACC!$C$27)</f>
        <v>0.223069331419918</v>
      </c>
      <c r="E34" s="40" t="n">
        <f aca="false">IF(Supuestos!$B$40=1,WACC!$C$25+(WACC!$C$27-WACC!$C$25)*MIN(1,E33/Supuestos!$B$44),WACC!$C$27)</f>
        <v>0.238606135348859</v>
      </c>
      <c r="F34" s="40" t="n">
        <f aca="false">IF(Supuestos!$B$40=1,WACC!$C$25+(WACC!$C$27-WACC!$C$25)*MIN(1,F33/Supuestos!$B$44),WACC!$C$27)</f>
        <v>0.254142939277801</v>
      </c>
      <c r="G34" s="40" t="n">
        <f aca="false">IF(Supuestos!$B$40=1,WACC!$C$25+(WACC!$C$27-WACC!$C$25)*MIN(1,G33/Supuestos!$B$44),WACC!$C$27)</f>
        <v>0.269679743206742</v>
      </c>
      <c r="H34" s="40" t="n">
        <f aca="false">IF(Supuestos!$B$40=1,WACC!$C$25+(WACC!$C$27-WACC!$C$25)*MIN(1,H33/Supuestos!$B$44),WACC!$C$27)</f>
        <v>0.285216547135683</v>
      </c>
      <c r="I34" s="41" t="n">
        <f aca="false">WACC!$C$27</f>
        <v>0.285216547135683</v>
      </c>
      <c r="J34" s="2" t="s">
        <v>290</v>
      </c>
    </row>
    <row r="35" customFormat="false" ht="15" hidden="false" customHeight="false" outlineLevel="0" collapsed="false">
      <c r="A35" s="4" t="s">
        <v>291</v>
      </c>
      <c r="C35" s="27" t="n">
        <f aca="false">C34/(1+C34)</f>
        <v>0.171864958306498</v>
      </c>
      <c r="D35" s="27" t="n">
        <f aca="false">D34/(1+D34)</f>
        <v>0.182384862157361</v>
      </c>
      <c r="E35" s="27" t="n">
        <f aca="false">E34/(1+E34)</f>
        <v>0.192640847271158</v>
      </c>
      <c r="F35" s="27" t="n">
        <f aca="false">F34/(1+F34)</f>
        <v>0.202642722227619</v>
      </c>
      <c r="G35" s="27" t="n">
        <f aca="false">G34/(1+G34)</f>
        <v>0.212399815504365</v>
      </c>
      <c r="H35" s="27" t="n">
        <f aca="false">H34/(1+H34)</f>
        <v>0.221921004496352</v>
      </c>
      <c r="I35" s="27" t="n">
        <f aca="false">I34/(1+I34)</f>
        <v>0.221921004496352</v>
      </c>
    </row>
    <row r="36" customFormat="false" ht="15" hidden="false" customHeight="false" outlineLevel="0" collapsed="false">
      <c r="A36" s="4" t="s">
        <v>292</v>
      </c>
      <c r="C36" s="27" t="n">
        <f aca="false">1-C35</f>
        <v>0.828135041693503</v>
      </c>
      <c r="D36" s="27" t="n">
        <f aca="false">1-D35</f>
        <v>0.817615137842639</v>
      </c>
      <c r="E36" s="27" t="n">
        <f aca="false">1-E35</f>
        <v>0.807359152728842</v>
      </c>
      <c r="F36" s="27" t="n">
        <f aca="false">1-F35</f>
        <v>0.797357277772381</v>
      </c>
      <c r="G36" s="27" t="n">
        <f aca="false">1-G35</f>
        <v>0.787600184495635</v>
      </c>
      <c r="H36" s="27" t="n">
        <f aca="false">1-H35</f>
        <v>0.778078995503649</v>
      </c>
      <c r="I36" s="27" t="n">
        <f aca="false">1-I35</f>
        <v>0.778078995503649</v>
      </c>
    </row>
    <row r="37" customFormat="false" ht="15" hidden="false" customHeight="false" outlineLevel="0" collapsed="false">
      <c r="A37" s="4" t="s">
        <v>293</v>
      </c>
      <c r="C37" s="32" t="n">
        <f aca="false">WACC!$H$13*(1+(1-Supuestos!$B$35)*C34)</f>
        <v>1.08563280334743</v>
      </c>
      <c r="D37" s="32" t="n">
        <f aca="false">WACC!$H$13*(1+(1-Supuestos!$B$35)*D34)</f>
        <v>1.09632591332776</v>
      </c>
      <c r="E37" s="32" t="n">
        <f aca="false">WACC!$H$13*(1+(1-Supuestos!$B$35)*E34)</f>
        <v>1.1070190233081</v>
      </c>
      <c r="F37" s="32" t="n">
        <f aca="false">WACC!$H$13*(1+(1-Supuestos!$B$35)*F34)</f>
        <v>1.11771213328844</v>
      </c>
      <c r="G37" s="32" t="n">
        <f aca="false">WACC!$H$13*(1+(1-Supuestos!$B$35)*G34)</f>
        <v>1.12840524326878</v>
      </c>
      <c r="H37" s="32" t="n">
        <f aca="false">WACC!$H$13*(1+(1-Supuestos!$B$35)*H34)</f>
        <v>1.13909835324912</v>
      </c>
      <c r="I37" s="32" t="n">
        <f aca="false">WACC!$H$13*(1+(1-Supuestos!$B$35)*I34)</f>
        <v>1.13909835324912</v>
      </c>
    </row>
    <row r="38" customFormat="false" ht="15" hidden="false" customHeight="false" outlineLevel="0" collapsed="false">
      <c r="A38" s="4" t="s">
        <v>294</v>
      </c>
      <c r="C38" s="27" t="n">
        <f aca="false">WACC!$C$22+C37*Supuestos!$B$22+WACC!$C$21</f>
        <v>0.108824475075017</v>
      </c>
      <c r="D38" s="27" t="n">
        <f aca="false">WACC!$C$22+D37*Supuestos!$B$22+WACC!$C$21</f>
        <v>0.109267169828203</v>
      </c>
      <c r="E38" s="27" t="n">
        <f aca="false">WACC!$C$22+E37*Supuestos!$B$22+WACC!$C$21</f>
        <v>0.109709864581389</v>
      </c>
      <c r="F38" s="27" t="n">
        <f aca="false">WACC!$C$22+F37*Supuestos!$B$22+WACC!$C$21</f>
        <v>0.110152559334575</v>
      </c>
      <c r="G38" s="27" t="n">
        <f aca="false">WACC!$C$22+G37*Supuestos!$B$22+WACC!$C$21</f>
        <v>0.110595254087761</v>
      </c>
      <c r="H38" s="27" t="n">
        <f aca="false">WACC!$C$22+H37*Supuestos!$B$22+WACC!$C$21</f>
        <v>0.111037948840947</v>
      </c>
      <c r="I38" s="27" t="n">
        <f aca="false">WACC!$C$22+I37*Supuestos!$B$22+WACC!$C$21</f>
        <v>0.111037948840947</v>
      </c>
    </row>
    <row r="39" customFormat="false" ht="15" hidden="false" customHeight="false" outlineLevel="0" collapsed="false">
      <c r="A39" s="3" t="s">
        <v>295</v>
      </c>
      <c r="C39" s="40" t="n">
        <f aca="false">IF(AND(Supuestos!$B$21=1,Supuestos!$B$19=2),(1+C38)*(1+Supuestos!$B$34)/(1+Supuestos!$B$20)-1,C38)</f>
        <v>0.117033041180547</v>
      </c>
      <c r="D39" s="40" t="n">
        <f aca="false">IF(AND(Supuestos!$B$21=1,Supuestos!$B$19=2),(1+D38)*(1+Supuestos!$B$34)/(1+Supuestos!$B$20)-1,D38)</f>
        <v>0.117479013178444</v>
      </c>
      <c r="E39" s="40" t="n">
        <f aca="false">IF(AND(Supuestos!$B$21=1,Supuestos!$B$19=2),(1+E38)*(1+Supuestos!$B$34)/(1+Supuestos!$B$20)-1,E38)</f>
        <v>0.11792498517634</v>
      </c>
      <c r="F39" s="40" t="n">
        <f aca="false">IF(AND(Supuestos!$B$21=1,Supuestos!$B$19=2),(1+F38)*(1+Supuestos!$B$34)/(1+Supuestos!$B$20)-1,F38)</f>
        <v>0.118370957174237</v>
      </c>
      <c r="G39" s="40" t="n">
        <f aca="false">IF(AND(Supuestos!$B$21=1,Supuestos!$B$19=2),(1+G38)*(1+Supuestos!$B$34)/(1+Supuestos!$B$20)-1,G38)</f>
        <v>0.118816929172134</v>
      </c>
      <c r="H39" s="40" t="n">
        <f aca="false">IF(AND(Supuestos!$B$21=1,Supuestos!$B$19=2),(1+H38)*(1+Supuestos!$B$34)/(1+Supuestos!$B$20)-1,H38)</f>
        <v>0.119262901170031</v>
      </c>
      <c r="I39" s="40" t="n">
        <f aca="false">IF(AND(Supuestos!$B$21=1,Supuestos!$B$19=2),(1+I38)*(1+Supuestos!$B$34)/(1+Supuestos!$B$20)-1,I38)</f>
        <v>0.119262901170031</v>
      </c>
      <c r="J39" s="2" t="s">
        <v>296</v>
      </c>
    </row>
    <row r="40" customFormat="false" ht="15" hidden="false" customHeight="false" outlineLevel="0" collapsed="false">
      <c r="A40" s="4" t="s">
        <v>297</v>
      </c>
      <c r="C40" s="27" t="n">
        <f aca="false">Supuestos!$B$33+Supuestos!$B$40*Supuestos!$B$45*MAX(0,C32-Supuestos!$B$41)</f>
        <v>0.0362592187808888</v>
      </c>
      <c r="D40" s="27" t="n">
        <f aca="false">Supuestos!$B$33+Supuestos!$B$40*Supuestos!$B$45*MAX(0,D32-Supuestos!$B$41)</f>
        <v>0.0367776563426664</v>
      </c>
      <c r="E40" s="27" t="n">
        <f aca="false">Supuestos!$B$33+Supuestos!$B$40*Supuestos!$B$45*MAX(0,E32-Supuestos!$B$41)</f>
        <v>0.037296093904444</v>
      </c>
      <c r="F40" s="27" t="n">
        <f aca="false">Supuestos!$B$33+Supuestos!$B$40*Supuestos!$B$45*MAX(0,F32-Supuestos!$B$41)</f>
        <v>0.0378145314662216</v>
      </c>
      <c r="G40" s="27" t="n">
        <f aca="false">Supuestos!$B$33+Supuestos!$B$40*Supuestos!$B$45*MAX(0,G32-Supuestos!$B$41)</f>
        <v>0.0383329690279992</v>
      </c>
      <c r="H40" s="27" t="n">
        <f aca="false">Supuestos!$B$33+Supuestos!$B$40*Supuestos!$B$45*MAX(0,H32-Supuestos!$B$41)</f>
        <v>0.0388514065897768</v>
      </c>
      <c r="I40" s="27" t="n">
        <f aca="false">Supuestos!$B$33+Supuestos!$B$40*Supuestos!$B$45*MAX(0,I32-Supuestos!$B$41)</f>
        <v>0.0388514065897768</v>
      </c>
    </row>
    <row r="41" customFormat="false" ht="15" hidden="false" customHeight="false" outlineLevel="0" collapsed="false">
      <c r="A41" s="4" t="s">
        <v>298</v>
      </c>
      <c r="C41" s="27" t="n">
        <f aca="false">(1+C40)*(1+Supuestos!$B$34)-1</f>
        <v>0.0673469953443155</v>
      </c>
      <c r="D41" s="27" t="n">
        <f aca="false">(1+D40)*(1+Supuestos!$B$34)-1</f>
        <v>0.0678809860329463</v>
      </c>
      <c r="E41" s="27" t="n">
        <f aca="false">(1+E40)*(1+Supuestos!$B$34)-1</f>
        <v>0.0684149767215774</v>
      </c>
      <c r="F41" s="27" t="n">
        <f aca="false">(1+F40)*(1+Supuestos!$B$34)-1</f>
        <v>0.0689489674102082</v>
      </c>
      <c r="G41" s="27" t="n">
        <f aca="false">(1+G40)*(1+Supuestos!$B$34)-1</f>
        <v>0.0694829580988392</v>
      </c>
      <c r="H41" s="27" t="n">
        <f aca="false">(1+H40)*(1+Supuestos!$B$34)-1</f>
        <v>0.07001694878747</v>
      </c>
      <c r="I41" s="27" t="n">
        <f aca="false">(1+I40)*(1+Supuestos!$B$34)-1</f>
        <v>0.07001694878747</v>
      </c>
    </row>
    <row r="42" customFormat="false" ht="15" hidden="false" customHeight="false" outlineLevel="0" collapsed="false">
      <c r="A42" s="4" t="s">
        <v>299</v>
      </c>
      <c r="C42" s="27" t="n">
        <f aca="false">C41*(1-Supuestos!$B$35)</f>
        <v>0.0491633066013503</v>
      </c>
      <c r="D42" s="27" t="n">
        <f aca="false">D41*(1-Supuestos!$B$35)</f>
        <v>0.0495531198040508</v>
      </c>
      <c r="E42" s="27" t="n">
        <f aca="false">E41*(1-Supuestos!$B$35)</f>
        <v>0.0499429330067515</v>
      </c>
      <c r="F42" s="27" t="n">
        <f aca="false">F41*(1-Supuestos!$B$35)</f>
        <v>0.050332746209452</v>
      </c>
      <c r="G42" s="27" t="n">
        <f aca="false">G41*(1-Supuestos!$B$35)</f>
        <v>0.0507225594121526</v>
      </c>
      <c r="H42" s="27" t="n">
        <f aca="false">H41*(1-Supuestos!$B$35)</f>
        <v>0.0511123726148531</v>
      </c>
      <c r="I42" s="27" t="n">
        <f aca="false">I41*(1-Supuestos!$B$35)</f>
        <v>0.0511123726148531</v>
      </c>
    </row>
    <row r="43" customFormat="false" ht="15" hidden="false" customHeight="false" outlineLevel="0" collapsed="false">
      <c r="A43" s="3" t="s">
        <v>300</v>
      </c>
      <c r="C43" s="36" t="n">
        <f aca="false">C36*C39+C35*C42</f>
        <v>0.10536861207682</v>
      </c>
      <c r="D43" s="36" t="n">
        <f aca="false">D36*D39+D35*D42</f>
        <v>0.10509035847844</v>
      </c>
      <c r="E43" s="36" t="n">
        <f aca="false">E36*E39+E35*E42</f>
        <v>0.104828865047159</v>
      </c>
      <c r="F43" s="36" t="n">
        <f aca="false">F36*F39+F35*F42</f>
        <v>0.104583508888836</v>
      </c>
      <c r="G43" s="36" t="n">
        <f aca="false">G36*G39+G35*G42</f>
        <v>0.104353697598228</v>
      </c>
      <c r="H43" s="36" t="n">
        <f aca="false">H36*H39+H35*H42</f>
        <v>0.104138867416108</v>
      </c>
      <c r="I43" s="40" t="n">
        <f aca="false">I36*I39+I35*I42</f>
        <v>0.104138867416108</v>
      </c>
    </row>
    <row r="44" customFormat="false" ht="15" hidden="false" customHeight="false" outlineLevel="0" collapsed="false">
      <c r="A44" s="4" t="s">
        <v>301</v>
      </c>
      <c r="C44" s="27" t="n">
        <f aca="false">(1+C43)/(1+Supuestos!$B$34)-1</f>
        <v>0.0731734097833205</v>
      </c>
      <c r="D44" s="27" t="n">
        <f aca="false">(1+D43)/(1+Supuestos!$B$34)-1</f>
        <v>0.072903260658679</v>
      </c>
      <c r="E44" s="27" t="n">
        <f aca="false">(1+E43)/(1+Supuestos!$B$34)-1</f>
        <v>0.0726493835409308</v>
      </c>
      <c r="F44" s="27" t="n">
        <f aca="false">(1+F43)/(1+Supuestos!$B$34)-1</f>
        <v>0.0724111736784818</v>
      </c>
      <c r="G44" s="27" t="n">
        <f aca="false">(1+G43)/(1+Supuestos!$B$34)-1</f>
        <v>0.0721880559206096</v>
      </c>
      <c r="H44" s="27" t="n">
        <f aca="false">(1+H43)/(1+Supuestos!$B$34)-1</f>
        <v>0.0719794829282607</v>
      </c>
      <c r="I44" s="27" t="n">
        <f aca="false">(1+I43)/(1+Supuestos!$B$34)-1</f>
        <v>0.0719794829282607</v>
      </c>
    </row>
    <row r="46" customFormat="false" ht="15" hidden="false" customHeight="false" outlineLevel="0" collapsed="false">
      <c r="A46" s="4" t="s">
        <v>302</v>
      </c>
      <c r="C46" s="7" t="n">
        <f aca="false">Supuestos!$B$109</f>
        <v>0.103663074859808</v>
      </c>
      <c r="D46" s="2" t="s">
        <v>303</v>
      </c>
    </row>
    <row r="47" customFormat="false" ht="15" hidden="false" customHeight="false" outlineLevel="0" collapsed="false">
      <c r="A47" s="4" t="s">
        <v>304</v>
      </c>
      <c r="C47" s="15" t="n">
        <v>0.0555</v>
      </c>
      <c r="D47" s="2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8" min="3" style="0" width="13"/>
    <col collapsed="false" customWidth="true" hidden="false" outlineLevel="0" max="9" min="9" style="0" width="75"/>
  </cols>
  <sheetData>
    <row r="1" customFormat="false" ht="15.75" hidden="false" customHeight="true" outlineLevel="0" collapsed="false">
      <c r="A1" s="1" t="s">
        <v>306</v>
      </c>
    </row>
    <row r="2" customFormat="false" ht="15" hidden="false" customHeight="false" outlineLevel="0" collapsed="false">
      <c r="A2" s="2" t="s">
        <v>307</v>
      </c>
    </row>
    <row r="4" customFormat="false" ht="15" hidden="false" customHeight="false" outlineLevel="0" collapsed="false">
      <c r="A4" s="11" t="s">
        <v>48</v>
      </c>
      <c r="B4" s="37"/>
      <c r="C4" s="38" t="s">
        <v>280</v>
      </c>
      <c r="D4" s="38" t="s">
        <v>281</v>
      </c>
      <c r="E4" s="38" t="s">
        <v>282</v>
      </c>
      <c r="F4" s="38" t="s">
        <v>283</v>
      </c>
      <c r="G4" s="38" t="s">
        <v>284</v>
      </c>
      <c r="H4" s="38" t="s">
        <v>285</v>
      </c>
      <c r="I4" s="38" t="s">
        <v>308</v>
      </c>
    </row>
    <row r="5" customFormat="false" ht="15" hidden="false" customHeight="false" outlineLevel="0" collapsed="false">
      <c r="A5" s="4" t="s">
        <v>309</v>
      </c>
      <c r="C5" s="14" t="n">
        <v>703998.935029744</v>
      </c>
      <c r="D5" s="14" t="n">
        <v>767179.42311749</v>
      </c>
      <c r="E5" s="14" t="n">
        <v>820506.702514564</v>
      </c>
      <c r="F5" s="14" t="n">
        <v>866951.611344049</v>
      </c>
      <c r="G5" s="14" t="n">
        <v>904202.830579077</v>
      </c>
      <c r="H5" s="14" t="n">
        <v>939524.474707485</v>
      </c>
      <c r="I5" s="2" t="s">
        <v>310</v>
      </c>
    </row>
    <row r="6" customFormat="false" ht="15" hidden="false" customHeight="false" outlineLevel="0" collapsed="false">
      <c r="A6" s="4" t="s">
        <v>311</v>
      </c>
      <c r="C6" s="35" t="n">
        <f aca="false">C5-Supuestos!$B$54</f>
        <v>364468.935029744</v>
      </c>
      <c r="D6" s="35" t="n">
        <f aca="false">D5</f>
        <v>767179.42311749</v>
      </c>
      <c r="E6" s="35" t="n">
        <f aca="false">E5</f>
        <v>820506.702514564</v>
      </c>
      <c r="F6" s="35" t="n">
        <f aca="false">F5</f>
        <v>866951.611344049</v>
      </c>
      <c r="G6" s="35" t="n">
        <f aca="false">G5</f>
        <v>904202.830579077</v>
      </c>
      <c r="H6" s="35" t="n">
        <f aca="false">H5</f>
        <v>939524.474707485</v>
      </c>
    </row>
    <row r="7" customFormat="false" ht="15" hidden="false" customHeight="false" outlineLevel="0" collapsed="false">
      <c r="A7" s="4" t="s">
        <v>312</v>
      </c>
      <c r="C7" s="14" t="n">
        <v>561315.405027496</v>
      </c>
      <c r="D7" s="14" t="n">
        <v>611360.360246719</v>
      </c>
      <c r="E7" s="14" t="n">
        <v>654236.225583637</v>
      </c>
      <c r="F7" s="14" t="n">
        <v>691459.842668882</v>
      </c>
      <c r="G7" s="14" t="n">
        <v>721124.371895624</v>
      </c>
      <c r="H7" s="14" t="n">
        <v>749208.579202132</v>
      </c>
      <c r="I7" s="2" t="s">
        <v>313</v>
      </c>
    </row>
    <row r="8" customFormat="false" ht="15" hidden="false" customHeight="false" outlineLevel="0" collapsed="false">
      <c r="A8" s="4" t="s">
        <v>314</v>
      </c>
      <c r="C8" s="35" t="n">
        <f aca="false">C7-Supuestos!$B$55</f>
        <v>290741.405027496</v>
      </c>
      <c r="D8" s="35" t="n">
        <f aca="false">D7</f>
        <v>611360.360246719</v>
      </c>
      <c r="E8" s="35" t="n">
        <f aca="false">E7</f>
        <v>654236.225583637</v>
      </c>
      <c r="F8" s="35" t="n">
        <f aca="false">F7</f>
        <v>691459.842668882</v>
      </c>
      <c r="G8" s="35" t="n">
        <f aca="false">G7</f>
        <v>721124.371895624</v>
      </c>
      <c r="H8" s="35" t="n">
        <f aca="false">H7</f>
        <v>749208.579202132</v>
      </c>
    </row>
    <row r="9" customFormat="false" ht="15" hidden="false" customHeight="false" outlineLevel="0" collapsed="false">
      <c r="A9" s="4" t="s">
        <v>315</v>
      </c>
      <c r="C9" s="27" t="n">
        <f aca="false">C8/C6</f>
        <v>0.797712444282169</v>
      </c>
      <c r="D9" s="27" t="n">
        <f aca="false">D8/D6</f>
        <v>0.796893584244493</v>
      </c>
      <c r="E9" s="27" t="n">
        <f aca="false">E8/E6</f>
        <v>0.797356345266448</v>
      </c>
      <c r="F9" s="27" t="n">
        <f aca="false">F8/F6</f>
        <v>0.797576051098055</v>
      </c>
      <c r="G9" s="27" t="n">
        <f aca="false">G8/G6</f>
        <v>0.797525010437974</v>
      </c>
      <c r="H9" s="27" t="n">
        <f aca="false">H8/H6</f>
        <v>0.79743380760293</v>
      </c>
    </row>
    <row r="10" customFormat="false" ht="15" hidden="false" customHeight="false" outlineLevel="0" collapsed="false">
      <c r="A10" s="4" t="s">
        <v>316</v>
      </c>
      <c r="C10" s="35" t="n">
        <f aca="false">Supuestos!$B$57*C6</f>
        <v>2564.55679016342</v>
      </c>
      <c r="D10" s="35" t="n">
        <f aca="false">Supuestos!$B$57*D6</f>
        <v>5398.19723913933</v>
      </c>
      <c r="E10" s="35" t="n">
        <f aca="false">Supuestos!$B$57*E6</f>
        <v>5773.43041633054</v>
      </c>
      <c r="F10" s="35" t="n">
        <f aca="false">Supuestos!$B$57*F6</f>
        <v>6100.23633820549</v>
      </c>
      <c r="G10" s="35" t="n">
        <f aca="false">Supuestos!$B$57*G6</f>
        <v>6362.35159152128</v>
      </c>
      <c r="H10" s="35" t="n">
        <f aca="false">Supuestos!$B$57*H6</f>
        <v>6610.88954244939</v>
      </c>
      <c r="I10" s="2" t="s">
        <v>317</v>
      </c>
    </row>
    <row r="11" customFormat="false" ht="15" hidden="false" customHeight="false" outlineLevel="0" collapsed="false">
      <c r="A11" s="4" t="s">
        <v>318</v>
      </c>
      <c r="C11" s="15" t="n">
        <v>0.168</v>
      </c>
      <c r="D11" s="15" t="n">
        <v>0.19</v>
      </c>
      <c r="E11" s="15" t="n">
        <v>0.215</v>
      </c>
      <c r="F11" s="15" t="n">
        <v>0.24</v>
      </c>
      <c r="G11" s="15" t="n">
        <v>0.27</v>
      </c>
      <c r="H11" s="15" t="n">
        <v>0.27</v>
      </c>
      <c r="I11" s="2" t="s">
        <v>319</v>
      </c>
    </row>
    <row r="12" customFormat="false" ht="15" hidden="false" customHeight="false" outlineLevel="0" collapsed="false">
      <c r="A12" s="4" t="s">
        <v>320</v>
      </c>
      <c r="C12" s="42" t="n">
        <v>113.64</v>
      </c>
      <c r="D12" s="42" t="n">
        <v>215.08</v>
      </c>
      <c r="E12" s="42" t="n">
        <v>116.28</v>
      </c>
      <c r="F12" s="42" t="n">
        <v>0</v>
      </c>
      <c r="G12" s="42" t="n">
        <v>0</v>
      </c>
      <c r="H12" s="42" t="n">
        <v>0</v>
      </c>
      <c r="I12" s="2" t="s">
        <v>321</v>
      </c>
    </row>
    <row r="13" customFormat="false" ht="15" hidden="false" customHeight="false" outlineLevel="0" collapsed="false">
      <c r="A13" s="4" t="s">
        <v>322</v>
      </c>
      <c r="C13" s="18" t="n">
        <v>929.55</v>
      </c>
      <c r="D13" s="18" t="n">
        <v>922.75</v>
      </c>
      <c r="E13" s="18" t="n">
        <v>914.75</v>
      </c>
      <c r="F13" s="18" t="n">
        <v>921</v>
      </c>
      <c r="G13" s="18" t="n">
        <v>921</v>
      </c>
      <c r="H13" s="18" t="n">
        <v>921</v>
      </c>
      <c r="I13" s="2" t="s">
        <v>323</v>
      </c>
    </row>
    <row r="14" customFormat="false" ht="15" hidden="false" customHeight="false" outlineLevel="0" collapsed="false">
      <c r="A14" s="4" t="s">
        <v>324</v>
      </c>
      <c r="C14" s="35" t="n">
        <f aca="false">C12*C13</f>
        <v>105634.062</v>
      </c>
      <c r="D14" s="35" t="n">
        <f aca="false">D12*D13</f>
        <v>198465.07</v>
      </c>
      <c r="E14" s="35" t="n">
        <f aca="false">E12*E13</f>
        <v>106367.13</v>
      </c>
      <c r="F14" s="35" t="n">
        <f aca="false">F12*F13</f>
        <v>0</v>
      </c>
      <c r="G14" s="35" t="n">
        <f aca="false">G12*G13</f>
        <v>0</v>
      </c>
      <c r="H14" s="35" t="n">
        <f aca="false">H12*H13</f>
        <v>0</v>
      </c>
    </row>
    <row r="15" customFormat="false" ht="15" hidden="false" customHeight="false" outlineLevel="0" collapsed="false">
      <c r="A15" s="4" t="s">
        <v>325</v>
      </c>
      <c r="C15" s="35" t="n">
        <f aca="false">Supuestos!$B$58*C5/2</f>
        <v>19359.970713318</v>
      </c>
      <c r="D15" s="35" t="n">
        <f aca="false">Supuestos!$B$58*D5</f>
        <v>42194.868271462</v>
      </c>
      <c r="E15" s="35" t="n">
        <f aca="false">Supuestos!$B$58*E5</f>
        <v>45127.868638301</v>
      </c>
      <c r="F15" s="35" t="n">
        <f aca="false">Supuestos!$B$58*F5</f>
        <v>47682.3386239227</v>
      </c>
      <c r="G15" s="35" t="n">
        <f aca="false">Supuestos!$B$58*G5</f>
        <v>49731.1556818492</v>
      </c>
      <c r="H15" s="35" t="n">
        <f aca="false">Supuestos!$B$58*H5</f>
        <v>51673.8461089117</v>
      </c>
      <c r="I15" s="2" t="s">
        <v>326</v>
      </c>
    </row>
    <row r="16" customFormat="false" ht="15" hidden="false" customHeight="false" outlineLevel="0" collapsed="false">
      <c r="A16" s="3" t="s">
        <v>327</v>
      </c>
      <c r="C16" s="43" t="n">
        <f aca="false">C14+C15</f>
        <v>124994.032713318</v>
      </c>
      <c r="D16" s="43" t="n">
        <f aca="false">D14+D15</f>
        <v>240659.938271462</v>
      </c>
      <c r="E16" s="43" t="n">
        <f aca="false">E14+E15</f>
        <v>151494.998638301</v>
      </c>
      <c r="F16" s="43" t="n">
        <f aca="false">F14+F15</f>
        <v>47682.3386239227</v>
      </c>
      <c r="G16" s="43" t="n">
        <f aca="false">G14+G15</f>
        <v>49731.1556818492</v>
      </c>
      <c r="H16" s="43" t="n">
        <f aca="false">H14+H15</f>
        <v>51673.8461089117</v>
      </c>
      <c r="I16" s="2" t="s">
        <v>328</v>
      </c>
    </row>
    <row r="18" customFormat="false" ht="15" hidden="false" customHeight="false" outlineLevel="0" collapsed="false">
      <c r="A18" s="4" t="s">
        <v>329</v>
      </c>
      <c r="C18" s="13" t="n">
        <v>341079.527633496</v>
      </c>
      <c r="D18" s="13" t="n">
        <v>360468.329813633</v>
      </c>
      <c r="E18" s="13" t="n">
        <v>378194.728030019</v>
      </c>
      <c r="F18" s="13" t="n">
        <v>395002.181224915</v>
      </c>
      <c r="G18" s="13" t="n">
        <v>411161.928135082</v>
      </c>
      <c r="H18" s="13" t="n">
        <v>426868.383248847</v>
      </c>
      <c r="I18" s="2" t="s">
        <v>330</v>
      </c>
    </row>
    <row r="19" customFormat="false" ht="15" hidden="false" customHeight="false" outlineLevel="0" collapsed="false">
      <c r="A19" s="4" t="s">
        <v>331</v>
      </c>
      <c r="C19" s="18" t="n">
        <v>792.938651402972</v>
      </c>
      <c r="D19" s="18" t="n">
        <v>832.959437268296</v>
      </c>
      <c r="E19" s="18" t="n">
        <v>869.391018038939</v>
      </c>
      <c r="F19" s="18" t="n">
        <v>896.707723054584</v>
      </c>
      <c r="G19" s="18" t="n">
        <v>921.729449489864</v>
      </c>
      <c r="H19" s="18" t="n">
        <v>945.045139018229</v>
      </c>
      <c r="I19" s="2" t="s">
        <v>332</v>
      </c>
    </row>
    <row r="20" customFormat="false" ht="15" hidden="false" customHeight="false" outlineLevel="0" collapsed="false">
      <c r="A20" s="4" t="s">
        <v>333</v>
      </c>
      <c r="C20" s="18" t="n">
        <v>267.997219654847</v>
      </c>
      <c r="D20" s="18" t="n">
        <v>275.852105122017</v>
      </c>
      <c r="E20" s="18" t="n">
        <v>279.343822843823</v>
      </c>
      <c r="F20" s="18" t="n">
        <v>284.773755656109</v>
      </c>
      <c r="G20" s="18" t="n">
        <v>287.565655221365</v>
      </c>
      <c r="H20" s="18" t="n">
        <v>290.384926350986</v>
      </c>
      <c r="I20" s="2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10" min="10" style="0" width="80"/>
  </cols>
  <sheetData>
    <row r="1" customFormat="false" ht="15.75" hidden="false" customHeight="tru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4" customFormat="false" ht="15" hidden="false" customHeight="false" outlineLevel="0" collapsed="false">
      <c r="A4" s="11" t="s">
        <v>337</v>
      </c>
      <c r="B4" s="37"/>
      <c r="C4" s="38" t="s">
        <v>280</v>
      </c>
      <c r="D4" s="38" t="s">
        <v>281</v>
      </c>
      <c r="E4" s="38" t="s">
        <v>282</v>
      </c>
      <c r="F4" s="38" t="s">
        <v>283</v>
      </c>
      <c r="G4" s="38" t="s">
        <v>284</v>
      </c>
      <c r="H4" s="38" t="s">
        <v>285</v>
      </c>
    </row>
    <row r="5" customFormat="false" ht="15" hidden="false" customHeight="false" outlineLevel="0" collapsed="false">
      <c r="A5" s="4" t="s">
        <v>338</v>
      </c>
      <c r="C5" s="17" t="n">
        <v>2026</v>
      </c>
      <c r="D5" s="17" t="n">
        <v>2027</v>
      </c>
      <c r="E5" s="17" t="n">
        <v>2028</v>
      </c>
      <c r="F5" s="17" t="n">
        <v>2029</v>
      </c>
      <c r="G5" s="17" t="n">
        <v>2030</v>
      </c>
      <c r="H5" s="17" t="n">
        <v>2031</v>
      </c>
    </row>
    <row r="6" customFormat="false" ht="15" hidden="false" customHeight="false" outlineLevel="0" collapsed="false">
      <c r="A6" s="4" t="s">
        <v>339</v>
      </c>
      <c r="C6" s="44" t="n">
        <f aca="false">(1+Supuestos!$B$34)^(C5-2026)</f>
        <v>1</v>
      </c>
      <c r="D6" s="44" t="n">
        <f aca="false">(1+Supuestos!$B$34)^(D5-2026)</f>
        <v>1.03</v>
      </c>
      <c r="E6" s="44" t="n">
        <f aca="false">(1+Supuestos!$B$34)^(E5-2026)</f>
        <v>1.0609</v>
      </c>
      <c r="F6" s="44" t="n">
        <f aca="false">(1+Supuestos!$B$34)^(F5-2026)</f>
        <v>1.092727</v>
      </c>
      <c r="G6" s="44" t="n">
        <f aca="false">(1+Supuestos!$B$34)^(G5-2026)</f>
        <v>1.12550881</v>
      </c>
      <c r="H6" s="44" t="n">
        <f aca="false">(1+Supuestos!$B$34)^(H5-2026)</f>
        <v>1.1592740743</v>
      </c>
    </row>
    <row r="7" customFormat="false" ht="15" hidden="false" customHeight="false" outlineLevel="0" collapsed="false">
      <c r="A7" s="4" t="s">
        <v>340</v>
      </c>
      <c r="C7" s="45" t="n">
        <f aca="false">Supuestos!$B$71*Supuestos!$B$72/1000000*C6</f>
        <v>3.31819741480611</v>
      </c>
      <c r="D7" s="45" t="n">
        <f aca="false">Supuestos!$B$71*Supuestos!$B$72/1000000*D6</f>
        <v>3.41774333725029</v>
      </c>
      <c r="E7" s="45" t="n">
        <f aca="false">Supuestos!$B$71*Supuestos!$B$72/1000000*E6</f>
        <v>3.5202756373678</v>
      </c>
      <c r="F7" s="45" t="n">
        <f aca="false">Supuestos!$B$71*Supuestos!$B$72/1000000*F6</f>
        <v>3.62588390648884</v>
      </c>
      <c r="G7" s="45" t="n">
        <f aca="false">Supuestos!$B$71*Supuestos!$B$72/1000000*G6</f>
        <v>3.7346604236835</v>
      </c>
      <c r="H7" s="45" t="n">
        <f aca="false">Supuestos!$B$71*Supuestos!$B$72/1000000*H6</f>
        <v>3.84670023639401</v>
      </c>
      <c r="J7" s="2" t="s">
        <v>341</v>
      </c>
    </row>
    <row r="8" customFormat="false" ht="15" hidden="false" customHeight="false" outlineLevel="0" collapsed="false">
      <c r="A8" s="4" t="s">
        <v>342</v>
      </c>
      <c r="C8" s="24" t="n">
        <f aca="false">Supuestos!$B$75*Forecast_Base!C18+(1-Supuestos!$B$75)*Forecast_Base!C19*Forecast_Base!C20</f>
        <v>283080.830038545</v>
      </c>
      <c r="D8" s="24" t="n">
        <f aca="false">Supuestos!$B$75*Forecast_Base!D18+(1-Supuestos!$B$75)*Forecast_Base!D19*Forecast_Base!D20</f>
        <v>301513.074127656</v>
      </c>
      <c r="E8" s="24" t="n">
        <f aca="false">Supuestos!$B$75*Forecast_Base!E18+(1-Supuestos!$B$75)*Forecast_Base!E19*Forecast_Base!E20</f>
        <v>317145.956512027</v>
      </c>
      <c r="F8" s="24" t="n">
        <f aca="false">Supuestos!$B$75*Forecast_Base!F18+(1-Supuestos!$B$75)*Forecast_Base!F19*Forecast_Base!F20</f>
        <v>332010.271601397</v>
      </c>
      <c r="G8" s="24" t="n">
        <f aca="false">Supuestos!$B$75*Forecast_Base!G18+(1-Supuestos!$B$75)*Forecast_Base!G19*Forecast_Base!G20</f>
        <v>345255.589540837</v>
      </c>
      <c r="H8" s="24" t="n">
        <f aca="false">Supuestos!$B$75*Forecast_Base!H18+(1-Supuestos!$B$75)*Forecast_Base!H19*Forecast_Base!H20</f>
        <v>358103.332119156</v>
      </c>
    </row>
    <row r="9" customFormat="false" ht="15" hidden="false" customHeight="false" outlineLevel="0" collapsed="false">
      <c r="A9" s="4" t="s">
        <v>343</v>
      </c>
      <c r="C9" s="27" t="n">
        <f aca="false">Supuestos!$B$75*Supuestos!$B$76+(1-Supuestos!$B$75)*Supuestos!$B$77</f>
        <v>0.809021827000808</v>
      </c>
      <c r="D9" s="27" t="n">
        <f aca="false">Supuestos!$B$75*Supuestos!$B$76+(1-Supuestos!$B$75)*Supuestos!$B$77</f>
        <v>0.809021827000808</v>
      </c>
      <c r="E9" s="27" t="n">
        <f aca="false">Supuestos!$B$75*Supuestos!$B$76+(1-Supuestos!$B$75)*Supuestos!$B$77</f>
        <v>0.809021827000808</v>
      </c>
      <c r="F9" s="27" t="n">
        <f aca="false">Supuestos!$B$75*Supuestos!$B$76+(1-Supuestos!$B$75)*Supuestos!$B$77</f>
        <v>0.809021827000808</v>
      </c>
      <c r="G9" s="27" t="n">
        <f aca="false">Supuestos!$B$75*Supuestos!$B$76+(1-Supuestos!$B$75)*Supuestos!$B$77</f>
        <v>0.809021827000808</v>
      </c>
      <c r="H9" s="27" t="n">
        <f aca="false">Supuestos!$B$75*Supuestos!$B$76+(1-Supuestos!$B$75)*Supuestos!$B$77</f>
        <v>0.809021827000808</v>
      </c>
    </row>
    <row r="11" customFormat="false" ht="15" hidden="false" customHeight="false" outlineLevel="0" collapsed="false">
      <c r="A11" s="3" t="s">
        <v>344</v>
      </c>
      <c r="B11" s="3" t="s">
        <v>155</v>
      </c>
    </row>
    <row r="12" customFormat="false" ht="15" hidden="false" customHeight="false" outlineLevel="0" collapsed="false">
      <c r="A12" s="33" t="n">
        <f aca="false">Supuestos!$B$67+0</f>
        <v>2029</v>
      </c>
      <c r="B12" s="24" t="n">
        <f aca="false">Supuestos!$B$66*Supuestos!$B$62</f>
        <v>27075.3333333333</v>
      </c>
      <c r="J12" s="2" t="s">
        <v>345</v>
      </c>
    </row>
    <row r="13" customFormat="false" ht="15" hidden="false" customHeight="false" outlineLevel="0" collapsed="false">
      <c r="A13" s="33" t="n">
        <f aca="false">Supuestos!$B$67+1</f>
        <v>2030</v>
      </c>
      <c r="B13" s="24" t="n">
        <f aca="false">Supuestos!$B$66*Supuestos!$B$62</f>
        <v>27075.3333333333</v>
      </c>
    </row>
    <row r="14" customFormat="false" ht="15" hidden="false" customHeight="false" outlineLevel="0" collapsed="false">
      <c r="A14" s="33" t="n">
        <f aca="false">Supuestos!$B$67+2</f>
        <v>2031</v>
      </c>
      <c r="B14" s="24" t="n">
        <f aca="false">Supuestos!$B$66*Supuestos!$B$62</f>
        <v>27075.3333333333</v>
      </c>
    </row>
    <row r="15" customFormat="false" ht="15" hidden="false" customHeight="false" outlineLevel="0" collapsed="false">
      <c r="A15" s="33" t="n">
        <f aca="false">Supuestos!$B$67+3</f>
        <v>2032</v>
      </c>
      <c r="B15" s="24" t="n">
        <f aca="false">Supuestos!$B$66*Supuestos!$B$62</f>
        <v>27075.3333333333</v>
      </c>
    </row>
    <row r="16" customFormat="false" ht="15" hidden="false" customHeight="false" outlineLevel="0" collapsed="false">
      <c r="A16" s="33" t="n">
        <f aca="false">Supuestos!$B$67+4</f>
        <v>2033</v>
      </c>
      <c r="B16" s="24" t="n">
        <f aca="false">Supuestos!$B$66*Supuestos!$B$62</f>
        <v>27075.3333333333</v>
      </c>
    </row>
    <row r="18" customFormat="false" ht="15" hidden="false" customHeight="false" outlineLevel="0" collapsed="false">
      <c r="A18" s="3" t="s">
        <v>346</v>
      </c>
    </row>
    <row r="19" customFormat="false" ht="15" hidden="false" customHeight="false" outlineLevel="0" collapsed="false">
      <c r="A19" s="33" t="n">
        <f aca="false">A12</f>
        <v>2029</v>
      </c>
      <c r="C19" s="35" t="n">
        <f aca="false">IF(C$5=$A12-2,Supuestos!$B$68,IF(C$5=$A12-1,1-Supuestos!$B$68,0))*$B12*C$7</f>
        <v>0</v>
      </c>
      <c r="D19" s="35" t="n">
        <f aca="false">IF(D$5=$A12-2,Supuestos!$B$68,IF(D$5=$A12-1,1-Supuestos!$B$68,0))*$B12*D$7</f>
        <v>46268.2700519154</v>
      </c>
      <c r="E19" s="35" t="n">
        <f aca="false">IF(E$5=$A12-2,Supuestos!$B$68,IF(E$5=$A12-1,1-Supuestos!$B$68,0))*$B12*E$7</f>
        <v>47656.3181534729</v>
      </c>
      <c r="F19" s="35" t="n">
        <f aca="false">IF(F$5=$A12-2,Supuestos!$B$68,IF(F$5=$A12-1,1-Supuestos!$B$68,0))*$B12*F$7</f>
        <v>0</v>
      </c>
      <c r="G19" s="35" t="n">
        <f aca="false">IF(G$5=$A12-2,Supuestos!$B$68,IF(G$5=$A12-1,1-Supuestos!$B$68,0))*$B12*G$7</f>
        <v>0</v>
      </c>
      <c r="H19" s="35" t="n">
        <f aca="false">IF(H$5=$A12-2,Supuestos!$B$68,IF(H$5=$A12-1,1-Supuestos!$B$68,0))*$B12*H$7</f>
        <v>0</v>
      </c>
    </row>
    <row r="20" customFormat="false" ht="15" hidden="false" customHeight="false" outlineLevel="0" collapsed="false">
      <c r="A20" s="33" t="n">
        <f aca="false">A13</f>
        <v>2030</v>
      </c>
      <c r="C20" s="35" t="n">
        <f aca="false">IF(C$5=$A13-2,Supuestos!$B$68,IF(C$5=$A13-1,1-Supuestos!$B$68,0))*$B13*C$7</f>
        <v>0</v>
      </c>
      <c r="D20" s="35" t="n">
        <f aca="false">IF(D$5=$A13-2,Supuestos!$B$68,IF(D$5=$A13-1,1-Supuestos!$B$68,0))*$B13*D$7</f>
        <v>0</v>
      </c>
      <c r="E20" s="35" t="n">
        <f aca="false">IF(E$5=$A13-2,Supuestos!$B$68,IF(E$5=$A13-1,1-Supuestos!$B$68,0))*$B13*E$7</f>
        <v>47656.3181534729</v>
      </c>
      <c r="F20" s="35" t="n">
        <f aca="false">IF(F$5=$A13-2,Supuestos!$B$68,IF(F$5=$A13-1,1-Supuestos!$B$68,0))*$B13*F$7</f>
        <v>49086.007698077</v>
      </c>
      <c r="G20" s="35" t="n">
        <f aca="false">IF(G$5=$A13-2,Supuestos!$B$68,IF(G$5=$A13-1,1-Supuestos!$B$68,0))*$B13*G$7</f>
        <v>0</v>
      </c>
      <c r="H20" s="35" t="n">
        <f aca="false">IF(H$5=$A13-2,Supuestos!$B$68,IF(H$5=$A13-1,1-Supuestos!$B$68,0))*$B13*H$7</f>
        <v>0</v>
      </c>
    </row>
    <row r="21" customFormat="false" ht="15" hidden="false" customHeight="false" outlineLevel="0" collapsed="false">
      <c r="A21" s="33" t="n">
        <f aca="false">A14</f>
        <v>2031</v>
      </c>
      <c r="C21" s="35" t="n">
        <f aca="false">IF(C$5=$A14-2,Supuestos!$B$68,IF(C$5=$A14-1,1-Supuestos!$B$68,0))*$B14*C$7</f>
        <v>0</v>
      </c>
      <c r="D21" s="35" t="n">
        <f aca="false">IF(D$5=$A14-2,Supuestos!$B$68,IF(D$5=$A14-1,1-Supuestos!$B$68,0))*$B14*D$7</f>
        <v>0</v>
      </c>
      <c r="E21" s="35" t="n">
        <f aca="false">IF(E$5=$A14-2,Supuestos!$B$68,IF(E$5=$A14-1,1-Supuestos!$B$68,0))*$B14*E$7</f>
        <v>0</v>
      </c>
      <c r="F21" s="35" t="n">
        <f aca="false">IF(F$5=$A14-2,Supuestos!$B$68,IF(F$5=$A14-1,1-Supuestos!$B$68,0))*$B14*F$7</f>
        <v>49086.007698077</v>
      </c>
      <c r="G21" s="35" t="n">
        <f aca="false">IF(G$5=$A14-2,Supuestos!$B$68,IF(G$5=$A14-1,1-Supuestos!$B$68,0))*$B14*G$7</f>
        <v>50558.5879290194</v>
      </c>
      <c r="H21" s="35" t="n">
        <f aca="false">IF(H$5=$A14-2,Supuestos!$B$68,IF(H$5=$A14-1,1-Supuestos!$B$68,0))*$B14*H$7</f>
        <v>0</v>
      </c>
    </row>
    <row r="22" customFormat="false" ht="15" hidden="false" customHeight="false" outlineLevel="0" collapsed="false">
      <c r="A22" s="33" t="n">
        <f aca="false">A15</f>
        <v>2032</v>
      </c>
      <c r="C22" s="35" t="n">
        <f aca="false">IF(C$5=$A15-2,Supuestos!$B$68,IF(C$5=$A15-1,1-Supuestos!$B$68,0))*$B15*C$7</f>
        <v>0</v>
      </c>
      <c r="D22" s="35" t="n">
        <f aca="false">IF(D$5=$A15-2,Supuestos!$B$68,IF(D$5=$A15-1,1-Supuestos!$B$68,0))*$B15*D$7</f>
        <v>0</v>
      </c>
      <c r="E22" s="35" t="n">
        <f aca="false">IF(E$5=$A15-2,Supuestos!$B$68,IF(E$5=$A15-1,1-Supuestos!$B$68,0))*$B15*E$7</f>
        <v>0</v>
      </c>
      <c r="F22" s="35" t="n">
        <f aca="false">IF(F$5=$A15-2,Supuestos!$B$68,IF(F$5=$A15-1,1-Supuestos!$B$68,0))*$B15*F$7</f>
        <v>0</v>
      </c>
      <c r="G22" s="35" t="n">
        <f aca="false">IF(G$5=$A15-2,Supuestos!$B$68,IF(G$5=$A15-1,1-Supuestos!$B$68,0))*$B15*G$7</f>
        <v>50558.5879290194</v>
      </c>
      <c r="H22" s="35" t="n">
        <f aca="false">IF(H$5=$A15-2,Supuestos!$B$68,IF(H$5=$A15-1,1-Supuestos!$B$68,0))*$B15*H$7</f>
        <v>52075.3455668899</v>
      </c>
    </row>
    <row r="23" customFormat="false" ht="15" hidden="false" customHeight="false" outlineLevel="0" collapsed="false">
      <c r="A23" s="33" t="n">
        <f aca="false">A16</f>
        <v>2033</v>
      </c>
      <c r="C23" s="35" t="n">
        <f aca="false">IF(C$5=$A16-2,Supuestos!$B$68,IF(C$5=$A16-1,1-Supuestos!$B$68,0))*$B16*C$7</f>
        <v>0</v>
      </c>
      <c r="D23" s="35" t="n">
        <f aca="false">IF(D$5=$A16-2,Supuestos!$B$68,IF(D$5=$A16-1,1-Supuestos!$B$68,0))*$B16*D$7</f>
        <v>0</v>
      </c>
      <c r="E23" s="35" t="n">
        <f aca="false">IF(E$5=$A16-2,Supuestos!$B$68,IF(E$5=$A16-1,1-Supuestos!$B$68,0))*$B16*E$7</f>
        <v>0</v>
      </c>
      <c r="F23" s="35" t="n">
        <f aca="false">IF(F$5=$A16-2,Supuestos!$B$68,IF(F$5=$A16-1,1-Supuestos!$B$68,0))*$B16*F$7</f>
        <v>0</v>
      </c>
      <c r="G23" s="35" t="n">
        <f aca="false">IF(G$5=$A16-2,Supuestos!$B$68,IF(G$5=$A16-1,1-Supuestos!$B$68,0))*$B16*G$7</f>
        <v>0</v>
      </c>
      <c r="H23" s="35" t="n">
        <f aca="false">IF(H$5=$A16-2,Supuestos!$B$68,IF(H$5=$A16-1,1-Supuestos!$B$68,0))*$B16*H$7</f>
        <v>52075.3455668899</v>
      </c>
    </row>
    <row r="24" customFormat="false" ht="15" hidden="false" customHeight="false" outlineLevel="0" collapsed="false">
      <c r="A24" s="3" t="s">
        <v>347</v>
      </c>
      <c r="C24" s="43" t="n">
        <f aca="false">SUM(C19:C23)</f>
        <v>0</v>
      </c>
      <c r="D24" s="43" t="n">
        <f aca="false">SUM(D19:D23)</f>
        <v>46268.2700519154</v>
      </c>
      <c r="E24" s="43" t="n">
        <f aca="false">SUM(E19:E23)</f>
        <v>95312.6363069457</v>
      </c>
      <c r="F24" s="43" t="n">
        <f aca="false">SUM(F19:F23)</f>
        <v>98172.0153961541</v>
      </c>
      <c r="G24" s="43" t="n">
        <f aca="false">SUM(G19:G23)</f>
        <v>101117.175858039</v>
      </c>
      <c r="H24" s="43" t="n">
        <f aca="false">SUM(H19:H23)</f>
        <v>104150.69113378</v>
      </c>
    </row>
    <row r="26" customFormat="false" ht="15" hidden="false" customHeight="false" outlineLevel="0" collapsed="false">
      <c r="A26" s="3" t="s">
        <v>348</v>
      </c>
    </row>
    <row r="27" customFormat="false" ht="15" hidden="false" customHeight="false" outlineLevel="0" collapsed="false">
      <c r="A27" s="33" t="n">
        <f aca="false">A12</f>
        <v>2029</v>
      </c>
      <c r="C27" s="35" t="n">
        <f aca="false">IF(C$5&gt;=$A12,$B12*C$8/1000000*IF(C$5-$A12=0,Supuestos!$B$78,IF(C$5-$A12=1,Supuestos!$B$79,Supuestos!$B$80))*$C$39,0)</f>
        <v>0</v>
      </c>
      <c r="D27" s="35" t="n">
        <f aca="false">IF(D$5&gt;=$A12,$B12*D$8/1000000*IF(D$5-$A12=0,Supuestos!$B$78,IF(D$5-$A12=1,Supuestos!$B$79,Supuestos!$B$80))*$C$39,0)</f>
        <v>0</v>
      </c>
      <c r="E27" s="35" t="n">
        <f aca="false">IF(E$5&gt;=$A12,$B12*E$8/1000000*IF(E$5-$A12=0,Supuestos!$B$78,IF(E$5-$A12=1,Supuestos!$B$79,Supuestos!$B$80))*$C$39,0)</f>
        <v>0</v>
      </c>
      <c r="F27" s="35" t="n">
        <f aca="false">IF(F$5&gt;=$A12,$B12*F$8/1000000*IF(F$5-$A12=0,Supuestos!$B$78,IF(F$5-$A12=1,Supuestos!$B$79,Supuestos!$B$80))*$C$39,0)</f>
        <v>3146.25107079443</v>
      </c>
      <c r="G27" s="35" t="n">
        <f aca="false">IF(G$5&gt;=$A12,$B12*G$8/1000000*IF(G$5-$A12=0,Supuestos!$B$78,IF(G$5-$A12=1,Supuestos!$B$79,Supuestos!$B$80))*$C$39,0)</f>
        <v>8413.11915481321</v>
      </c>
      <c r="H27" s="35" t="n">
        <f aca="false">IF(H$5&gt;=$A12,$B12*H$8/1000000*IF(H$5-$A12=0,Supuestos!$B$78,IF(H$5-$A12=1,Supuestos!$B$79,Supuestos!$B$80))*$C$39,0)</f>
        <v>9695.76708490351</v>
      </c>
    </row>
    <row r="28" customFormat="false" ht="15" hidden="false" customHeight="false" outlineLevel="0" collapsed="false">
      <c r="A28" s="33" t="n">
        <f aca="false">A13</f>
        <v>2030</v>
      </c>
      <c r="C28" s="35" t="n">
        <f aca="false">IF(C$5&gt;=$A13,$B13*C$8/1000000*IF(C$5-$A13=0,Supuestos!$B$78,IF(C$5-$A13=1,Supuestos!$B$79,Supuestos!$B$80))*$C$39,0)</f>
        <v>0</v>
      </c>
      <c r="D28" s="35" t="n">
        <f aca="false">IF(D$5&gt;=$A13,$B13*D$8/1000000*IF(D$5-$A13=0,Supuestos!$B$78,IF(D$5-$A13=1,Supuestos!$B$79,Supuestos!$B$80))*$C$39,0)</f>
        <v>0</v>
      </c>
      <c r="E28" s="35" t="n">
        <f aca="false">IF(E$5&gt;=$A13,$B13*E$8/1000000*IF(E$5-$A13=0,Supuestos!$B$78,IF(E$5-$A13=1,Supuestos!$B$79,Supuestos!$B$80))*$C$39,0)</f>
        <v>0</v>
      </c>
      <c r="F28" s="35" t="n">
        <f aca="false">IF(F$5&gt;=$A13,$B13*F$8/1000000*IF(F$5-$A13=0,Supuestos!$B$78,IF(F$5-$A13=1,Supuestos!$B$79,Supuestos!$B$80))*$C$39,0)</f>
        <v>0</v>
      </c>
      <c r="G28" s="35" t="n">
        <f aca="false">IF(G$5&gt;=$A13,$B13*G$8/1000000*IF(G$5-$A13=0,Supuestos!$B$78,IF(G$5-$A13=1,Supuestos!$B$79,Supuestos!$B$80))*$C$39,0)</f>
        <v>3271.76856020514</v>
      </c>
      <c r="H28" s="35" t="n">
        <f aca="false">IF(H$5&gt;=$A13,$B13*H$8/1000000*IF(H$5-$A13=0,Supuestos!$B$78,IF(H$5-$A13=1,Supuestos!$B$79,Supuestos!$B$80))*$C$39,0)</f>
        <v>8726.19037641316</v>
      </c>
    </row>
    <row r="29" customFormat="false" ht="15" hidden="false" customHeight="false" outlineLevel="0" collapsed="false">
      <c r="A29" s="33" t="n">
        <f aca="false">A14</f>
        <v>2031</v>
      </c>
      <c r="C29" s="35" t="n">
        <f aca="false">IF(C$5&gt;=$A14,$B14*C$8/1000000*IF(C$5-$A14=0,Supuestos!$B$78,IF(C$5-$A14=1,Supuestos!$B$79,Supuestos!$B$80))*$C$39,0)</f>
        <v>0</v>
      </c>
      <c r="D29" s="35" t="n">
        <f aca="false">IF(D$5&gt;=$A14,$B14*D$8/1000000*IF(D$5-$A14=0,Supuestos!$B$78,IF(D$5-$A14=1,Supuestos!$B$79,Supuestos!$B$80))*$C$39,0)</f>
        <v>0</v>
      </c>
      <c r="E29" s="35" t="n">
        <f aca="false">IF(E$5&gt;=$A14,$B14*E$8/1000000*IF(E$5-$A14=0,Supuestos!$B$78,IF(E$5-$A14=1,Supuestos!$B$79,Supuestos!$B$80))*$C$39,0)</f>
        <v>0</v>
      </c>
      <c r="F29" s="35" t="n">
        <f aca="false">IF(F$5&gt;=$A14,$B14*F$8/1000000*IF(F$5-$A14=0,Supuestos!$B$78,IF(F$5-$A14=1,Supuestos!$B$79,Supuestos!$B$80))*$C$39,0)</f>
        <v>0</v>
      </c>
      <c r="G29" s="35" t="n">
        <f aca="false">IF(G$5&gt;=$A14,$B14*G$8/1000000*IF(G$5-$A14=0,Supuestos!$B$78,IF(G$5-$A14=1,Supuestos!$B$79,Supuestos!$B$80))*$C$39,0)</f>
        <v>0</v>
      </c>
      <c r="H29" s="35" t="n">
        <f aca="false">IF(H$5&gt;=$A14,$B14*H$8/1000000*IF(H$5-$A14=0,Supuestos!$B$78,IF(H$5-$A14=1,Supuestos!$B$79,Supuestos!$B$80))*$C$39,0)</f>
        <v>3393.51847971623</v>
      </c>
    </row>
    <row r="30" customFormat="false" ht="15" hidden="false" customHeight="false" outlineLevel="0" collapsed="false">
      <c r="A30" s="33" t="n">
        <f aca="false">A15</f>
        <v>2032</v>
      </c>
      <c r="C30" s="35" t="n">
        <f aca="false">IF(C$5&gt;=$A15,$B15*C$8/1000000*IF(C$5-$A15=0,Supuestos!$B$78,IF(C$5-$A15=1,Supuestos!$B$79,Supuestos!$B$80))*$C$39,0)</f>
        <v>0</v>
      </c>
      <c r="D30" s="35" t="n">
        <f aca="false">IF(D$5&gt;=$A15,$B15*D$8/1000000*IF(D$5-$A15=0,Supuestos!$B$78,IF(D$5-$A15=1,Supuestos!$B$79,Supuestos!$B$80))*$C$39,0)</f>
        <v>0</v>
      </c>
      <c r="E30" s="35" t="n">
        <f aca="false">IF(E$5&gt;=$A15,$B15*E$8/1000000*IF(E$5-$A15=0,Supuestos!$B$78,IF(E$5-$A15=1,Supuestos!$B$79,Supuestos!$B$80))*$C$39,0)</f>
        <v>0</v>
      </c>
      <c r="F30" s="35" t="n">
        <f aca="false">IF(F$5&gt;=$A15,$B15*F$8/1000000*IF(F$5-$A15=0,Supuestos!$B$78,IF(F$5-$A15=1,Supuestos!$B$79,Supuestos!$B$80))*$C$39,0)</f>
        <v>0</v>
      </c>
      <c r="G30" s="35" t="n">
        <f aca="false">IF(G$5&gt;=$A15,$B15*G$8/1000000*IF(G$5-$A15=0,Supuestos!$B$78,IF(G$5-$A15=1,Supuestos!$B$79,Supuestos!$B$80))*$C$39,0)</f>
        <v>0</v>
      </c>
      <c r="H30" s="35" t="n">
        <f aca="false">IF(H$5&gt;=$A15,$B15*H$8/1000000*IF(H$5-$A15=0,Supuestos!$B$78,IF(H$5-$A15=1,Supuestos!$B$79,Supuestos!$B$80))*$C$39,0)</f>
        <v>0</v>
      </c>
    </row>
    <row r="31" customFormat="false" ht="15" hidden="false" customHeight="false" outlineLevel="0" collapsed="false">
      <c r="A31" s="33" t="n">
        <f aca="false">A16</f>
        <v>2033</v>
      </c>
      <c r="C31" s="35" t="n">
        <f aca="false">IF(C$5&gt;=$A16,$B16*C$8/1000000*IF(C$5-$A16=0,Supuestos!$B$78,IF(C$5-$A16=1,Supuestos!$B$79,Supuestos!$B$80))*$C$39,0)</f>
        <v>0</v>
      </c>
      <c r="D31" s="35" t="n">
        <f aca="false">IF(D$5&gt;=$A16,$B16*D$8/1000000*IF(D$5-$A16=0,Supuestos!$B$78,IF(D$5-$A16=1,Supuestos!$B$79,Supuestos!$B$80))*$C$39,0)</f>
        <v>0</v>
      </c>
      <c r="E31" s="35" t="n">
        <f aca="false">IF(E$5&gt;=$A16,$B16*E$8/1000000*IF(E$5-$A16=0,Supuestos!$B$78,IF(E$5-$A16=1,Supuestos!$B$79,Supuestos!$B$80))*$C$39,0)</f>
        <v>0</v>
      </c>
      <c r="F31" s="35" t="n">
        <f aca="false">IF(F$5&gt;=$A16,$B16*F$8/1000000*IF(F$5-$A16=0,Supuestos!$B$78,IF(F$5-$A16=1,Supuestos!$B$79,Supuestos!$B$80))*$C$39,0)</f>
        <v>0</v>
      </c>
      <c r="G31" s="35" t="n">
        <f aca="false">IF(G$5&gt;=$A16,$B16*G$8/1000000*IF(G$5-$A16=0,Supuestos!$B$78,IF(G$5-$A16=1,Supuestos!$B$79,Supuestos!$B$80))*$C$39,0)</f>
        <v>0</v>
      </c>
      <c r="H31" s="35" t="n">
        <f aca="false">IF(H$5&gt;=$A16,$B16*H$8/1000000*IF(H$5-$A16=0,Supuestos!$B$78,IF(H$5-$A16=1,Supuestos!$B$79,Supuestos!$B$80))*$C$39,0)</f>
        <v>0</v>
      </c>
    </row>
    <row r="32" customFormat="false" ht="15" hidden="false" customHeight="false" outlineLevel="0" collapsed="false">
      <c r="A32" s="3" t="s">
        <v>347</v>
      </c>
      <c r="C32" s="43" t="n">
        <f aca="false">SUM(C27:C31)</f>
        <v>0</v>
      </c>
      <c r="D32" s="43" t="n">
        <f aca="false">SUM(D27:D31)</f>
        <v>0</v>
      </c>
      <c r="E32" s="43" t="n">
        <f aca="false">SUM(E27:E31)</f>
        <v>0</v>
      </c>
      <c r="F32" s="43" t="n">
        <f aca="false">SUM(F27:F31)</f>
        <v>3146.25107079443</v>
      </c>
      <c r="G32" s="43" t="n">
        <f aca="false">SUM(G27:G31)</f>
        <v>11684.8877150183</v>
      </c>
      <c r="H32" s="43" t="n">
        <f aca="false">SUM(H27:H31)</f>
        <v>21815.4759410329</v>
      </c>
    </row>
    <row r="33" customFormat="false" ht="15" hidden="false" customHeight="false" outlineLevel="0" collapsed="false">
      <c r="A33" s="3" t="s">
        <v>349</v>
      </c>
      <c r="C33" s="43" t="n">
        <f aca="false">C32*C9</f>
        <v>0</v>
      </c>
      <c r="D33" s="43" t="n">
        <f aca="false">D32*D9</f>
        <v>0</v>
      </c>
      <c r="E33" s="43" t="n">
        <f aca="false">E32*E9</f>
        <v>0</v>
      </c>
      <c r="F33" s="43" t="n">
        <f aca="false">F32*F9</f>
        <v>2545.38578949736</v>
      </c>
      <c r="G33" s="43" t="n">
        <f aca="false">G32*G9</f>
        <v>9453.32920750344</v>
      </c>
      <c r="H33" s="43" t="n">
        <f aca="false">H32*H9</f>
        <v>17649.1962027066</v>
      </c>
    </row>
    <row r="35" customFormat="false" ht="15" hidden="false" customHeight="false" outlineLevel="0" collapsed="false">
      <c r="A35" s="3" t="s">
        <v>350</v>
      </c>
    </row>
    <row r="36" customFormat="false" ht="15" hidden="false" customHeight="false" outlineLevel="0" collapsed="false">
      <c r="A36" s="4" t="s">
        <v>351</v>
      </c>
      <c r="C36" s="27" t="n">
        <f aca="false">C8*C9/(C7*1000000)</f>
        <v>0.0690189707474264</v>
      </c>
      <c r="J36" s="2" t="s">
        <v>352</v>
      </c>
    </row>
    <row r="37" customFormat="false" ht="15" hidden="false" customHeight="false" outlineLevel="0" collapsed="false">
      <c r="A37" s="4" t="s">
        <v>353</v>
      </c>
      <c r="C37" s="27" t="n">
        <f aca="false">IF(Supuestos!$B$81="",C36,Supuestos!$B$81)</f>
        <v>0.0690189707474264</v>
      </c>
    </row>
    <row r="38" customFormat="false" ht="15" hidden="false" customHeight="false" outlineLevel="0" collapsed="false">
      <c r="A38" s="3" t="s">
        <v>354</v>
      </c>
      <c r="C38" s="36" t="n">
        <f aca="false">C37*(1-Supuestos!$B$59)</f>
        <v>0.0503838486456213</v>
      </c>
      <c r="J38" s="2" t="s">
        <v>355</v>
      </c>
    </row>
    <row r="39" customFormat="false" ht="15" hidden="false" customHeight="false" outlineLevel="0" collapsed="false">
      <c r="A39" s="4" t="s">
        <v>356</v>
      </c>
      <c r="C39" s="32" t="n">
        <f aca="false">C37/C36</f>
        <v>1</v>
      </c>
      <c r="J39" s="2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2"/>
    <col collapsed="false" customWidth="true" hidden="false" outlineLevel="0" max="6" min="3" style="0" width="12"/>
    <col collapsed="false" customWidth="true" hidden="false" outlineLevel="0" max="7" min="7" style="0" width="90"/>
  </cols>
  <sheetData>
    <row r="1" customFormat="false" ht="15.75" hidden="false" customHeight="true" outlineLevel="0" collapsed="false">
      <c r="A1" s="1" t="s">
        <v>358</v>
      </c>
    </row>
    <row r="4" customFormat="false" ht="15" hidden="false" customHeight="false" outlineLevel="0" collapsed="false">
      <c r="A4" s="3" t="s">
        <v>359</v>
      </c>
    </row>
    <row r="5" customFormat="false" ht="15" hidden="false" customHeight="false" outlineLevel="0" collapsed="false">
      <c r="A5" s="11" t="s">
        <v>360</v>
      </c>
      <c r="C5" s="11" t="s">
        <v>361</v>
      </c>
      <c r="D5" s="11" t="s">
        <v>362</v>
      </c>
      <c r="E5" s="11" t="s">
        <v>363</v>
      </c>
      <c r="F5" s="11" t="s">
        <v>364</v>
      </c>
      <c r="G5" s="11" t="s">
        <v>365</v>
      </c>
    </row>
    <row r="6" customFormat="false" ht="15" hidden="false" customHeight="false" outlineLevel="0" collapsed="false">
      <c r="A6" s="4" t="s">
        <v>366</v>
      </c>
      <c r="C6" s="14" t="n">
        <v>109044.234</v>
      </c>
      <c r="D6" s="14" t="n">
        <v>111058.299</v>
      </c>
      <c r="E6" s="14" t="n">
        <v>122369.806</v>
      </c>
      <c r="F6" s="14" t="n">
        <v>96333.76</v>
      </c>
      <c r="G6" s="2" t="s">
        <v>367</v>
      </c>
    </row>
    <row r="7" customFormat="false" ht="15" hidden="false" customHeight="false" outlineLevel="0" collapsed="false">
      <c r="A7" s="4" t="s">
        <v>368</v>
      </c>
      <c r="C7" s="14" t="n">
        <v>45909.292</v>
      </c>
      <c r="D7" s="14" t="n">
        <v>19565.384</v>
      </c>
      <c r="E7" s="14" t="n">
        <v>13695.594</v>
      </c>
      <c r="F7" s="14" t="n">
        <v>9043.354</v>
      </c>
      <c r="G7" s="2" t="s">
        <v>369</v>
      </c>
    </row>
    <row r="8" customFormat="false" ht="15" hidden="false" customHeight="false" outlineLevel="0" collapsed="false">
      <c r="A8" s="4" t="s">
        <v>370</v>
      </c>
      <c r="C8" s="14" t="n">
        <v>115756.871</v>
      </c>
      <c r="D8" s="14" t="n">
        <v>95843.191</v>
      </c>
      <c r="E8" s="14" t="n">
        <v>122277.679</v>
      </c>
      <c r="F8" s="14" t="n">
        <v>169311.262</v>
      </c>
      <c r="G8" s="2" t="s">
        <v>371</v>
      </c>
    </row>
    <row r="9" customFormat="false" ht="15" hidden="false" customHeight="false" outlineLevel="0" collapsed="false">
      <c r="A9" s="4" t="s">
        <v>372</v>
      </c>
      <c r="C9" s="14" t="n">
        <v>59262</v>
      </c>
      <c r="D9" s="14" t="n">
        <v>71491.5</v>
      </c>
      <c r="E9" s="14" t="n">
        <v>110793.6</v>
      </c>
      <c r="F9" s="35"/>
      <c r="G9" s="2" t="s">
        <v>373</v>
      </c>
    </row>
    <row r="10" customFormat="false" ht="15" hidden="false" customHeight="false" outlineLevel="0" collapsed="false">
      <c r="A10" s="4" t="s">
        <v>374</v>
      </c>
      <c r="C10" s="35" t="n">
        <f aca="false">C8-C9</f>
        <v>56494.871</v>
      </c>
      <c r="D10" s="35" t="n">
        <f aca="false">D8-D9</f>
        <v>24351.691</v>
      </c>
      <c r="E10" s="35" t="n">
        <f aca="false">E8-E9</f>
        <v>11484.079</v>
      </c>
      <c r="F10" s="35"/>
      <c r="G10" s="2"/>
    </row>
    <row r="11" customFormat="false" ht="15" hidden="false" customHeight="false" outlineLevel="0" collapsed="false">
      <c r="A11" s="4" t="s">
        <v>375</v>
      </c>
      <c r="C11" s="14" t="n">
        <v>34486.698</v>
      </c>
      <c r="D11" s="14" t="n">
        <v>2641.613</v>
      </c>
      <c r="E11" s="14" t="n">
        <v>2296.174</v>
      </c>
      <c r="F11" s="14" t="n">
        <v>2306.468</v>
      </c>
      <c r="G11" s="2"/>
    </row>
    <row r="12" customFormat="false" ht="15" hidden="false" customHeight="false" outlineLevel="0" collapsed="false">
      <c r="A12" s="4" t="s">
        <v>376</v>
      </c>
      <c r="C12" s="14" t="n">
        <v>10367.061</v>
      </c>
      <c r="D12" s="14" t="n">
        <v>23176.757</v>
      </c>
      <c r="E12" s="14" t="n">
        <v>20246.646</v>
      </c>
      <c r="F12" s="14" t="n">
        <v>14591.09</v>
      </c>
      <c r="G12" s="2" t="s">
        <v>377</v>
      </c>
    </row>
    <row r="13" customFormat="false" ht="15" hidden="false" customHeight="false" outlineLevel="0" collapsed="false">
      <c r="A13" s="4" t="s">
        <v>378</v>
      </c>
      <c r="C13" s="14" t="n">
        <v>419904</v>
      </c>
      <c r="D13" s="14" t="n">
        <v>494605</v>
      </c>
      <c r="E13" s="14" t="n">
        <v>653911</v>
      </c>
      <c r="F13" s="35"/>
      <c r="G13" s="2" t="s">
        <v>379</v>
      </c>
    </row>
    <row r="14" customFormat="false" ht="15" hidden="false" customHeight="false" outlineLevel="0" collapsed="false">
      <c r="A14" s="2" t="s">
        <v>380</v>
      </c>
    </row>
    <row r="16" customFormat="false" ht="15" hidden="false" customHeight="false" outlineLevel="0" collapsed="false">
      <c r="A16" s="3" t="s">
        <v>381</v>
      </c>
    </row>
    <row r="17" customFormat="false" ht="15" hidden="false" customHeight="false" outlineLevel="0" collapsed="false">
      <c r="A17" s="3" t="s">
        <v>382</v>
      </c>
      <c r="C17" s="43" t="n">
        <f aca="false">C6+C7-C10-C11-C12</f>
        <v>53604.896</v>
      </c>
      <c r="D17" s="43" t="n">
        <f aca="false">D6+D7-D10-D11-D12</f>
        <v>80453.622</v>
      </c>
      <c r="E17" s="43" t="n">
        <f aca="false">E6+E7-E10-E11-E12</f>
        <v>102038.501</v>
      </c>
    </row>
    <row r="18" customFormat="false" ht="15" hidden="false" customHeight="false" outlineLevel="0" collapsed="false">
      <c r="A18" s="4" t="s">
        <v>383</v>
      </c>
      <c r="C18" s="27" t="n">
        <f aca="false">C17/C13</f>
        <v>0.127659884163999</v>
      </c>
      <c r="D18" s="27" t="n">
        <f aca="false">D17/D13</f>
        <v>0.162662370982906</v>
      </c>
      <c r="E18" s="27" t="n">
        <f aca="false">E17/E13</f>
        <v>0.156043408047884</v>
      </c>
    </row>
    <row r="19" customFormat="false" ht="15" hidden="false" customHeight="false" outlineLevel="0" collapsed="false">
      <c r="A19" s="4" t="s">
        <v>384</v>
      </c>
      <c r="E19" s="27" t="n">
        <f aca="false">(E17-C17)/(E13-C13)</f>
        <v>0.206975026388099</v>
      </c>
      <c r="G19" s="2" t="s">
        <v>385</v>
      </c>
    </row>
    <row r="20" customFormat="false" ht="15" hidden="false" customHeight="false" outlineLevel="0" collapsed="false">
      <c r="A20" s="3" t="s">
        <v>386</v>
      </c>
      <c r="F20" s="36" t="n">
        <f aca="false">E18</f>
        <v>0.156043408047884</v>
      </c>
      <c r="G20" s="2" t="s">
        <v>387</v>
      </c>
    </row>
    <row r="22" customFormat="false" ht="15" hidden="false" customHeight="false" outlineLevel="0" collapsed="false">
      <c r="A22" s="3" t="s">
        <v>388</v>
      </c>
    </row>
    <row r="23" customFormat="false" ht="15" hidden="false" customHeight="false" outlineLevel="0" collapsed="false">
      <c r="A23" s="4" t="s">
        <v>389</v>
      </c>
    </row>
    <row r="24" customFormat="false" ht="15" hidden="false" customHeight="false" outlineLevel="0" collapsed="false">
      <c r="A24" s="4" t="s">
        <v>390</v>
      </c>
    </row>
    <row r="25" customFormat="false" ht="15" hidden="false" customHeight="false" outlineLevel="0" collapsed="false">
      <c r="A25" s="4" t="s">
        <v>391</v>
      </c>
    </row>
    <row r="26" customFormat="false" ht="15" hidden="false" customHeight="false" outlineLevel="0" collapsed="false">
      <c r="A26" s="4" t="s">
        <v>392</v>
      </c>
    </row>
    <row r="27" customFormat="false" ht="15" hidden="false" customHeight="false" outlineLevel="0" collapsed="false">
      <c r="A27" s="4" t="s">
        <v>393</v>
      </c>
    </row>
    <row r="29" customFormat="false" ht="15" hidden="false" customHeight="false" outlineLevel="0" collapsed="false">
      <c r="A29" s="3" t="s">
        <v>394</v>
      </c>
    </row>
    <row r="30" customFormat="false" ht="15" hidden="false" customHeight="false" outlineLevel="0" collapsed="false">
      <c r="C30" s="11" t="s">
        <v>395</v>
      </c>
      <c r="D30" s="11" t="s">
        <v>396</v>
      </c>
      <c r="E30" s="11" t="s">
        <v>397</v>
      </c>
    </row>
    <row r="31" customFormat="false" ht="15" hidden="false" customHeight="false" outlineLevel="0" collapsed="false">
      <c r="A31" s="4" t="s">
        <v>398</v>
      </c>
      <c r="C31" s="14" t="n">
        <v>380637</v>
      </c>
      <c r="D31" s="14" t="n">
        <v>526228</v>
      </c>
      <c r="E31" s="14" t="n">
        <v>270574</v>
      </c>
    </row>
    <row r="32" customFormat="false" ht="15" hidden="false" customHeight="false" outlineLevel="0" collapsed="false">
      <c r="A32" s="4" t="s">
        <v>399</v>
      </c>
      <c r="C32" s="14" t="n">
        <v>300822</v>
      </c>
      <c r="D32" s="14" t="n">
        <v>441135</v>
      </c>
      <c r="E32" s="14" t="n">
        <v>258193</v>
      </c>
    </row>
    <row r="33" customFormat="false" ht="15" hidden="false" customHeight="false" outlineLevel="0" collapsed="false">
      <c r="A33" s="4" t="s">
        <v>400</v>
      </c>
      <c r="C33" s="35" t="n">
        <f aca="false">C31-C32</f>
        <v>79815</v>
      </c>
      <c r="D33" s="35" t="n">
        <f aca="false">D31-D32</f>
        <v>85093</v>
      </c>
      <c r="E33" s="35" t="n">
        <f aca="false">E31-E32</f>
        <v>12381</v>
      </c>
      <c r="G33" s="2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15" activeCellId="0" sqref="C1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9" min="3" style="0" width="14"/>
    <col collapsed="false" customWidth="true" hidden="false" outlineLevel="0" max="10" min="10" style="0" width="80"/>
  </cols>
  <sheetData>
    <row r="1" customFormat="false" ht="15.75" hidden="false" customHeight="true" outlineLevel="0" collapsed="false">
      <c r="A1" s="1" t="s">
        <v>402</v>
      </c>
    </row>
    <row r="2" customFormat="false" ht="15" hidden="false" customHeight="false" outlineLevel="0" collapsed="false">
      <c r="A2" s="2" t="s">
        <v>403</v>
      </c>
    </row>
    <row r="4" customFormat="false" ht="15" hidden="false" customHeight="false" outlineLevel="0" collapsed="false">
      <c r="A4" s="11" t="s">
        <v>48</v>
      </c>
      <c r="B4" s="37"/>
      <c r="C4" s="38" t="s">
        <v>280</v>
      </c>
      <c r="D4" s="38" t="s">
        <v>281</v>
      </c>
      <c r="E4" s="38" t="s">
        <v>282</v>
      </c>
      <c r="F4" s="38" t="s">
        <v>283</v>
      </c>
      <c r="G4" s="38" t="s">
        <v>284</v>
      </c>
      <c r="H4" s="38" t="s">
        <v>285</v>
      </c>
      <c r="I4" s="38" t="s">
        <v>404</v>
      </c>
    </row>
    <row r="5" customFormat="false" ht="15" hidden="false" customHeight="false" outlineLevel="0" collapsed="false">
      <c r="A5" s="4" t="s">
        <v>405</v>
      </c>
      <c r="C5" s="46" t="n">
        <f aca="false">Forecast_Base!C6</f>
        <v>364468.935029744</v>
      </c>
      <c r="D5" s="46" t="n">
        <f aca="false">Forecast_Base!D6</f>
        <v>767179.42311749</v>
      </c>
      <c r="E5" s="46" t="n">
        <f aca="false">Forecast_Base!E6</f>
        <v>820506.702514564</v>
      </c>
      <c r="F5" s="46" t="n">
        <f aca="false">Forecast_Base!F6</f>
        <v>866951.611344049</v>
      </c>
      <c r="G5" s="46" t="n">
        <f aca="false">Forecast_Base!G6</f>
        <v>904202.830579077</v>
      </c>
      <c r="H5" s="46" t="n">
        <f aca="false">Forecast_Base!H6</f>
        <v>939524.474707485</v>
      </c>
    </row>
    <row r="6" customFormat="false" ht="15" hidden="false" customHeight="false" outlineLevel="0" collapsed="false">
      <c r="A6" s="4" t="s">
        <v>406</v>
      </c>
      <c r="C6" s="46" t="n">
        <f aca="false">Expansion!C32</f>
        <v>0</v>
      </c>
      <c r="D6" s="46" t="n">
        <f aca="false">Expansion!D32</f>
        <v>0</v>
      </c>
      <c r="E6" s="46" t="n">
        <f aca="false">Expansion!E32</f>
        <v>0</v>
      </c>
      <c r="F6" s="46" t="n">
        <f aca="false">Expansion!F32</f>
        <v>3146.25107079443</v>
      </c>
      <c r="G6" s="46" t="n">
        <f aca="false">Expansion!G32</f>
        <v>11684.8877150183</v>
      </c>
      <c r="H6" s="46" t="n">
        <f aca="false">Expansion!H32</f>
        <v>21815.4759410329</v>
      </c>
    </row>
    <row r="7" customFormat="false" ht="15" hidden="false" customHeight="false" outlineLevel="0" collapsed="false">
      <c r="A7" s="3" t="s">
        <v>407</v>
      </c>
      <c r="C7" s="43" t="n">
        <f aca="false">C5+C6</f>
        <v>364468.935029744</v>
      </c>
      <c r="D7" s="43" t="n">
        <f aca="false">D5+D6</f>
        <v>767179.42311749</v>
      </c>
      <c r="E7" s="43" t="n">
        <f aca="false">E5+E6</f>
        <v>820506.702514564</v>
      </c>
      <c r="F7" s="43" t="n">
        <f aca="false">F5+F6</f>
        <v>870097.862414843</v>
      </c>
      <c r="G7" s="43" t="n">
        <f aca="false">G5+G6</f>
        <v>915887.718294095</v>
      </c>
      <c r="H7" s="43" t="n">
        <f aca="false">H5+H6</f>
        <v>961339.950648518</v>
      </c>
      <c r="I7" s="43" t="n">
        <f aca="false">C34*(1+Supuestos!$B$88)</f>
        <v>1007656.76933851</v>
      </c>
    </row>
    <row r="8" customFormat="false" ht="15" hidden="false" customHeight="false" outlineLevel="0" collapsed="false">
      <c r="A8" s="4" t="s">
        <v>408</v>
      </c>
      <c r="C8" s="27" t="n">
        <f aca="false">(Forecast_Base!C5+C6)/Supuestos!$B$56-1</f>
        <v>0.0765974804365488</v>
      </c>
      <c r="D8" s="27" t="n">
        <f aca="false">D7/Forecast_Base!C5-1</f>
        <v>0.0897451472495148</v>
      </c>
      <c r="E8" s="27" t="n">
        <f aca="false">E7/D7-1</f>
        <v>0.0695108312216908</v>
      </c>
      <c r="F8" s="27" t="n">
        <f aca="false">F7/E7-1</f>
        <v>0.0604396767854545</v>
      </c>
      <c r="G8" s="27" t="n">
        <f aca="false">G7/F7-1</f>
        <v>0.0526260985771971</v>
      </c>
      <c r="H8" s="27" t="n">
        <f aca="false">H7/G7-1</f>
        <v>0.0496264241200661</v>
      </c>
    </row>
    <row r="9" customFormat="false" ht="15" hidden="false" customHeight="false" outlineLevel="0" collapsed="false">
      <c r="A9" s="4" t="s">
        <v>409</v>
      </c>
      <c r="C9" s="46" t="n">
        <f aca="false">Forecast_Base!C8</f>
        <v>290741.405027496</v>
      </c>
      <c r="D9" s="46" t="n">
        <f aca="false">Forecast_Base!D8</f>
        <v>611360.360246719</v>
      </c>
      <c r="E9" s="46" t="n">
        <f aca="false">Forecast_Base!E8</f>
        <v>654236.225583637</v>
      </c>
      <c r="F9" s="46" t="n">
        <f aca="false">Forecast_Base!F8</f>
        <v>691459.842668882</v>
      </c>
      <c r="G9" s="46" t="n">
        <f aca="false">Forecast_Base!G8</f>
        <v>721124.371895624</v>
      </c>
      <c r="H9" s="46" t="n">
        <f aca="false">Forecast_Base!H8</f>
        <v>749208.579202132</v>
      </c>
    </row>
    <row r="10" customFormat="false" ht="15" hidden="false" customHeight="false" outlineLevel="0" collapsed="false">
      <c r="A10" s="4" t="s">
        <v>410</v>
      </c>
      <c r="C10" s="46" t="n">
        <f aca="false">Expansion!C33</f>
        <v>0</v>
      </c>
      <c r="D10" s="46" t="n">
        <f aca="false">Expansion!D33</f>
        <v>0</v>
      </c>
      <c r="E10" s="46" t="n">
        <f aca="false">Expansion!E33</f>
        <v>0</v>
      </c>
      <c r="F10" s="46" t="n">
        <f aca="false">Expansion!F33</f>
        <v>2545.38578949736</v>
      </c>
      <c r="G10" s="46" t="n">
        <f aca="false">Expansion!G33</f>
        <v>9453.32920750344</v>
      </c>
      <c r="H10" s="46" t="n">
        <f aca="false">Expansion!H33</f>
        <v>17649.1962027066</v>
      </c>
    </row>
    <row r="11" customFormat="false" ht="15" hidden="false" customHeight="false" outlineLevel="0" collapsed="false">
      <c r="A11" s="3" t="s">
        <v>411</v>
      </c>
      <c r="C11" s="43" t="n">
        <f aca="false">C9+C10</f>
        <v>290741.405027496</v>
      </c>
      <c r="D11" s="43" t="n">
        <f aca="false">D9+D10</f>
        <v>611360.360246719</v>
      </c>
      <c r="E11" s="43" t="n">
        <f aca="false">E9+E10</f>
        <v>654236.225583637</v>
      </c>
      <c r="F11" s="43" t="n">
        <f aca="false">F9+F10</f>
        <v>694005.228458379</v>
      </c>
      <c r="G11" s="43" t="n">
        <f aca="false">G9+G10</f>
        <v>730577.701103127</v>
      </c>
      <c r="H11" s="43" t="n">
        <f aca="false">H9+H10</f>
        <v>766857.775404839</v>
      </c>
      <c r="I11" s="43" t="n">
        <f aca="false">C35*(1+Supuestos!$B$88)</f>
        <v>804002.475847152</v>
      </c>
    </row>
    <row r="12" customFormat="false" ht="15" hidden="false" customHeight="false" outlineLevel="0" collapsed="false">
      <c r="A12" s="4" t="s">
        <v>315</v>
      </c>
      <c r="C12" s="27" t="n">
        <f aca="false">C11/C7</f>
        <v>0.797712444282169</v>
      </c>
      <c r="D12" s="27" t="n">
        <f aca="false">D11/D7</f>
        <v>0.796893584244493</v>
      </c>
      <c r="E12" s="27" t="n">
        <f aca="false">E11/E7</f>
        <v>0.797356345266448</v>
      </c>
      <c r="F12" s="27" t="n">
        <f aca="false">F11/F7</f>
        <v>0.797617438723798</v>
      </c>
      <c r="G12" s="27" t="n">
        <f aca="false">G11/G7</f>
        <v>0.797671686725835</v>
      </c>
      <c r="H12" s="27" t="n">
        <f aca="false">H11/H7</f>
        <v>0.797696771976987</v>
      </c>
      <c r="I12" s="27" t="n">
        <f aca="false">I11/I7</f>
        <v>0.797893191721372</v>
      </c>
    </row>
    <row r="13" customFormat="false" ht="15" hidden="false" customHeight="false" outlineLevel="0" collapsed="false">
      <c r="A13" s="4" t="s">
        <v>412</v>
      </c>
      <c r="C13" s="35" t="n">
        <f aca="false">Supuestos!$B$57*C7</f>
        <v>2564.55679016342</v>
      </c>
      <c r="D13" s="35" t="n">
        <f aca="false">Supuestos!$B$57*D7</f>
        <v>5398.19723913933</v>
      </c>
      <c r="E13" s="35" t="n">
        <f aca="false">Supuestos!$B$57*E7</f>
        <v>5773.43041633054</v>
      </c>
      <c r="F13" s="35" t="n">
        <f aca="false">Supuestos!$B$57*F7</f>
        <v>6122.37468463687</v>
      </c>
      <c r="G13" s="35" t="n">
        <f aca="false">Supuestos!$B$57*G7</f>
        <v>6444.5713783171</v>
      </c>
      <c r="H13" s="35" t="n">
        <f aca="false">Supuestos!$B$57*H7</f>
        <v>6764.39241080951</v>
      </c>
      <c r="I13" s="35" t="n">
        <f aca="false">Supuestos!$B$57*I7</f>
        <v>7090.29703656451</v>
      </c>
    </row>
    <row r="14" customFormat="false" ht="15" hidden="false" customHeight="false" outlineLevel="0" collapsed="false">
      <c r="A14" s="4" t="s">
        <v>413</v>
      </c>
      <c r="C14" s="35" t="n">
        <f aca="false">C11-C13</f>
        <v>288176.848237333</v>
      </c>
      <c r="D14" s="35" t="n">
        <f aca="false">D11-D13</f>
        <v>605962.16300758</v>
      </c>
      <c r="E14" s="35" t="n">
        <f aca="false">E11-E13</f>
        <v>648462.795167306</v>
      </c>
      <c r="F14" s="35" t="n">
        <f aca="false">F11-F13</f>
        <v>687882.853773743</v>
      </c>
      <c r="G14" s="35" t="n">
        <f aca="false">G11-G13</f>
        <v>724133.12972481</v>
      </c>
      <c r="H14" s="35" t="n">
        <f aca="false">H11-H13</f>
        <v>760093.382994029</v>
      </c>
      <c r="I14" s="35" t="n">
        <f aca="false">I11-I13</f>
        <v>796912.178810588</v>
      </c>
    </row>
    <row r="15" customFormat="false" ht="15" hidden="false" customHeight="false" outlineLevel="0" collapsed="false">
      <c r="A15" s="4" t="s">
        <v>414</v>
      </c>
      <c r="C15" s="7" t="n">
        <f aca="false">Forecast_Base!C11</f>
        <v>0.168</v>
      </c>
      <c r="D15" s="7" t="n">
        <f aca="false">Forecast_Base!D11</f>
        <v>0.19</v>
      </c>
      <c r="E15" s="7" t="n">
        <f aca="false">Forecast_Base!E11</f>
        <v>0.215</v>
      </c>
      <c r="F15" s="7" t="n">
        <f aca="false">Forecast_Base!F11</f>
        <v>0.24</v>
      </c>
      <c r="G15" s="7" t="n">
        <f aca="false">Forecast_Base!G11</f>
        <v>0.27</v>
      </c>
      <c r="H15" s="7" t="n">
        <f aca="false">Forecast_Base!H11</f>
        <v>0.27</v>
      </c>
      <c r="I15" s="7" t="n">
        <f aca="false">Supuestos!$B$59</f>
        <v>0.27</v>
      </c>
    </row>
    <row r="16" customFormat="false" ht="15" hidden="false" customHeight="false" outlineLevel="0" collapsed="false">
      <c r="A16" s="4" t="s">
        <v>415</v>
      </c>
      <c r="C16" s="35" t="n">
        <f aca="false">-C14*C15</f>
        <v>-48413.7105038719</v>
      </c>
      <c r="D16" s="35" t="n">
        <f aca="false">-D14*D15</f>
        <v>-115132.81097144</v>
      </c>
      <c r="E16" s="35" t="n">
        <f aca="false">-E14*E15</f>
        <v>-139419.500960971</v>
      </c>
      <c r="F16" s="35" t="n">
        <f aca="false">-F14*F15</f>
        <v>-165091.884905698</v>
      </c>
      <c r="G16" s="35" t="n">
        <f aca="false">-G14*G15</f>
        <v>-195515.945025699</v>
      </c>
      <c r="H16" s="35" t="n">
        <f aca="false">-H14*H15</f>
        <v>-205225.213408388</v>
      </c>
      <c r="I16" s="35" t="n">
        <f aca="false">-I14*I15</f>
        <v>-215166.288278859</v>
      </c>
    </row>
    <row r="17" customFormat="false" ht="15" hidden="false" customHeight="false" outlineLevel="0" collapsed="false">
      <c r="A17" s="3" t="s">
        <v>416</v>
      </c>
      <c r="C17" s="43" t="n">
        <f aca="false">C14+C16</f>
        <v>239763.137733461</v>
      </c>
      <c r="D17" s="43" t="n">
        <f aca="false">D14+D16</f>
        <v>490829.352036139</v>
      </c>
      <c r="E17" s="43" t="n">
        <f aca="false">E14+E16</f>
        <v>509043.294206336</v>
      </c>
      <c r="F17" s="43" t="n">
        <f aca="false">F14+F16</f>
        <v>522790.968868044</v>
      </c>
      <c r="G17" s="43" t="n">
        <f aca="false">G14+G16</f>
        <v>528617.184699112</v>
      </c>
      <c r="H17" s="43" t="n">
        <f aca="false">H14+H16</f>
        <v>554868.169585641</v>
      </c>
      <c r="I17" s="43" t="n">
        <f aca="false">I14+I16</f>
        <v>581745.890531729</v>
      </c>
    </row>
    <row r="18" customFormat="false" ht="15" hidden="false" customHeight="false" outlineLevel="0" collapsed="false">
      <c r="A18" s="4" t="s">
        <v>417</v>
      </c>
      <c r="C18" s="35" t="n">
        <f aca="false">C13</f>
        <v>2564.55679016342</v>
      </c>
      <c r="D18" s="35" t="n">
        <f aca="false">D13</f>
        <v>5398.19723913933</v>
      </c>
      <c r="E18" s="35" t="n">
        <f aca="false">E13</f>
        <v>5773.43041633054</v>
      </c>
      <c r="F18" s="35" t="n">
        <f aca="false">F13</f>
        <v>6122.37468463687</v>
      </c>
      <c r="G18" s="35" t="n">
        <f aca="false">G13</f>
        <v>6444.5713783171</v>
      </c>
      <c r="H18" s="35" t="n">
        <f aca="false">H13</f>
        <v>6764.39241080951</v>
      </c>
      <c r="I18" s="35" t="n">
        <f aca="false">I13</f>
        <v>7090.29703656451</v>
      </c>
    </row>
    <row r="19" customFormat="false" ht="15" hidden="false" customHeight="false" outlineLevel="0" collapsed="false">
      <c r="A19" s="4" t="s">
        <v>418</v>
      </c>
      <c r="C19" s="35" t="n">
        <f aca="false">-Forecast_Base!C16</f>
        <v>-124994.032713318</v>
      </c>
      <c r="D19" s="35" t="n">
        <f aca="false">-Forecast_Base!D16</f>
        <v>-240659.938271462</v>
      </c>
      <c r="E19" s="35" t="n">
        <f aca="false">-Forecast_Base!E16</f>
        <v>-151494.998638301</v>
      </c>
      <c r="F19" s="35" t="n">
        <f aca="false">-Forecast_Base!F16</f>
        <v>-47682.3386239227</v>
      </c>
      <c r="G19" s="35" t="n">
        <f aca="false">-Forecast_Base!G16</f>
        <v>-49731.1556818492</v>
      </c>
      <c r="H19" s="35" t="n">
        <f aca="false">-Forecast_Base!H16</f>
        <v>-51673.8461089117</v>
      </c>
      <c r="I19" s="35" t="n">
        <f aca="false">-Supuestos!$B$58*I7</f>
        <v>-55421.1223136182</v>
      </c>
      <c r="J19" s="2" t="s">
        <v>419</v>
      </c>
    </row>
    <row r="20" customFormat="false" ht="15" hidden="false" customHeight="false" outlineLevel="0" collapsed="false">
      <c r="A20" s="4" t="s">
        <v>420</v>
      </c>
      <c r="C20" s="35" t="n">
        <f aca="false">-Expansion!C24</f>
        <v>-0</v>
      </c>
      <c r="D20" s="35" t="n">
        <f aca="false">-Expansion!D24</f>
        <v>-46268.2700519154</v>
      </c>
      <c r="E20" s="35" t="n">
        <f aca="false">-Expansion!E24</f>
        <v>-95312.6363069457</v>
      </c>
      <c r="F20" s="35" t="n">
        <f aca="false">-Expansion!F24</f>
        <v>-98172.0153961541</v>
      </c>
      <c r="G20" s="35" t="n">
        <f aca="false">-Expansion!G24</f>
        <v>-101117.175858039</v>
      </c>
      <c r="H20" s="35" t="n">
        <f aca="false">-Expansion!H24</f>
        <v>-104150.69113378</v>
      </c>
      <c r="I20" s="35" t="n">
        <f aca="false">-Supuestos!$B$89/Expansion!$C$38*I17</f>
        <v>-0</v>
      </c>
      <c r="J20" s="2" t="s">
        <v>421</v>
      </c>
    </row>
    <row r="21" customFormat="false" ht="15" hidden="false" customHeight="false" outlineLevel="0" collapsed="false">
      <c r="A21" s="4" t="s">
        <v>422</v>
      </c>
      <c r="C21" s="35" t="n">
        <f aca="false">-Supuestos!$B$84*Supuestos!$B$85*(Forecast_Base!C5-Supuestos!$B$56)/2</f>
        <v>-3907.94604206113</v>
      </c>
      <c r="D21" s="35" t="n">
        <f aca="false">-Supuestos!$B$84*Supuestos!$B$85*(D7-Forecast_Base!C5)</f>
        <v>-9858.89868334063</v>
      </c>
      <c r="E21" s="35" t="n">
        <f aca="false">-Supuestos!$B$84*Supuestos!$B$85*(E7-D7)</f>
        <v>-8321.37041904115</v>
      </c>
      <c r="F21" s="35" t="n">
        <f aca="false">-Supuestos!$B$84*Supuestos!$B$85*(F7-E7)</f>
        <v>-7738.37359988716</v>
      </c>
      <c r="G21" s="35" t="n">
        <f aca="false">-Supuestos!$B$84*Supuestos!$B$85*(G7-F7)</f>
        <v>-7145.20516541992</v>
      </c>
      <c r="H21" s="35" t="n">
        <f aca="false">-Supuestos!$B$84*Supuestos!$B$85*(H7-G7)</f>
        <v>-7092.52123996839</v>
      </c>
      <c r="I21" s="35" t="n">
        <f aca="false">-Supuestos!$B$84*Supuestos!$B$85*(I7-C34)</f>
        <v>-4579.75329408064</v>
      </c>
      <c r="J21" s="2" t="s">
        <v>423</v>
      </c>
    </row>
    <row r="22" customFormat="false" ht="15" hidden="false" customHeight="false" outlineLevel="0" collapsed="false">
      <c r="A22" s="3" t="s">
        <v>424</v>
      </c>
      <c r="C22" s="47" t="n">
        <f aca="false">C17+C18+C19+C20+C21</f>
        <v>113425.715768245</v>
      </c>
      <c r="D22" s="47" t="n">
        <f aca="false">D17+D18+D19+D20+D21</f>
        <v>199440.442268561</v>
      </c>
      <c r="E22" s="47" t="n">
        <f aca="false">E17+E18+E19+E20+E21</f>
        <v>259687.719258378</v>
      </c>
      <c r="F22" s="47" t="n">
        <f aca="false">F17+F18+F19+F20+F21</f>
        <v>375320.615932717</v>
      </c>
      <c r="G22" s="47" t="n">
        <f aca="false">G17+G18+G19+G20+G21</f>
        <v>377068.219372121</v>
      </c>
      <c r="H22" s="47" t="n">
        <f aca="false">H17+H18+H19+H20+H21</f>
        <v>398715.503513791</v>
      </c>
      <c r="I22" s="43" t="n">
        <f aca="false">I17+I18+I19+I20+I21</f>
        <v>528835.311960595</v>
      </c>
    </row>
    <row r="24" customFormat="false" ht="15" hidden="false" customHeight="false" outlineLevel="0" collapsed="false">
      <c r="A24" s="3" t="s">
        <v>425</v>
      </c>
    </row>
    <row r="25" customFormat="false" ht="15" hidden="false" customHeight="false" outlineLevel="0" collapsed="false">
      <c r="A25" s="4" t="s">
        <v>426</v>
      </c>
      <c r="C25" s="7" t="n">
        <f aca="false">WACC!C43</f>
        <v>0.10536861207682</v>
      </c>
      <c r="D25" s="7" t="n">
        <f aca="false">WACC!D43</f>
        <v>0.10509035847844</v>
      </c>
      <c r="E25" s="7" t="n">
        <f aca="false">WACC!E43</f>
        <v>0.104828865047159</v>
      </c>
      <c r="F25" s="7" t="n">
        <f aca="false">WACC!F43</f>
        <v>0.104583508888836</v>
      </c>
      <c r="G25" s="7" t="n">
        <f aca="false">WACC!G43</f>
        <v>0.104353697598228</v>
      </c>
      <c r="H25" s="7" t="n">
        <f aca="false">WACC!H43</f>
        <v>0.104138867416108</v>
      </c>
      <c r="I25" s="7" t="n">
        <f aca="false">WACC!I43</f>
        <v>0.104138867416108</v>
      </c>
    </row>
    <row r="26" customFormat="false" ht="15" hidden="false" customHeight="false" outlineLevel="0" collapsed="false">
      <c r="A26" s="4" t="s">
        <v>427</v>
      </c>
      <c r="C26" s="19" t="n">
        <v>0.5</v>
      </c>
      <c r="D26" s="19" t="n">
        <v>1</v>
      </c>
      <c r="E26" s="19" t="n">
        <v>1</v>
      </c>
      <c r="F26" s="19" t="n">
        <v>1</v>
      </c>
      <c r="G26" s="19" t="n">
        <v>1</v>
      </c>
      <c r="H26" s="19" t="n">
        <v>1</v>
      </c>
    </row>
    <row r="27" customFormat="false" ht="15" hidden="false" customHeight="false" outlineLevel="0" collapsed="false">
      <c r="A27" s="4" t="s">
        <v>428</v>
      </c>
      <c r="C27" s="44" t="n">
        <f aca="false">(1+C25)^-C26</f>
        <v>0.95114435751134</v>
      </c>
      <c r="D27" s="44" t="n">
        <f aca="false">C27*(1+D25)^-D26</f>
        <v>0.860693743469935</v>
      </c>
      <c r="E27" s="44" t="n">
        <f aca="false">D27*(1+E25)^-E26</f>
        <v>0.77902901589487</v>
      </c>
      <c r="F27" s="44" t="n">
        <f aca="false">E27*(1+F25)^-F26</f>
        <v>0.705269460955958</v>
      </c>
      <c r="G27" s="44" t="n">
        <f aca="false">F27*(1+G25)^-G26</f>
        <v>0.638626431450172</v>
      </c>
      <c r="H27" s="44" t="n">
        <f aca="false">G27*(1+H25)^-H26</f>
        <v>0.578393216919061</v>
      </c>
    </row>
    <row r="28" customFormat="false" ht="15" hidden="false" customHeight="false" outlineLevel="0" collapsed="false">
      <c r="A28" s="4" t="s">
        <v>429</v>
      </c>
      <c r="C28" s="44" t="n">
        <f aca="false">(1+C25)^-(C26/2)</f>
        <v>0.975266300818059</v>
      </c>
      <c r="D28" s="44" t="n">
        <f aca="false">C27*(1+D25)^-(D26/2)</f>
        <v>0.904789476976131</v>
      </c>
      <c r="E28" s="44" t="n">
        <f aca="false">D27*(1+E25)^-(E26/2)</f>
        <v>0.818843941152559</v>
      </c>
      <c r="F28" s="44" t="n">
        <f aca="false">E27*(1+F25)^-(F26/2)</f>
        <v>0.741232334770432</v>
      </c>
      <c r="G28" s="44" t="n">
        <f aca="false">F27*(1+G25)^-(G26/2)</f>
        <v>0.671121240210061</v>
      </c>
      <c r="H28" s="44" t="n">
        <f aca="false">G27*(1+H25)^-(H26/2)</f>
        <v>0.607764095760851</v>
      </c>
      <c r="J28" s="2" t="s">
        <v>430</v>
      </c>
    </row>
    <row r="29" customFormat="false" ht="15" hidden="false" customHeight="false" outlineLevel="0" collapsed="false">
      <c r="A29" s="4" t="s">
        <v>431</v>
      </c>
      <c r="C29" s="35" t="n">
        <f aca="false">C22*C28</f>
        <v>110620.278234937</v>
      </c>
      <c r="D29" s="35" t="n">
        <f aca="false">D22*D28</f>
        <v>180451.613448059</v>
      </c>
      <c r="E29" s="35" t="n">
        <f aca="false">E22*E28</f>
        <v>212643.71550645</v>
      </c>
      <c r="F29" s="35" t="n">
        <f aca="false">F22*F28</f>
        <v>278199.776435285</v>
      </c>
      <c r="G29" s="35" t="n">
        <f aca="false">G22*G28</f>
        <v>253058.491028817</v>
      </c>
      <c r="H29" s="35" t="n">
        <f aca="false">H22*H28</f>
        <v>242324.967458891</v>
      </c>
    </row>
    <row r="31" customFormat="false" ht="15" hidden="false" customHeight="false" outlineLevel="0" collapsed="false">
      <c r="A31" s="3" t="s">
        <v>432</v>
      </c>
    </row>
    <row r="32" customFormat="false" ht="15" hidden="false" customHeight="false" outlineLevel="0" collapsed="false">
      <c r="A32" s="4" t="s">
        <v>433</v>
      </c>
      <c r="C32" s="33" t="n">
        <f aca="false">Expansion!H5+1</f>
        <v>2032</v>
      </c>
      <c r="J32" s="2" t="s">
        <v>434</v>
      </c>
    </row>
    <row r="33" customFormat="false" ht="15" hidden="false" customHeight="false" outlineLevel="0" collapsed="false">
      <c r="A33" s="4" t="s">
        <v>435</v>
      </c>
      <c r="C33" s="24" t="n">
        <f aca="false">SUMIF(Expansion!$A$12:$A$16,"&lt;="&amp;C32,Expansion!$B$12:$B$16)</f>
        <v>108301.333333333</v>
      </c>
    </row>
    <row r="34" customFormat="false" ht="15" hidden="false" customHeight="false" outlineLevel="0" collapsed="false">
      <c r="A34" s="4" t="s">
        <v>436</v>
      </c>
      <c r="C34" s="35" t="n">
        <f aca="false">Forecast_Base!H5+C33*Expansion!H8/1000000*Expansion!C39</f>
        <v>978307.543047099</v>
      </c>
    </row>
    <row r="35" customFormat="false" ht="15" hidden="false" customHeight="false" outlineLevel="0" collapsed="false">
      <c r="A35" s="4" t="s">
        <v>437</v>
      </c>
      <c r="C35" s="35" t="n">
        <f aca="false">Forecast_Base!H7+(C34-Forecast_Base!H5)*Expansion!H9</f>
        <v>780584.928006944</v>
      </c>
    </row>
    <row r="37" customFormat="false" ht="15" hidden="false" customHeight="false" outlineLevel="0" collapsed="false">
      <c r="A37" s="3" t="s">
        <v>438</v>
      </c>
    </row>
    <row r="38" customFormat="false" ht="15" hidden="false" customHeight="false" outlineLevel="0" collapsed="false">
      <c r="A38" s="4" t="s">
        <v>439</v>
      </c>
      <c r="C38" s="27" t="n">
        <f aca="false">I25</f>
        <v>0.104138867416108</v>
      </c>
    </row>
    <row r="39" customFormat="false" ht="15" hidden="false" customHeight="false" outlineLevel="0" collapsed="false">
      <c r="A39" s="4" t="s">
        <v>195</v>
      </c>
      <c r="C39" s="7" t="n">
        <f aca="false">Supuestos!$B$88</f>
        <v>0.03</v>
      </c>
    </row>
    <row r="40" customFormat="false" ht="15" hidden="false" customHeight="false" outlineLevel="0" collapsed="false">
      <c r="A40" s="4" t="s">
        <v>440</v>
      </c>
      <c r="C40" s="27" t="n">
        <f aca="false">Supuestos!$B$89/Expansion!$C$38</f>
        <v>0</v>
      </c>
    </row>
    <row r="41" customFormat="false" ht="15" hidden="false" customHeight="false" outlineLevel="0" collapsed="false">
      <c r="A41" s="4" t="s">
        <v>441</v>
      </c>
      <c r="C41" s="35" t="n">
        <f aca="false">I22/(C38-C39)</f>
        <v>7133037.37151092</v>
      </c>
    </row>
    <row r="42" customFormat="false" ht="15" hidden="false" customHeight="false" outlineLevel="0" collapsed="false">
      <c r="A42" s="4" t="s">
        <v>442</v>
      </c>
      <c r="C42" s="35" t="n">
        <f aca="false">C41*H27</f>
        <v>4125700.43171208</v>
      </c>
    </row>
    <row r="43" customFormat="false" ht="15" hidden="false" customHeight="false" outlineLevel="0" collapsed="false">
      <c r="A43" s="4" t="s">
        <v>443</v>
      </c>
      <c r="C43" s="35" t="n">
        <f aca="false">SUM(C29:H29)</f>
        <v>1277298.84211244</v>
      </c>
    </row>
    <row r="44" customFormat="false" ht="15" hidden="false" customHeight="false" outlineLevel="0" collapsed="false">
      <c r="A44" s="3" t="s">
        <v>444</v>
      </c>
      <c r="C44" s="43" t="n">
        <f aca="false">C43+C42</f>
        <v>5402999.27382452</v>
      </c>
    </row>
    <row r="45" customFormat="false" ht="15" hidden="false" customHeight="false" outlineLevel="0" collapsed="false">
      <c r="A45" s="4" t="s">
        <v>445</v>
      </c>
      <c r="C45" s="35" t="n">
        <f aca="false">-Supuestos!$B$10</f>
        <v>-1285740</v>
      </c>
    </row>
    <row r="46" customFormat="false" ht="15" hidden="false" customHeight="false" outlineLevel="0" collapsed="false">
      <c r="A46" s="4" t="s">
        <v>446</v>
      </c>
      <c r="C46" s="35" t="n">
        <f aca="false">-Supuestos!$B$11</f>
        <v>-50841</v>
      </c>
    </row>
    <row r="47" customFormat="false" ht="15" hidden="false" customHeight="false" outlineLevel="0" collapsed="false">
      <c r="A47" s="3" t="s">
        <v>447</v>
      </c>
      <c r="C47" s="43" t="n">
        <f aca="false">C44+C45+C46</f>
        <v>4066418.27382452</v>
      </c>
    </row>
    <row r="48" customFormat="false" ht="15" hidden="false" customHeight="false" outlineLevel="0" collapsed="false">
      <c r="A48" s="4" t="s">
        <v>448</v>
      </c>
      <c r="C48" s="6" t="n">
        <f aca="false">Supuestos!$B$9</f>
        <v>2190</v>
      </c>
    </row>
    <row r="49" customFormat="false" ht="15" hidden="false" customHeight="false" outlineLevel="0" collapsed="false">
      <c r="A49" s="3" t="s">
        <v>3</v>
      </c>
      <c r="C49" s="48" t="n">
        <f aca="false">C47/C48</f>
        <v>1856.81199718015</v>
      </c>
      <c r="D49" s="2" t="s">
        <v>449</v>
      </c>
    </row>
    <row r="50" customFormat="false" ht="15" hidden="false" customHeight="false" outlineLevel="0" collapsed="false">
      <c r="A50" s="4" t="s">
        <v>6</v>
      </c>
      <c r="C50" s="6" t="n">
        <f aca="false">Supuestos!$B$8</f>
        <v>3555</v>
      </c>
    </row>
    <row r="51" customFormat="false" ht="15" hidden="false" customHeight="false" outlineLevel="0" collapsed="false">
      <c r="A51" s="3" t="s">
        <v>450</v>
      </c>
      <c r="C51" s="40" t="n">
        <f aca="false">C49/C50-1</f>
        <v>-0.477690014857905</v>
      </c>
    </row>
    <row r="53" customFormat="false" ht="15" hidden="false" customHeight="false" outlineLevel="0" collapsed="false">
      <c r="A53" s="3" t="s">
        <v>451</v>
      </c>
    </row>
    <row r="54" customFormat="false" ht="15" hidden="false" customHeight="false" outlineLevel="0" collapsed="false">
      <c r="A54" s="4" t="s">
        <v>452</v>
      </c>
      <c r="C54" s="27" t="n">
        <f aca="false">C42/C44</f>
        <v>0.763594481994387</v>
      </c>
      <c r="D54" s="2" t="s">
        <v>453</v>
      </c>
    </row>
    <row r="55" customFormat="false" ht="15" hidden="false" customHeight="false" outlineLevel="0" collapsed="false">
      <c r="A55" s="4" t="s">
        <v>454</v>
      </c>
      <c r="C55" s="49" t="n">
        <f aca="false">C44/Supuestos!$B$13</f>
        <v>9.91494265155389</v>
      </c>
      <c r="D55" s="2" t="s">
        <v>455</v>
      </c>
    </row>
    <row r="56" customFormat="false" ht="15" hidden="false" customHeight="false" outlineLevel="0" collapsed="false">
      <c r="A56" s="4" t="s">
        <v>456</v>
      </c>
      <c r="C56" s="27" t="n">
        <f aca="false">Supuestos!$B$13/C44</f>
        <v>0.100857870301779</v>
      </c>
      <c r="D56" s="2" t="s">
        <v>457</v>
      </c>
    </row>
    <row r="57" customFormat="false" ht="15" hidden="false" customHeight="false" outlineLevel="0" collapsed="false">
      <c r="A57" s="4" t="s">
        <v>458</v>
      </c>
      <c r="C57" s="27" t="n">
        <f aca="false">I11/C41</f>
        <v>0.112715304010366</v>
      </c>
    </row>
    <row r="58" customFormat="false" ht="15" hidden="false" customHeight="false" outlineLevel="0" collapsed="false">
      <c r="A58" s="4" t="s">
        <v>459</v>
      </c>
      <c r="C58" s="7" t="n">
        <f aca="false">WACC!I44</f>
        <v>0.0719794829282607</v>
      </c>
      <c r="D58" s="2" t="s">
        <v>460</v>
      </c>
    </row>
    <row r="59" customFormat="false" ht="15" hidden="false" customHeight="false" outlineLevel="0" collapsed="false">
      <c r="A59" s="4" t="s">
        <v>461</v>
      </c>
      <c r="C59" s="7" t="n">
        <f aca="false">Expansion!$C$38</f>
        <v>0.0503838486456213</v>
      </c>
      <c r="D59" s="2" t="s">
        <v>462</v>
      </c>
    </row>
    <row r="60" customFormat="false" ht="15" hidden="false" customHeight="false" outlineLevel="0" collapsed="false">
      <c r="A60" s="4" t="s">
        <v>463</v>
      </c>
      <c r="C60" s="8" t="n">
        <f aca="false">Deuda!H22</f>
        <v>3.5</v>
      </c>
      <c r="D60" s="2" t="s">
        <v>464</v>
      </c>
    </row>
    <row r="61" customFormat="false" ht="15" hidden="false" customHeight="false" outlineLevel="0" collapsed="false">
      <c r="A61" s="4" t="s">
        <v>465</v>
      </c>
      <c r="C61" s="6" t="n">
        <f aca="false">Supuestos!$B$108</f>
        <v>1880.36835821122</v>
      </c>
    </row>
    <row r="62" customFormat="false" ht="15" hidden="false" customHeight="false" outlineLevel="0" collapsed="false">
      <c r="A62" s="4" t="s">
        <v>466</v>
      </c>
      <c r="C62" s="35" t="n">
        <f aca="false">C49-C61</f>
        <v>-23.5563610310733</v>
      </c>
    </row>
    <row r="63" customFormat="false" ht="15" hidden="false" customHeight="false" outlineLevel="0" collapsed="false">
      <c r="A63" s="4" t="s">
        <v>467</v>
      </c>
      <c r="C63" s="6" t="n">
        <f aca="false">APV!C21</f>
        <v>1893.65312381858</v>
      </c>
    </row>
    <row r="64" customFormat="false" ht="15" hidden="false" customHeight="false" outlineLevel="0" collapsed="false">
      <c r="A64" s="4" t="s">
        <v>468</v>
      </c>
      <c r="C64" s="27" t="n">
        <f aca="false">C49/C63-1</f>
        <v>-0.0194550555088684</v>
      </c>
      <c r="D64" s="2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8" min="3" style="0" width="14"/>
    <col collapsed="false" customWidth="true" hidden="false" outlineLevel="0" max="10" min="10" style="0" width="90"/>
  </cols>
  <sheetData>
    <row r="1" customFormat="false" ht="15.75" hidden="false" customHeight="tru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11" t="s">
        <v>48</v>
      </c>
      <c r="B4" s="37"/>
      <c r="C4" s="38" t="s">
        <v>280</v>
      </c>
      <c r="D4" s="38" t="s">
        <v>281</v>
      </c>
      <c r="E4" s="38" t="s">
        <v>282</v>
      </c>
      <c r="F4" s="38" t="s">
        <v>283</v>
      </c>
      <c r="G4" s="38" t="s">
        <v>284</v>
      </c>
      <c r="H4" s="38" t="s">
        <v>285</v>
      </c>
    </row>
    <row r="5" customFormat="false" ht="15" hidden="false" customHeight="false" outlineLevel="0" collapsed="false">
      <c r="A5" s="4" t="s">
        <v>288</v>
      </c>
      <c r="C5" s="39" t="n">
        <f aca="false">DCF!C26</f>
        <v>0.5</v>
      </c>
      <c r="D5" s="22" t="n">
        <f aca="false">C5+DCF!D26</f>
        <v>1.5</v>
      </c>
      <c r="E5" s="22" t="n">
        <f aca="false">D5+DCF!E26</f>
        <v>2.5</v>
      </c>
      <c r="F5" s="22" t="n">
        <f aca="false">E5+DCF!F26</f>
        <v>3.5</v>
      </c>
      <c r="G5" s="22" t="n">
        <f aca="false">F5+DCF!G26</f>
        <v>4.5</v>
      </c>
      <c r="H5" s="22" t="n">
        <f aca="false">G5+DCF!H26</f>
        <v>5.5</v>
      </c>
    </row>
    <row r="6" customFormat="false" ht="15" hidden="false" customHeight="false" outlineLevel="0" collapsed="false">
      <c r="A6" s="4" t="s">
        <v>472</v>
      </c>
      <c r="C6" s="35" t="n">
        <f aca="false">Forecast_Base!C7+DCF!C10</f>
        <v>561315.405027496</v>
      </c>
      <c r="D6" s="46" t="n">
        <f aca="false">DCF!D11</f>
        <v>611360.360246719</v>
      </c>
      <c r="E6" s="46" t="n">
        <f aca="false">DCF!E11</f>
        <v>654236.225583637</v>
      </c>
      <c r="F6" s="46" t="n">
        <f aca="false">DCF!F11</f>
        <v>694005.228458379</v>
      </c>
      <c r="G6" s="46" t="n">
        <f aca="false">DCF!G11</f>
        <v>730577.701103127</v>
      </c>
      <c r="H6" s="46" t="n">
        <f aca="false">DCF!H11</f>
        <v>766857.775404839</v>
      </c>
      <c r="J6" s="2" t="s">
        <v>473</v>
      </c>
    </row>
    <row r="7" customFormat="false" ht="15" hidden="false" customHeight="false" outlineLevel="0" collapsed="false">
      <c r="A7" s="3" t="s">
        <v>474</v>
      </c>
      <c r="C7" s="50" t="n">
        <f aca="false">Supuestos!$B$10</f>
        <v>1285740</v>
      </c>
      <c r="D7" s="43" t="n">
        <f aca="false">C21</f>
        <v>1382589.93765492</v>
      </c>
      <c r="E7" s="43" t="n">
        <f aca="false">D21</f>
        <v>1632637.78160947</v>
      </c>
      <c r="F7" s="43" t="n">
        <f aca="false">E21</f>
        <v>1882810.02920094</v>
      </c>
      <c r="G7" s="43" t="n">
        <f aca="false">F21</f>
        <v>2141179.59680204</v>
      </c>
      <c r="H7" s="43" t="n">
        <f aca="false">G21</f>
        <v>2405518.38504135</v>
      </c>
    </row>
    <row r="8" customFormat="false" ht="15" hidden="false" customHeight="false" outlineLevel="0" collapsed="false">
      <c r="A8" s="4" t="s">
        <v>475</v>
      </c>
      <c r="C8" s="8" t="n">
        <f aca="false">Supuestos!$B$41</f>
        <v>2.3594373640893</v>
      </c>
      <c r="D8" s="20" t="n">
        <f aca="false">C22</f>
        <v>2.46312487644481</v>
      </c>
      <c r="E8" s="20" t="n">
        <f aca="false">D22</f>
        <v>2.67049990115585</v>
      </c>
      <c r="F8" s="20" t="n">
        <f aca="false">E22</f>
        <v>2.87787492586689</v>
      </c>
      <c r="G8" s="20" t="n">
        <f aca="false">F22</f>
        <v>3.08524995057793</v>
      </c>
      <c r="H8" s="20" t="n">
        <f aca="false">G22</f>
        <v>3.29262497528896</v>
      </c>
    </row>
    <row r="9" customFormat="false" ht="15" hidden="false" customHeight="false" outlineLevel="0" collapsed="false">
      <c r="A9" s="4" t="s">
        <v>476</v>
      </c>
      <c r="C9" s="27" t="n">
        <f aca="false">Supuestos!$B$46+Supuestos!$B$40*Supuestos!$B$45*MAX(0,C8-Supuestos!$B$41)</f>
        <v>0.0308</v>
      </c>
      <c r="D9" s="27" t="n">
        <f aca="false">Supuestos!$B$46+Supuestos!$B$40*Supuestos!$B$45*MAX(0,D8-Supuestos!$B$41)</f>
        <v>0.0310592187808888</v>
      </c>
      <c r="E9" s="27" t="n">
        <f aca="false">Supuestos!$B$46+Supuestos!$B$40*Supuestos!$B$45*MAX(0,E8-Supuestos!$B$41)</f>
        <v>0.0315776563426664</v>
      </c>
      <c r="F9" s="27" t="n">
        <f aca="false">Supuestos!$B$46+Supuestos!$B$40*Supuestos!$B$45*MAX(0,F8-Supuestos!$B$41)</f>
        <v>0.032096093904444</v>
      </c>
      <c r="G9" s="27" t="n">
        <f aca="false">Supuestos!$B$46+Supuestos!$B$40*Supuestos!$B$45*MAX(0,G8-Supuestos!$B$41)</f>
        <v>0.0326145314662216</v>
      </c>
      <c r="H9" s="27" t="n">
        <f aca="false">Supuestos!$B$46+Supuestos!$B$40*Supuestos!$B$45*MAX(0,H8-Supuestos!$B$41)</f>
        <v>0.0331329690279992</v>
      </c>
      <c r="J9" s="2" t="s">
        <v>477</v>
      </c>
    </row>
    <row r="10" customFormat="false" ht="15" hidden="false" customHeight="false" outlineLevel="0" collapsed="false">
      <c r="A10" s="4" t="s">
        <v>478</v>
      </c>
      <c r="C10" s="35" t="n">
        <f aca="false">-DCF!C22</f>
        <v>-113425.715768245</v>
      </c>
      <c r="D10" s="35" t="n">
        <f aca="false">-DCF!D22</f>
        <v>-199440.442268561</v>
      </c>
      <c r="E10" s="35" t="n">
        <f aca="false">-DCF!E22</f>
        <v>-259687.719258378</v>
      </c>
      <c r="F10" s="35" t="n">
        <f aca="false">-DCF!F22</f>
        <v>-375320.615932717</v>
      </c>
      <c r="G10" s="35" t="n">
        <f aca="false">-DCF!G22</f>
        <v>-377068.219372121</v>
      </c>
      <c r="H10" s="35" t="n">
        <f aca="false">-DCF!H22</f>
        <v>-398715.503513791</v>
      </c>
    </row>
    <row r="11" customFormat="false" ht="15" hidden="false" customHeight="false" outlineLevel="0" collapsed="false">
      <c r="A11" s="4" t="s">
        <v>479</v>
      </c>
      <c r="C11" s="35" t="n">
        <f aca="false">C7*C9*DCF!C26</f>
        <v>19800.396</v>
      </c>
      <c r="D11" s="35" t="n">
        <f aca="false">D7*D9*DCF!D26</f>
        <v>42942.1633578796</v>
      </c>
      <c r="E11" s="35" t="n">
        <f aca="false">E7*E9*DCF!E26</f>
        <v>51554.874799717</v>
      </c>
      <c r="F11" s="35" t="n">
        <f aca="false">F7*F9*DCF!F26</f>
        <v>60430.8475014624</v>
      </c>
      <c r="G11" s="35" t="n">
        <f aca="false">G7*G9*DCF!G26</f>
        <v>69833.5693347317</v>
      </c>
      <c r="H11" s="35" t="n">
        <f aca="false">H7*H9*DCF!H26</f>
        <v>79701.9661478577</v>
      </c>
    </row>
    <row r="12" customFormat="false" ht="15" hidden="false" customHeight="false" outlineLevel="0" collapsed="false">
      <c r="A12" s="4" t="s">
        <v>480</v>
      </c>
      <c r="C12" s="35" t="n">
        <f aca="false">C11*(1-DCF!C15)</f>
        <v>16473.929472</v>
      </c>
      <c r="D12" s="35" t="n">
        <f aca="false">D11*(1-DCF!D15)</f>
        <v>34783.1523198825</v>
      </c>
      <c r="E12" s="35" t="n">
        <f aca="false">E11*(1-DCF!E15)</f>
        <v>40470.5767177779</v>
      </c>
      <c r="F12" s="35" t="n">
        <f aca="false">F11*(1-DCF!F15)</f>
        <v>45927.4441011114</v>
      </c>
      <c r="G12" s="35" t="n">
        <f aca="false">G11*(1-DCF!G15)</f>
        <v>50978.5056143541</v>
      </c>
      <c r="H12" s="35" t="n">
        <f aca="false">H11*(1-DCF!H15)</f>
        <v>58182.4352879361</v>
      </c>
    </row>
    <row r="13" customFormat="false" ht="15" hidden="false" customHeight="false" outlineLevel="0" collapsed="false">
      <c r="A13" s="4" t="s">
        <v>481</v>
      </c>
      <c r="C13" s="35" t="n">
        <f aca="false">C7*Supuestos!$B$47*Supuestos!$B$34*DCF!C26</f>
        <v>15236.019</v>
      </c>
      <c r="D13" s="35" t="n">
        <f aca="false">D7*Supuestos!$B$47*Supuestos!$B$34*DCF!D26</f>
        <v>32767.3815224217</v>
      </c>
      <c r="E13" s="35" t="n">
        <f aca="false">E7*Supuestos!$B$47*Supuestos!$B$34*DCF!E26</f>
        <v>38693.5154241444</v>
      </c>
      <c r="F13" s="35" t="n">
        <f aca="false">F7*Supuestos!$B$47*Supuestos!$B$34*DCF!F26</f>
        <v>44622.5976920623</v>
      </c>
      <c r="G13" s="35" t="n">
        <f aca="false">G7*Supuestos!$B$47*Supuestos!$B$34*DCF!G26</f>
        <v>50745.9564442083</v>
      </c>
      <c r="H13" s="35" t="n">
        <f aca="false">H7*Supuestos!$B$47*Supuestos!$B$34*DCF!H26</f>
        <v>57010.7857254801</v>
      </c>
    </row>
    <row r="14" customFormat="false" ht="15" hidden="false" customHeight="false" outlineLevel="0" collapsed="false">
      <c r="A14" s="4" t="s">
        <v>482</v>
      </c>
      <c r="C14" s="35" t="n">
        <f aca="false">C13*(1-DCF!C15)</f>
        <v>12676.367808</v>
      </c>
      <c r="D14" s="35" t="n">
        <f aca="false">D13*(1-DCF!D15)</f>
        <v>26541.5790331615</v>
      </c>
      <c r="E14" s="35" t="n">
        <f aca="false">E13*(1-DCF!E15)</f>
        <v>30374.4096079534</v>
      </c>
      <c r="F14" s="35" t="n">
        <f aca="false">F13*(1-DCF!F15)</f>
        <v>33913.1742459674</v>
      </c>
      <c r="G14" s="35" t="n">
        <f aca="false">G13*(1-DCF!G15)</f>
        <v>37044.548204272</v>
      </c>
      <c r="H14" s="35" t="n">
        <f aca="false">H13*(1-DCF!H15)</f>
        <v>41617.8735796004</v>
      </c>
      <c r="J14" s="2" t="s">
        <v>483</v>
      </c>
    </row>
    <row r="15" customFormat="false" ht="15" hidden="false" customHeight="false" outlineLevel="0" collapsed="false">
      <c r="A15" s="4" t="s">
        <v>484</v>
      </c>
      <c r="C15" s="46" t="n">
        <f aca="false">Supuestos!$B$51</f>
        <v>380038.816382312</v>
      </c>
      <c r="D15" s="35" t="n">
        <f aca="false">D6-DCF!D15*(D6-D11)-D11-D13</f>
        <v>427651.357957538</v>
      </c>
      <c r="E15" s="35" t="n">
        <f aca="false">E6-DCF!E15*(E6-E11)-E11-E13</f>
        <v>434411.344941233</v>
      </c>
      <c r="F15" s="35" t="n">
        <f aca="false">F6-DCF!F15*(F6-F11)-F11-F13</f>
        <v>436893.931835195</v>
      </c>
      <c r="G15" s="35" t="n">
        <f aca="false">G6-DCF!G15*(G6-G11)-G11-G13</f>
        <v>431597.259746721</v>
      </c>
      <c r="H15" s="35" t="n">
        <f aca="false">H6-DCF!H15*(H6-H11)-H11-H13</f>
        <v>444612.955032116</v>
      </c>
      <c r="J15" s="2" t="s">
        <v>485</v>
      </c>
    </row>
    <row r="16" customFormat="false" ht="15" hidden="false" customHeight="false" outlineLevel="0" collapsed="false">
      <c r="A16" s="4" t="s">
        <v>486</v>
      </c>
      <c r="C16" s="35" t="n">
        <f aca="false">Supuestos!$B$49-Supuestos!$B$50</f>
        <v>60107.8</v>
      </c>
      <c r="D16" s="35" t="n">
        <f aca="false">Supuestos!$B$48*C15</f>
        <v>152015.526552925</v>
      </c>
      <c r="E16" s="35" t="n">
        <f aca="false">Supuestos!$B$48*D15</f>
        <v>171060.543183015</v>
      </c>
      <c r="F16" s="35" t="n">
        <f aca="false">Supuestos!$B$48*E15</f>
        <v>173764.537976493</v>
      </c>
      <c r="G16" s="35" t="n">
        <f aca="false">Supuestos!$B$48*F15</f>
        <v>174757.572734078</v>
      </c>
      <c r="H16" s="35" t="n">
        <f aca="false">Supuestos!$B$48*G15</f>
        <v>172638.903898688</v>
      </c>
      <c r="J16" s="2" t="s">
        <v>487</v>
      </c>
    </row>
    <row r="17" customFormat="false" ht="15" hidden="false" customHeight="false" outlineLevel="0" collapsed="false">
      <c r="A17" s="4" t="s">
        <v>488</v>
      </c>
      <c r="C17" s="35" t="n">
        <f aca="false">C7+C10+C12+C14+C16</f>
        <v>1261572.38151176</v>
      </c>
      <c r="D17" s="35" t="n">
        <f aca="false">D7+D10+D12+D14+D16</f>
        <v>1396489.75329233</v>
      </c>
      <c r="E17" s="35" t="n">
        <f aca="false">E7+E10+E12+E14+E16</f>
        <v>1614855.59185984</v>
      </c>
      <c r="F17" s="35" t="n">
        <f aca="false">F7+F10+F12+F14+F16</f>
        <v>1761094.5695918</v>
      </c>
      <c r="G17" s="35" t="n">
        <f aca="false">G7+G10+G12+G14+G16</f>
        <v>2026892.00398262</v>
      </c>
      <c r="H17" s="35" t="n">
        <f aca="false">H7+H10+H12+H14+H16</f>
        <v>2279242.09429379</v>
      </c>
    </row>
    <row r="18" customFormat="false" ht="15" hidden="false" customHeight="false" outlineLevel="0" collapsed="false">
      <c r="A18" s="4" t="s">
        <v>489</v>
      </c>
      <c r="C18" s="20" t="n">
        <f aca="false">IF(Supuestos!$B$40=1,Supuestos!$B$41+(Supuestos!$B$42-Supuestos!$B$41)*MIN(1,C5/Supuestos!$B$44),C17/C6)</f>
        <v>2.46312487644481</v>
      </c>
      <c r="D18" s="20" t="n">
        <f aca="false">IF(Supuestos!$B$40=1,Supuestos!$B$41+(Supuestos!$B$42-Supuestos!$B$41)*MIN(1,D5/Supuestos!$B$44),D17/D6)</f>
        <v>2.67049990115585</v>
      </c>
      <c r="E18" s="20" t="n">
        <f aca="false">IF(Supuestos!$B$40=1,Supuestos!$B$41+(Supuestos!$B$42-Supuestos!$B$41)*MIN(1,E5/Supuestos!$B$44),E17/E6)</f>
        <v>2.87787492586689</v>
      </c>
      <c r="F18" s="20" t="n">
        <f aca="false">IF(Supuestos!$B$40=1,Supuestos!$B$41+(Supuestos!$B$42-Supuestos!$B$41)*MIN(1,F5/Supuestos!$B$44),F17/F6)</f>
        <v>3.08524995057793</v>
      </c>
      <c r="G18" s="20" t="n">
        <f aca="false">IF(Supuestos!$B$40=1,Supuestos!$B$41+(Supuestos!$B$42-Supuestos!$B$41)*MIN(1,G5/Supuestos!$B$44),G17/G6)</f>
        <v>3.29262497528896</v>
      </c>
      <c r="H18" s="20" t="n">
        <f aca="false">IF(Supuestos!$B$40=1,Supuestos!$B$41+(Supuestos!$B$42-Supuestos!$B$41)*MIN(1,H5/Supuestos!$B$44),H17/H6)</f>
        <v>3.5</v>
      </c>
      <c r="J18" s="2" t="s">
        <v>490</v>
      </c>
    </row>
    <row r="19" customFormat="false" ht="15" hidden="false" customHeight="false" outlineLevel="0" collapsed="false">
      <c r="A19" s="4" t="s">
        <v>491</v>
      </c>
      <c r="C19" s="35" t="n">
        <f aca="false">C18*C6</f>
        <v>1382589.93765492</v>
      </c>
      <c r="D19" s="35" t="n">
        <f aca="false">D18*D6</f>
        <v>1632637.78160947</v>
      </c>
      <c r="E19" s="35" t="n">
        <f aca="false">E18*E6</f>
        <v>1882810.02920094</v>
      </c>
      <c r="F19" s="35" t="n">
        <f aca="false">F18*F6</f>
        <v>2141179.59680204</v>
      </c>
      <c r="G19" s="35" t="n">
        <f aca="false">G18*G6</f>
        <v>2405518.38504135</v>
      </c>
      <c r="H19" s="35" t="n">
        <f aca="false">H18*H6</f>
        <v>2684002.21391694</v>
      </c>
    </row>
    <row r="20" customFormat="false" ht="15" hidden="false" customHeight="false" outlineLevel="0" collapsed="false">
      <c r="A20" s="3" t="s">
        <v>492</v>
      </c>
      <c r="C20" s="43" t="n">
        <f aca="false">IF(Supuestos!$B$40=1,C19-C17,0)</f>
        <v>121017.556143167</v>
      </c>
      <c r="D20" s="43" t="n">
        <f aca="false">IF(Supuestos!$B$40=1,D19-D17,0)</f>
        <v>236148.028317139</v>
      </c>
      <c r="E20" s="43" t="n">
        <f aca="false">IF(Supuestos!$B$40=1,E19-E17,0)</f>
        <v>267954.437341106</v>
      </c>
      <c r="F20" s="43" t="n">
        <f aca="false">IF(Supuestos!$B$40=1,F19-F17,0)</f>
        <v>380085.02721024</v>
      </c>
      <c r="G20" s="43" t="n">
        <f aca="false">IF(Supuestos!$B$40=1,G19-G17,0)</f>
        <v>378626.381058733</v>
      </c>
      <c r="H20" s="43" t="n">
        <f aca="false">IF(Supuestos!$B$40=1,H19-H17,0)</f>
        <v>404760.119623149</v>
      </c>
      <c r="J20" s="2" t="s">
        <v>493</v>
      </c>
    </row>
    <row r="21" customFormat="false" ht="15" hidden="false" customHeight="false" outlineLevel="0" collapsed="false">
      <c r="A21" s="3" t="s">
        <v>494</v>
      </c>
      <c r="C21" s="43" t="n">
        <f aca="false">C17+C20</f>
        <v>1382589.93765492</v>
      </c>
      <c r="D21" s="43" t="n">
        <f aca="false">D17+D20</f>
        <v>1632637.78160947</v>
      </c>
      <c r="E21" s="43" t="n">
        <f aca="false">E17+E20</f>
        <v>1882810.02920094</v>
      </c>
      <c r="F21" s="43" t="n">
        <f aca="false">F17+F20</f>
        <v>2141179.59680204</v>
      </c>
      <c r="G21" s="43" t="n">
        <f aca="false">G17+G20</f>
        <v>2405518.38504135</v>
      </c>
      <c r="H21" s="43" t="n">
        <f aca="false">H17+H20</f>
        <v>2684002.21391694</v>
      </c>
    </row>
    <row r="22" customFormat="false" ht="15" hidden="false" customHeight="false" outlineLevel="0" collapsed="false">
      <c r="A22" s="3" t="s">
        <v>495</v>
      </c>
      <c r="C22" s="51" t="n">
        <f aca="false">C21/C6</f>
        <v>2.46312487644481</v>
      </c>
      <c r="D22" s="51" t="n">
        <f aca="false">D21/D6</f>
        <v>2.67049990115585</v>
      </c>
      <c r="E22" s="51" t="n">
        <f aca="false">E21/E6</f>
        <v>2.87787492586689</v>
      </c>
      <c r="F22" s="51" t="n">
        <f aca="false">F21/F6</f>
        <v>3.08524995057793</v>
      </c>
      <c r="G22" s="51" t="n">
        <f aca="false">G21/G6</f>
        <v>3.29262497528896</v>
      </c>
      <c r="H22" s="51" t="n">
        <f aca="false">H21/H6</f>
        <v>3.5</v>
      </c>
    </row>
    <row r="23" customFormat="false" ht="15" hidden="false" customHeight="false" outlineLevel="0" collapsed="false">
      <c r="A23" s="4" t="s">
        <v>496</v>
      </c>
      <c r="C23" s="35" t="n">
        <f aca="false">C21+Supuestos!$B$12</f>
        <v>1730210.93765492</v>
      </c>
      <c r="D23" s="35" t="n">
        <f aca="false">D21+Supuestos!$B$12</f>
        <v>1980258.78160947</v>
      </c>
      <c r="E23" s="35" t="n">
        <f aca="false">E21+Supuestos!$B$12</f>
        <v>2230431.02920094</v>
      </c>
      <c r="F23" s="35" t="n">
        <f aca="false">F21+Supuestos!$B$12</f>
        <v>2488800.59680204</v>
      </c>
      <c r="G23" s="35" t="n">
        <f aca="false">G21+Supuestos!$B$12</f>
        <v>2753139.38504135</v>
      </c>
      <c r="H23" s="35" t="n">
        <f aca="false">H21+Supuestos!$B$12</f>
        <v>3031623.21391694</v>
      </c>
      <c r="J23" s="2" t="s">
        <v>497</v>
      </c>
    </row>
    <row r="24" customFormat="false" ht="15" hidden="false" customHeight="false" outlineLevel="0" collapsed="false">
      <c r="A24" s="4" t="s">
        <v>498</v>
      </c>
      <c r="C24" s="35" t="n">
        <f aca="false">Supuestos!$B$42*C6-C21</f>
        <v>582013.979941314</v>
      </c>
      <c r="D24" s="35" t="n">
        <f aca="false">Supuestos!$B$42*D6-D21</f>
        <v>507123.479254048</v>
      </c>
      <c r="E24" s="35" t="n">
        <f aca="false">Supuestos!$B$42*E6-E21</f>
        <v>407016.760341787</v>
      </c>
      <c r="F24" s="35" t="n">
        <f aca="false">Supuestos!$B$42*F6-F21</f>
        <v>287838.702802291</v>
      </c>
      <c r="G24" s="35" t="n">
        <f aca="false">Supuestos!$B$42*G6-G21</f>
        <v>151503.568819594</v>
      </c>
      <c r="H24" s="35" t="n">
        <f aca="false">Supuestos!$B$42*H6-H21</f>
        <v>0</v>
      </c>
    </row>
    <row r="25" customFormat="false" ht="15" hidden="false" customHeight="false" outlineLevel="0" collapsed="false">
      <c r="A25" s="4" t="s">
        <v>499</v>
      </c>
      <c r="C25" s="35" t="n">
        <f aca="false">C20</f>
        <v>121017.556143167</v>
      </c>
      <c r="D25" s="35" t="n">
        <f aca="false">C25+D20</f>
        <v>357165.584460305</v>
      </c>
      <c r="E25" s="35" t="n">
        <f aca="false">D25+E20</f>
        <v>625120.021801411</v>
      </c>
      <c r="F25" s="35" t="n">
        <f aca="false">E25+F20</f>
        <v>1005205.04901165</v>
      </c>
      <c r="G25" s="35" t="n">
        <f aca="false">F25+G20</f>
        <v>1383831.43007038</v>
      </c>
      <c r="H25" s="35" t="n">
        <f aca="false">G25+H20</f>
        <v>1788591.54969353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3" style="0" width="13"/>
    <col collapsed="false" customWidth="true" hidden="false" outlineLevel="0" max="10" min="10" style="0" width="60"/>
  </cols>
  <sheetData>
    <row r="1" customFormat="false" ht="15.75" hidden="false" customHeight="true" outlineLevel="0" collapsed="false">
      <c r="A1" s="1" t="s">
        <v>500</v>
      </c>
    </row>
    <row r="2" customFormat="false" ht="15" hidden="false" customHeight="false" outlineLevel="0" collapsed="false">
      <c r="A2" s="2" t="s">
        <v>501</v>
      </c>
    </row>
    <row r="4" customFormat="false" ht="15" hidden="false" customHeight="false" outlineLevel="0" collapsed="false">
      <c r="A4" s="4" t="s">
        <v>502</v>
      </c>
      <c r="C4" s="27" t="n">
        <f aca="false">WACC!$C$22+WACC!$H$13*Supuestos!$B$22+WACC!$C$21</f>
        <v>0.102911189340327</v>
      </c>
    </row>
    <row r="5" customFormat="false" ht="15" hidden="false" customHeight="false" outlineLevel="0" collapsed="false">
      <c r="A5" s="4" t="s">
        <v>503</v>
      </c>
      <c r="C5" s="27" t="n">
        <f aca="false">IF(AND(Supuestos!$B$21=1,Supuestos!$B$19=2),(1+C4)*(1+Supuestos!$B$34)/(1+Supuestos!$B$20)-1,C4)</f>
        <v>0.11107597971945</v>
      </c>
    </row>
    <row r="7" customFormat="false" ht="15" hidden="false" customHeight="false" outlineLevel="0" collapsed="false">
      <c r="A7" s="11" t="s">
        <v>48</v>
      </c>
      <c r="B7" s="37"/>
      <c r="C7" s="38" t="s">
        <v>280</v>
      </c>
      <c r="D7" s="38" t="s">
        <v>281</v>
      </c>
      <c r="E7" s="38" t="s">
        <v>282</v>
      </c>
      <c r="F7" s="38" t="s">
        <v>283</v>
      </c>
      <c r="G7" s="38" t="s">
        <v>284</v>
      </c>
      <c r="H7" s="38" t="s">
        <v>285</v>
      </c>
      <c r="I7" s="38" t="s">
        <v>286</v>
      </c>
    </row>
    <row r="8" customFormat="false" ht="15" hidden="false" customHeight="false" outlineLevel="0" collapsed="false">
      <c r="A8" s="4" t="s">
        <v>424</v>
      </c>
      <c r="C8" s="46" t="n">
        <f aca="false">DCF!C22</f>
        <v>113425.715768245</v>
      </c>
      <c r="D8" s="46" t="n">
        <f aca="false">DCF!D22</f>
        <v>199440.442268561</v>
      </c>
      <c r="E8" s="46" t="n">
        <f aca="false">DCF!E22</f>
        <v>259687.719258378</v>
      </c>
      <c r="F8" s="46" t="n">
        <f aca="false">DCF!F22</f>
        <v>375320.615932717</v>
      </c>
      <c r="G8" s="46" t="n">
        <f aca="false">DCF!G22</f>
        <v>377068.219372121</v>
      </c>
      <c r="H8" s="46" t="n">
        <f aca="false">DCF!H22</f>
        <v>398715.503513791</v>
      </c>
      <c r="I8" s="46" t="n">
        <f aca="false">DCF!I22</f>
        <v>528835.311960595</v>
      </c>
    </row>
    <row r="9" customFormat="false" ht="15" hidden="false" customHeight="false" outlineLevel="0" collapsed="false">
      <c r="A9" s="4" t="s">
        <v>504</v>
      </c>
      <c r="C9" s="44" t="n">
        <f aca="false">(1+$C$5)^-DCF!C26</f>
        <v>0.948698296260205</v>
      </c>
      <c r="D9" s="44" t="n">
        <f aca="false">C9*(1+$C$5)^-DCF!D26</f>
        <v>0.853855464051841</v>
      </c>
      <c r="E9" s="44" t="n">
        <f aca="false">D9*(1+$C$5)^-DCF!E26</f>
        <v>0.768494216090823</v>
      </c>
      <c r="F9" s="44" t="n">
        <f aca="false">E9*(1+$C$5)^-DCF!F26</f>
        <v>0.691666663772958</v>
      </c>
      <c r="G9" s="44" t="n">
        <f aca="false">F9*(1+$C$5)^-DCF!G26</f>
        <v>0.622519680380099</v>
      </c>
      <c r="H9" s="44" t="n">
        <f aca="false">G9*(1+$C$5)^-DCF!H26</f>
        <v>0.560285427588208</v>
      </c>
    </row>
    <row r="10" customFormat="false" ht="15" hidden="false" customHeight="false" outlineLevel="0" collapsed="false">
      <c r="A10" s="4" t="s">
        <v>505</v>
      </c>
      <c r="C10" s="44" t="n">
        <f aca="false">(1+$C$5)^-(DCF!C26/2)</f>
        <v>0.974011445651541</v>
      </c>
      <c r="D10" s="44" t="n">
        <f aca="false">C9*(1+$C$5)^-(DCF!D26/2)</f>
        <v>0.900028457327016</v>
      </c>
      <c r="E10" s="44" t="n">
        <f aca="false">D9*(1+$C$5)^-(DCF!E26/2)</f>
        <v>0.810051223998449</v>
      </c>
      <c r="F10" s="44" t="n">
        <f aca="false">E9*(1+$C$5)^-(DCF!F26/2)</f>
        <v>0.729069153491186</v>
      </c>
      <c r="G10" s="44" t="n">
        <f aca="false">F9*(1+$C$5)^-(DCF!G26/2)</f>
        <v>0.656182985501385</v>
      </c>
      <c r="H10" s="44" t="n">
        <f aca="false">G9*(1+$C$5)^-(DCF!H26/2)</f>
        <v>0.590583360165048</v>
      </c>
    </row>
    <row r="11" customFormat="false" ht="15" hidden="false" customHeight="false" outlineLevel="0" collapsed="false">
      <c r="A11" s="4" t="s">
        <v>506</v>
      </c>
      <c r="C11" s="35" t="n">
        <f aca="false">C8*C10</f>
        <v>110477.945389489</v>
      </c>
      <c r="D11" s="35" t="n">
        <f aca="false">D8*D10</f>
        <v>179502.073583591</v>
      </c>
      <c r="E11" s="35" t="n">
        <f aca="false">E8*E10</f>
        <v>210360.354842615</v>
      </c>
      <c r="F11" s="35" t="n">
        <f aca="false">F8*F10</f>
        <v>273634.683745857</v>
      </c>
      <c r="G11" s="35" t="n">
        <f aca="false">G8*G10</f>
        <v>247425.74992529</v>
      </c>
      <c r="H11" s="35" t="n">
        <f aca="false">H8*H10</f>
        <v>235474.741815074</v>
      </c>
      <c r="I11" s="35" t="n">
        <f aca="false">I8/($C$5-Supuestos!$B$88)*H9</f>
        <v>3654580.80076094</v>
      </c>
    </row>
    <row r="12" customFormat="false" ht="15" hidden="false" customHeight="false" outlineLevel="0" collapsed="false">
      <c r="A12" s="4" t="s">
        <v>507</v>
      </c>
      <c r="C12" s="35" t="n">
        <f aca="false">Supuestos!$B$10+Supuestos!$B$12</f>
        <v>1633361</v>
      </c>
      <c r="D12" s="46" t="n">
        <f aca="false">Deuda!C23</f>
        <v>1730210.93765492</v>
      </c>
      <c r="E12" s="46" t="n">
        <f aca="false">Deuda!D23</f>
        <v>1980258.78160947</v>
      </c>
      <c r="F12" s="46" t="n">
        <f aca="false">Deuda!E23</f>
        <v>2230431.02920094</v>
      </c>
      <c r="G12" s="46" t="n">
        <f aca="false">Deuda!F23</f>
        <v>2488800.59680204</v>
      </c>
      <c r="H12" s="46" t="n">
        <f aca="false">Deuda!G23</f>
        <v>2753139.38504135</v>
      </c>
      <c r="I12" s="46" t="n">
        <f aca="false">Deuda!H23</f>
        <v>3031623.21391694</v>
      </c>
    </row>
    <row r="13" customFormat="false" ht="15" hidden="false" customHeight="false" outlineLevel="0" collapsed="false">
      <c r="A13" s="4" t="s">
        <v>508</v>
      </c>
      <c r="C13" s="7" t="n">
        <f aca="false">WACC!C41</f>
        <v>0.0673469953443155</v>
      </c>
      <c r="D13" s="7" t="n">
        <f aca="false">WACC!D41</f>
        <v>0.0678809860329463</v>
      </c>
      <c r="E13" s="7" t="n">
        <f aca="false">WACC!E41</f>
        <v>0.0684149767215774</v>
      </c>
      <c r="F13" s="7" t="n">
        <f aca="false">WACC!F41</f>
        <v>0.0689489674102082</v>
      </c>
      <c r="G13" s="7" t="n">
        <f aca="false">WACC!G41</f>
        <v>0.0694829580988392</v>
      </c>
      <c r="H13" s="7" t="n">
        <f aca="false">WACC!H41</f>
        <v>0.07001694878747</v>
      </c>
      <c r="I13" s="7" t="n">
        <f aca="false">WACC!I41</f>
        <v>0.07001694878747</v>
      </c>
    </row>
    <row r="14" customFormat="false" ht="15" hidden="false" customHeight="false" outlineLevel="0" collapsed="false">
      <c r="A14" s="4" t="s">
        <v>509</v>
      </c>
      <c r="C14" s="35" t="n">
        <f aca="false">Supuestos!$B$35*C13*C12*DCF!C26</f>
        <v>14850.2640144492</v>
      </c>
      <c r="D14" s="35" t="n">
        <f aca="false">Supuestos!$B$35*D13*D12*DCF!D26</f>
        <v>31711.0746131113</v>
      </c>
      <c r="E14" s="35" t="n">
        <f aca="false">Supuestos!$B$35*E13*E12*DCF!E26</f>
        <v>36579.426780558</v>
      </c>
      <c r="F14" s="35" t="n">
        <f aca="false">Supuestos!$B$35*F13*F12*DCF!F26</f>
        <v>41522.1974126351</v>
      </c>
      <c r="G14" s="35" t="n">
        <f aca="false">Supuestos!$B$35*G13*G12*DCF!G26</f>
        <v>46690.8914476697</v>
      </c>
      <c r="H14" s="35" t="n">
        <f aca="false">Supuestos!$B$35*H13*H12*DCF!H26</f>
        <v>52046.9332183459</v>
      </c>
      <c r="I14" s="35" t="n">
        <f aca="false">Supuestos!$B$35*I13*I12*(1+Supuestos!$B$88)</f>
        <v>59030.8985333914</v>
      </c>
      <c r="J14" s="2" t="s">
        <v>510</v>
      </c>
    </row>
    <row r="15" customFormat="false" ht="15" hidden="false" customHeight="false" outlineLevel="0" collapsed="false">
      <c r="A15" s="4" t="s">
        <v>511</v>
      </c>
      <c r="C15" s="35" t="n">
        <f aca="false">C14*C10</f>
        <v>14464.3271210207</v>
      </c>
      <c r="D15" s="35" t="n">
        <f aca="false">D14*D10</f>
        <v>28540.8695642205</v>
      </c>
      <c r="E15" s="35" t="n">
        <f aca="false">E14*E10</f>
        <v>29631.2094367526</v>
      </c>
      <c r="F15" s="35" t="n">
        <f aca="false">F14*F10</f>
        <v>30272.5533187237</v>
      </c>
      <c r="G15" s="35" t="n">
        <f aca="false">G14*G10</f>
        <v>30637.768545853</v>
      </c>
      <c r="H15" s="35" t="n">
        <f aca="false">H14*H10</f>
        <v>30738.0527063766</v>
      </c>
      <c r="I15" s="35" t="n">
        <f aca="false">I14/($C$5-Supuestos!$B$88)*H9</f>
        <v>407940.210406891</v>
      </c>
    </row>
    <row r="17" customFormat="false" ht="15" hidden="false" customHeight="false" outlineLevel="0" collapsed="false">
      <c r="A17" s="4" t="s">
        <v>512</v>
      </c>
      <c r="C17" s="35" t="n">
        <f aca="false">SUM(C11:I11)</f>
        <v>4911456.35006285</v>
      </c>
    </row>
    <row r="18" customFormat="false" ht="15" hidden="false" customHeight="false" outlineLevel="0" collapsed="false">
      <c r="A18" s="4" t="s">
        <v>513</v>
      </c>
      <c r="C18" s="35" t="n">
        <f aca="false">SUM(C15:I15)</f>
        <v>572224.991099839</v>
      </c>
    </row>
    <row r="19" customFormat="false" ht="15" hidden="false" customHeight="false" outlineLevel="0" collapsed="false">
      <c r="A19" s="3" t="s">
        <v>514</v>
      </c>
      <c r="C19" s="43" t="n">
        <f aca="false">C17+C18</f>
        <v>5483681.34116269</v>
      </c>
    </row>
    <row r="20" customFormat="false" ht="15" hidden="false" customHeight="false" outlineLevel="0" collapsed="false">
      <c r="A20" s="4" t="s">
        <v>447</v>
      </c>
      <c r="C20" s="35" t="n">
        <f aca="false">C19-Supuestos!$B$10-Supuestos!$B$11</f>
        <v>4147100.34116269</v>
      </c>
    </row>
    <row r="21" customFormat="false" ht="15" hidden="false" customHeight="false" outlineLevel="0" collapsed="false">
      <c r="A21" s="3" t="s">
        <v>515</v>
      </c>
      <c r="C21" s="48" t="n">
        <f aca="false">C20/Supuestos!$B$9</f>
        <v>1893.65312381858</v>
      </c>
    </row>
    <row r="22" customFormat="false" ht="15" hidden="false" customHeight="false" outlineLevel="0" collapsed="false">
      <c r="A22" s="4" t="s">
        <v>516</v>
      </c>
      <c r="C22" s="24" t="n">
        <f aca="false">(C17-Supuestos!$B$10-Supuestos!$B$11)/Supuestos!$B$9</f>
        <v>1632.36317354468</v>
      </c>
    </row>
    <row r="23" customFormat="false" ht="15" hidden="false" customHeight="false" outlineLevel="0" collapsed="false">
      <c r="A23" s="4" t="s">
        <v>517</v>
      </c>
      <c r="C23" s="24" t="n">
        <f aca="false">C18/Supuestos!$B$9</f>
        <v>261.289950273899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5.75" hidden="false" customHeight="true" outlineLevel="0" collapsed="false">
      <c r="A1" s="1" t="s">
        <v>518</v>
      </c>
    </row>
    <row r="3" customFormat="false" ht="15" hidden="false" customHeight="false" outlineLevel="0" collapsed="false">
      <c r="A3" s="3" t="s">
        <v>519</v>
      </c>
    </row>
    <row r="5" customFormat="false" ht="15" hidden="false" customHeight="false" outlineLevel="0" collapsed="false">
      <c r="A5" s="11" t="s">
        <v>520</v>
      </c>
      <c r="B5" s="52" t="n">
        <v>0.025</v>
      </c>
      <c r="C5" s="52" t="n">
        <v>0.03</v>
      </c>
      <c r="D5" s="52" t="n">
        <v>0.035</v>
      </c>
      <c r="E5" s="52" t="n">
        <v>0.04</v>
      </c>
    </row>
    <row r="6" customFormat="false" ht="15" hidden="false" customHeight="false" outlineLevel="0" collapsed="false">
      <c r="A6" s="53" t="n">
        <v>-0.01</v>
      </c>
      <c r="B6" s="24" t="n">
        <f aca="false">(SUM($C$30:$H$30)+B$25/(DCF!$I$25+$A$6-B$5)*$H$28-Supuestos!$B$10-Supuestos!$B$11)/Supuestos!$B$9</f>
        <v>2328.90760780526</v>
      </c>
      <c r="C6" s="24" t="n">
        <f aca="false">(SUM($C$30:$H$30)+C$25/(DCF!$I$25+$A$6-C$5)*$H$28-Supuestos!$B$10-Supuestos!$B$11)/Supuestos!$B$9</f>
        <v>2277.80223448035</v>
      </c>
      <c r="D6" s="24" t="n">
        <f aca="false">(SUM($C$30:$H$30)+D$25/(DCF!$I$25+$A$6-D$5)*$H$28-Supuestos!$B$10-Supuestos!$B$11)/Supuestos!$B$9</f>
        <v>2215.50042529123</v>
      </c>
      <c r="E6" s="24" t="n">
        <f aca="false">(SUM($C$30:$H$30)+E$25/(DCF!$I$25+$A$6-E$5)*$H$28-Supuestos!$B$10-Supuestos!$B$11)/Supuestos!$B$9</f>
        <v>2138.90003669518</v>
      </c>
    </row>
    <row r="7" customFormat="false" ht="15" hidden="false" customHeight="false" outlineLevel="0" collapsed="false">
      <c r="A7" s="53" t="n">
        <v>-0.005</v>
      </c>
      <c r="B7" s="24" t="n">
        <f aca="false">(SUM($C$33:$H$33)+B$25/(DCF!$I$25+$A$7-B$5)*$H$31-Supuestos!$B$10-Supuestos!$B$11)/Supuestos!$B$9</f>
        <v>2109.16736008342</v>
      </c>
      <c r="C7" s="24" t="n">
        <f aca="false">(SUM($C$33:$H$33)+C$25/(DCF!$I$25+$A$7-C$5)*$H$31-Supuestos!$B$10-Supuestos!$B$11)/Supuestos!$B$9</f>
        <v>2051.79933329428</v>
      </c>
      <c r="D7" s="24" t="n">
        <f aca="false">(SUM($C$33:$H$33)+D$25/(DCF!$I$25+$A$7-D$5)*$H$31-Supuestos!$B$10-Supuestos!$B$11)/Supuestos!$B$9</f>
        <v>1983.18958767955</v>
      </c>
      <c r="E7" s="24" t="n">
        <f aca="false">(SUM($C$33:$H$33)+E$25/(DCF!$I$25+$A$7-E$5)*$H$31-Supuestos!$B$10-Supuestos!$B$11)/Supuestos!$B$9</f>
        <v>1900.48677031769</v>
      </c>
    </row>
    <row r="8" customFormat="false" ht="15" hidden="false" customHeight="false" outlineLevel="0" collapsed="false">
      <c r="A8" s="53" t="n">
        <v>0</v>
      </c>
      <c r="B8" s="24" t="n">
        <f aca="false">(SUM($C$36:$H$36)+B$25/(DCF!$I$25+$A$8-B$5)*$H$34-Supuestos!$B$10-Supuestos!$B$11)/Supuestos!$B$9</f>
        <v>1917.83874034918</v>
      </c>
      <c r="C8" s="54" t="n">
        <f aca="false">(SUM($C$36:$H$36)+C$25/(DCF!$I$25+$A$8-C$5)*$H$34-Supuestos!$B$10-Supuestos!$B$11)/Supuestos!$B$9</f>
        <v>1856.81199718015</v>
      </c>
      <c r="D8" s="24" t="n">
        <f aca="false">(SUM($C$36:$H$36)+D$25/(DCF!$I$25+$A$8-D$5)*$H$34-Supuestos!$B$10-Supuestos!$B$11)/Supuestos!$B$9</f>
        <v>1784.87985066846</v>
      </c>
      <c r="E8" s="24" t="n">
        <f aca="false">(SUM($C$36:$H$36)+E$25/(DCF!$I$25+$A$8-E$5)*$H$34-Supuestos!$B$10-Supuestos!$B$11)/Supuestos!$B$9</f>
        <v>1699.49188081559</v>
      </c>
    </row>
    <row r="9" customFormat="false" ht="15" hidden="false" customHeight="false" outlineLevel="0" collapsed="false">
      <c r="A9" s="53" t="n">
        <v>0.005</v>
      </c>
      <c r="B9" s="24" t="n">
        <f aca="false">(SUM($C$39:$H$39)+B$25/(DCF!$I$25+$A$9-B$5)*$H$37-Supuestos!$B$10-Supuestos!$B$11)/Supuestos!$B$9</f>
        <v>1749.83546885088</v>
      </c>
      <c r="C9" s="24" t="n">
        <f aca="false">(SUM($C$39:$H$39)+C$25/(DCF!$I$25+$A$9-C$5)*$H$37-Supuestos!$B$10-Supuestos!$B$11)/Supuestos!$B$9</f>
        <v>1686.94389181781</v>
      </c>
      <c r="D9" s="24" t="n">
        <f aca="false">(SUM($C$39:$H$39)+D$25/(DCF!$I$25+$A$9-D$5)*$H$37-Supuestos!$B$10-Supuestos!$B$11)/Supuestos!$B$9</f>
        <v>1613.67840656758</v>
      </c>
      <c r="E9" s="24" t="n">
        <f aca="false">(SUM($C$39:$H$39)+E$25/(DCF!$I$25+$A$9-E$5)*$H$37-Supuestos!$B$10-Supuestos!$B$11)/Supuestos!$B$9</f>
        <v>1527.788345291</v>
      </c>
    </row>
    <row r="10" customFormat="false" ht="15" hidden="false" customHeight="false" outlineLevel="0" collapsed="false">
      <c r="A10" s="53" t="n">
        <v>0.01</v>
      </c>
      <c r="B10" s="24" t="n">
        <f aca="false">(SUM($C$42:$H$42)+B$25/(DCF!$I$25+$A$10-B$5)*$H$40-Supuestos!$B$10-Supuestos!$B$11)/Supuestos!$B$9</f>
        <v>1601.21325932478</v>
      </c>
      <c r="C10" s="24" t="n">
        <f aca="false">(SUM($C$42:$H$42)+C$25/(DCF!$I$25+$A$10-C$5)*$H$40-Supuestos!$B$10-Supuestos!$B$11)/Supuestos!$B$9</f>
        <v>1537.70092121197</v>
      </c>
      <c r="D10" s="24" t="n">
        <f aca="false">(SUM($C$42:$H$42)+D$25/(DCF!$I$25+$A$10-D$5)*$H$40-Supuestos!$B$10-Supuestos!$B$11)/Supuestos!$B$9</f>
        <v>1464.43492550947</v>
      </c>
      <c r="E10" s="24" t="n">
        <f aca="false">(SUM($C$42:$H$42)+E$25/(DCF!$I$25+$A$10-E$5)*$H$40-Supuestos!$B$10-Supuestos!$B$11)/Supuestos!$B$9</f>
        <v>1379.44188269913</v>
      </c>
    </row>
    <row r="12" customFormat="false" ht="15" hidden="false" customHeight="false" outlineLevel="0" collapsed="false">
      <c r="A12" s="2" t="s">
        <v>521</v>
      </c>
    </row>
    <row r="14" customFormat="false" ht="15" hidden="false" customHeight="false" outlineLevel="0" collapsed="false">
      <c r="A14" s="3" t="s">
        <v>522</v>
      </c>
    </row>
    <row r="15" customFormat="false" ht="15" hidden="false" customHeight="false" outlineLevel="0" collapsed="false">
      <c r="A15" s="11" t="s">
        <v>523</v>
      </c>
      <c r="B15" s="55" t="n">
        <v>0</v>
      </c>
      <c r="C15" s="55" t="n">
        <v>0.0025</v>
      </c>
      <c r="D15" s="55" t="n">
        <v>0.005</v>
      </c>
    </row>
    <row r="16" customFormat="false" ht="15" hidden="false" customHeight="false" outlineLevel="0" collapsed="false">
      <c r="A16" s="11" t="s">
        <v>524</v>
      </c>
      <c r="B16" s="56" t="n">
        <v>1818.6</v>
      </c>
      <c r="C16" s="56" t="n">
        <v>1818.6</v>
      </c>
      <c r="D16" s="56" t="n">
        <v>1818.6</v>
      </c>
    </row>
    <row r="17" customFormat="false" ht="15" hidden="false" customHeight="false" outlineLevel="0" collapsed="false">
      <c r="A17" s="11" t="s">
        <v>525</v>
      </c>
      <c r="B17" s="56" t="n">
        <v>1848.9</v>
      </c>
      <c r="C17" s="56" t="n">
        <v>1841.4</v>
      </c>
      <c r="D17" s="56" t="n">
        <v>1834</v>
      </c>
    </row>
    <row r="18" customFormat="false" ht="15" hidden="false" customHeight="false" outlineLevel="0" collapsed="false">
      <c r="A18" s="11" t="s">
        <v>526</v>
      </c>
      <c r="B18" s="56" t="n">
        <v>1871.7</v>
      </c>
      <c r="C18" s="57" t="n">
        <v>1856.8</v>
      </c>
      <c r="D18" s="56" t="n">
        <v>1842.1</v>
      </c>
    </row>
    <row r="19" customFormat="false" ht="15" hidden="false" customHeight="false" outlineLevel="0" collapsed="false">
      <c r="A19" s="11" t="s">
        <v>527</v>
      </c>
      <c r="B19" s="56" t="n">
        <v>1893.8</v>
      </c>
      <c r="C19" s="56" t="n">
        <v>1870.1</v>
      </c>
      <c r="D19" s="56" t="n">
        <v>1846.9</v>
      </c>
    </row>
    <row r="20" customFormat="false" ht="15" hidden="false" customHeight="false" outlineLevel="0" collapsed="false">
      <c r="A20" s="2" t="s">
        <v>528</v>
      </c>
    </row>
    <row r="24" customFormat="false" ht="15" hidden="false" customHeight="false" outlineLevel="0" collapsed="false">
      <c r="A24" s="2" t="s">
        <v>529</v>
      </c>
    </row>
    <row r="25" customFormat="false" ht="15" hidden="false" customHeight="false" outlineLevel="0" collapsed="false">
      <c r="A25" s="4" t="s">
        <v>530</v>
      </c>
      <c r="B25" s="58" t="n">
        <f aca="false">((DCF!$C$35*(1+B$5))-Supuestos!$B$57*(DCF!$C$34*(1+B$5)))*(1-Supuestos!$B$59)+Supuestos!$B$57*(DCF!$C$34*(1+B$5))-Supuestos!$B$58*(DCF!$C$34*(1+B$5))-Supuestos!$B$84*Supuestos!$B$85*((DCF!$C$34*(1+B$5))-DCF!$C$34)-((1+B$5)/(1+Supuestos!$B$34)-1)/Expansion!$C$38*((DCF!$C$35*(1+B$5))-Supuestos!$B$57*(DCF!$C$34*(1+B$5)))*(1-Supuestos!$B$59)</f>
        <v>582787.013869718</v>
      </c>
      <c r="C25" s="58" t="n">
        <f aca="false">((DCF!$C$35*(1+C$5))-Supuestos!$B$57*(DCF!$C$34*(1+C$5)))*(1-Supuestos!$B$59)+Supuestos!$B$57*(DCF!$C$34*(1+C$5))-Supuestos!$B$58*(DCF!$C$34*(1+C$5))-Supuestos!$B$84*Supuestos!$B$85*((DCF!$C$34*(1+C$5))-DCF!$C$34)-((1+C$5)/(1+Supuestos!$B$34)-1)/Expansion!$C$38*((DCF!$C$35*(1+C$5))-Supuestos!$B$57*(DCF!$C$34*(1+C$5)))*(1-Supuestos!$B$59)</f>
        <v>528835.311960595</v>
      </c>
      <c r="D25" s="58" t="n">
        <f aca="false">((DCF!$C$35*(1+D$5))-Supuestos!$B$57*(DCF!$C$34*(1+D$5)))*(1-Supuestos!$B$59)+Supuestos!$B$57*(DCF!$C$34*(1+D$5))-Supuestos!$B$58*(DCF!$C$34*(1+D$5))-Supuestos!$B$84*Supuestos!$B$85*((DCF!$C$34*(1+D$5))-DCF!$C$34)-((1+D$5)/(1+Supuestos!$B$34)-1)/Expansion!$C$38*((DCF!$C$35*(1+D$5))-Supuestos!$B$57*(DCF!$C$34*(1+D$5)))*(1-Supuestos!$B$59)</f>
        <v>474339.436361579</v>
      </c>
      <c r="E25" s="58" t="n">
        <f aca="false">((DCF!$C$35*(1+E$5))-Supuestos!$B$57*(DCF!$C$34*(1+E$5)))*(1-Supuestos!$B$59)+Supuestos!$B$57*(DCF!$C$34*(1+E$5))-Supuestos!$B$58*(DCF!$C$34*(1+E$5))-Supuestos!$B$84*Supuestos!$B$85*((DCF!$C$34*(1+E$5))-DCF!$C$34)-((1+E$5)/(1+Supuestos!$B$34)-1)/Expansion!$C$38*((DCF!$C$35*(1+E$5))-Supuestos!$B$57*(DCF!$C$34*(1+E$5)))*(1-Supuestos!$B$59)</f>
        <v>419299.387072671</v>
      </c>
    </row>
    <row r="27" customFormat="false" ht="15" hidden="false" customHeight="false" outlineLevel="0" collapsed="false">
      <c r="A27" s="2" t="s">
        <v>531</v>
      </c>
    </row>
    <row r="28" customFormat="false" ht="15" hidden="false" customHeight="false" outlineLevel="0" collapsed="false">
      <c r="A28" s="59" t="s">
        <v>532</v>
      </c>
      <c r="C28" s="60" t="n">
        <f aca="false">(1+(DCF!C$25+$A$6))^-DCF!C$26</f>
        <v>0.95547615672631</v>
      </c>
      <c r="D28" s="60" t="n">
        <f aca="false">C28*(1+(DCF!D$25+$A$6))^-DCF!D$26</f>
        <v>0.872508966341266</v>
      </c>
      <c r="E28" s="60" t="n">
        <f aca="false">D28*(1+(DCF!E$25+$A$6))^-DCF!E$26</f>
        <v>0.796936392706164</v>
      </c>
      <c r="F28" s="60" t="n">
        <f aca="false">E28*(1+(DCF!F$25+$A$6))^-DCF!F$26</f>
        <v>0.728072720111755</v>
      </c>
      <c r="G28" s="60" t="n">
        <f aca="false">F28*(1+(DCF!G$25+$A$6))^-DCF!G$26</f>
        <v>0.665299273634888</v>
      </c>
      <c r="H28" s="60" t="n">
        <f aca="false">G28*(1+(DCF!H$25+$A$6))^-DCF!H$26</f>
        <v>0.608057435347345</v>
      </c>
    </row>
    <row r="29" customFormat="false" ht="15" hidden="false" customHeight="false" outlineLevel="0" collapsed="false">
      <c r="A29" s="59" t="s">
        <v>533</v>
      </c>
      <c r="C29" s="60" t="n">
        <f aca="false">(1+(DCF!C$25+$A$6))^-(DCF!C$26/2)</f>
        <v>0.97748460689993</v>
      </c>
      <c r="D29" s="60" t="n">
        <f aca="false">C28*(1+(DCF!D$25+$A$6))^-(DCF!D$26/2)</f>
        <v>0.913050663363758</v>
      </c>
      <c r="E29" s="60" t="n">
        <f aca="false">D28*(1+(DCF!E$25+$A$6))^-(DCF!E$26/2)</f>
        <v>0.833866984740248</v>
      </c>
      <c r="F29" s="60" t="n">
        <f aca="false">E28*(1+(DCF!F$25+$A$6))^-(DCF!F$26/2)</f>
        <v>0.76172675362864</v>
      </c>
      <c r="G29" s="60" t="n">
        <f aca="false">F28*(1+(DCF!G$25+$A$6))^-(DCF!G$26/2)</f>
        <v>0.695978628869973</v>
      </c>
      <c r="H29" s="60" t="n">
        <f aca="false">G28*(1+(DCF!H$25+$A$6))^-(DCF!H$26/2)</f>
        <v>0.636034723945856</v>
      </c>
    </row>
    <row r="30" customFormat="false" ht="15" hidden="false" customHeight="false" outlineLevel="0" collapsed="false">
      <c r="A30" s="59" t="s">
        <v>534</v>
      </c>
      <c r="C30" s="58" t="n">
        <f aca="false">DCF!C$22*C29</f>
        <v>110871.891190066</v>
      </c>
      <c r="D30" s="58" t="n">
        <f aca="false">DCF!D$22*D29</f>
        <v>182099.228114871</v>
      </c>
      <c r="E30" s="58" t="n">
        <f aca="false">DCF!E$22*E29</f>
        <v>216545.015432056</v>
      </c>
      <c r="F30" s="58" t="n">
        <f aca="false">DCF!F$22*F29</f>
        <v>285891.75434433</v>
      </c>
      <c r="G30" s="58" t="n">
        <f aca="false">DCF!G$22*G29</f>
        <v>262431.422309051</v>
      </c>
      <c r="H30" s="58" t="n">
        <f aca="false">DCF!H$22*H29</f>
        <v>253596.905210327</v>
      </c>
    </row>
    <row r="31" customFormat="false" ht="15" hidden="false" customHeight="false" outlineLevel="0" collapsed="false">
      <c r="A31" s="59" t="s">
        <v>535</v>
      </c>
      <c r="C31" s="60" t="n">
        <f aca="false">(1+(DCF!C$25+$A$7))^-DCF!C$26</f>
        <v>0.953302875827767</v>
      </c>
      <c r="D31" s="60" t="n">
        <f aca="false">C31*(1+(DCF!D$25+$A$7))^-DCF!D$26</f>
        <v>0.866567794618528</v>
      </c>
      <c r="E31" s="60" t="n">
        <f aca="false">D31*(1+(DCF!E$25+$A$7))^-DCF!E$26</f>
        <v>0.787911485284914</v>
      </c>
      <c r="F31" s="60" t="n">
        <f aca="false">E31*(1+(DCF!F$25+$A$7))^-DCF!F$26</f>
        <v>0.716554476231753</v>
      </c>
      <c r="G31" s="60" t="n">
        <f aca="false">F31*(1+(DCF!G$25+$A$7))^-DCF!G$26</f>
        <v>0.651796121482303</v>
      </c>
      <c r="H31" s="60" t="n">
        <f aca="false">G31*(1+(DCF!H$25+$A$7))^-DCF!H$26</f>
        <v>0.593006162191831</v>
      </c>
    </row>
    <row r="32" customFormat="false" ht="15" hidden="false" customHeight="false" outlineLevel="0" collapsed="false">
      <c r="A32" s="59" t="s">
        <v>536</v>
      </c>
      <c r="C32" s="60" t="n">
        <f aca="false">(1+(DCF!C$25+$A$7))^-(DCF!C$26/2)</f>
        <v>0.976372303902444</v>
      </c>
      <c r="D32" s="60" t="n">
        <f aca="false">C31*(1+(DCF!D$25+$A$7))^-(DCF!D$26/2)</f>
        <v>0.908901298662054</v>
      </c>
      <c r="E32" s="60" t="n">
        <f aca="false">D31*(1+(DCF!E$25+$A$7))^-(DCF!E$26/2)</f>
        <v>0.826304252777363</v>
      </c>
      <c r="F32" s="60" t="n">
        <f aca="false">E31*(1+(DCF!F$25+$A$7))^-(DCF!F$26/2)</f>
        <v>0.751386386392057</v>
      </c>
      <c r="G32" s="60" t="n">
        <f aca="false">F31*(1+(DCF!G$25+$A$7))^-(DCF!G$26/2)</f>
        <v>0.683408683321071</v>
      </c>
      <c r="H32" s="60" t="n">
        <f aca="false">G31*(1+(DCF!H$25+$A$7))^-(DCF!H$26/2)</f>
        <v>0.621706616123507</v>
      </c>
    </row>
    <row r="33" customFormat="false" ht="15" hidden="false" customHeight="false" outlineLevel="0" collapsed="false">
      <c r="A33" s="59" t="s">
        <v>537</v>
      </c>
      <c r="C33" s="58" t="n">
        <f aca="false">DCF!C$22*C32</f>
        <v>110745.727426425</v>
      </c>
      <c r="D33" s="58" t="n">
        <f aca="false">DCF!D$22*D32</f>
        <v>181271.676983629</v>
      </c>
      <c r="E33" s="58" t="n">
        <f aca="false">DCF!E$22*E32</f>
        <v>214581.066817252</v>
      </c>
      <c r="F33" s="58" t="n">
        <f aca="false">DCF!F$22*F32</f>
        <v>282010.801344126</v>
      </c>
      <c r="G33" s="58" t="n">
        <f aca="false">DCF!G$22*G32</f>
        <v>257691.695323322</v>
      </c>
      <c r="H33" s="58" t="n">
        <f aca="false">DCF!H$22*H32</f>
        <v>247884.066485539</v>
      </c>
    </row>
    <row r="34" customFormat="false" ht="15" hidden="false" customHeight="false" outlineLevel="0" collapsed="false">
      <c r="A34" s="59" t="s">
        <v>538</v>
      </c>
      <c r="C34" s="60" t="n">
        <f aca="false">(1+(DCF!C$25+$A$8))^-DCF!C$26</f>
        <v>0.95114435751134</v>
      </c>
      <c r="D34" s="60" t="n">
        <f aca="false">C34*(1+(DCF!D$25+$A$8))^-DCF!D$26</f>
        <v>0.860693743469935</v>
      </c>
      <c r="E34" s="60" t="n">
        <f aca="false">D34*(1+(DCF!E$25+$A$8))^-DCF!E$26</f>
        <v>0.77902901589487</v>
      </c>
      <c r="F34" s="60" t="n">
        <f aca="false">E34*(1+(DCF!F$25+$A$8))^-DCF!F$26</f>
        <v>0.705269460955958</v>
      </c>
      <c r="G34" s="60" t="n">
        <f aca="false">F34*(1+(DCF!G$25+$A$8))^-DCF!G$26</f>
        <v>0.638626431450172</v>
      </c>
      <c r="H34" s="60" t="n">
        <f aca="false">G34*(1+(DCF!H$25+$A$8))^-DCF!H$26</f>
        <v>0.578393216919061</v>
      </c>
    </row>
    <row r="35" customFormat="false" ht="15" hidden="false" customHeight="false" outlineLevel="0" collapsed="false">
      <c r="A35" s="59" t="s">
        <v>539</v>
      </c>
      <c r="C35" s="60" t="n">
        <f aca="false">(1+(DCF!C$25+$A$8))^-(DCF!C$26/2)</f>
        <v>0.975266300818059</v>
      </c>
      <c r="D35" s="60" t="n">
        <f aca="false">C34*(1+(DCF!D$25+$A$8))^-(DCF!D$26/2)</f>
        <v>0.904789476976131</v>
      </c>
      <c r="E35" s="60" t="n">
        <f aca="false">D34*(1+(DCF!E$25+$A$8))^-(DCF!E$26/2)</f>
        <v>0.818843941152559</v>
      </c>
      <c r="F35" s="60" t="n">
        <f aca="false">E34*(1+(DCF!F$25+$A$8))^-(DCF!F$26/2)</f>
        <v>0.741232334770432</v>
      </c>
      <c r="G35" s="60" t="n">
        <f aca="false">F34*(1+(DCF!G$25+$A$8))^-(DCF!G$26/2)</f>
        <v>0.671121240210061</v>
      </c>
      <c r="H35" s="60" t="n">
        <f aca="false">G34*(1+(DCF!H$25+$A$8))^-(DCF!H$26/2)</f>
        <v>0.607764095760851</v>
      </c>
    </row>
    <row r="36" customFormat="false" ht="15" hidden="false" customHeight="false" outlineLevel="0" collapsed="false">
      <c r="A36" s="59" t="s">
        <v>540</v>
      </c>
      <c r="C36" s="58" t="n">
        <f aca="false">DCF!C$22*C35</f>
        <v>110620.278234937</v>
      </c>
      <c r="D36" s="58" t="n">
        <f aca="false">DCF!D$22*D35</f>
        <v>180451.613448059</v>
      </c>
      <c r="E36" s="58" t="n">
        <f aca="false">DCF!E$22*E35</f>
        <v>212643.71550645</v>
      </c>
      <c r="F36" s="58" t="n">
        <f aca="false">DCF!F$22*F35</f>
        <v>278199.776435285</v>
      </c>
      <c r="G36" s="58" t="n">
        <f aca="false">DCF!G$22*G35</f>
        <v>253058.491028817</v>
      </c>
      <c r="H36" s="58" t="n">
        <f aca="false">DCF!H$22*H35</f>
        <v>242324.967458891</v>
      </c>
    </row>
    <row r="37" customFormat="false" ht="15" hidden="false" customHeight="false" outlineLevel="0" collapsed="false">
      <c r="A37" s="59" t="s">
        <v>541</v>
      </c>
      <c r="C37" s="60" t="n">
        <f aca="false">(1+(DCF!C$25+$A$9))^-DCF!C$26</f>
        <v>0.949000435399129</v>
      </c>
      <c r="D37" s="60" t="n">
        <f aca="false">C37*(1+(DCF!D$25+$A$9))^-DCF!D$26</f>
        <v>0.854885756056732</v>
      </c>
      <c r="E37" s="60" t="n">
        <f aca="false">D37*(1+(DCF!E$25+$A$9))^-DCF!E$26</f>
        <v>0.770286107147164</v>
      </c>
      <c r="F37" s="60" t="n">
        <f aca="false">E37*(1+(DCF!F$25+$A$9))^-DCF!F$26</f>
        <v>0.6942119281482</v>
      </c>
      <c r="G37" s="60" t="n">
        <f aca="false">F37*(1+(DCF!G$25+$A$9))^-DCF!G$26</f>
        <v>0.62578051495315</v>
      </c>
      <c r="H37" s="60" t="n">
        <f aca="false">G37*(1+(DCF!H$25+$A$9))^-DCF!H$26</f>
        <v>0.564203936348378</v>
      </c>
    </row>
    <row r="38" customFormat="false" ht="15" hidden="false" customHeight="false" outlineLevel="0" collapsed="false">
      <c r="A38" s="59" t="s">
        <v>542</v>
      </c>
      <c r="C38" s="60" t="n">
        <f aca="false">(1+(DCF!C$25+$A$9))^-(DCF!C$26/2)</f>
        <v>0.974166533709267</v>
      </c>
      <c r="D38" s="60" t="n">
        <f aca="false">C37*(1+(DCF!D$25+$A$9))^-(DCF!D$26/2)</f>
        <v>0.90071469107279</v>
      </c>
      <c r="E38" s="60" t="n">
        <f aca="false">D37*(1+(DCF!E$25+$A$9))^-(DCF!E$26/2)</f>
        <v>0.811484208773344</v>
      </c>
      <c r="F38" s="60" t="n">
        <f aca="false">E37*(1+(DCF!F$25+$A$9))^-(DCF!F$26/2)</f>
        <v>0.731260421237471</v>
      </c>
      <c r="G38" s="60" t="n">
        <f aca="false">F37*(1+(DCF!G$25+$A$9))^-(DCF!G$26/2)</f>
        <v>0.659108714768057</v>
      </c>
      <c r="H38" s="60" t="n">
        <f aca="false">G37*(1+(DCF!H$25+$A$9))^-(DCF!H$26/2)</f>
        <v>0.594195110907757</v>
      </c>
    </row>
    <row r="39" customFormat="false" ht="15" hidden="false" customHeight="false" outlineLevel="0" collapsed="false">
      <c r="A39" s="59" t="s">
        <v>543</v>
      </c>
      <c r="C39" s="58" t="n">
        <f aca="false">DCF!C$22*C38</f>
        <v>110495.536363444</v>
      </c>
      <c r="D39" s="58" t="n">
        <f aca="false">DCF!D$22*D38</f>
        <v>179638.936345347</v>
      </c>
      <c r="E39" s="58" t="n">
        <f aca="false">DCF!E$22*E38</f>
        <v>210732.483390539</v>
      </c>
      <c r="F39" s="58" t="n">
        <f aca="false">DCF!F$22*F38</f>
        <v>274457.111706066</v>
      </c>
      <c r="G39" s="58" t="n">
        <f aca="false">DCF!G$22*G38</f>
        <v>248528.949450238</v>
      </c>
      <c r="H39" s="58" t="n">
        <f aca="false">DCF!H$22*H38</f>
        <v>236914.802831019</v>
      </c>
    </row>
    <row r="40" customFormat="false" ht="15" hidden="false" customHeight="false" outlineLevel="0" collapsed="false">
      <c r="A40" s="59" t="s">
        <v>544</v>
      </c>
      <c r="C40" s="60" t="n">
        <f aca="false">(1+(DCF!C$25+$A$10))^-DCF!C$26</f>
        <v>0.94687094572662</v>
      </c>
      <c r="D40" s="60" t="n">
        <f aca="false">C40*(1+(DCF!D$25+$A$10))^-DCF!D$26</f>
        <v>0.849142796839031</v>
      </c>
      <c r="E40" s="60" t="n">
        <f aca="false">D40*(1+(DCF!E$25+$A$10))^-DCF!E$26</f>
        <v>0.761679952378262</v>
      </c>
      <c r="F40" s="60" t="n">
        <f aca="false">E40*(1+(DCF!F$25+$A$10))^-DCF!F$26</f>
        <v>0.683376298235028</v>
      </c>
      <c r="G40" s="60" t="n">
        <f aca="false">F40*(1+(DCF!G$25+$A$10))^-DCF!G$26</f>
        <v>0.613249006763214</v>
      </c>
      <c r="H40" s="60" t="n">
        <f aca="false">G40*(1+(DCF!H$25+$A$10))^-DCF!H$26</f>
        <v>0.550424210749824</v>
      </c>
    </row>
    <row r="41" customFormat="false" ht="15" hidden="false" customHeight="false" outlineLevel="0" collapsed="false">
      <c r="A41" s="59" t="s">
        <v>545</v>
      </c>
      <c r="C41" s="60" t="n">
        <f aca="false">(1+(DCF!C$25+$A$10))^-(DCF!C$26/2)</f>
        <v>0.973072939571654</v>
      </c>
      <c r="D41" s="60" t="n">
        <f aca="false">C40*(1+(DCF!D$25+$A$10))^-(DCF!D$26/2)</f>
        <v>0.896676442815312</v>
      </c>
      <c r="E41" s="60" t="n">
        <f aca="false">D40*(1+(DCF!E$25+$A$10))^-(DCF!E$26/2)</f>
        <v>0.80422325573108</v>
      </c>
      <c r="F41" s="60" t="n">
        <f aca="false">E40*(1+(DCF!F$25+$A$10))^-(DCF!F$26/2)</f>
        <v>0.721466580165769</v>
      </c>
      <c r="G41" s="60" t="n">
        <f aca="false">F40*(1+(DCF!G$25+$A$10))^-(DCF!G$26/2)</f>
        <v>0.647363758746312</v>
      </c>
      <c r="H41" s="60" t="n">
        <f aca="false">G40*(1+(DCF!H$25+$A$10))^-(DCF!H$26/2)</f>
        <v>0.580988038207979</v>
      </c>
    </row>
    <row r="42" customFormat="false" ht="15" hidden="false" customHeight="false" outlineLevel="0" collapsed="false">
      <c r="A42" s="59" t="s">
        <v>546</v>
      </c>
      <c r="C42" s="58" t="n">
        <f aca="false">DCF!C$22*C41</f>
        <v>110371.494665625</v>
      </c>
      <c r="D42" s="58" t="n">
        <f aca="false">DCF!D$22*D41</f>
        <v>178833.546326886</v>
      </c>
      <c r="E42" s="58" t="n">
        <f aca="false">DCF!E$22*E41</f>
        <v>208846.903055352</v>
      </c>
      <c r="F42" s="58" t="n">
        <f aca="false">DCF!F$22*F41</f>
        <v>270781.281242687</v>
      </c>
      <c r="G42" s="58" t="n">
        <f aca="false">DCF!G$22*G41</f>
        <v>244100.299796515</v>
      </c>
      <c r="H42" s="58" t="n">
        <f aca="false">DCF!H$22*H41</f>
        <v>231648.938189584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8" min="16" style="0" width="10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32" min="23" style="0" width="11"/>
  </cols>
  <sheetData>
    <row r="1" customFormat="false" ht="15.75" hidden="false" customHeight="true" outlineLevel="0" collapsed="false">
      <c r="A1" s="1" t="s">
        <v>547</v>
      </c>
    </row>
    <row r="2" customFormat="false" ht="15" hidden="false" customHeight="false" outlineLevel="0" collapsed="false">
      <c r="A2" s="2" t="s">
        <v>548</v>
      </c>
    </row>
    <row r="3" customFormat="false" ht="15" hidden="false" customHeight="false" outlineLevel="0" collapsed="false">
      <c r="W3" s="2" t="s">
        <v>549</v>
      </c>
    </row>
    <row r="4" customFormat="false" ht="15" hidden="false" customHeight="false" outlineLevel="0" collapsed="false">
      <c r="A4" s="11" t="s">
        <v>234</v>
      </c>
      <c r="B4" s="11" t="s">
        <v>550</v>
      </c>
      <c r="C4" s="11" t="s">
        <v>236</v>
      </c>
      <c r="D4" s="11" t="s">
        <v>551</v>
      </c>
      <c r="E4" s="11" t="s">
        <v>552</v>
      </c>
      <c r="F4" s="11" t="s">
        <v>239</v>
      </c>
      <c r="G4" s="11" t="s">
        <v>553</v>
      </c>
      <c r="H4" s="11" t="s">
        <v>554</v>
      </c>
      <c r="I4" s="11" t="s">
        <v>555</v>
      </c>
      <c r="J4" s="11" t="s">
        <v>556</v>
      </c>
      <c r="K4" s="11" t="s">
        <v>557</v>
      </c>
      <c r="L4" s="11" t="s">
        <v>558</v>
      </c>
      <c r="M4" s="11" t="s">
        <v>559</v>
      </c>
      <c r="N4" s="11" t="s">
        <v>560</v>
      </c>
      <c r="O4" s="11" t="s">
        <v>561</v>
      </c>
      <c r="P4" s="11" t="s">
        <v>562</v>
      </c>
      <c r="Q4" s="11" t="s">
        <v>563</v>
      </c>
      <c r="R4" s="11" t="s">
        <v>564</v>
      </c>
      <c r="S4" s="11" t="s">
        <v>565</v>
      </c>
      <c r="T4" s="11" t="s">
        <v>566</v>
      </c>
      <c r="W4" s="61" t="s">
        <v>567</v>
      </c>
      <c r="X4" s="61" t="s">
        <v>568</v>
      </c>
      <c r="Y4" s="61" t="s">
        <v>569</v>
      </c>
      <c r="Z4" s="61" t="s">
        <v>570</v>
      </c>
      <c r="AA4" s="61" t="s">
        <v>571</v>
      </c>
      <c r="AB4" s="61" t="s">
        <v>572</v>
      </c>
      <c r="AC4" s="61" t="s">
        <v>573</v>
      </c>
      <c r="AD4" s="61" t="s">
        <v>574</v>
      </c>
      <c r="AE4" s="61" t="s">
        <v>575</v>
      </c>
      <c r="AF4" s="61" t="s">
        <v>576</v>
      </c>
    </row>
    <row r="5" customFormat="false" ht="15" hidden="false" customHeight="false" outlineLevel="0" collapsed="false">
      <c r="A5" s="3" t="s">
        <v>577</v>
      </c>
      <c r="B5" s="62" t="str">
        <f aca="false">Datos_BBG!B9</f>
        <v>MALLPLAZ CI</v>
      </c>
      <c r="C5" s="62" t="str">
        <f aca="false">Datos_BBG!D9</f>
        <v>Chile</v>
      </c>
      <c r="D5" s="4" t="s">
        <v>578</v>
      </c>
      <c r="E5" s="4" t="s">
        <v>208</v>
      </c>
      <c r="F5" s="35" t="n">
        <f aca="false">Datos_BBG!O9*Datos_BBG!S9</f>
        <v>7785450</v>
      </c>
      <c r="G5" s="35" t="n">
        <f aca="false">Datos_BBG!M9*Datos_BBG!S9</f>
        <v>1311568.558</v>
      </c>
      <c r="H5" s="35" t="n">
        <f aca="false">Datos_BBG!N9*Datos_BBG!S9</f>
        <v>50841.428</v>
      </c>
      <c r="I5" s="35" t="n">
        <f aca="false">F5+G5+H5</f>
        <v>9147859.986</v>
      </c>
      <c r="J5" s="35" t="n">
        <f aca="false">Datos_BBG!G9*Datos_BBG!S9</f>
        <v>677333.306</v>
      </c>
      <c r="K5" s="35" t="n">
        <f aca="false">Datos_BBG!H9*Datos_BBG!S9</f>
        <v>544935</v>
      </c>
      <c r="L5" s="35" t="n">
        <f aca="false">Datos_BBG!J9*Datos_BBG!S9</f>
        <v>540372.726</v>
      </c>
      <c r="M5" s="35" t="n">
        <f aca="false">Datos_BBG!K9*Datos_BBG!S9</f>
        <v>1258052.743</v>
      </c>
      <c r="N5" s="35" t="n">
        <f aca="false">Datos_BBG!L9*Datos_BBG!S9</f>
        <v>4820897.848</v>
      </c>
      <c r="O5" s="35" t="n">
        <f aca="false">Datos_BBG!H48*Datos_BBG!S48</f>
        <v>617130.3379</v>
      </c>
      <c r="P5" s="49" t="n">
        <f aca="false">IF(OR(K5&lt;=0,I5/K5&gt;Supuestos!$B$94),"NM",I5/K5)</f>
        <v>16.7870663216714</v>
      </c>
      <c r="Q5" s="49" t="n">
        <f aca="false">IF(OR(O5&lt;=0,I5/O5&gt;Supuestos!$B$94),"NM",I5/O5)</f>
        <v>14.8232219746784</v>
      </c>
      <c r="R5" s="49" t="n">
        <f aca="false">IF(OR(L5&lt;=0,I5/L5&gt;Supuestos!$B$94),"NM",I5/L5)</f>
        <v>16.9287966358243</v>
      </c>
      <c r="S5" s="49" t="n">
        <f aca="false">IF(OR(M5&lt;=0,Datos_BBG!Q9=1),"NM",IF(F5/M5&gt;Supuestos!$B$94,"NM",F5/M5))</f>
        <v>6.18849252809109</v>
      </c>
      <c r="T5" s="20" t="n">
        <f aca="false">IF(OR(N5&lt;=0,F5/N5&gt;Supuestos!$B$94),"NM",F5/N5)</f>
        <v>1.61493776584166</v>
      </c>
    </row>
    <row r="6" customFormat="false" ht="15" hidden="false" customHeight="false" outlineLevel="0" collapsed="false">
      <c r="A6" s="4" t="s">
        <v>244</v>
      </c>
      <c r="B6" s="62" t="str">
        <f aca="false">Datos_BBG!B14</f>
        <v>PARAUCO CI</v>
      </c>
      <c r="C6" s="62" t="str">
        <f aca="false">Datos_BBG!D14</f>
        <v>Chile</v>
      </c>
      <c r="D6" s="63" t="n">
        <v>1</v>
      </c>
      <c r="E6" s="63" t="n">
        <v>1</v>
      </c>
      <c r="F6" s="35" t="n">
        <f aca="false">Datos_BBG!O14*Datos_BBG!S14</f>
        <v>3440408.419</v>
      </c>
      <c r="G6" s="35" t="n">
        <f aca="false">Datos_BBG!M14*Datos_BBG!S14</f>
        <v>1602287.611</v>
      </c>
      <c r="H6" s="35" t="n">
        <f aca="false">Datos_BBG!N14*Datos_BBG!S14</f>
        <v>386791.135</v>
      </c>
      <c r="I6" s="35" t="n">
        <f aca="false">F6+G6+H6</f>
        <v>5429487.165</v>
      </c>
      <c r="J6" s="35" t="n">
        <f aca="false">Datos_BBG!G14*Datos_BBG!S14</f>
        <v>416366.832</v>
      </c>
      <c r="K6" s="35" t="n">
        <f aca="false">Datos_BBG!H14*Datos_BBG!S14</f>
        <v>294411</v>
      </c>
      <c r="L6" s="35" t="n">
        <f aca="false">Datos_BBG!J14*Datos_BBG!S14</f>
        <v>289515.61</v>
      </c>
      <c r="M6" s="35" t="n">
        <f aca="false">Datos_BBG!K14*Datos_BBG!S14</f>
        <v>154352.778</v>
      </c>
      <c r="N6" s="35" t="n">
        <f aca="false">Datos_BBG!L14*Datos_BBG!S14</f>
        <v>1961393.215</v>
      </c>
      <c r="O6" s="35" t="n">
        <f aca="false">Datos_BBG!H49*Datos_BBG!S49</f>
        <v>342581.9503</v>
      </c>
      <c r="P6" s="49" t="n">
        <f aca="false">IF(OR(K6&lt;=0,I6/K6&gt;Supuestos!$B$94),"NM",I6/K6)</f>
        <v>18.441862447395</v>
      </c>
      <c r="Q6" s="49" t="n">
        <f aca="false">IF(OR(O6&lt;=0,I6/O6&gt;Supuestos!$B$94),"NM",I6/O6)</f>
        <v>15.8487251305721</v>
      </c>
      <c r="R6" s="49" t="n">
        <f aca="false">IF(OR(L6&lt;=0,I6/L6&gt;Supuestos!$B$94),"NM",I6/L6)</f>
        <v>18.7536940236141</v>
      </c>
      <c r="S6" s="49" t="n">
        <f aca="false">IF(OR(M6&lt;=0,Datos_BBG!Q14=1),"NM",IF(F6/M6&gt;Supuestos!$B$94,"NM",F6/M6))</f>
        <v>22.2892549365066</v>
      </c>
      <c r="T6" s="20" t="n">
        <f aca="false">IF(OR(N6&lt;=0,F6/N6&gt;Supuestos!$B$94),"NM",F6/N6)</f>
        <v>1.75406358739749</v>
      </c>
      <c r="W6" s="64" t="n">
        <f aca="false">IF(AND($D6=1,ISNUMBER(P6)),P6,"")</f>
        <v>18.441862447395</v>
      </c>
      <c r="X6" s="64" t="n">
        <f aca="false">IF(AND($D6=1,ISNUMBER(Q6)),Q6,"")</f>
        <v>15.8487251305721</v>
      </c>
      <c r="Y6" s="64" t="n">
        <f aca="false">IF(AND($D6=1,ISNUMBER(R6)),R6,"")</f>
        <v>18.7536940236141</v>
      </c>
      <c r="Z6" s="64" t="n">
        <f aca="false">IF(AND($D6=1,ISNUMBER(S6)),S6,"")</f>
        <v>22.2892549365066</v>
      </c>
      <c r="AA6" s="64" t="n">
        <f aca="false">IF(AND($D6=1,ISNUMBER(T6)),T6,"")</f>
        <v>1.75406358739749</v>
      </c>
      <c r="AB6" s="64" t="n">
        <f aca="false">IF(AND($D6=1,$E6=1,ISNUMBER(P6)),P6,"")</f>
        <v>18.441862447395</v>
      </c>
      <c r="AC6" s="64" t="n">
        <f aca="false">IF(AND($D6=1,$E6=1,ISNUMBER(Q6)),Q6,"")</f>
        <v>15.8487251305721</v>
      </c>
      <c r="AD6" s="64" t="n">
        <f aca="false">IF(AND($D6=1,$E6=1,ISNUMBER(R6)),R6,"")</f>
        <v>18.7536940236141</v>
      </c>
      <c r="AE6" s="64" t="n">
        <f aca="false">IF(AND($D6=1,$E6=1,ISNUMBER(S6)),S6,"")</f>
        <v>22.2892549365066</v>
      </c>
      <c r="AF6" s="64" t="n">
        <f aca="false">IF(AND($D6=1,$E6=1,ISNUMBER(T6)),T6,"")</f>
        <v>1.75406358739749</v>
      </c>
    </row>
    <row r="7" customFormat="false" ht="15" hidden="false" customHeight="false" outlineLevel="0" collapsed="false">
      <c r="A7" s="4" t="s">
        <v>247</v>
      </c>
      <c r="B7" s="62" t="str">
        <f aca="false">Datos_BBG!B19</f>
        <v>CENCOMAL CI</v>
      </c>
      <c r="C7" s="62" t="str">
        <f aca="false">Datos_BBG!D19</f>
        <v>Chile</v>
      </c>
      <c r="D7" s="63" t="n">
        <v>1</v>
      </c>
      <c r="E7" s="63" t="n">
        <v>1</v>
      </c>
      <c r="F7" s="35" t="n">
        <f aca="false">Datos_BBG!O19*Datos_BBG!S19</f>
        <v>3710182.595</v>
      </c>
      <c r="G7" s="35" t="n">
        <f aca="false">Datos_BBG!M19*Datos_BBG!S19</f>
        <v>852533.941</v>
      </c>
      <c r="H7" s="35" t="n">
        <f aca="false">Datos_BBG!N19*Datos_BBG!S19</f>
        <v>6464.021</v>
      </c>
      <c r="I7" s="35" t="n">
        <f aca="false">F7+G7+H7</f>
        <v>4569180.557</v>
      </c>
      <c r="J7" s="35" t="n">
        <f aca="false">Datos_BBG!G19*Datos_BBG!S19</f>
        <v>390677.946</v>
      </c>
      <c r="K7" s="35" t="n">
        <f aca="false">Datos_BBG!H19*Datos_BBG!S19</f>
        <v>350561.254</v>
      </c>
      <c r="L7" s="35" t="n">
        <f aca="false">Datos_BBG!J19*Datos_BBG!S19</f>
        <v>349975.943</v>
      </c>
      <c r="M7" s="35" t="n">
        <f aca="false">Datos_BBG!K19*Datos_BBG!S19</f>
        <v>353938.282</v>
      </c>
      <c r="N7" s="35" t="n">
        <f aca="false">Datos_BBG!L19*Datos_BBG!S19</f>
        <v>3136456.799</v>
      </c>
      <c r="O7" s="35" t="n">
        <f aca="false">Datos_BBG!H50*Datos_BBG!S50</f>
        <v>392093.8</v>
      </c>
      <c r="P7" s="49" t="n">
        <f aca="false">IF(OR(K7&lt;=0,I7/K7&gt;Supuestos!$B$94),"NM",I7/K7)</f>
        <v>13.0339006517817</v>
      </c>
      <c r="Q7" s="49" t="n">
        <f aca="false">IF(OR(O7&lt;=0,I7/O7&gt;Supuestos!$B$94),"NM",I7/O7)</f>
        <v>11.653284385012</v>
      </c>
      <c r="R7" s="49" t="n">
        <f aca="false">IF(OR(L7&lt;=0,I7/L7&gt;Supuestos!$B$94),"NM",I7/L7)</f>
        <v>13.0556989655715</v>
      </c>
      <c r="S7" s="49" t="n">
        <f aca="false">IF(OR(M7&lt;=0,Datos_BBG!Q19=1),"NM",IF(F7/M7&gt;Supuestos!$B$94,"NM",F7/M7))</f>
        <v>10.4825693734932</v>
      </c>
      <c r="T7" s="20" t="n">
        <f aca="false">IF(OR(N7&lt;=0,F7/N7&gt;Supuestos!$B$94),"NM",F7/N7)</f>
        <v>1.18292163188185</v>
      </c>
      <c r="W7" s="64" t="n">
        <f aca="false">IF(AND($D7=1,ISNUMBER(P7)),P7,"")</f>
        <v>13.0339006517817</v>
      </c>
      <c r="X7" s="64" t="n">
        <f aca="false">IF(AND($D7=1,ISNUMBER(Q7)),Q7,"")</f>
        <v>11.653284385012</v>
      </c>
      <c r="Y7" s="64" t="n">
        <f aca="false">IF(AND($D7=1,ISNUMBER(R7)),R7,"")</f>
        <v>13.0556989655715</v>
      </c>
      <c r="Z7" s="64" t="n">
        <f aca="false">IF(AND($D7=1,ISNUMBER(S7)),S7,"")</f>
        <v>10.4825693734932</v>
      </c>
      <c r="AA7" s="64" t="n">
        <f aca="false">IF(AND($D7=1,ISNUMBER(T7)),T7,"")</f>
        <v>1.18292163188185</v>
      </c>
      <c r="AB7" s="64" t="n">
        <f aca="false">IF(AND($D7=1,$E7=1,ISNUMBER(P7)),P7,"")</f>
        <v>13.0339006517817</v>
      </c>
      <c r="AC7" s="64" t="n">
        <f aca="false">IF(AND($D7=1,$E7=1,ISNUMBER(Q7)),Q7,"")</f>
        <v>11.653284385012</v>
      </c>
      <c r="AD7" s="64" t="n">
        <f aca="false">IF(AND($D7=1,$E7=1,ISNUMBER(R7)),R7,"")</f>
        <v>13.0556989655715</v>
      </c>
      <c r="AE7" s="64" t="n">
        <f aca="false">IF(AND($D7=1,$E7=1,ISNUMBER(S7)),S7,"")</f>
        <v>10.4825693734932</v>
      </c>
      <c r="AF7" s="64" t="n">
        <f aca="false">IF(AND($D7=1,$E7=1,ISNUMBER(T7)),T7,"")</f>
        <v>1.18292163188185</v>
      </c>
    </row>
    <row r="8" customFormat="false" ht="15" hidden="false" customHeight="false" outlineLevel="0" collapsed="false">
      <c r="A8" s="4" t="s">
        <v>260</v>
      </c>
      <c r="B8" s="62" t="str">
        <f aca="false">Datos_BBG!B24</f>
        <v>MULT3 BZ</v>
      </c>
      <c r="C8" s="62" t="str">
        <f aca="false">Datos_BBG!D24</f>
        <v>Brasil</v>
      </c>
      <c r="D8" s="63" t="n">
        <v>1</v>
      </c>
      <c r="E8" s="63" t="n">
        <v>0</v>
      </c>
      <c r="F8" s="35" t="n">
        <f aca="false">Datos_BBG!O24*Datos_BBG!S24</f>
        <v>2907890.34768236</v>
      </c>
      <c r="G8" s="35" t="n">
        <f aca="false">Datos_BBG!M24*Datos_BBG!S24</f>
        <v>888983.197853961</v>
      </c>
      <c r="H8" s="35" t="n">
        <f aca="false">Datos_BBG!N24*Datos_BBG!S24</f>
        <v>33.0491768351734</v>
      </c>
      <c r="I8" s="35" t="n">
        <f aca="false">F8+G8+H8</f>
        <v>3796906.59471315</v>
      </c>
      <c r="J8" s="35" t="n">
        <f aca="false">Datos_BBG!G24*Datos_BBG!S24</f>
        <v>570440.404048034</v>
      </c>
      <c r="K8" s="35" t="n">
        <f aca="false">Datos_BBG!H24*Datos_BBG!S24</f>
        <v>421296.078826264</v>
      </c>
      <c r="L8" s="35" t="n">
        <f aca="false">Datos_BBG!J24*Datos_BBG!S24</f>
        <v>397146.062769708</v>
      </c>
      <c r="M8" s="35" t="n">
        <f aca="false">Datos_BBG!K24*Datos_BBG!S24</f>
        <v>247648.3793221</v>
      </c>
      <c r="N8" s="35" t="n">
        <f aca="false">Datos_BBG!L24*Datos_BBG!S24</f>
        <v>1206875.90541933</v>
      </c>
      <c r="O8" s="35" t="n">
        <f aca="false">Datos_BBG!H51*Datos_BBG!S51</f>
        <v>376773.259642812</v>
      </c>
      <c r="P8" s="49" t="n">
        <f aca="false">IF(OR(K8&lt;=0,I8/K8&gt;Supuestos!$B$94),"NM",I8/K8)</f>
        <v>9.0124422835631</v>
      </c>
      <c r="Q8" s="49" t="n">
        <f aca="false">IF(OR(O8&lt;=0,I8/O8&gt;Supuestos!$B$94),"NM",I8/O8)</f>
        <v>10.0774311805267</v>
      </c>
      <c r="R8" s="49" t="n">
        <f aca="false">IF(OR(L8&lt;=0,I8/L8&gt;Supuestos!$B$94),"NM",I8/L8)</f>
        <v>9.56047900420671</v>
      </c>
      <c r="S8" s="49" t="n">
        <f aca="false">IF(OR(M8&lt;=0,Datos_BBG!Q24=1),"NM",IF(F8/M8&gt;Supuestos!$B$94,"NM",F8/M8))</f>
        <v>11.7420124276293</v>
      </c>
      <c r="T8" s="20" t="n">
        <f aca="false">IF(OR(N8&lt;=0,F8/N8&gt;Supuestos!$B$94),"NM",F8/N8)</f>
        <v>2.40943607758248</v>
      </c>
      <c r="W8" s="64" t="n">
        <f aca="false">IF(AND($D8=1,ISNUMBER(P8)),P8,"")</f>
        <v>9.0124422835631</v>
      </c>
      <c r="X8" s="64" t="n">
        <f aca="false">IF(AND($D8=1,ISNUMBER(Q8)),Q8,"")</f>
        <v>10.0774311805267</v>
      </c>
      <c r="Y8" s="64" t="n">
        <f aca="false">IF(AND($D8=1,ISNUMBER(R8)),R8,"")</f>
        <v>9.56047900420671</v>
      </c>
      <c r="Z8" s="64" t="n">
        <f aca="false">IF(AND($D8=1,ISNUMBER(S8)),S8,"")</f>
        <v>11.7420124276293</v>
      </c>
      <c r="AA8" s="64" t="n">
        <f aca="false">IF(AND($D8=1,ISNUMBER(T8)),T8,"")</f>
        <v>2.40943607758248</v>
      </c>
      <c r="AB8" s="64" t="str">
        <f aca="false">IF(AND($D8=1,$E8=1,ISNUMBER(P8)),P8,"")</f>
        <v/>
      </c>
      <c r="AC8" s="64" t="str">
        <f aca="false">IF(AND($D8=1,$E8=1,ISNUMBER(Q8)),Q8,"")</f>
        <v/>
      </c>
      <c r="AD8" s="64" t="str">
        <f aca="false">IF(AND($D8=1,$E8=1,ISNUMBER(R8)),R8,"")</f>
        <v/>
      </c>
      <c r="AE8" s="64" t="str">
        <f aca="false">IF(AND($D8=1,$E8=1,ISNUMBER(S8)),S8,"")</f>
        <v/>
      </c>
      <c r="AF8" s="64" t="str">
        <f aca="false">IF(AND($D8=1,$E8=1,ISNUMBER(T8)),T8,"")</f>
        <v/>
      </c>
    </row>
    <row r="9" customFormat="false" ht="15" hidden="false" customHeight="false" outlineLevel="0" collapsed="false">
      <c r="A9" s="4" t="s">
        <v>249</v>
      </c>
      <c r="B9" s="62" t="str">
        <f aca="false">Datos_BBG!B29</f>
        <v>ALOS3 BZ</v>
      </c>
      <c r="C9" s="62" t="str">
        <f aca="false">Datos_BBG!D29</f>
        <v>Brasil</v>
      </c>
      <c r="D9" s="63" t="n">
        <v>1</v>
      </c>
      <c r="E9" s="63" t="n">
        <v>0</v>
      </c>
      <c r="F9" s="35" t="n">
        <f aca="false">Datos_BBG!O29*Datos_BBG!S29</f>
        <v>2656187.53107496</v>
      </c>
      <c r="G9" s="35" t="n">
        <f aca="false">Datos_BBG!M29*Datos_BBG!S29</f>
        <v>1221640.66983149</v>
      </c>
      <c r="H9" s="35" t="n">
        <f aca="false">Datos_BBG!N29*Datos_BBG!S29</f>
        <v>17188.9661940732</v>
      </c>
      <c r="I9" s="35" t="n">
        <f aca="false">F9+G9+H9</f>
        <v>3895017.16710052</v>
      </c>
      <c r="J9" s="35" t="n">
        <f aca="false">Datos_BBG!G29*Datos_BBG!S29</f>
        <v>524937.582804571</v>
      </c>
      <c r="K9" s="35" t="n">
        <f aca="false">Datos_BBG!H29*Datos_BBG!S29</f>
        <v>388838.750222739</v>
      </c>
      <c r="L9" s="35" t="n">
        <f aca="false">Datos_BBG!J29*Datos_BBG!S29</f>
        <v>276308.446829363</v>
      </c>
      <c r="M9" s="35" t="n">
        <f aca="false">Datos_BBG!K29*Datos_BBG!S29</f>
        <v>166950.149835367</v>
      </c>
      <c r="N9" s="35" t="n">
        <f aca="false">Datos_BBG!L29*Datos_BBG!S29</f>
        <v>2296067.80094519</v>
      </c>
      <c r="O9" s="35" t="n">
        <f aca="false">Datos_BBG!H52*Datos_BBG!S52</f>
        <v>413640.609664195</v>
      </c>
      <c r="P9" s="49" t="n">
        <f aca="false">IF(OR(K9&lt;=0,I9/K9&gt;Supuestos!$B$94),"NM",I9/K9)</f>
        <v>10.0170499078843</v>
      </c>
      <c r="Q9" s="49" t="n">
        <f aca="false">IF(OR(O9&lt;=0,I9/O9&gt;Supuestos!$B$94),"NM",I9/O9)</f>
        <v>9.41642835857583</v>
      </c>
      <c r="R9" s="49" t="n">
        <f aca="false">IF(OR(L9&lt;=0,I9/L9&gt;Supuestos!$B$94),"NM",I9/L9)</f>
        <v>14.0966271997683</v>
      </c>
      <c r="S9" s="49" t="n">
        <f aca="false">IF(OR(M9&lt;=0,Datos_BBG!Q29=1),"NM",IF(F9/M9&gt;Supuestos!$B$94,"NM",F9/M9))</f>
        <v>15.9100637746913</v>
      </c>
      <c r="T9" s="20" t="n">
        <f aca="false">IF(OR(N9&lt;=0,F9/N9&gt;Supuestos!$B$94),"NM",F9/N9)</f>
        <v>1.15684194080921</v>
      </c>
      <c r="W9" s="64" t="n">
        <f aca="false">IF(AND($D9=1,ISNUMBER(P9)),P9,"")</f>
        <v>10.0170499078843</v>
      </c>
      <c r="X9" s="64" t="n">
        <f aca="false">IF(AND($D9=1,ISNUMBER(Q9)),Q9,"")</f>
        <v>9.41642835857583</v>
      </c>
      <c r="Y9" s="64" t="n">
        <f aca="false">IF(AND($D9=1,ISNUMBER(R9)),R9,"")</f>
        <v>14.0966271997683</v>
      </c>
      <c r="Z9" s="64" t="n">
        <f aca="false">IF(AND($D9=1,ISNUMBER(S9)),S9,"")</f>
        <v>15.9100637746913</v>
      </c>
      <c r="AA9" s="64" t="n">
        <f aca="false">IF(AND($D9=1,ISNUMBER(T9)),T9,"")</f>
        <v>1.15684194080921</v>
      </c>
      <c r="AB9" s="64" t="str">
        <f aca="false">IF(AND($D9=1,$E9=1,ISNUMBER(P9)),P9,"")</f>
        <v/>
      </c>
      <c r="AC9" s="64" t="str">
        <f aca="false">IF(AND($D9=1,$E9=1,ISNUMBER(Q9)),Q9,"")</f>
        <v/>
      </c>
      <c r="AD9" s="64" t="str">
        <f aca="false">IF(AND($D9=1,$E9=1,ISNUMBER(R9)),R9,"")</f>
        <v/>
      </c>
      <c r="AE9" s="64" t="str">
        <f aca="false">IF(AND($D9=1,$E9=1,ISNUMBER(S9)),S9,"")</f>
        <v/>
      </c>
      <c r="AF9" s="64" t="str">
        <f aca="false">IF(AND($D9=1,$E9=1,ISNUMBER(T9)),T9,"")</f>
        <v/>
      </c>
    </row>
    <row r="10" customFormat="false" ht="15" hidden="false" customHeight="false" outlineLevel="0" collapsed="false">
      <c r="A10" s="4" t="s">
        <v>252</v>
      </c>
      <c r="B10" s="62" t="str">
        <f aca="false">Datos_BBG!B34</f>
        <v>IGTI11 BZ</v>
      </c>
      <c r="C10" s="62" t="str">
        <f aca="false">Datos_BBG!D34</f>
        <v>Brasil</v>
      </c>
      <c r="D10" s="63" t="n">
        <v>1</v>
      </c>
      <c r="E10" s="63" t="n">
        <v>0</v>
      </c>
      <c r="F10" s="35" t="n">
        <f aca="false">Datos_BBG!O34*Datos_BBG!S34</f>
        <v>1381189.73341313</v>
      </c>
      <c r="G10" s="35" t="n">
        <f aca="false">Datos_BBG!M34*Datos_BBG!S34</f>
        <v>382047.948282007</v>
      </c>
      <c r="H10" s="35" t="n">
        <f aca="false">Datos_BBG!N34*Datos_BBG!S34</f>
        <v>38.9444354057718</v>
      </c>
      <c r="I10" s="35" t="n">
        <f aca="false">F10+G10+H10</f>
        <v>1763276.62613054</v>
      </c>
      <c r="J10" s="35" t="n">
        <f aca="false">Datos_BBG!G34*Datos_BBG!S34</f>
        <v>272862.757516948</v>
      </c>
      <c r="K10" s="35" t="n">
        <f aca="false">Datos_BBG!H34*Datos_BBG!S34</f>
        <v>201422.94229324</v>
      </c>
      <c r="L10" s="35" t="n">
        <f aca="false">Datos_BBG!J34*Datos_BBG!S34</f>
        <v>178237.783556072</v>
      </c>
      <c r="M10" s="35" t="n">
        <f aca="false">Datos_BBG!K34*Datos_BBG!S34</f>
        <v>114077.004869262</v>
      </c>
      <c r="N10" s="35" t="n">
        <f aca="false">Datos_BBG!L34*Datos_BBG!S34</f>
        <v>881991.063900833</v>
      </c>
      <c r="O10" s="35" t="n">
        <f aca="false">Datos_BBG!H53*Datos_BBG!S53</f>
        <v>238273.430267314</v>
      </c>
      <c r="P10" s="49" t="n">
        <f aca="false">IF(OR(K10&lt;=0,I10/K10&gt;Supuestos!$B$94),"NM",I10/K10)</f>
        <v>8.75410023334625</v>
      </c>
      <c r="Q10" s="49" t="n">
        <f aca="false">IF(OR(O10&lt;=0,I10/O10&gt;Supuestos!$B$94),"NM",I10/O10)</f>
        <v>7.40022344980875</v>
      </c>
      <c r="R10" s="49" t="n">
        <f aca="false">IF(OR(L10&lt;=0,I10/L10&gt;Supuestos!$B$94),"NM",I10/L10)</f>
        <v>9.89283299506377</v>
      </c>
      <c r="S10" s="49" t="n">
        <f aca="false">IF(OR(M10&lt;=0,Datos_BBG!Q34=1),"NM",IF(F10/M10&gt;Supuestos!$B$94,"NM",F10/M10))</f>
        <v>12.1075210117591</v>
      </c>
      <c r="T10" s="20" t="n">
        <f aca="false">IF(OR(N10&lt;=0,F10/N10&gt;Supuestos!$B$94),"NM",F10/N10)</f>
        <v>1.56599062047688</v>
      </c>
      <c r="W10" s="64" t="n">
        <f aca="false">IF(AND($D10=1,ISNUMBER(P10)),P10,"")</f>
        <v>8.75410023334625</v>
      </c>
      <c r="X10" s="64" t="n">
        <f aca="false">IF(AND($D10=1,ISNUMBER(Q10)),Q10,"")</f>
        <v>7.40022344980875</v>
      </c>
      <c r="Y10" s="64" t="n">
        <f aca="false">IF(AND($D10=1,ISNUMBER(R10)),R10,"")</f>
        <v>9.89283299506377</v>
      </c>
      <c r="Z10" s="64" t="n">
        <f aca="false">IF(AND($D10=1,ISNUMBER(S10)),S10,"")</f>
        <v>12.1075210117591</v>
      </c>
      <c r="AA10" s="64" t="n">
        <f aca="false">IF(AND($D10=1,ISNUMBER(T10)),T10,"")</f>
        <v>1.56599062047688</v>
      </c>
      <c r="AB10" s="64" t="str">
        <f aca="false">IF(AND($D10=1,$E10=1,ISNUMBER(P10)),P10,"")</f>
        <v/>
      </c>
      <c r="AC10" s="64" t="str">
        <f aca="false">IF(AND($D10=1,$E10=1,ISNUMBER(Q10)),Q10,"")</f>
        <v/>
      </c>
      <c r="AD10" s="64" t="str">
        <f aca="false">IF(AND($D10=1,$E10=1,ISNUMBER(R10)),R10,"")</f>
        <v/>
      </c>
      <c r="AE10" s="64" t="str">
        <f aca="false">IF(AND($D10=1,$E10=1,ISNUMBER(S10)),S10,"")</f>
        <v/>
      </c>
      <c r="AF10" s="64" t="str">
        <f aca="false">IF(AND($D10=1,$E10=1,ISNUMBER(T10)),T10,"")</f>
        <v/>
      </c>
    </row>
    <row r="11" customFormat="false" ht="15" hidden="false" customHeight="false" outlineLevel="0" collapsed="false">
      <c r="A11" s="4" t="s">
        <v>257</v>
      </c>
      <c r="B11" s="62" t="str">
        <f aca="false">Datos_BBG!B39</f>
        <v>IRSA AR</v>
      </c>
      <c r="C11" s="62" t="str">
        <f aca="false">Datos_BBG!D39</f>
        <v>Argentina</v>
      </c>
      <c r="D11" s="63" t="n">
        <v>1</v>
      </c>
      <c r="E11" s="63" t="n">
        <v>0</v>
      </c>
      <c r="F11" s="35" t="n">
        <f aca="false">Datos_BBG!O39*Datos_BBG!S39</f>
        <v>1140416.45830563</v>
      </c>
      <c r="G11" s="35" t="n">
        <f aca="false">Datos_BBG!M39*Datos_BBG!S39</f>
        <v>561235.176936572</v>
      </c>
      <c r="H11" s="35" t="n">
        <f aca="false">Datos_BBG!N39*Datos_BBG!S39</f>
        <v>87538.9035357625</v>
      </c>
      <c r="I11" s="35" t="n">
        <f aca="false">F11+G11+H11</f>
        <v>1789190.53877796</v>
      </c>
      <c r="J11" s="35" t="n">
        <f aca="false">Datos_BBG!G39*Datos_BBG!S39</f>
        <v>409298.643967611</v>
      </c>
      <c r="K11" s="35" t="n">
        <f aca="false">Datos_BBG!H39*Datos_BBG!S39</f>
        <v>145686.203093304</v>
      </c>
      <c r="L11" s="35" t="n">
        <f aca="false">Datos_BBG!J39*Datos_BBG!S39</f>
        <v>135134.942757649</v>
      </c>
      <c r="M11" s="35" t="n">
        <f aca="false">Datos_BBG!K39*Datos_BBG!S39</f>
        <v>244905.542105263</v>
      </c>
      <c r="N11" s="35" t="n">
        <f aca="false">Datos_BBG!L39*Datos_BBG!S39</f>
        <v>1418831.51441296</v>
      </c>
      <c r="O11" s="35" t="n">
        <f aca="false">Datos_BBG!H54*Datos_BBG!S54</f>
        <v>286774.755708795</v>
      </c>
      <c r="P11" s="49" t="n">
        <f aca="false">IF(OR(K11&lt;=0,I11/K11&gt;Supuestos!$B$94),"NM",I11/K11)</f>
        <v>12.2811254654779</v>
      </c>
      <c r="Q11" s="49" t="n">
        <f aca="false">IF(OR(O11&lt;=0,I11/O11&gt;Supuestos!$B$94),"NM",I11/O11)</f>
        <v>6.23900989595749</v>
      </c>
      <c r="R11" s="49" t="n">
        <f aca="false">IF(OR(L11&lt;=0,I11/L11&gt;Supuestos!$B$94),"NM",I11/L11)</f>
        <v>13.2400288353746</v>
      </c>
      <c r="S11" s="49" t="n">
        <f aca="false">IF(OR(M11&lt;=0,Datos_BBG!Q39=1),"NM",IF(F11/M11&gt;Supuestos!$B$94,"NM",F11/M11))</f>
        <v>4.65655635434932</v>
      </c>
      <c r="T11" s="20" t="n">
        <f aca="false">IF(OR(N11&lt;=0,F11/N11&gt;Supuestos!$B$94),"NM",F11/N11)</f>
        <v>0.803771587197566</v>
      </c>
      <c r="W11" s="64" t="n">
        <f aca="false">IF(AND($D11=1,ISNUMBER(P11)),P11,"")</f>
        <v>12.2811254654779</v>
      </c>
      <c r="X11" s="64" t="n">
        <f aca="false">IF(AND($D11=1,ISNUMBER(Q11)),Q11,"")</f>
        <v>6.23900989595749</v>
      </c>
      <c r="Y11" s="64" t="n">
        <f aca="false">IF(AND($D11=1,ISNUMBER(R11)),R11,"")</f>
        <v>13.2400288353746</v>
      </c>
      <c r="Z11" s="64" t="n">
        <f aca="false">IF(AND($D11=1,ISNUMBER(S11)),S11,"")</f>
        <v>4.65655635434932</v>
      </c>
      <c r="AA11" s="64" t="n">
        <f aca="false">IF(AND($D11=1,ISNUMBER(T11)),T11,"")</f>
        <v>0.803771587197566</v>
      </c>
      <c r="AB11" s="64" t="str">
        <f aca="false">IF(AND($D11=1,$E11=1,ISNUMBER(P11)),P11,"")</f>
        <v/>
      </c>
      <c r="AC11" s="64" t="str">
        <f aca="false">IF(AND($D11=1,$E11=1,ISNUMBER(Q11)),Q11,"")</f>
        <v/>
      </c>
      <c r="AD11" s="64" t="str">
        <f aca="false">IF(AND($D11=1,$E11=1,ISNUMBER(R11)),R11,"")</f>
        <v/>
      </c>
      <c r="AE11" s="64" t="str">
        <f aca="false">IF(AND($D11=1,$E11=1,ISNUMBER(S11)),S11,"")</f>
        <v/>
      </c>
      <c r="AF11" s="64" t="str">
        <f aca="false">IF(AND($D11=1,$E11=1,ISNUMBER(T11)),T11,"")</f>
        <v/>
      </c>
    </row>
    <row r="12" customFormat="false" ht="15" hidden="false" customHeight="false" outlineLevel="0" collapsed="false">
      <c r="A12" s="4" t="s">
        <v>579</v>
      </c>
      <c r="B12" s="62" t="str">
        <f aca="false">Datos_BBG!B44</f>
        <v>DANHOS13 MM</v>
      </c>
      <c r="C12" s="62" t="str">
        <f aca="false">Datos_BBG!D44</f>
        <v>México</v>
      </c>
      <c r="D12" s="63" t="n">
        <v>0</v>
      </c>
      <c r="E12" s="63" t="n">
        <v>0</v>
      </c>
      <c r="F12" s="35" t="n">
        <f aca="false">Datos_BBG!O44*Datos_BBG!S44</f>
        <v>2383999.42133005</v>
      </c>
      <c r="G12" s="35" t="n">
        <f aca="false">Datos_BBG!M44*Datos_BBG!S44</f>
        <v>618003.431527094</v>
      </c>
      <c r="H12" s="35" t="n">
        <f aca="false">Datos_BBG!N44*Datos_BBG!S44</f>
        <v>155940.903940887</v>
      </c>
      <c r="I12" s="35" t="n">
        <f aca="false">F12+G12+H12</f>
        <v>3157943.75679803</v>
      </c>
      <c r="J12" s="35" t="n">
        <f aca="false">Datos_BBG!G44*Datos_BBG!S44</f>
        <v>417411.607746798</v>
      </c>
      <c r="K12" s="35" t="n">
        <f aca="false">Datos_BBG!H44*Datos_BBG!S44</f>
        <v>277625.057532512</v>
      </c>
      <c r="L12" s="35" t="n">
        <f aca="false">Datos_BBG!J44*Datos_BBG!S44</f>
        <v>276925.518730542</v>
      </c>
      <c r="M12" s="35" t="n">
        <f aca="false">Datos_BBG!K44*Datos_BBG!S44</f>
        <v>301542.114937931</v>
      </c>
      <c r="N12" s="35" t="n">
        <f aca="false">Datos_BBG!L44*Datos_BBG!S44</f>
        <v>3445417.07783251</v>
      </c>
      <c r="O12" s="35" t="n">
        <f aca="false">Datos_BBG!H55*Datos_BBG!S55</f>
        <v>313368.815924631</v>
      </c>
      <c r="P12" s="49" t="n">
        <f aca="false">IF(OR(K12&lt;=0,I12/K12&gt;Supuestos!$B$94),"NM",I12/K12)</f>
        <v>11.3748513367826</v>
      </c>
      <c r="Q12" s="49" t="n">
        <f aca="false">IF(OR(O12&lt;=0,I12/O12&gt;Supuestos!$B$94),"NM",I12/O12)</f>
        <v>10.0774027162855</v>
      </c>
      <c r="R12" s="49" t="n">
        <f aca="false">IF(OR(L12&lt;=0,I12/L12&gt;Supuestos!$B$94),"NM",I12/L12)</f>
        <v>11.40358523575</v>
      </c>
      <c r="S12" s="49" t="n">
        <f aca="false">IF(OR(M12&lt;=0,Datos_BBG!Q44=1),"NM",IF(F12/M12&gt;Supuestos!$B$94,"NM",F12/M12))</f>
        <v>7.90602474158798</v>
      </c>
      <c r="T12" s="20" t="n">
        <f aca="false">IF(OR(N12&lt;=0,F12/N12&gt;Supuestos!$B$94),"NM",F12/N12)</f>
        <v>0.691933477856274</v>
      </c>
      <c r="W12" s="64" t="str">
        <f aca="false">IF(AND($D12=1,ISNUMBER(P12)),P12,"")</f>
        <v/>
      </c>
      <c r="X12" s="64" t="str">
        <f aca="false">IF(AND($D12=1,ISNUMBER(Q12)),Q12,"")</f>
        <v/>
      </c>
      <c r="Y12" s="64" t="str">
        <f aca="false">IF(AND($D12=1,ISNUMBER(R12)),R12,"")</f>
        <v/>
      </c>
      <c r="Z12" s="64" t="str">
        <f aca="false">IF(AND($D12=1,ISNUMBER(S12)),S12,"")</f>
        <v/>
      </c>
      <c r="AA12" s="64" t="str">
        <f aca="false">IF(AND($D12=1,ISNUMBER(T12)),T12,"")</f>
        <v/>
      </c>
      <c r="AB12" s="64" t="str">
        <f aca="false">IF(AND($D12=1,$E12=1,ISNUMBER(P12)),P12,"")</f>
        <v/>
      </c>
      <c r="AC12" s="64" t="str">
        <f aca="false">IF(AND($D12=1,$E12=1,ISNUMBER(Q12)),Q12,"")</f>
        <v/>
      </c>
      <c r="AD12" s="64" t="str">
        <f aca="false">IF(AND($D12=1,$E12=1,ISNUMBER(R12)),R12,"")</f>
        <v/>
      </c>
      <c r="AE12" s="64" t="str">
        <f aca="false">IF(AND($D12=1,$E12=1,ISNUMBER(S12)),S12,"")</f>
        <v/>
      </c>
      <c r="AF12" s="64" t="str">
        <f aca="false">IF(AND($D12=1,$E12=1,ISNUMBER(T12)),T12,"")</f>
        <v/>
      </c>
    </row>
    <row r="14" customFormat="false" ht="15" hidden="false" customHeight="false" outlineLevel="0" collapsed="false">
      <c r="A14" s="3" t="s">
        <v>580</v>
      </c>
    </row>
    <row r="15" customFormat="false" ht="15" hidden="false" customHeight="false" outlineLevel="0" collapsed="false">
      <c r="A15" s="4" t="s">
        <v>581</v>
      </c>
      <c r="P15" s="20" t="n">
        <f aca="false">MEDIAN(W6:W12)</f>
        <v>11.1490876866811</v>
      </c>
      <c r="Q15" s="20" t="n">
        <f aca="false">MEDIAN(X6:X12)</f>
        <v>9.74692976955125</v>
      </c>
      <c r="R15" s="20" t="n">
        <f aca="false">MEDIAN(Y6:Y12)</f>
        <v>13.147863900473</v>
      </c>
      <c r="S15" s="20" t="n">
        <f aca="false">MEDIAN(Z6:Z12)</f>
        <v>11.9247667196942</v>
      </c>
      <c r="T15" s="20" t="n">
        <f aca="false">MEDIAN(AA6:AA12)</f>
        <v>1.37445612617937</v>
      </c>
    </row>
    <row r="16" customFormat="false" ht="15" hidden="false" customHeight="false" outlineLevel="0" collapsed="false">
      <c r="A16" s="4" t="s">
        <v>582</v>
      </c>
      <c r="P16" s="20" t="n">
        <f aca="false">MEDIAN(AB6:AB12)</f>
        <v>15.7378815495883</v>
      </c>
      <c r="Q16" s="20" t="n">
        <f aca="false">MEDIAN(AC6:AC12)</f>
        <v>13.751004757792</v>
      </c>
      <c r="R16" s="20" t="n">
        <f aca="false">MEDIAN(AD6:AD12)</f>
        <v>15.9046964945928</v>
      </c>
      <c r="S16" s="20" t="n">
        <f aca="false">MEDIAN(AE6:AE12)</f>
        <v>16.3859121549999</v>
      </c>
      <c r="T16" s="20" t="n">
        <f aca="false">MEDIAN(AF6:AF12)</f>
        <v>1.46849260963967</v>
      </c>
    </row>
    <row r="17" customFormat="false" ht="15" hidden="false" customHeight="false" outlineLevel="0" collapsed="false">
      <c r="A17" s="3" t="s">
        <v>583</v>
      </c>
      <c r="P17" s="51" t="n">
        <f aca="false">Supuestos!$B$93*P16+(1-Supuestos!$B$93)*P15</f>
        <v>14.3612433907162</v>
      </c>
      <c r="Q17" s="51" t="n">
        <f aca="false">Supuestos!$B$93*Q16+(1-Supuestos!$B$93)*Q15</f>
        <v>12.5497822613198</v>
      </c>
      <c r="R17" s="51" t="n">
        <f aca="false">Supuestos!$B$93*R16+(1-Supuestos!$B$93)*R15</f>
        <v>15.0776467163569</v>
      </c>
      <c r="S17" s="51" t="n">
        <f aca="false">Supuestos!$B$93*S16+(1-Supuestos!$B$93)*S15</f>
        <v>15.0475685244082</v>
      </c>
      <c r="T17" s="51" t="n">
        <f aca="false">Supuestos!$B$93*T16+(1-Supuestos!$B$93)*T15</f>
        <v>1.44028166460158</v>
      </c>
    </row>
    <row r="18" customFormat="false" ht="15" hidden="false" customHeight="false" outlineLevel="0" collapsed="false">
      <c r="A18" s="4" t="s">
        <v>584</v>
      </c>
      <c r="P18" s="33" t="n">
        <f aca="false">COUNT(W6:W12)</f>
        <v>6</v>
      </c>
      <c r="Q18" s="33" t="n">
        <f aca="false">COUNT(X6:X12)</f>
        <v>6</v>
      </c>
      <c r="R18" s="33" t="n">
        <f aca="false">COUNT(Y6:Y12)</f>
        <v>6</v>
      </c>
      <c r="S18" s="33" t="n">
        <f aca="false">COUNT(Z6:Z12)</f>
        <v>6</v>
      </c>
      <c r="T18" s="33" t="n">
        <f aca="false">COUNT(AA6:AA12)</f>
        <v>6</v>
      </c>
    </row>
    <row r="19" customFormat="false" ht="15" hidden="false" customHeight="false" outlineLevel="0" collapsed="false">
      <c r="A19" s="4" t="s">
        <v>585</v>
      </c>
      <c r="P19" s="27" t="n">
        <f aca="false">IF(ISNUMBER(P5),P5/P17-1,"NM")</f>
        <v>0.16891454764449</v>
      </c>
      <c r="Q19" s="27" t="n">
        <f aca="false">IF(ISNUMBER(Q5),Q5/Q17-1,"NM")</f>
        <v>0.181153717731478</v>
      </c>
      <c r="R19" s="27" t="n">
        <f aca="false">IF(ISNUMBER(R5),R5/R17-1,"NM")</f>
        <v>0.122774459057938</v>
      </c>
      <c r="S19" s="27" t="n">
        <f aca="false">IF(ISNUMBER(S5),S5/S17-1,"NM")</f>
        <v>-0.588738039766828</v>
      </c>
      <c r="T19" s="27" t="n">
        <f aca="false">IF(ISNUMBER(T5),T5/T17-1,"NM")</f>
        <v>0.121265239662964</v>
      </c>
    </row>
    <row r="21" customFormat="false" ht="15" hidden="false" customHeight="false" outlineLevel="0" collapsed="false">
      <c r="A21" s="2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5.75" hidden="false" customHeight="true" outlineLevel="0" collapsed="false">
      <c r="A1" s="1" t="s">
        <v>587</v>
      </c>
    </row>
    <row r="3" customFormat="false" ht="15" hidden="false" customHeight="false" outlineLevel="0" collapsed="false">
      <c r="A3" s="3" t="s">
        <v>588</v>
      </c>
    </row>
    <row r="4" customFormat="false" ht="15" hidden="false" customHeight="false" outlineLevel="0" collapsed="false">
      <c r="A4" s="11" t="s">
        <v>589</v>
      </c>
      <c r="B4" s="11" t="s">
        <v>590</v>
      </c>
      <c r="C4" s="11" t="s">
        <v>591</v>
      </c>
      <c r="D4" s="11" t="s">
        <v>592</v>
      </c>
    </row>
    <row r="5" customFormat="false" ht="15" hidden="false" customHeight="false" outlineLevel="0" collapsed="false">
      <c r="A5" s="3" t="s">
        <v>593</v>
      </c>
      <c r="B5" s="8" t="n">
        <f aca="false">Comparables!P17</f>
        <v>14.3612433907162</v>
      </c>
      <c r="C5" s="46" t="n">
        <f aca="false">Comparables!K5</f>
        <v>544935</v>
      </c>
      <c r="D5" s="65" t="n">
        <f aca="false">(B5*C5-Supuestos!$B$14-Comparables!H5)/Supuestos!$B$9</f>
        <v>2951.38547083101</v>
      </c>
      <c r="E5" s="2" t="s">
        <v>594</v>
      </c>
    </row>
    <row r="6" customFormat="false" ht="15" hidden="false" customHeight="false" outlineLevel="0" collapsed="false">
      <c r="A6" s="4" t="s">
        <v>563</v>
      </c>
      <c r="B6" s="8" t="n">
        <f aca="false">Comparables!Q17</f>
        <v>12.5497822613198</v>
      </c>
      <c r="C6" s="46" t="n">
        <f aca="false">Comparables!O5</f>
        <v>617130.3379</v>
      </c>
      <c r="D6" s="24" t="n">
        <f aca="false">(B6*C6-Supuestos!$B$14-Comparables!H5)/Supuestos!$B$9</f>
        <v>2914.35679520534</v>
      </c>
    </row>
    <row r="7" customFormat="false" ht="15" hidden="false" customHeight="false" outlineLevel="0" collapsed="false">
      <c r="A7" s="4" t="s">
        <v>564</v>
      </c>
      <c r="B7" s="8" t="n">
        <f aca="false">Comparables!R17</f>
        <v>15.0776467163569</v>
      </c>
      <c r="C7" s="46" t="n">
        <f aca="false">Comparables!L5</f>
        <v>540372.726</v>
      </c>
      <c r="D7" s="24" t="n">
        <f aca="false">(B7*C7-Supuestos!$B$14-Comparables!H5)/Supuestos!$B$9</f>
        <v>3098.23701907886</v>
      </c>
    </row>
    <row r="8" customFormat="false" ht="15" hidden="false" customHeight="false" outlineLevel="0" collapsed="false">
      <c r="A8" s="4" t="s">
        <v>595</v>
      </c>
      <c r="B8" s="8" t="n">
        <f aca="false">Comparables!S17</f>
        <v>15.0475685244082</v>
      </c>
      <c r="C8" s="46" t="n">
        <f aca="false">Comparables!M5</f>
        <v>1258052.743</v>
      </c>
      <c r="D8" s="24" t="n">
        <f aca="false">B8*C8/Supuestos!$B$9</f>
        <v>8644.12550575898</v>
      </c>
    </row>
    <row r="9" customFormat="false" ht="15" hidden="false" customHeight="false" outlineLevel="0" collapsed="false">
      <c r="A9" s="4" t="s">
        <v>596</v>
      </c>
      <c r="B9" s="8" t="n">
        <f aca="false">Comparables!T17</f>
        <v>1.44028166460158</v>
      </c>
      <c r="C9" s="46" t="n">
        <f aca="false">Comparables!N5</f>
        <v>4820897.848</v>
      </c>
      <c r="D9" s="24" t="n">
        <f aca="false">B9*C9/Supuestos!$B$9</f>
        <v>3170.52546912859</v>
      </c>
    </row>
    <row r="11" customFormat="false" ht="15" hidden="false" customHeight="false" outlineLevel="0" collapsed="false">
      <c r="A11" s="3" t="s">
        <v>597</v>
      </c>
    </row>
    <row r="12" customFormat="false" ht="15" hidden="false" customHeight="false" outlineLevel="0" collapsed="false">
      <c r="A12" s="4" t="s">
        <v>598</v>
      </c>
      <c r="B12" s="6" t="n">
        <f aca="false">DCF!C49</f>
        <v>1856.81199718015</v>
      </c>
    </row>
    <row r="13" customFormat="false" ht="15" hidden="false" customHeight="false" outlineLevel="0" collapsed="false">
      <c r="A13" s="4" t="s">
        <v>599</v>
      </c>
      <c r="B13" s="24" t="n">
        <f aca="false">D5</f>
        <v>2951.38547083101</v>
      </c>
    </row>
    <row r="14" customFormat="false" ht="15" hidden="false" customHeight="false" outlineLevel="0" collapsed="false">
      <c r="A14" s="4" t="s">
        <v>600</v>
      </c>
      <c r="B14" s="7" t="n">
        <f aca="false">Supuestos!$B$92</f>
        <v>0.8</v>
      </c>
    </row>
    <row r="15" customFormat="false" ht="15" hidden="false" customHeight="false" outlineLevel="0" collapsed="false">
      <c r="A15" s="3" t="s">
        <v>601</v>
      </c>
      <c r="B15" s="48" t="n">
        <f aca="false">B12*B14+B13*(1-B14)</f>
        <v>2075.72669191032</v>
      </c>
    </row>
    <row r="16" customFormat="false" ht="15" hidden="false" customHeight="false" outlineLevel="0" collapsed="false">
      <c r="A16" s="4" t="s">
        <v>6</v>
      </c>
      <c r="B16" s="6" t="n">
        <f aca="false">Supuestos!$B$8</f>
        <v>3555</v>
      </c>
    </row>
    <row r="17" customFormat="false" ht="15" hidden="false" customHeight="false" outlineLevel="0" collapsed="false">
      <c r="A17" s="3" t="s">
        <v>450</v>
      </c>
      <c r="B17" s="40" t="n">
        <f aca="false">B15/B16-1</f>
        <v>-0.416110635186971</v>
      </c>
    </row>
    <row r="18" customFormat="false" ht="15" hidden="false" customHeight="false" outlineLevel="0" collapsed="false">
      <c r="A18" s="4" t="s">
        <v>602</v>
      </c>
      <c r="B18" s="6" t="n">
        <f aca="false">Supuestos!$B$110</f>
        <v>2094.57181982194</v>
      </c>
    </row>
    <row r="20" customFormat="false" ht="15" hidden="false" customHeight="false" outlineLevel="0" collapsed="false">
      <c r="A20" s="3" t="s">
        <v>603</v>
      </c>
    </row>
    <row r="21" customFormat="false" ht="15" hidden="false" customHeight="false" outlineLevel="0" collapsed="false">
      <c r="A21" s="4" t="s">
        <v>604</v>
      </c>
      <c r="B21" s="7" t="n">
        <f aca="false">DCF!C56</f>
        <v>0.100857870301779</v>
      </c>
    </row>
    <row r="22" customFormat="false" ht="15" hidden="false" customHeight="false" outlineLevel="0" collapsed="false">
      <c r="A22" s="4" t="s">
        <v>605</v>
      </c>
      <c r="B22" s="27" t="n">
        <f aca="false">1/Comparables!P5</f>
        <v>0.0595696699374472</v>
      </c>
    </row>
    <row r="23" customFormat="false" ht="15" hidden="false" customHeight="false" outlineLevel="0" collapsed="false">
      <c r="A23" s="4" t="s">
        <v>606</v>
      </c>
      <c r="B23" s="27" t="n">
        <f aca="false">1/Comparables!P16</f>
        <v>0.0635409535170989</v>
      </c>
    </row>
    <row r="24" customFormat="false" ht="15" hidden="false" customHeight="false" outlineLevel="0" collapsed="false">
      <c r="A24" s="4" t="s">
        <v>607</v>
      </c>
      <c r="B24" s="7" t="n">
        <f aca="false">DCF!C38</f>
        <v>0.104138867416108</v>
      </c>
    </row>
    <row r="25" customFormat="false" ht="15" hidden="false" customHeight="false" outlineLevel="0" collapsed="false">
      <c r="A25" s="4" t="s">
        <v>459</v>
      </c>
      <c r="B25" s="7" t="n">
        <f aca="false">DCF!C58</f>
        <v>0.0719794829282607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9"/>
    <col collapsed="false" customWidth="true" hidden="false" outlineLevel="0" max="18" min="18" style="0" width="60"/>
    <col collapsed="false" customWidth="true" hidden="false" outlineLevel="0" max="19" min="19" style="0" width="12"/>
    <col collapsed="false" customWidth="true" hidden="false" outlineLevel="0" max="20" min="20" style="0" width="13"/>
  </cols>
  <sheetData>
    <row r="1" customFormat="false" ht="15.75" hidden="false" customHeight="true" outlineLevel="0" collapsed="false">
      <c r="A1" s="1" t="s">
        <v>608</v>
      </c>
    </row>
    <row r="2" customFormat="false" ht="15" hidden="false" customHeight="false" outlineLevel="0" collapsed="false">
      <c r="A2" s="2" t="s">
        <v>609</v>
      </c>
    </row>
    <row r="4" customFormat="false" ht="15" hidden="false" customHeight="false" outlineLevel="0" collapsed="false">
      <c r="A4" s="11" t="s">
        <v>234</v>
      </c>
      <c r="B4" s="11" t="s">
        <v>235</v>
      </c>
      <c r="C4" s="11" t="s">
        <v>610</v>
      </c>
      <c r="D4" s="11" t="s">
        <v>236</v>
      </c>
      <c r="E4" s="11" t="s">
        <v>611</v>
      </c>
      <c r="F4" s="11" t="s">
        <v>612</v>
      </c>
      <c r="G4" s="11" t="s">
        <v>613</v>
      </c>
      <c r="H4" s="11" t="s">
        <v>398</v>
      </c>
      <c r="I4" s="11" t="s">
        <v>316</v>
      </c>
      <c r="J4" s="11" t="s">
        <v>413</v>
      </c>
      <c r="K4" s="11" t="s">
        <v>614</v>
      </c>
      <c r="L4" s="11" t="s">
        <v>615</v>
      </c>
      <c r="M4" s="11" t="s">
        <v>616</v>
      </c>
      <c r="N4" s="11" t="s">
        <v>554</v>
      </c>
      <c r="O4" s="11" t="s">
        <v>617</v>
      </c>
      <c r="P4" s="11" t="s">
        <v>618</v>
      </c>
      <c r="Q4" s="11" t="s">
        <v>619</v>
      </c>
      <c r="R4" s="11" t="s">
        <v>620</v>
      </c>
      <c r="S4" s="11" t="s">
        <v>621</v>
      </c>
      <c r="T4" s="11" t="s">
        <v>622</v>
      </c>
    </row>
    <row r="5" customFormat="false" ht="15" hidden="false" customHeight="false" outlineLevel="0" collapsed="false">
      <c r="A5" s="4" t="s">
        <v>577</v>
      </c>
      <c r="B5" s="4" t="s">
        <v>623</v>
      </c>
      <c r="C5" s="4" t="s">
        <v>578</v>
      </c>
      <c r="D5" s="4" t="s">
        <v>246</v>
      </c>
      <c r="E5" s="4" t="s">
        <v>41</v>
      </c>
      <c r="F5" s="4" t="s">
        <v>624</v>
      </c>
      <c r="G5" s="66" t="n">
        <v>370898.935</v>
      </c>
      <c r="H5" s="66" t="n">
        <v>282699</v>
      </c>
      <c r="I5" s="66" t="n">
        <v>2165.395</v>
      </c>
      <c r="J5" s="67" t="n">
        <f aca="false">H5-I5</f>
        <v>280533.605</v>
      </c>
      <c r="K5" s="66" t="n">
        <v>157666.755</v>
      </c>
      <c r="L5" s="66" t="n">
        <v>2263298.479</v>
      </c>
      <c r="M5" s="66" t="n">
        <v>1011613.326</v>
      </c>
      <c r="N5" s="66" t="n">
        <v>168378.479</v>
      </c>
      <c r="O5" s="66" t="n">
        <v>2073680</v>
      </c>
      <c r="P5" s="66" t="n">
        <v>1050.647</v>
      </c>
      <c r="Q5" s="17" t="n">
        <v>0</v>
      </c>
      <c r="R5" s="4"/>
      <c r="S5" s="68" t="n">
        <f aca="false">Supuestos!$B$101</f>
        <v>1</v>
      </c>
      <c r="T5" s="67" t="n">
        <f aca="false">O5+M5+N5</f>
        <v>3253671.805</v>
      </c>
    </row>
    <row r="6" customFormat="false" ht="15" hidden="false" customHeight="false" outlineLevel="0" collapsed="false">
      <c r="A6" s="4" t="s">
        <v>577</v>
      </c>
      <c r="B6" s="4" t="s">
        <v>623</v>
      </c>
      <c r="C6" s="4" t="s">
        <v>578</v>
      </c>
      <c r="D6" s="4" t="s">
        <v>246</v>
      </c>
      <c r="E6" s="4" t="s">
        <v>41</v>
      </c>
      <c r="F6" s="4" t="s">
        <v>625</v>
      </c>
      <c r="G6" s="66" t="n">
        <v>419903.778</v>
      </c>
      <c r="H6" s="66" t="n">
        <v>322185</v>
      </c>
      <c r="I6" s="66" t="n">
        <v>2153.51</v>
      </c>
      <c r="J6" s="67" t="n">
        <f aca="false">H6-I6</f>
        <v>320031.49</v>
      </c>
      <c r="K6" s="66" t="n">
        <v>349758.853</v>
      </c>
      <c r="L6" s="66" t="n">
        <v>2601053.165</v>
      </c>
      <c r="M6" s="66" t="n">
        <v>1081082.31</v>
      </c>
      <c r="N6" s="66" t="n">
        <v>31634.353</v>
      </c>
      <c r="O6" s="66" t="n">
        <v>2439612</v>
      </c>
      <c r="P6" s="66" t="n">
        <v>1236.049</v>
      </c>
      <c r="Q6" s="17" t="n">
        <v>0</v>
      </c>
      <c r="R6" s="4"/>
      <c r="S6" s="68" t="n">
        <f aca="false">Supuestos!$B$101</f>
        <v>1</v>
      </c>
      <c r="T6" s="67" t="n">
        <f aca="false">O6+M6+N6</f>
        <v>3552328.663</v>
      </c>
    </row>
    <row r="7" customFormat="false" ht="15" hidden="false" customHeight="false" outlineLevel="0" collapsed="false">
      <c r="A7" s="4" t="s">
        <v>577</v>
      </c>
      <c r="B7" s="4" t="s">
        <v>623</v>
      </c>
      <c r="C7" s="4" t="s">
        <v>578</v>
      </c>
      <c r="D7" s="4" t="s">
        <v>246</v>
      </c>
      <c r="E7" s="4" t="s">
        <v>41</v>
      </c>
      <c r="F7" s="4" t="s">
        <v>395</v>
      </c>
      <c r="G7" s="66" t="n">
        <v>494605.239</v>
      </c>
      <c r="H7" s="66" t="n">
        <v>380637</v>
      </c>
      <c r="I7" s="66" t="n">
        <v>2111.809</v>
      </c>
      <c r="J7" s="67" t="n">
        <f aca="false">H7-I7</f>
        <v>378525.191</v>
      </c>
      <c r="K7" s="66" t="n">
        <v>335933.777</v>
      </c>
      <c r="L7" s="66" t="n">
        <v>3157863.075</v>
      </c>
      <c r="M7" s="66" t="n">
        <v>1458589.137</v>
      </c>
      <c r="N7" s="66" t="n">
        <v>33186.747</v>
      </c>
      <c r="O7" s="66" t="n">
        <v>3569919</v>
      </c>
      <c r="P7" s="66" t="n">
        <v>1630.1</v>
      </c>
      <c r="Q7" s="17" t="n">
        <v>0</v>
      </c>
      <c r="R7" s="4"/>
      <c r="S7" s="68" t="n">
        <f aca="false">Supuestos!$B$101</f>
        <v>1</v>
      </c>
      <c r="T7" s="67" t="n">
        <f aca="false">O7+M7+N7</f>
        <v>5061694.884</v>
      </c>
    </row>
    <row r="8" customFormat="false" ht="15" hidden="false" customHeight="false" outlineLevel="0" collapsed="false">
      <c r="A8" s="4" t="s">
        <v>577</v>
      </c>
      <c r="B8" s="4" t="s">
        <v>623</v>
      </c>
      <c r="C8" s="4" t="s">
        <v>578</v>
      </c>
      <c r="D8" s="4" t="s">
        <v>246</v>
      </c>
      <c r="E8" s="4" t="s">
        <v>41</v>
      </c>
      <c r="F8" s="4" t="s">
        <v>396</v>
      </c>
      <c r="G8" s="66" t="n">
        <v>653911.091</v>
      </c>
      <c r="H8" s="66" t="n">
        <v>526228</v>
      </c>
      <c r="I8" s="66" t="n">
        <v>3609.536</v>
      </c>
      <c r="J8" s="67" t="n">
        <f aca="false">H8-I8</f>
        <v>522618.464</v>
      </c>
      <c r="K8" s="66" t="n">
        <v>1431011.596</v>
      </c>
      <c r="L8" s="66" t="n">
        <v>4482903.946</v>
      </c>
      <c r="M8" s="66" t="n">
        <v>1327147.413</v>
      </c>
      <c r="N8" s="66" t="n">
        <v>41649.187</v>
      </c>
      <c r="O8" s="66" t="n">
        <v>6977559</v>
      </c>
      <c r="P8" s="66" t="n">
        <v>3186.1</v>
      </c>
      <c r="Q8" s="17" t="n">
        <v>0</v>
      </c>
      <c r="R8" s="4" t="s">
        <v>626</v>
      </c>
      <c r="S8" s="68" t="n">
        <f aca="false">Supuestos!$B$101</f>
        <v>1</v>
      </c>
      <c r="T8" s="67" t="n">
        <f aca="false">O8+M8+N8</f>
        <v>8346355.6</v>
      </c>
    </row>
    <row r="9" customFormat="false" ht="15" hidden="false" customHeight="false" outlineLevel="0" collapsed="false">
      <c r="A9" s="4" t="s">
        <v>577</v>
      </c>
      <c r="B9" s="4" t="s">
        <v>623</v>
      </c>
      <c r="C9" s="4" t="s">
        <v>578</v>
      </c>
      <c r="D9" s="4" t="s">
        <v>246</v>
      </c>
      <c r="E9" s="4" t="s">
        <v>41</v>
      </c>
      <c r="F9" s="4" t="s">
        <v>627</v>
      </c>
      <c r="G9" s="66" t="n">
        <v>677333.306</v>
      </c>
      <c r="H9" s="66" t="n">
        <v>544935</v>
      </c>
      <c r="I9" s="66" t="n">
        <v>4562.274</v>
      </c>
      <c r="J9" s="67" t="n">
        <f aca="false">H9-I9</f>
        <v>540372.726</v>
      </c>
      <c r="K9" s="66" t="n">
        <v>1258052.743</v>
      </c>
      <c r="L9" s="66" t="n">
        <v>4820897.848</v>
      </c>
      <c r="M9" s="66" t="n">
        <v>1311568.558</v>
      </c>
      <c r="N9" s="66" t="n">
        <v>50841.428</v>
      </c>
      <c r="O9" s="66" t="n">
        <v>7785450</v>
      </c>
      <c r="P9" s="66" t="n">
        <v>3555</v>
      </c>
      <c r="Q9" s="17" t="n">
        <v>0</v>
      </c>
      <c r="R9" s="4"/>
      <c r="S9" s="68" t="n">
        <f aca="false">Supuestos!$B$101</f>
        <v>1</v>
      </c>
      <c r="T9" s="67" t="n">
        <f aca="false">O9+M9+N9</f>
        <v>9147859.986</v>
      </c>
    </row>
    <row r="10" customFormat="false" ht="15" hidden="false" customHeight="false" outlineLevel="0" collapsed="false">
      <c r="A10" s="4" t="s">
        <v>244</v>
      </c>
      <c r="B10" s="4" t="s">
        <v>245</v>
      </c>
      <c r="C10" s="4" t="s">
        <v>628</v>
      </c>
      <c r="D10" s="4" t="s">
        <v>246</v>
      </c>
      <c r="E10" s="4" t="s">
        <v>41</v>
      </c>
      <c r="F10" s="4" t="s">
        <v>624</v>
      </c>
      <c r="G10" s="66" t="n">
        <v>243119.543</v>
      </c>
      <c r="H10" s="66" t="n">
        <v>170697</v>
      </c>
      <c r="I10" s="66" t="n">
        <v>5128.377</v>
      </c>
      <c r="J10" s="67" t="n">
        <f aca="false">H10-I10</f>
        <v>165568.623</v>
      </c>
      <c r="K10" s="66" t="n">
        <v>101031.635</v>
      </c>
      <c r="L10" s="66" t="n">
        <v>1144928.854</v>
      </c>
      <c r="M10" s="66" t="n">
        <v>989079.049</v>
      </c>
      <c r="N10" s="66" t="n">
        <v>211136.224</v>
      </c>
      <c r="O10" s="66" t="n">
        <v>979894.0127</v>
      </c>
      <c r="P10" s="66" t="n">
        <v>1067.16</v>
      </c>
      <c r="Q10" s="17" t="n">
        <v>0</v>
      </c>
      <c r="R10" s="4"/>
      <c r="S10" s="68" t="n">
        <f aca="false">Supuestos!$B$101</f>
        <v>1</v>
      </c>
      <c r="T10" s="67" t="n">
        <f aca="false">O10+M10+N10</f>
        <v>2180109.2857</v>
      </c>
    </row>
    <row r="11" customFormat="false" ht="15" hidden="false" customHeight="false" outlineLevel="0" collapsed="false">
      <c r="A11" s="4" t="s">
        <v>244</v>
      </c>
      <c r="B11" s="4" t="s">
        <v>245</v>
      </c>
      <c r="C11" s="4" t="s">
        <v>628</v>
      </c>
      <c r="D11" s="4" t="s">
        <v>246</v>
      </c>
      <c r="E11" s="4" t="s">
        <v>41</v>
      </c>
      <c r="F11" s="4" t="s">
        <v>625</v>
      </c>
      <c r="G11" s="66" t="n">
        <v>264312.607</v>
      </c>
      <c r="H11" s="66" t="n">
        <v>188159</v>
      </c>
      <c r="I11" s="66" t="n">
        <v>5280.937</v>
      </c>
      <c r="J11" s="67" t="n">
        <f aca="false">H11-I11</f>
        <v>182878.063</v>
      </c>
      <c r="K11" s="66" t="n">
        <v>112345.334</v>
      </c>
      <c r="L11" s="66" t="n">
        <v>1298911.303</v>
      </c>
      <c r="M11" s="66" t="n">
        <v>1113749.367</v>
      </c>
      <c r="N11" s="66" t="n">
        <v>332049.13</v>
      </c>
      <c r="O11" s="66" t="n">
        <v>1286116.552</v>
      </c>
      <c r="P11" s="66" t="n">
        <v>1400.66</v>
      </c>
      <c r="Q11" s="17" t="n">
        <v>0</v>
      </c>
      <c r="R11" s="4"/>
      <c r="S11" s="68" t="n">
        <f aca="false">Supuestos!$B$101</f>
        <v>1</v>
      </c>
      <c r="T11" s="67" t="n">
        <f aca="false">O11+M11+N11</f>
        <v>2731915.049</v>
      </c>
    </row>
    <row r="12" customFormat="false" ht="15" hidden="false" customHeight="false" outlineLevel="0" collapsed="false">
      <c r="A12" s="4" t="s">
        <v>244</v>
      </c>
      <c r="B12" s="4" t="s">
        <v>245</v>
      </c>
      <c r="C12" s="4" t="s">
        <v>628</v>
      </c>
      <c r="D12" s="4" t="s">
        <v>246</v>
      </c>
      <c r="E12" s="4" t="s">
        <v>41</v>
      </c>
      <c r="F12" s="4" t="s">
        <v>395</v>
      </c>
      <c r="G12" s="66" t="n">
        <v>316775.711</v>
      </c>
      <c r="H12" s="66" t="n">
        <v>227727</v>
      </c>
      <c r="I12" s="66" t="n">
        <v>6518.906</v>
      </c>
      <c r="J12" s="67" t="n">
        <f aca="false">H12-I12</f>
        <v>221208.094</v>
      </c>
      <c r="K12" s="66" t="n">
        <v>120571.308</v>
      </c>
      <c r="L12" s="66" t="n">
        <v>1464457.742</v>
      </c>
      <c r="M12" s="66" t="n">
        <v>1279923.402</v>
      </c>
      <c r="N12" s="66" t="n">
        <v>323589.523</v>
      </c>
      <c r="O12" s="66" t="n">
        <v>1439091.965</v>
      </c>
      <c r="P12" s="66" t="n">
        <v>1567.26</v>
      </c>
      <c r="Q12" s="17" t="n">
        <v>0</v>
      </c>
      <c r="R12" s="4"/>
      <c r="S12" s="68" t="n">
        <f aca="false">Supuestos!$B$101</f>
        <v>1</v>
      </c>
      <c r="T12" s="67" t="n">
        <f aca="false">O12+M12+N12</f>
        <v>3042604.89</v>
      </c>
    </row>
    <row r="13" customFormat="false" ht="15" hidden="false" customHeight="false" outlineLevel="0" collapsed="false">
      <c r="A13" s="4" t="s">
        <v>244</v>
      </c>
      <c r="B13" s="4" t="s">
        <v>245</v>
      </c>
      <c r="C13" s="4" t="s">
        <v>628</v>
      </c>
      <c r="D13" s="4" t="s">
        <v>246</v>
      </c>
      <c r="E13" s="4" t="s">
        <v>41</v>
      </c>
      <c r="F13" s="4" t="s">
        <v>396</v>
      </c>
      <c r="G13" s="66" t="n">
        <v>383792.582</v>
      </c>
      <c r="H13" s="66" t="n">
        <v>272233</v>
      </c>
      <c r="I13" s="66" t="n">
        <v>4739.59</v>
      </c>
      <c r="J13" s="67" t="n">
        <f aca="false">H13-I13</f>
        <v>267493.41</v>
      </c>
      <c r="K13" s="66" t="n">
        <v>149972.703</v>
      </c>
      <c r="L13" s="66" t="n">
        <v>1594521.872</v>
      </c>
      <c r="M13" s="66" t="n">
        <v>1631210.898</v>
      </c>
      <c r="N13" s="66" t="n">
        <v>362360.837</v>
      </c>
      <c r="O13" s="66" t="n">
        <v>2708090.487</v>
      </c>
      <c r="P13" s="66" t="n">
        <v>2949.27</v>
      </c>
      <c r="Q13" s="17" t="n">
        <v>0</v>
      </c>
      <c r="R13" s="4"/>
      <c r="S13" s="68" t="n">
        <f aca="false">Supuestos!$B$101</f>
        <v>1</v>
      </c>
      <c r="T13" s="67" t="n">
        <f aca="false">O13+M13+N13</f>
        <v>4701662.222</v>
      </c>
    </row>
    <row r="14" customFormat="false" ht="15" hidden="false" customHeight="false" outlineLevel="0" collapsed="false">
      <c r="A14" s="4" t="s">
        <v>244</v>
      </c>
      <c r="B14" s="4" t="s">
        <v>245</v>
      </c>
      <c r="C14" s="4" t="s">
        <v>628</v>
      </c>
      <c r="D14" s="4" t="s">
        <v>246</v>
      </c>
      <c r="E14" s="4" t="s">
        <v>41</v>
      </c>
      <c r="F14" s="4" t="s">
        <v>627</v>
      </c>
      <c r="G14" s="66" t="n">
        <v>416366.832</v>
      </c>
      <c r="H14" s="66" t="n">
        <v>294411</v>
      </c>
      <c r="I14" s="66" t="n">
        <v>4895.39</v>
      </c>
      <c r="J14" s="67" t="n">
        <f aca="false">H14-I14</f>
        <v>289515.61</v>
      </c>
      <c r="K14" s="66" t="n">
        <v>154352.778</v>
      </c>
      <c r="L14" s="66" t="n">
        <v>1961393.215</v>
      </c>
      <c r="M14" s="66" t="n">
        <v>1602287.611</v>
      </c>
      <c r="N14" s="66" t="n">
        <v>386791.135</v>
      </c>
      <c r="O14" s="66" t="n">
        <v>3440408.419</v>
      </c>
      <c r="P14" s="66" t="n">
        <v>3505</v>
      </c>
      <c r="Q14" s="17" t="n">
        <v>0</v>
      </c>
      <c r="R14" s="4"/>
      <c r="S14" s="68" t="n">
        <f aca="false">Supuestos!$B$101</f>
        <v>1</v>
      </c>
      <c r="T14" s="67" t="n">
        <f aca="false">O14+M14+N14</f>
        <v>5429487.165</v>
      </c>
    </row>
    <row r="15" customFormat="false" ht="15" hidden="false" customHeight="false" outlineLevel="0" collapsed="false">
      <c r="A15" s="4" t="s">
        <v>247</v>
      </c>
      <c r="B15" s="4" t="s">
        <v>248</v>
      </c>
      <c r="C15" s="4" t="s">
        <v>628</v>
      </c>
      <c r="D15" s="4" t="s">
        <v>246</v>
      </c>
      <c r="E15" s="4" t="s">
        <v>41</v>
      </c>
      <c r="F15" s="4" t="s">
        <v>624</v>
      </c>
      <c r="G15" s="66" t="n">
        <v>286949.855</v>
      </c>
      <c r="H15" s="66" t="n">
        <v>258583.696</v>
      </c>
      <c r="I15" s="66" t="n">
        <v>178.837</v>
      </c>
      <c r="J15" s="67" t="n">
        <f aca="false">H15-I15</f>
        <v>258404.859</v>
      </c>
      <c r="K15" s="66" t="n">
        <v>181875.546</v>
      </c>
      <c r="L15" s="66" t="n">
        <v>2679608.628</v>
      </c>
      <c r="M15" s="66" t="n">
        <v>636796.49</v>
      </c>
      <c r="N15" s="66" t="n">
        <v>4966.978</v>
      </c>
      <c r="O15" s="66" t="n">
        <v>2283766.647</v>
      </c>
      <c r="P15" s="66" t="n">
        <v>1338.8</v>
      </c>
      <c r="Q15" s="17" t="n">
        <v>0</v>
      </c>
      <c r="R15" s="4" t="s">
        <v>629</v>
      </c>
      <c r="S15" s="68" t="n">
        <f aca="false">Supuestos!$B$101</f>
        <v>1</v>
      </c>
      <c r="T15" s="67" t="n">
        <f aca="false">O15+M15+N15</f>
        <v>2925530.115</v>
      </c>
    </row>
    <row r="16" customFormat="false" ht="15" hidden="false" customHeight="false" outlineLevel="0" collapsed="false">
      <c r="A16" s="4" t="s">
        <v>247</v>
      </c>
      <c r="B16" s="4" t="s">
        <v>248</v>
      </c>
      <c r="C16" s="4" t="s">
        <v>628</v>
      </c>
      <c r="D16" s="4" t="s">
        <v>246</v>
      </c>
      <c r="E16" s="4" t="s">
        <v>41</v>
      </c>
      <c r="F16" s="4" t="s">
        <v>625</v>
      </c>
      <c r="G16" s="66" t="n">
        <v>314784.929</v>
      </c>
      <c r="H16" s="66" t="n">
        <v>272791.98</v>
      </c>
      <c r="I16" s="66" t="n">
        <v>213.006</v>
      </c>
      <c r="J16" s="67" t="n">
        <f aca="false">H16-I16</f>
        <v>272578.974</v>
      </c>
      <c r="K16" s="66" t="n">
        <v>187329.711</v>
      </c>
      <c r="L16" s="66" t="n">
        <v>2744754.862</v>
      </c>
      <c r="M16" s="66" t="n">
        <v>650170.984</v>
      </c>
      <c r="N16" s="66" t="n">
        <v>5991.871</v>
      </c>
      <c r="O16" s="66" t="n">
        <v>2405221.82</v>
      </c>
      <c r="P16" s="66" t="n">
        <v>1410</v>
      </c>
      <c r="Q16" s="17" t="n">
        <v>0</v>
      </c>
      <c r="R16" s="4"/>
      <c r="S16" s="68" t="n">
        <f aca="false">Supuestos!$B$101</f>
        <v>1</v>
      </c>
      <c r="T16" s="67" t="n">
        <f aca="false">O16+M16+N16</f>
        <v>3061384.675</v>
      </c>
    </row>
    <row r="17" customFormat="false" ht="15" hidden="false" customHeight="false" outlineLevel="0" collapsed="false">
      <c r="A17" s="4" t="s">
        <v>247</v>
      </c>
      <c r="B17" s="4" t="s">
        <v>248</v>
      </c>
      <c r="C17" s="4" t="s">
        <v>628</v>
      </c>
      <c r="D17" s="4" t="s">
        <v>246</v>
      </c>
      <c r="E17" s="4" t="s">
        <v>41</v>
      </c>
      <c r="F17" s="4" t="s">
        <v>395</v>
      </c>
      <c r="G17" s="66" t="n">
        <v>353183.704</v>
      </c>
      <c r="H17" s="66" t="n">
        <v>320677</v>
      </c>
      <c r="I17" s="66" t="n">
        <v>409.897</v>
      </c>
      <c r="J17" s="67" t="n">
        <f aca="false">H17-I17</f>
        <v>320267.103</v>
      </c>
      <c r="K17" s="66" t="n">
        <v>266953.083</v>
      </c>
      <c r="L17" s="66" t="n">
        <v>2828031.717</v>
      </c>
      <c r="M17" s="66" t="n">
        <v>679855.775</v>
      </c>
      <c r="N17" s="66" t="n">
        <v>6467.54</v>
      </c>
      <c r="O17" s="66" t="n">
        <v>2654273.157</v>
      </c>
      <c r="P17" s="66" t="n">
        <v>1556</v>
      </c>
      <c r="Q17" s="17" t="n">
        <v>0</v>
      </c>
      <c r="R17" s="4"/>
      <c r="S17" s="68" t="n">
        <f aca="false">Supuestos!$B$101</f>
        <v>1</v>
      </c>
      <c r="T17" s="67" t="n">
        <f aca="false">O17+M17+N17</f>
        <v>3340596.472</v>
      </c>
    </row>
    <row r="18" customFormat="false" ht="15" hidden="false" customHeight="false" outlineLevel="0" collapsed="false">
      <c r="A18" s="4" t="s">
        <v>247</v>
      </c>
      <c r="B18" s="4" t="s">
        <v>248</v>
      </c>
      <c r="C18" s="4" t="s">
        <v>628</v>
      </c>
      <c r="D18" s="4" t="s">
        <v>246</v>
      </c>
      <c r="E18" s="4" t="s">
        <v>41</v>
      </c>
      <c r="F18" s="4" t="s">
        <v>396</v>
      </c>
      <c r="G18" s="66" t="n">
        <v>377940.605</v>
      </c>
      <c r="H18" s="66" t="n">
        <v>340557</v>
      </c>
      <c r="I18" s="66" t="n">
        <v>540.654</v>
      </c>
      <c r="J18" s="67" t="n">
        <f aca="false">H18-I18</f>
        <v>340016.346</v>
      </c>
      <c r="K18" s="66" t="n">
        <v>303966.192</v>
      </c>
      <c r="L18" s="66" t="n">
        <v>2989170.608</v>
      </c>
      <c r="M18" s="66" t="n">
        <v>769416.4</v>
      </c>
      <c r="N18" s="66" t="n">
        <v>5505.4</v>
      </c>
      <c r="O18" s="66" t="n">
        <v>3974586.412</v>
      </c>
      <c r="P18" s="66" t="n">
        <v>2330</v>
      </c>
      <c r="Q18" s="17" t="n">
        <v>0</v>
      </c>
      <c r="R18" s="4"/>
      <c r="S18" s="68" t="n">
        <f aca="false">Supuestos!$B$101</f>
        <v>1</v>
      </c>
      <c r="T18" s="67" t="n">
        <f aca="false">O18+M18+N18</f>
        <v>4749508.212</v>
      </c>
    </row>
    <row r="19" customFormat="false" ht="15" hidden="false" customHeight="false" outlineLevel="0" collapsed="false">
      <c r="A19" s="4" t="s">
        <v>247</v>
      </c>
      <c r="B19" s="4" t="s">
        <v>248</v>
      </c>
      <c r="C19" s="4" t="s">
        <v>628</v>
      </c>
      <c r="D19" s="4" t="s">
        <v>246</v>
      </c>
      <c r="E19" s="4" t="s">
        <v>41</v>
      </c>
      <c r="F19" s="4" t="s">
        <v>627</v>
      </c>
      <c r="G19" s="66" t="n">
        <v>390677.946</v>
      </c>
      <c r="H19" s="66" t="n">
        <v>350561.254</v>
      </c>
      <c r="I19" s="66" t="n">
        <v>585.311</v>
      </c>
      <c r="J19" s="67" t="n">
        <f aca="false">H19-I19</f>
        <v>349975.943</v>
      </c>
      <c r="K19" s="66" t="n">
        <v>353938.282</v>
      </c>
      <c r="L19" s="66" t="n">
        <v>3136456.799</v>
      </c>
      <c r="M19" s="66" t="n">
        <v>852533.941</v>
      </c>
      <c r="N19" s="66" t="n">
        <v>6464.021</v>
      </c>
      <c r="O19" s="66" t="n">
        <v>3710182.595</v>
      </c>
      <c r="P19" s="66" t="n">
        <v>2175</v>
      </c>
      <c r="Q19" s="17" t="n">
        <v>0</v>
      </c>
      <c r="R19" s="4" t="s">
        <v>630</v>
      </c>
      <c r="S19" s="68" t="n">
        <f aca="false">Supuestos!$B$101</f>
        <v>1</v>
      </c>
      <c r="T19" s="67" t="n">
        <f aca="false">O19+M19+N19</f>
        <v>4569180.557</v>
      </c>
    </row>
    <row r="20" customFormat="false" ht="15" hidden="false" customHeight="false" outlineLevel="0" collapsed="false">
      <c r="A20" s="4" t="s">
        <v>260</v>
      </c>
      <c r="B20" s="4" t="s">
        <v>261</v>
      </c>
      <c r="C20" s="4" t="s">
        <v>628</v>
      </c>
      <c r="D20" s="4" t="s">
        <v>251</v>
      </c>
      <c r="E20" s="4" t="s">
        <v>210</v>
      </c>
      <c r="F20" s="4" t="s">
        <v>624</v>
      </c>
      <c r="G20" s="66" t="n">
        <v>1797.605</v>
      </c>
      <c r="H20" s="66" t="n">
        <v>1275.254</v>
      </c>
      <c r="I20" s="66" t="n">
        <v>206.751</v>
      </c>
      <c r="J20" s="67" t="n">
        <f aca="false">H20-I20</f>
        <v>1068.503</v>
      </c>
      <c r="K20" s="66" t="n">
        <v>769.255</v>
      </c>
      <c r="L20" s="66" t="n">
        <v>6582.34</v>
      </c>
      <c r="M20" s="66" t="n">
        <v>3086.169</v>
      </c>
      <c r="N20" s="66" t="n">
        <v>0.203</v>
      </c>
      <c r="O20" s="66" t="n">
        <v>13156.6632</v>
      </c>
      <c r="P20" s="66" t="n">
        <v>21.9</v>
      </c>
      <c r="Q20" s="17" t="n">
        <v>0</v>
      </c>
      <c r="R20" s="4"/>
      <c r="S20" s="68" t="n">
        <f aca="false">Supuestos!$B$103</f>
        <v>178.644199109045</v>
      </c>
      <c r="T20" s="67" t="n">
        <f aca="false">O20+M20+N20</f>
        <v>16243.0352</v>
      </c>
    </row>
    <row r="21" customFormat="false" ht="15" hidden="false" customHeight="false" outlineLevel="0" collapsed="false">
      <c r="A21" s="4" t="s">
        <v>260</v>
      </c>
      <c r="B21" s="4" t="s">
        <v>261</v>
      </c>
      <c r="C21" s="4" t="s">
        <v>628</v>
      </c>
      <c r="D21" s="4" t="s">
        <v>251</v>
      </c>
      <c r="E21" s="4" t="s">
        <v>210</v>
      </c>
      <c r="F21" s="4" t="s">
        <v>625</v>
      </c>
      <c r="G21" s="66" t="n">
        <v>2029.569</v>
      </c>
      <c r="H21" s="66" t="n">
        <v>1506.5</v>
      </c>
      <c r="I21" s="66" t="n">
        <v>170.144</v>
      </c>
      <c r="J21" s="67" t="n">
        <f aca="false">H21-I21</f>
        <v>1336.356</v>
      </c>
      <c r="K21" s="66" t="n">
        <v>1020.39</v>
      </c>
      <c r="L21" s="66" t="n">
        <v>6933.916</v>
      </c>
      <c r="M21" s="66" t="n">
        <v>3103.816</v>
      </c>
      <c r="N21" s="66" t="n">
        <v>0.082</v>
      </c>
      <c r="O21" s="66" t="n">
        <v>17073.6241</v>
      </c>
      <c r="P21" s="66" t="n">
        <v>28.42</v>
      </c>
      <c r="Q21" s="17" t="n">
        <v>0</v>
      </c>
      <c r="R21" s="4"/>
      <c r="S21" s="68" t="n">
        <f aca="false">Supuestos!$B$103</f>
        <v>178.644199109045</v>
      </c>
      <c r="T21" s="67" t="n">
        <f aca="false">O21+M21+N21</f>
        <v>20177.5221</v>
      </c>
    </row>
    <row r="22" customFormat="false" ht="15" hidden="false" customHeight="false" outlineLevel="0" collapsed="false">
      <c r="A22" s="4" t="s">
        <v>260</v>
      </c>
      <c r="B22" s="4" t="s">
        <v>261</v>
      </c>
      <c r="C22" s="4" t="s">
        <v>628</v>
      </c>
      <c r="D22" s="4" t="s">
        <v>251</v>
      </c>
      <c r="E22" s="4" t="s">
        <v>210</v>
      </c>
      <c r="F22" s="4" t="s">
        <v>395</v>
      </c>
      <c r="G22" s="66" t="n">
        <v>2544.789</v>
      </c>
      <c r="H22" s="66" t="n">
        <v>1848.038</v>
      </c>
      <c r="I22" s="66" t="n">
        <v>138.508</v>
      </c>
      <c r="J22" s="67" t="n">
        <f aca="false">H22-I22</f>
        <v>1709.53</v>
      </c>
      <c r="K22" s="66" t="n">
        <v>1340.814</v>
      </c>
      <c r="L22" s="66" t="n">
        <v>5645.519</v>
      </c>
      <c r="M22" s="66" t="n">
        <v>5416.57</v>
      </c>
      <c r="N22" s="66" t="n">
        <v>0.25</v>
      </c>
      <c r="O22" s="66" t="n">
        <v>10943.9708</v>
      </c>
      <c r="P22" s="66" t="n">
        <v>21.08</v>
      </c>
      <c r="Q22" s="17" t="n">
        <v>0</v>
      </c>
      <c r="R22" s="4"/>
      <c r="S22" s="68" t="n">
        <f aca="false">Supuestos!$B$103</f>
        <v>178.644199109045</v>
      </c>
      <c r="T22" s="67" t="n">
        <f aca="false">O22+M22+N22</f>
        <v>16360.7908</v>
      </c>
    </row>
    <row r="23" customFormat="false" ht="15" hidden="false" customHeight="false" outlineLevel="0" collapsed="false">
      <c r="A23" s="4" t="s">
        <v>260</v>
      </c>
      <c r="B23" s="4" t="s">
        <v>261</v>
      </c>
      <c r="C23" s="4" t="s">
        <v>628</v>
      </c>
      <c r="D23" s="4" t="s">
        <v>251</v>
      </c>
      <c r="E23" s="4" t="s">
        <v>210</v>
      </c>
      <c r="F23" s="4" t="s">
        <v>396</v>
      </c>
      <c r="G23" s="66" t="n">
        <v>2739.082</v>
      </c>
      <c r="H23" s="66" t="n">
        <v>2003.354</v>
      </c>
      <c r="I23" s="66" t="n">
        <v>137.757</v>
      </c>
      <c r="J23" s="67" t="n">
        <f aca="false">H23-I23</f>
        <v>1865.597</v>
      </c>
      <c r="K23" s="66" t="n">
        <v>1141.12</v>
      </c>
      <c r="L23" s="66" t="n">
        <v>6299.142</v>
      </c>
      <c r="M23" s="66" t="n">
        <v>5248.897</v>
      </c>
      <c r="N23" s="66" t="n">
        <v>0.237</v>
      </c>
      <c r="O23" s="66" t="n">
        <v>13983.7109</v>
      </c>
      <c r="P23" s="66" t="n">
        <v>27.25</v>
      </c>
      <c r="Q23" s="17" t="n">
        <v>0</v>
      </c>
      <c r="R23" s="4"/>
      <c r="S23" s="68" t="n">
        <f aca="false">Supuestos!$B$103</f>
        <v>178.644199109045</v>
      </c>
      <c r="T23" s="67" t="n">
        <f aca="false">O23+M23+N23</f>
        <v>19232.8449</v>
      </c>
    </row>
    <row r="24" customFormat="false" ht="15" hidden="false" customHeight="false" outlineLevel="0" collapsed="false">
      <c r="A24" s="4" t="s">
        <v>260</v>
      </c>
      <c r="B24" s="4" t="s">
        <v>261</v>
      </c>
      <c r="C24" s="4" t="s">
        <v>628</v>
      </c>
      <c r="D24" s="4" t="s">
        <v>251</v>
      </c>
      <c r="E24" s="4" t="s">
        <v>210</v>
      </c>
      <c r="F24" s="4" t="s">
        <v>627</v>
      </c>
      <c r="G24" s="66" t="n">
        <v>3193.165</v>
      </c>
      <c r="H24" s="66" t="n">
        <v>2358.297</v>
      </c>
      <c r="I24" s="66" t="n">
        <v>135.185</v>
      </c>
      <c r="J24" s="67" t="n">
        <f aca="false">H24-I24</f>
        <v>2223.112</v>
      </c>
      <c r="K24" s="66" t="n">
        <v>1386.266</v>
      </c>
      <c r="L24" s="66" t="n">
        <v>6755.752</v>
      </c>
      <c r="M24" s="66" t="n">
        <v>4976.278</v>
      </c>
      <c r="N24" s="66" t="n">
        <v>0.185</v>
      </c>
      <c r="O24" s="66" t="n">
        <v>16277.5526</v>
      </c>
      <c r="P24" s="66" t="n">
        <v>31.72</v>
      </c>
      <c r="Q24" s="17" t="n">
        <v>0</v>
      </c>
      <c r="R24" s="4"/>
      <c r="S24" s="68" t="n">
        <f aca="false">Supuestos!$B$103</f>
        <v>178.644199109045</v>
      </c>
      <c r="T24" s="67" t="n">
        <f aca="false">O24+M24+N24</f>
        <v>21254.0156</v>
      </c>
    </row>
    <row r="25" customFormat="false" ht="15" hidden="false" customHeight="false" outlineLevel="0" collapsed="false">
      <c r="A25" s="4" t="s">
        <v>249</v>
      </c>
      <c r="B25" s="4" t="s">
        <v>250</v>
      </c>
      <c r="C25" s="4" t="s">
        <v>628</v>
      </c>
      <c r="D25" s="4" t="s">
        <v>251</v>
      </c>
      <c r="E25" s="4" t="s">
        <v>210</v>
      </c>
      <c r="F25" s="4" t="s">
        <v>624</v>
      </c>
      <c r="G25" s="66" t="n">
        <v>1111.321</v>
      </c>
      <c r="H25" s="66" t="n">
        <v>816.975</v>
      </c>
      <c r="I25" s="66" t="n">
        <v>202.11</v>
      </c>
      <c r="J25" s="67" t="n">
        <f aca="false">H25-I25</f>
        <v>614.865</v>
      </c>
      <c r="K25" s="66" t="n">
        <v>155.875</v>
      </c>
      <c r="L25" s="66" t="n">
        <v>6805.618</v>
      </c>
      <c r="M25" s="66" t="n">
        <v>2968.103</v>
      </c>
      <c r="N25" s="66" t="n">
        <v>1071.413</v>
      </c>
      <c r="O25" s="66" t="n">
        <v>10077.9772</v>
      </c>
      <c r="P25" s="66" t="n">
        <v>17.01</v>
      </c>
      <c r="Q25" s="17" t="n">
        <v>0</v>
      </c>
      <c r="R25" s="4"/>
      <c r="S25" s="68" t="n">
        <f aca="false">Supuestos!$B$103</f>
        <v>178.644199109045</v>
      </c>
      <c r="T25" s="67" t="n">
        <f aca="false">O25+M25+N25</f>
        <v>14117.4932</v>
      </c>
    </row>
    <row r="26" customFormat="false" ht="15" hidden="false" customHeight="false" outlineLevel="0" collapsed="false">
      <c r="A26" s="4" t="s">
        <v>249</v>
      </c>
      <c r="B26" s="4" t="s">
        <v>250</v>
      </c>
      <c r="C26" s="4" t="s">
        <v>628</v>
      </c>
      <c r="D26" s="4" t="s">
        <v>251</v>
      </c>
      <c r="E26" s="4" t="s">
        <v>210</v>
      </c>
      <c r="F26" s="4" t="s">
        <v>625</v>
      </c>
      <c r="G26" s="66" t="n">
        <v>2804</v>
      </c>
      <c r="H26" s="66" t="n">
        <v>1941.141</v>
      </c>
      <c r="I26" s="66" t="n">
        <v>684.466</v>
      </c>
      <c r="J26" s="67" t="n">
        <f aca="false">H26-I26</f>
        <v>1256.675</v>
      </c>
      <c r="K26" s="66" t="n">
        <v>3386.958</v>
      </c>
      <c r="L26" s="66" t="n">
        <v>13997.882</v>
      </c>
      <c r="M26" s="66" t="n">
        <v>5632.802</v>
      </c>
      <c r="N26" s="66" t="n">
        <v>1106.85</v>
      </c>
      <c r="O26" s="66" t="n">
        <v>15238.0249</v>
      </c>
      <c r="P26" s="66" t="n">
        <v>26.55</v>
      </c>
      <c r="Q26" s="17" t="n">
        <v>1</v>
      </c>
      <c r="R26" s="4" t="s">
        <v>631</v>
      </c>
      <c r="S26" s="68" t="n">
        <f aca="false">Supuestos!$B$103</f>
        <v>178.644199109045</v>
      </c>
      <c r="T26" s="67" t="n">
        <f aca="false">O26+M26+N26</f>
        <v>21977.6769</v>
      </c>
    </row>
    <row r="27" customFormat="false" ht="15" hidden="false" customHeight="false" outlineLevel="0" collapsed="false">
      <c r="A27" s="4" t="s">
        <v>249</v>
      </c>
      <c r="B27" s="4" t="s">
        <v>250</v>
      </c>
      <c r="C27" s="4" t="s">
        <v>628</v>
      </c>
      <c r="D27" s="4" t="s">
        <v>251</v>
      </c>
      <c r="E27" s="4" t="s">
        <v>210</v>
      </c>
      <c r="F27" s="4" t="s">
        <v>395</v>
      </c>
      <c r="G27" s="66" t="n">
        <v>2797.254</v>
      </c>
      <c r="H27" s="66" t="n">
        <v>1996.151</v>
      </c>
      <c r="I27" s="66" t="n">
        <v>618.831</v>
      </c>
      <c r="J27" s="67" t="n">
        <f aca="false">H27-I27</f>
        <v>1377.32</v>
      </c>
      <c r="K27" s="66" t="n">
        <v>698.511</v>
      </c>
      <c r="L27" s="66" t="n">
        <v>13364.892</v>
      </c>
      <c r="M27" s="66" t="n">
        <v>6586.625</v>
      </c>
      <c r="N27" s="66" t="n">
        <v>769.628</v>
      </c>
      <c r="O27" s="66" t="n">
        <v>9832.5874</v>
      </c>
      <c r="P27" s="66" t="n">
        <v>18.11</v>
      </c>
      <c r="Q27" s="17" t="n">
        <v>0</v>
      </c>
      <c r="R27" s="4"/>
      <c r="S27" s="68" t="n">
        <f aca="false">Supuestos!$B$103</f>
        <v>178.644199109045</v>
      </c>
      <c r="T27" s="67" t="n">
        <f aca="false">O27+M27+N27</f>
        <v>17188.8404</v>
      </c>
    </row>
    <row r="28" customFormat="false" ht="15" hidden="false" customHeight="false" outlineLevel="0" collapsed="false">
      <c r="A28" s="4" t="s">
        <v>249</v>
      </c>
      <c r="B28" s="4" t="s">
        <v>250</v>
      </c>
      <c r="C28" s="4" t="s">
        <v>628</v>
      </c>
      <c r="D28" s="4" t="s">
        <v>251</v>
      </c>
      <c r="E28" s="4" t="s">
        <v>210</v>
      </c>
      <c r="F28" s="4" t="s">
        <v>396</v>
      </c>
      <c r="G28" s="66" t="n">
        <v>2899.583</v>
      </c>
      <c r="H28" s="66" t="n">
        <v>2067.985</v>
      </c>
      <c r="I28" s="66" t="n">
        <v>634.825</v>
      </c>
      <c r="J28" s="67" t="n">
        <f aca="false">H28-I28</f>
        <v>1433.16</v>
      </c>
      <c r="K28" s="66" t="n">
        <v>834.166</v>
      </c>
      <c r="L28" s="66" t="n">
        <v>13146.445</v>
      </c>
      <c r="M28" s="66" t="n">
        <v>5871.965</v>
      </c>
      <c r="N28" s="66" t="n">
        <v>752.561</v>
      </c>
      <c r="O28" s="66" t="n">
        <v>14303.8972</v>
      </c>
      <c r="P28" s="66" t="n">
        <v>28.37</v>
      </c>
      <c r="Q28" s="17" t="n">
        <v>0</v>
      </c>
      <c r="R28" s="4"/>
      <c r="S28" s="68" t="n">
        <f aca="false">Supuestos!$B$103</f>
        <v>178.644199109045</v>
      </c>
      <c r="T28" s="67" t="n">
        <f aca="false">O28+M28+N28</f>
        <v>20928.4232</v>
      </c>
    </row>
    <row r="29" customFormat="false" ht="15" hidden="false" customHeight="false" outlineLevel="0" collapsed="false">
      <c r="A29" s="4" t="s">
        <v>249</v>
      </c>
      <c r="B29" s="4" t="s">
        <v>250</v>
      </c>
      <c r="C29" s="4" t="s">
        <v>628</v>
      </c>
      <c r="D29" s="4" t="s">
        <v>251</v>
      </c>
      <c r="E29" s="4" t="s">
        <v>210</v>
      </c>
      <c r="F29" s="4" t="s">
        <v>627</v>
      </c>
      <c r="G29" s="66" t="n">
        <v>2938.453</v>
      </c>
      <c r="H29" s="66" t="n">
        <v>2176.61</v>
      </c>
      <c r="I29" s="66" t="n">
        <v>629.913</v>
      </c>
      <c r="J29" s="67" t="n">
        <f aca="false">H29-I29</f>
        <v>1546.697</v>
      </c>
      <c r="K29" s="66" t="n">
        <v>934.54</v>
      </c>
      <c r="L29" s="66" t="n">
        <v>12852.742</v>
      </c>
      <c r="M29" s="66" t="n">
        <v>6838.401</v>
      </c>
      <c r="N29" s="66" t="n">
        <v>96.219</v>
      </c>
      <c r="O29" s="66" t="n">
        <v>14868.591</v>
      </c>
      <c r="P29" s="66" t="n">
        <v>29.49</v>
      </c>
      <c r="Q29" s="17" t="n">
        <v>0</v>
      </c>
      <c r="R29" s="4"/>
      <c r="S29" s="68" t="n">
        <f aca="false">Supuestos!$B$103</f>
        <v>178.644199109045</v>
      </c>
      <c r="T29" s="67" t="n">
        <f aca="false">O29+M29+N29</f>
        <v>21803.211</v>
      </c>
    </row>
    <row r="30" customFormat="false" ht="15" hidden="false" customHeight="false" outlineLevel="0" collapsed="false">
      <c r="A30" s="4" t="s">
        <v>252</v>
      </c>
      <c r="B30" s="4" t="s">
        <v>253</v>
      </c>
      <c r="C30" s="4" t="s">
        <v>628</v>
      </c>
      <c r="D30" s="4" t="s">
        <v>251</v>
      </c>
      <c r="E30" s="4" t="s">
        <v>210</v>
      </c>
      <c r="F30" s="4" t="s">
        <v>624</v>
      </c>
      <c r="G30" s="66" t="n">
        <v>1016.341</v>
      </c>
      <c r="H30" s="66" t="n">
        <v>653.8</v>
      </c>
      <c r="I30" s="66" t="n">
        <v>159.03</v>
      </c>
      <c r="J30" s="67" t="n">
        <f aca="false">H30-I30</f>
        <v>494.77</v>
      </c>
      <c r="K30" s="66" t="n">
        <v>7.568</v>
      </c>
      <c r="L30" s="66" t="n">
        <v>4093.329</v>
      </c>
      <c r="M30" s="66" t="n">
        <v>1193.596</v>
      </c>
      <c r="N30" s="66" t="n">
        <v>14.359</v>
      </c>
      <c r="O30" s="66" t="n">
        <v>5667.3061</v>
      </c>
      <c r="P30" s="66" t="n">
        <v>18.5</v>
      </c>
      <c r="Q30" s="17" t="n">
        <v>0</v>
      </c>
      <c r="R30" s="4"/>
      <c r="S30" s="68" t="n">
        <f aca="false">Supuestos!$B$103</f>
        <v>178.644199109045</v>
      </c>
      <c r="T30" s="67" t="n">
        <f aca="false">O30+M30+N30</f>
        <v>6875.2611</v>
      </c>
    </row>
    <row r="31" customFormat="false" ht="15" hidden="false" customHeight="false" outlineLevel="0" collapsed="false">
      <c r="A31" s="4" t="s">
        <v>252</v>
      </c>
      <c r="B31" s="4" t="s">
        <v>253</v>
      </c>
      <c r="C31" s="4" t="s">
        <v>628</v>
      </c>
      <c r="D31" s="4" t="s">
        <v>251</v>
      </c>
      <c r="E31" s="4" t="s">
        <v>210</v>
      </c>
      <c r="F31" s="4" t="s">
        <v>625</v>
      </c>
      <c r="G31" s="66" t="n">
        <v>1157.163</v>
      </c>
      <c r="H31" s="66" t="n">
        <v>919.704</v>
      </c>
      <c r="I31" s="66" t="n">
        <v>174.376</v>
      </c>
      <c r="J31" s="67" t="n">
        <f aca="false">H31-I31</f>
        <v>745.328</v>
      </c>
      <c r="K31" s="66" t="n">
        <v>304.713</v>
      </c>
      <c r="L31" s="66" t="n">
        <v>4177.323</v>
      </c>
      <c r="M31" s="66" t="n">
        <v>1757.145</v>
      </c>
      <c r="N31" s="66" t="n">
        <v>0.195</v>
      </c>
      <c r="O31" s="66" t="n">
        <v>7059.6783</v>
      </c>
      <c r="P31" s="66" t="n">
        <v>24.38</v>
      </c>
      <c r="Q31" s="17" t="n">
        <v>0</v>
      </c>
      <c r="R31" s="4"/>
      <c r="S31" s="68" t="n">
        <f aca="false">Supuestos!$B$103</f>
        <v>178.644199109045</v>
      </c>
      <c r="T31" s="67" t="n">
        <f aca="false">O31+M31+N31</f>
        <v>8817.0183</v>
      </c>
    </row>
    <row r="32" customFormat="false" ht="15" hidden="false" customHeight="false" outlineLevel="0" collapsed="false">
      <c r="A32" s="4" t="s">
        <v>252</v>
      </c>
      <c r="B32" s="4" t="s">
        <v>253</v>
      </c>
      <c r="C32" s="4" t="s">
        <v>628</v>
      </c>
      <c r="D32" s="4" t="s">
        <v>251</v>
      </c>
      <c r="E32" s="4" t="s">
        <v>210</v>
      </c>
      <c r="F32" s="4" t="s">
        <v>395</v>
      </c>
      <c r="G32" s="66" t="n">
        <v>1236.345</v>
      </c>
      <c r="H32" s="66" t="n">
        <v>914.762</v>
      </c>
      <c r="I32" s="66" t="n">
        <v>190.255</v>
      </c>
      <c r="J32" s="67" t="n">
        <f aca="false">H32-I32</f>
        <v>724.507</v>
      </c>
      <c r="K32" s="66" t="n">
        <v>399.771</v>
      </c>
      <c r="L32" s="66" t="n">
        <v>4309.804</v>
      </c>
      <c r="M32" s="66" t="n">
        <v>1614.844</v>
      </c>
      <c r="N32" s="66" t="n">
        <v>0.216</v>
      </c>
      <c r="O32" s="66" t="n">
        <v>5071.0437</v>
      </c>
      <c r="P32" s="66" t="n">
        <v>17.27</v>
      </c>
      <c r="Q32" s="17" t="n">
        <v>0</v>
      </c>
      <c r="R32" s="4"/>
      <c r="S32" s="68" t="n">
        <f aca="false">Supuestos!$B$103</f>
        <v>178.644199109045</v>
      </c>
      <c r="T32" s="67" t="n">
        <f aca="false">O32+M32+N32</f>
        <v>6686.1037</v>
      </c>
    </row>
    <row r="33" customFormat="false" ht="15" hidden="false" customHeight="false" outlineLevel="0" collapsed="false">
      <c r="A33" s="4" t="s">
        <v>252</v>
      </c>
      <c r="B33" s="4" t="s">
        <v>253</v>
      </c>
      <c r="C33" s="4" t="s">
        <v>628</v>
      </c>
      <c r="D33" s="4" t="s">
        <v>251</v>
      </c>
      <c r="E33" s="4" t="s">
        <v>210</v>
      </c>
      <c r="F33" s="4" t="s">
        <v>396</v>
      </c>
      <c r="G33" s="66" t="n">
        <v>1486.833</v>
      </c>
      <c r="H33" s="66" t="n">
        <v>1029.691</v>
      </c>
      <c r="I33" s="66" t="n">
        <v>113.963</v>
      </c>
      <c r="J33" s="67" t="n">
        <f aca="false">H33-I33</f>
        <v>915.728</v>
      </c>
      <c r="K33" s="66" t="n">
        <v>582.46</v>
      </c>
      <c r="L33" s="66" t="n">
        <v>4651.644</v>
      </c>
      <c r="M33" s="66" t="n">
        <v>2210.196</v>
      </c>
      <c r="N33" s="66" t="n">
        <v>0.22</v>
      </c>
      <c r="O33" s="66" t="n">
        <v>7307.0208</v>
      </c>
      <c r="P33" s="66" t="n">
        <v>25.57</v>
      </c>
      <c r="Q33" s="17" t="n">
        <v>0</v>
      </c>
      <c r="R33" s="4" t="s">
        <v>632</v>
      </c>
      <c r="S33" s="68" t="n">
        <f aca="false">Supuestos!$B$103</f>
        <v>178.644199109045</v>
      </c>
      <c r="T33" s="67" t="n">
        <f aca="false">O33+M33+N33</f>
        <v>9517.4368</v>
      </c>
    </row>
    <row r="34" customFormat="false" ht="15" hidden="false" customHeight="false" outlineLevel="0" collapsed="false">
      <c r="A34" s="4" t="s">
        <v>252</v>
      </c>
      <c r="B34" s="4" t="s">
        <v>253</v>
      </c>
      <c r="C34" s="4" t="s">
        <v>628</v>
      </c>
      <c r="D34" s="4" t="s">
        <v>251</v>
      </c>
      <c r="E34" s="4" t="s">
        <v>210</v>
      </c>
      <c r="F34" s="4" t="s">
        <v>627</v>
      </c>
      <c r="G34" s="66" t="n">
        <v>1527.409</v>
      </c>
      <c r="H34" s="66" t="n">
        <v>1127.509</v>
      </c>
      <c r="I34" s="66" t="n">
        <v>129.784</v>
      </c>
      <c r="J34" s="67" t="n">
        <f aca="false">H34-I34</f>
        <v>997.725</v>
      </c>
      <c r="K34" s="66" t="n">
        <v>638.571</v>
      </c>
      <c r="L34" s="66" t="n">
        <v>4937.138</v>
      </c>
      <c r="M34" s="66" t="n">
        <v>2138.597</v>
      </c>
      <c r="N34" s="66" t="n">
        <v>0.218</v>
      </c>
      <c r="O34" s="66" t="n">
        <v>7731.5118</v>
      </c>
      <c r="P34" s="66" t="n">
        <v>27.02</v>
      </c>
      <c r="Q34" s="17" t="n">
        <v>0</v>
      </c>
      <c r="R34" s="4" t="s">
        <v>633</v>
      </c>
      <c r="S34" s="68" t="n">
        <f aca="false">Supuestos!$B$103</f>
        <v>178.644199109045</v>
      </c>
      <c r="T34" s="67" t="n">
        <f aca="false">O34+M34+N34</f>
        <v>9870.3268</v>
      </c>
    </row>
    <row r="35" customFormat="false" ht="15" hidden="false" customHeight="false" outlineLevel="0" collapsed="false">
      <c r="A35" s="4" t="s">
        <v>257</v>
      </c>
      <c r="B35" s="4" t="s">
        <v>258</v>
      </c>
      <c r="C35" s="4" t="s">
        <v>634</v>
      </c>
      <c r="D35" s="4" t="s">
        <v>259</v>
      </c>
      <c r="E35" s="4" t="s">
        <v>216</v>
      </c>
      <c r="F35" s="4" t="s">
        <v>635</v>
      </c>
      <c r="G35" s="66" t="n">
        <v>69299</v>
      </c>
      <c r="H35" s="66" t="n">
        <v>28988</v>
      </c>
      <c r="I35" s="66" t="n">
        <v>2007</v>
      </c>
      <c r="J35" s="67" t="n">
        <f aca="false">H35-I35</f>
        <v>26981</v>
      </c>
      <c r="K35" s="66" t="n">
        <v>74487</v>
      </c>
      <c r="L35" s="66" t="n">
        <v>342457</v>
      </c>
      <c r="M35" s="66" t="n">
        <v>136044</v>
      </c>
      <c r="N35" s="66" t="n">
        <v>23443</v>
      </c>
      <c r="O35" s="66" t="n">
        <v>74930.179</v>
      </c>
      <c r="P35" s="66" t="n">
        <v>97.185</v>
      </c>
      <c r="Q35" s="17" t="n">
        <v>0</v>
      </c>
      <c r="R35" s="4"/>
      <c r="S35" s="68" t="n">
        <f aca="false">Supuestos!$B$105</f>
        <v>0.622361673414305</v>
      </c>
      <c r="T35" s="67" t="n">
        <f aca="false">O35+M35+N35</f>
        <v>234417.179</v>
      </c>
    </row>
    <row r="36" customFormat="false" ht="15" hidden="false" customHeight="false" outlineLevel="0" collapsed="false">
      <c r="A36" s="4" t="s">
        <v>257</v>
      </c>
      <c r="B36" s="4" t="s">
        <v>258</v>
      </c>
      <c r="C36" s="4" t="s">
        <v>634</v>
      </c>
      <c r="D36" s="4" t="s">
        <v>259</v>
      </c>
      <c r="E36" s="4" t="s">
        <v>216</v>
      </c>
      <c r="F36" s="4" t="s">
        <v>636</v>
      </c>
      <c r="G36" s="66" t="n">
        <v>331721</v>
      </c>
      <c r="H36" s="66" t="n">
        <v>92531</v>
      </c>
      <c r="I36" s="66" t="n">
        <v>7056</v>
      </c>
      <c r="J36" s="67" t="n">
        <f aca="false">H36-I36</f>
        <v>85475</v>
      </c>
      <c r="K36" s="66" t="n">
        <v>213076</v>
      </c>
      <c r="L36" s="66" t="n">
        <v>1345130</v>
      </c>
      <c r="M36" s="66" t="n">
        <v>378401</v>
      </c>
      <c r="N36" s="66" t="n">
        <v>82965</v>
      </c>
      <c r="O36" s="66" t="n">
        <v>331336.4595</v>
      </c>
      <c r="P36" s="66" t="n">
        <v>433.728</v>
      </c>
      <c r="Q36" s="17" t="n">
        <v>0</v>
      </c>
      <c r="R36" s="4"/>
      <c r="S36" s="68" t="n">
        <f aca="false">Supuestos!$B$105</f>
        <v>0.622361673414305</v>
      </c>
      <c r="T36" s="67" t="n">
        <f aca="false">O36+M36+N36</f>
        <v>792702.4595</v>
      </c>
    </row>
    <row r="37" customFormat="false" ht="15" hidden="false" customHeight="false" outlineLevel="0" collapsed="false">
      <c r="A37" s="4" t="s">
        <v>257</v>
      </c>
      <c r="B37" s="4" t="s">
        <v>258</v>
      </c>
      <c r="C37" s="4" t="s">
        <v>634</v>
      </c>
      <c r="D37" s="4" t="s">
        <v>259</v>
      </c>
      <c r="E37" s="4" t="s">
        <v>216</v>
      </c>
      <c r="F37" s="4" t="s">
        <v>637</v>
      </c>
      <c r="G37" s="66" t="n">
        <v>458059</v>
      </c>
      <c r="H37" s="66" t="n">
        <v>232057</v>
      </c>
      <c r="I37" s="66" t="n">
        <v>9130</v>
      </c>
      <c r="J37" s="67" t="n">
        <f aca="false">H37-I37</f>
        <v>222927</v>
      </c>
      <c r="K37" s="66" t="n">
        <v>-25621</v>
      </c>
      <c r="L37" s="66" t="n">
        <v>1503846</v>
      </c>
      <c r="M37" s="66" t="n">
        <v>484504</v>
      </c>
      <c r="N37" s="66" t="n">
        <v>102883</v>
      </c>
      <c r="O37" s="66" t="n">
        <v>898977.277</v>
      </c>
      <c r="P37" s="66" t="n">
        <v>1178.315</v>
      </c>
      <c r="Q37" s="17" t="n">
        <v>0</v>
      </c>
      <c r="R37" s="4" t="s">
        <v>638</v>
      </c>
      <c r="S37" s="68" t="n">
        <f aca="false">Supuestos!$B$105</f>
        <v>0.622361673414305</v>
      </c>
      <c r="T37" s="67" t="n">
        <f aca="false">O37+M37+N37</f>
        <v>1486364.277</v>
      </c>
    </row>
    <row r="38" customFormat="false" ht="15" hidden="false" customHeight="false" outlineLevel="0" collapsed="false">
      <c r="A38" s="4" t="s">
        <v>257</v>
      </c>
      <c r="B38" s="4" t="s">
        <v>258</v>
      </c>
      <c r="C38" s="4" t="s">
        <v>634</v>
      </c>
      <c r="D38" s="4" t="s">
        <v>259</v>
      </c>
      <c r="E38" s="4" t="s">
        <v>216</v>
      </c>
      <c r="F38" s="4" t="s">
        <v>639</v>
      </c>
      <c r="G38" s="66" t="n">
        <v>626290</v>
      </c>
      <c r="H38" s="66" t="n">
        <v>252539</v>
      </c>
      <c r="I38" s="66" t="n">
        <v>14034</v>
      </c>
      <c r="J38" s="67" t="n">
        <f aca="false">H38-I38</f>
        <v>238505</v>
      </c>
      <c r="K38" s="66" t="n">
        <v>260661</v>
      </c>
      <c r="L38" s="66" t="n">
        <v>2107122</v>
      </c>
      <c r="M38" s="66" t="n">
        <v>632450</v>
      </c>
      <c r="N38" s="66" t="n">
        <v>125752</v>
      </c>
      <c r="O38" s="66" t="n">
        <v>1260881.973</v>
      </c>
      <c r="P38" s="66" t="n">
        <v>1685</v>
      </c>
      <c r="Q38" s="17" t="n">
        <v>0</v>
      </c>
      <c r="R38" s="4"/>
      <c r="S38" s="68" t="n">
        <f aca="false">Supuestos!$B$105</f>
        <v>0.622361673414305</v>
      </c>
      <c r="T38" s="67" t="n">
        <f aca="false">O38+M38+N38</f>
        <v>2019083.973</v>
      </c>
    </row>
    <row r="39" customFormat="false" ht="15" hidden="false" customHeight="false" outlineLevel="0" collapsed="false">
      <c r="A39" s="4" t="s">
        <v>257</v>
      </c>
      <c r="B39" s="4" t="s">
        <v>258</v>
      </c>
      <c r="C39" s="4" t="s">
        <v>634</v>
      </c>
      <c r="D39" s="4" t="s">
        <v>259</v>
      </c>
      <c r="E39" s="4" t="s">
        <v>216</v>
      </c>
      <c r="F39" s="4" t="s">
        <v>627</v>
      </c>
      <c r="G39" s="66" t="n">
        <v>657654</v>
      </c>
      <c r="H39" s="66" t="n">
        <v>234086.077785064</v>
      </c>
      <c r="I39" s="66" t="n">
        <v>16953.5830793859</v>
      </c>
      <c r="J39" s="67" t="n">
        <f aca="false">H39-I39</f>
        <v>217132.494705678</v>
      </c>
      <c r="K39" s="66" t="n">
        <v>393510</v>
      </c>
      <c r="L39" s="66" t="n">
        <v>2279754</v>
      </c>
      <c r="M39" s="66" t="n">
        <v>901783</v>
      </c>
      <c r="N39" s="66" t="n">
        <v>140656</v>
      </c>
      <c r="O39" s="66" t="n">
        <v>1832401.491</v>
      </c>
      <c r="P39" s="66" t="n">
        <v>2260</v>
      </c>
      <c r="Q39" s="17" t="n">
        <v>0</v>
      </c>
      <c r="R39" s="4" t="s">
        <v>640</v>
      </c>
      <c r="S39" s="68" t="n">
        <f aca="false">Supuestos!$B$105</f>
        <v>0.622361673414305</v>
      </c>
      <c r="T39" s="67" t="n">
        <f aca="false">O39+M39+N39</f>
        <v>2874840.491</v>
      </c>
    </row>
    <row r="40" customFormat="false" ht="15" hidden="false" customHeight="false" outlineLevel="0" collapsed="false">
      <c r="A40" s="4" t="s">
        <v>579</v>
      </c>
      <c r="B40" s="4" t="s">
        <v>641</v>
      </c>
      <c r="C40" s="4" t="s">
        <v>634</v>
      </c>
      <c r="D40" s="4" t="s">
        <v>256</v>
      </c>
      <c r="E40" s="4" t="s">
        <v>213</v>
      </c>
      <c r="F40" s="4" t="s">
        <v>624</v>
      </c>
      <c r="G40" s="66" t="n">
        <v>5513.075093</v>
      </c>
      <c r="H40" s="66" t="n">
        <v>3548.488</v>
      </c>
      <c r="I40" s="66" t="n">
        <v>17.399054</v>
      </c>
      <c r="J40" s="67" t="n">
        <f aca="false">H40-I40</f>
        <v>3531.088946</v>
      </c>
      <c r="K40" s="66" t="n">
        <v>2839.273649</v>
      </c>
      <c r="L40" s="66" t="n">
        <v>58859.10501</v>
      </c>
      <c r="M40" s="66" t="n">
        <v>5777.214826</v>
      </c>
      <c r="N40" s="66" t="n">
        <v>2514.053494</v>
      </c>
      <c r="O40" s="66" t="n">
        <v>35837.309</v>
      </c>
      <c r="P40" s="66" t="n">
        <v>23.4</v>
      </c>
      <c r="Q40" s="17" t="n">
        <v>0</v>
      </c>
      <c r="R40" s="4"/>
      <c r="S40" s="68" t="n">
        <f aca="false">Supuestos!$B$104</f>
        <v>52.7093596059113</v>
      </c>
      <c r="T40" s="67" t="n">
        <f aca="false">O40+M40+N40</f>
        <v>44128.57732</v>
      </c>
    </row>
    <row r="41" customFormat="false" ht="15" hidden="false" customHeight="false" outlineLevel="0" collapsed="false">
      <c r="A41" s="4" t="s">
        <v>579</v>
      </c>
      <c r="B41" s="4" t="s">
        <v>641</v>
      </c>
      <c r="C41" s="4" t="s">
        <v>634</v>
      </c>
      <c r="D41" s="4" t="s">
        <v>256</v>
      </c>
      <c r="E41" s="4" t="s">
        <v>213</v>
      </c>
      <c r="F41" s="4" t="s">
        <v>625</v>
      </c>
      <c r="G41" s="66" t="n">
        <v>6188.989063</v>
      </c>
      <c r="H41" s="66" t="n">
        <v>3946.793719</v>
      </c>
      <c r="I41" s="66" t="n">
        <v>16.68704</v>
      </c>
      <c r="J41" s="67" t="n">
        <f aca="false">H41-I41</f>
        <v>3930.106679</v>
      </c>
      <c r="K41" s="66" t="n">
        <v>3309.20402</v>
      </c>
      <c r="L41" s="66" t="n">
        <v>59273.71025</v>
      </c>
      <c r="M41" s="66" t="n">
        <v>7103.915032</v>
      </c>
      <c r="N41" s="66" t="n">
        <v>2779.691784</v>
      </c>
      <c r="O41" s="66" t="n">
        <v>32666.0343</v>
      </c>
      <c r="P41" s="66" t="n">
        <v>20.96</v>
      </c>
      <c r="Q41" s="17" t="n">
        <v>0</v>
      </c>
      <c r="R41" s="4"/>
      <c r="S41" s="68" t="n">
        <f aca="false">Supuestos!$B$104</f>
        <v>52.7093596059113</v>
      </c>
      <c r="T41" s="67" t="n">
        <f aca="false">O41+M41+N41</f>
        <v>42549.641116</v>
      </c>
    </row>
    <row r="42" customFormat="false" ht="15" hidden="false" customHeight="false" outlineLevel="0" collapsed="false">
      <c r="A42" s="4" t="s">
        <v>579</v>
      </c>
      <c r="B42" s="4" t="s">
        <v>641</v>
      </c>
      <c r="C42" s="4" t="s">
        <v>634</v>
      </c>
      <c r="D42" s="4" t="s">
        <v>256</v>
      </c>
      <c r="E42" s="4" t="s">
        <v>213</v>
      </c>
      <c r="F42" s="4" t="s">
        <v>395</v>
      </c>
      <c r="G42" s="66" t="n">
        <v>6774.648773</v>
      </c>
      <c r="H42" s="66" t="n">
        <v>4404.979918</v>
      </c>
      <c r="I42" s="66" t="n">
        <v>12.314015</v>
      </c>
      <c r="J42" s="67" t="n">
        <f aca="false">H42-I42</f>
        <v>4392.665903</v>
      </c>
      <c r="K42" s="66" t="n">
        <v>4201.211086</v>
      </c>
      <c r="L42" s="66" t="n">
        <v>61136.362</v>
      </c>
      <c r="M42" s="66" t="n">
        <v>8959.336</v>
      </c>
      <c r="N42" s="66" t="n">
        <v>2694.196</v>
      </c>
      <c r="O42" s="66" t="n">
        <v>31741.1254</v>
      </c>
      <c r="P42" s="66" t="n">
        <v>20.06</v>
      </c>
      <c r="Q42" s="17" t="n">
        <v>0</v>
      </c>
      <c r="R42" s="4"/>
      <c r="S42" s="68" t="n">
        <f aca="false">Supuestos!$B$104</f>
        <v>52.7093596059113</v>
      </c>
      <c r="T42" s="67" t="n">
        <f aca="false">O42+M42+N42</f>
        <v>43394.6574</v>
      </c>
    </row>
    <row r="43" customFormat="false" ht="15" hidden="false" customHeight="false" outlineLevel="0" collapsed="false">
      <c r="A43" s="4" t="s">
        <v>579</v>
      </c>
      <c r="B43" s="4" t="s">
        <v>641</v>
      </c>
      <c r="C43" s="4" t="s">
        <v>634</v>
      </c>
      <c r="D43" s="4" t="s">
        <v>256</v>
      </c>
      <c r="E43" s="4" t="s">
        <v>213</v>
      </c>
      <c r="F43" s="4" t="s">
        <v>396</v>
      </c>
      <c r="G43" s="66" t="n">
        <v>7576.427586</v>
      </c>
      <c r="H43" s="66" t="n">
        <v>5024.111421</v>
      </c>
      <c r="I43" s="66" t="n">
        <v>13.044624</v>
      </c>
      <c r="J43" s="67" t="n">
        <f aca="false">H43-I43</f>
        <v>5011.066797</v>
      </c>
      <c r="K43" s="66" t="n">
        <v>5033.094732</v>
      </c>
      <c r="L43" s="66" t="n">
        <v>63801.62915</v>
      </c>
      <c r="M43" s="66" t="n">
        <v>10355.72216</v>
      </c>
      <c r="N43" s="66" t="n">
        <v>2856.829912</v>
      </c>
      <c r="O43" s="66" t="n">
        <v>45010.3081</v>
      </c>
      <c r="P43" s="66" t="n">
        <v>28.06</v>
      </c>
      <c r="Q43" s="17" t="n">
        <v>0</v>
      </c>
      <c r="R43" s="4"/>
      <c r="S43" s="68" t="n">
        <f aca="false">Supuestos!$B$104</f>
        <v>52.7093596059113</v>
      </c>
      <c r="T43" s="67" t="n">
        <f aca="false">O43+M43+N43</f>
        <v>58222.860172</v>
      </c>
    </row>
    <row r="44" customFormat="false" ht="15" hidden="false" customHeight="false" outlineLevel="0" collapsed="false">
      <c r="A44" s="4" t="s">
        <v>579</v>
      </c>
      <c r="B44" s="4" t="s">
        <v>641</v>
      </c>
      <c r="C44" s="4" t="s">
        <v>634</v>
      </c>
      <c r="D44" s="4" t="s">
        <v>256</v>
      </c>
      <c r="E44" s="4" t="s">
        <v>213</v>
      </c>
      <c r="F44" s="4" t="s">
        <v>627</v>
      </c>
      <c r="G44" s="66" t="n">
        <v>7919.117418</v>
      </c>
      <c r="H44" s="66" t="n">
        <v>5267.092213</v>
      </c>
      <c r="I44" s="66" t="n">
        <v>13.271624</v>
      </c>
      <c r="J44" s="67" t="n">
        <f aca="false">H44-I44</f>
        <v>5253.820589</v>
      </c>
      <c r="K44" s="66" t="n">
        <v>5720.845732</v>
      </c>
      <c r="L44" s="66" t="n">
        <v>65366.324</v>
      </c>
      <c r="M44" s="66" t="n">
        <v>11724.738</v>
      </c>
      <c r="N44" s="66" t="n">
        <v>2958.505</v>
      </c>
      <c r="O44" s="66" t="n">
        <v>45229.1479</v>
      </c>
      <c r="P44" s="66" t="n">
        <v>27.94</v>
      </c>
      <c r="Q44" s="17" t="n">
        <v>0</v>
      </c>
      <c r="R44" s="4"/>
      <c r="S44" s="68" t="n">
        <f aca="false">Supuestos!$B$104</f>
        <v>52.7093596059113</v>
      </c>
      <c r="T44" s="67" t="n">
        <f aca="false">O44+M44+N44</f>
        <v>59912.3909</v>
      </c>
    </row>
    <row r="46" customFormat="false" ht="15" hidden="false" customHeight="false" outlineLevel="0" collapsed="false">
      <c r="A46" s="3" t="s">
        <v>642</v>
      </c>
    </row>
    <row r="47" customFormat="false" ht="15" hidden="false" customHeight="false" outlineLevel="0" collapsed="false">
      <c r="A47" s="11" t="s">
        <v>234</v>
      </c>
      <c r="B47" s="11" t="s">
        <v>235</v>
      </c>
      <c r="C47" s="11" t="s">
        <v>610</v>
      </c>
      <c r="D47" s="11" t="s">
        <v>236</v>
      </c>
      <c r="E47" s="11" t="s">
        <v>611</v>
      </c>
      <c r="F47" s="11" t="s">
        <v>612</v>
      </c>
      <c r="G47" s="11" t="s">
        <v>643</v>
      </c>
      <c r="H47" s="11" t="s">
        <v>561</v>
      </c>
      <c r="I47" s="11" t="s">
        <v>644</v>
      </c>
      <c r="J47" s="11" t="s">
        <v>645</v>
      </c>
      <c r="K47" s="11" t="s">
        <v>646</v>
      </c>
      <c r="L47" s="11"/>
      <c r="M47" s="11"/>
      <c r="N47" s="11"/>
      <c r="O47" s="11"/>
      <c r="P47" s="11"/>
      <c r="Q47" s="11"/>
      <c r="R47" s="11" t="s">
        <v>620</v>
      </c>
      <c r="S47" s="11" t="s">
        <v>621</v>
      </c>
    </row>
    <row r="48" customFormat="false" ht="15" hidden="false" customHeight="false" outlineLevel="0" collapsed="false">
      <c r="A48" s="4" t="s">
        <v>577</v>
      </c>
      <c r="B48" s="4" t="s">
        <v>623</v>
      </c>
      <c r="C48" s="4" t="s">
        <v>578</v>
      </c>
      <c r="D48" s="4" t="s">
        <v>246</v>
      </c>
      <c r="E48" s="4" t="s">
        <v>41</v>
      </c>
      <c r="F48" s="4" t="s">
        <v>647</v>
      </c>
      <c r="G48" s="66" t="n">
        <v>758569.5251</v>
      </c>
      <c r="H48" s="66" t="n">
        <v>617130.3379</v>
      </c>
      <c r="I48" s="66" t="n">
        <v>611889.8174</v>
      </c>
      <c r="J48" s="66" t="n">
        <v>488981.2456</v>
      </c>
      <c r="K48" s="17" t="n">
        <v>13</v>
      </c>
      <c r="R48" s="4"/>
      <c r="S48" s="68" t="n">
        <f aca="false">Supuestos!$B$101</f>
        <v>1</v>
      </c>
    </row>
    <row r="49" customFormat="false" ht="15" hidden="false" customHeight="false" outlineLevel="0" collapsed="false">
      <c r="A49" s="4" t="s">
        <v>244</v>
      </c>
      <c r="B49" s="4" t="s">
        <v>245</v>
      </c>
      <c r="C49" s="4" t="s">
        <v>628</v>
      </c>
      <c r="D49" s="4" t="s">
        <v>246</v>
      </c>
      <c r="E49" s="4" t="s">
        <v>41</v>
      </c>
      <c r="F49" s="4" t="s">
        <v>647</v>
      </c>
      <c r="G49" s="66" t="n">
        <v>475685.589</v>
      </c>
      <c r="H49" s="66" t="n">
        <v>342581.9503</v>
      </c>
      <c r="I49" s="66" t="n">
        <v>347536.9589</v>
      </c>
      <c r="J49" s="66" t="n">
        <v>166719.8491</v>
      </c>
      <c r="K49" s="17" t="n">
        <v>13</v>
      </c>
      <c r="R49" s="4" t="s">
        <v>648</v>
      </c>
      <c r="S49" s="68" t="n">
        <f aca="false">Supuestos!$B$101</f>
        <v>1</v>
      </c>
    </row>
    <row r="50" customFormat="false" ht="15" hidden="false" customHeight="false" outlineLevel="0" collapsed="false">
      <c r="A50" s="4" t="s">
        <v>247</v>
      </c>
      <c r="B50" s="4" t="s">
        <v>248</v>
      </c>
      <c r="C50" s="4" t="s">
        <v>628</v>
      </c>
      <c r="D50" s="4" t="s">
        <v>246</v>
      </c>
      <c r="E50" s="4" t="s">
        <v>41</v>
      </c>
      <c r="F50" s="4" t="s">
        <v>647</v>
      </c>
      <c r="G50" s="66" t="n">
        <v>436396.6493</v>
      </c>
      <c r="H50" s="66" t="n">
        <v>392093.8</v>
      </c>
      <c r="I50" s="66" t="n">
        <v>395608.2021</v>
      </c>
      <c r="J50" s="66" t="n">
        <v>278140.7303</v>
      </c>
      <c r="K50" s="17" t="n">
        <v>11</v>
      </c>
      <c r="R50" s="4" t="s">
        <v>648</v>
      </c>
      <c r="S50" s="68" t="n">
        <f aca="false">Supuestos!$B$101</f>
        <v>1</v>
      </c>
    </row>
    <row r="51" customFormat="false" ht="15" hidden="false" customHeight="false" outlineLevel="0" collapsed="false">
      <c r="A51" s="4" t="s">
        <v>260</v>
      </c>
      <c r="B51" s="4" t="s">
        <v>261</v>
      </c>
      <c r="C51" s="4" t="s">
        <v>628</v>
      </c>
      <c r="D51" s="4" t="s">
        <v>251</v>
      </c>
      <c r="E51" s="4" t="s">
        <v>210</v>
      </c>
      <c r="F51" s="4" t="s">
        <v>647</v>
      </c>
      <c r="G51" s="66" t="n">
        <v>2802.804483</v>
      </c>
      <c r="H51" s="66" t="n">
        <v>2109.070776</v>
      </c>
      <c r="I51" s="66" t="n">
        <v>1967.476961</v>
      </c>
      <c r="J51" s="66" t="n">
        <v>1291.497506</v>
      </c>
      <c r="K51" s="17" t="n">
        <v>15</v>
      </c>
      <c r="R51" s="4"/>
      <c r="S51" s="68" t="n">
        <f aca="false">Supuestos!$B$103</f>
        <v>178.644199109045</v>
      </c>
    </row>
    <row r="52" customFormat="false" ht="15" hidden="false" customHeight="false" outlineLevel="0" collapsed="false">
      <c r="A52" s="4" t="s">
        <v>249</v>
      </c>
      <c r="B52" s="4" t="s">
        <v>250</v>
      </c>
      <c r="C52" s="4" t="s">
        <v>628</v>
      </c>
      <c r="D52" s="4" t="s">
        <v>251</v>
      </c>
      <c r="E52" s="4" t="s">
        <v>210</v>
      </c>
      <c r="F52" s="4" t="s">
        <v>647</v>
      </c>
      <c r="G52" s="66" t="n">
        <v>3116.17637</v>
      </c>
      <c r="H52" s="66" t="n">
        <v>2315.443836</v>
      </c>
      <c r="I52" s="66" t="n">
        <v>1723.195205</v>
      </c>
      <c r="J52" s="66" t="n">
        <v>949.7683602</v>
      </c>
      <c r="K52" s="17" t="n">
        <v>14</v>
      </c>
      <c r="R52" s="4"/>
      <c r="S52" s="68" t="n">
        <f aca="false">Supuestos!$B$103</f>
        <v>178.644199109045</v>
      </c>
    </row>
    <row r="53" customFormat="false" ht="15" hidden="false" customHeight="false" outlineLevel="0" collapsed="false">
      <c r="A53" s="4" t="s">
        <v>252</v>
      </c>
      <c r="B53" s="4" t="s">
        <v>253</v>
      </c>
      <c r="C53" s="4" t="s">
        <v>628</v>
      </c>
      <c r="D53" s="4" t="s">
        <v>251</v>
      </c>
      <c r="E53" s="4" t="s">
        <v>210</v>
      </c>
      <c r="F53" s="4" t="s">
        <v>647</v>
      </c>
      <c r="G53" s="66" t="n">
        <v>1781.472603</v>
      </c>
      <c r="H53" s="66" t="n">
        <v>1333.787671</v>
      </c>
      <c r="I53" s="66" t="n">
        <v>1112.771689</v>
      </c>
      <c r="J53" s="66" t="n">
        <v>649.873092</v>
      </c>
      <c r="K53" s="17" t="n">
        <v>13</v>
      </c>
      <c r="R53" s="4"/>
      <c r="S53" s="68" t="n">
        <f aca="false">Supuestos!$B$103</f>
        <v>178.644199109045</v>
      </c>
    </row>
    <row r="54" customFormat="false" ht="15" hidden="false" customHeight="false" outlineLevel="0" collapsed="false">
      <c r="A54" s="4" t="s">
        <v>257</v>
      </c>
      <c r="B54" s="4" t="s">
        <v>258</v>
      </c>
      <c r="C54" s="4" t="s">
        <v>634</v>
      </c>
      <c r="D54" s="4" t="s">
        <v>259</v>
      </c>
      <c r="E54" s="4" t="s">
        <v>216</v>
      </c>
      <c r="F54" s="4" t="s">
        <v>647</v>
      </c>
      <c r="G54" s="66" t="n">
        <v>708864.6243</v>
      </c>
      <c r="H54" s="66" t="n">
        <v>460784.7301</v>
      </c>
      <c r="I54" s="66" t="n">
        <v>444193.9164</v>
      </c>
      <c r="J54" s="66" t="n">
        <v>199514.5402</v>
      </c>
      <c r="K54" s="17" t="n">
        <v>1</v>
      </c>
      <c r="R54" s="4" t="s">
        <v>649</v>
      </c>
      <c r="S54" s="68" t="n">
        <f aca="false">Supuestos!$B$105</f>
        <v>0.622361673414305</v>
      </c>
    </row>
    <row r="55" customFormat="false" ht="15" hidden="false" customHeight="false" outlineLevel="0" collapsed="false">
      <c r="A55" s="4" t="s">
        <v>579</v>
      </c>
      <c r="B55" s="4" t="s">
        <v>641</v>
      </c>
      <c r="C55" s="4" t="s">
        <v>634</v>
      </c>
      <c r="D55" s="4" t="s">
        <v>256</v>
      </c>
      <c r="E55" s="4" t="s">
        <v>213</v>
      </c>
      <c r="F55" s="4" t="s">
        <v>647</v>
      </c>
      <c r="G55" s="66" t="n">
        <v>8336.520548</v>
      </c>
      <c r="H55" s="66" t="n">
        <v>5945.221461</v>
      </c>
      <c r="I55" s="66" t="n">
        <v>5956.345205</v>
      </c>
      <c r="J55" s="66" t="n">
        <v>5316.659004</v>
      </c>
      <c r="K55" s="17" t="n">
        <v>9</v>
      </c>
      <c r="R55" s="4" t="s">
        <v>648</v>
      </c>
      <c r="S55" s="68" t="n">
        <f aca="false">Supuestos!$B$104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0"/>
  </cols>
  <sheetData>
    <row r="1" customFormat="false" ht="15.75" hidden="false" customHeight="true" outlineLevel="0" collapsed="false">
      <c r="A1" s="1" t="s">
        <v>650</v>
      </c>
    </row>
    <row r="3" customFormat="false" ht="25.5" hidden="false" customHeight="true" outlineLevel="0" collapsed="false">
      <c r="A3" s="69" t="s">
        <v>365</v>
      </c>
      <c r="B3" s="70" t="s">
        <v>651</v>
      </c>
    </row>
    <row r="4" customFormat="false" ht="38.25" hidden="false" customHeight="true" outlineLevel="0" collapsed="false">
      <c r="A4" s="69" t="s">
        <v>652</v>
      </c>
      <c r="B4" s="70" t="s">
        <v>653</v>
      </c>
    </row>
    <row r="5" customFormat="false" ht="25.5" hidden="false" customHeight="true" outlineLevel="0" collapsed="false">
      <c r="A5" s="69" t="s">
        <v>654</v>
      </c>
      <c r="B5" s="70" t="s">
        <v>655</v>
      </c>
    </row>
    <row r="6" customFormat="false" ht="15" hidden="false" customHeight="false" outlineLevel="0" collapsed="false">
      <c r="A6" s="69" t="s">
        <v>656</v>
      </c>
      <c r="B6" s="70" t="s">
        <v>657</v>
      </c>
    </row>
    <row r="7" customFormat="false" ht="25.5" hidden="false" customHeight="true" outlineLevel="0" collapsed="false">
      <c r="A7" s="69" t="s">
        <v>627</v>
      </c>
      <c r="B7" s="70" t="s">
        <v>658</v>
      </c>
    </row>
    <row r="8" customFormat="false" ht="25.5" hidden="false" customHeight="true" outlineLevel="0" collapsed="false">
      <c r="A8" s="69" t="s">
        <v>647</v>
      </c>
      <c r="B8" s="70" t="s">
        <v>659</v>
      </c>
    </row>
    <row r="9" customFormat="false" ht="15" hidden="false" customHeight="false" outlineLevel="0" collapsed="false">
      <c r="A9" s="69" t="s">
        <v>611</v>
      </c>
      <c r="B9" s="70" t="s">
        <v>660</v>
      </c>
    </row>
    <row r="10" customFormat="false" ht="15" hidden="false" customHeight="false" outlineLevel="0" collapsed="false">
      <c r="A10" s="69" t="s">
        <v>661</v>
      </c>
      <c r="B10" s="70" t="s">
        <v>662</v>
      </c>
    </row>
    <row r="11" customFormat="false" ht="15" hidden="false" customHeight="false" outlineLevel="0" collapsed="false">
      <c r="A11" s="69" t="s">
        <v>257</v>
      </c>
      <c r="B11" s="70" t="s">
        <v>663</v>
      </c>
    </row>
    <row r="12" customFormat="false" ht="15" hidden="false" customHeight="false" outlineLevel="0" collapsed="false">
      <c r="A12" s="69" t="s">
        <v>664</v>
      </c>
      <c r="B12" s="70" t="s">
        <v>665</v>
      </c>
    </row>
    <row r="13" customFormat="false" ht="25.5" hidden="false" customHeight="true" outlineLevel="0" collapsed="false">
      <c r="A13" s="69" t="s">
        <v>666</v>
      </c>
      <c r="B13" s="70" t="s">
        <v>667</v>
      </c>
    </row>
    <row r="14" customFormat="false" ht="25.5" hidden="false" customHeight="true" outlineLevel="0" collapsed="false">
      <c r="A14" s="69" t="s">
        <v>668</v>
      </c>
      <c r="B14" s="70" t="s">
        <v>669</v>
      </c>
    </row>
    <row r="15" customFormat="false" ht="15" hidden="false" customHeight="false" outlineLevel="0" collapsed="false">
      <c r="A15" s="69" t="s">
        <v>670</v>
      </c>
      <c r="B15" s="70" t="s">
        <v>671</v>
      </c>
    </row>
    <row r="16" customFormat="false" ht="15" hidden="false" customHeight="false" outlineLevel="0" collapsed="false">
      <c r="A16" s="69" t="s">
        <v>672</v>
      </c>
      <c r="B16" s="70" t="s">
        <v>673</v>
      </c>
    </row>
    <row r="17" customFormat="false" ht="15" hidden="false" customHeight="false" outlineLevel="0" collapsed="false">
      <c r="A17" s="69" t="s">
        <v>674</v>
      </c>
      <c r="B17" s="70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"/>
    <col collapsed="false" customWidth="true" hidden="false" outlineLevel="0" max="8" min="3" style="0" width="12"/>
  </cols>
  <sheetData>
    <row r="1" customFormat="false" ht="16.15" hidden="false" customHeight="false" outlineLevel="0" collapsed="false">
      <c r="A1" s="71" t="s">
        <v>676</v>
      </c>
      <c r="B1" s="10" t="s">
        <v>677</v>
      </c>
    </row>
    <row r="2" customFormat="false" ht="15" hidden="false" customHeight="false" outlineLevel="0" collapsed="false">
      <c r="A2" s="0" t="s">
        <v>678</v>
      </c>
    </row>
    <row r="4" customFormat="false" ht="15" hidden="false" customHeight="false" outlineLevel="0" collapsed="false">
      <c r="A4" s="0" t="s">
        <v>679</v>
      </c>
      <c r="C4" s="72" t="n">
        <v>0.0757262944</v>
      </c>
      <c r="D4" s="73" t="s">
        <v>680</v>
      </c>
    </row>
    <row r="5" customFormat="false" ht="15" hidden="false" customHeight="false" outlineLevel="0" collapsed="false">
      <c r="A5" s="0" t="s">
        <v>681</v>
      </c>
      <c r="C5" s="74" t="n">
        <f aca="false">(1+C4)/(1+Supuestos!$B$34)-1</f>
        <v>0.0443944605825242</v>
      </c>
    </row>
    <row r="6" customFormat="false" ht="15" hidden="false" customHeight="false" outlineLevel="0" collapsed="false">
      <c r="A6" s="0" t="s">
        <v>682</v>
      </c>
      <c r="C6" s="74" t="n">
        <f aca="false">WACC!I44</f>
        <v>0.0719794829282607</v>
      </c>
    </row>
    <row r="7" customFormat="false" ht="15" hidden="false" customHeight="false" outlineLevel="0" collapsed="false">
      <c r="A7" s="0" t="s">
        <v>683</v>
      </c>
      <c r="C7" s="75" t="n">
        <f aca="false">(C5-C6)*10000</f>
        <v>-275.850223457366</v>
      </c>
    </row>
    <row r="9" customFormat="false" ht="15" hidden="false" customHeight="false" outlineLevel="0" collapsed="false">
      <c r="A9" s="76" t="s">
        <v>48</v>
      </c>
      <c r="B9" s="76"/>
      <c r="C9" s="76" t="s">
        <v>280</v>
      </c>
      <c r="D9" s="76" t="s">
        <v>281</v>
      </c>
      <c r="E9" s="76" t="s">
        <v>282</v>
      </c>
      <c r="F9" s="76" t="s">
        <v>283</v>
      </c>
      <c r="G9" s="76" t="s">
        <v>284</v>
      </c>
      <c r="H9" s="76" t="s">
        <v>285</v>
      </c>
    </row>
    <row r="10" customFormat="false" ht="15" hidden="false" customHeight="false" outlineLevel="0" collapsed="false">
      <c r="A10" s="0" t="s">
        <v>684</v>
      </c>
      <c r="C10" s="77" t="n">
        <f aca="false">DCF!C22</f>
        <v>113425.715768245</v>
      </c>
      <c r="D10" s="77" t="n">
        <f aca="false">DCF!D22</f>
        <v>199440.442268561</v>
      </c>
      <c r="E10" s="77" t="n">
        <f aca="false">DCF!E22</f>
        <v>259687.719258378</v>
      </c>
      <c r="F10" s="77" t="n">
        <f aca="false">DCF!F22</f>
        <v>375320.615932717</v>
      </c>
      <c r="G10" s="77" t="n">
        <f aca="false">DCF!G22</f>
        <v>377068.219372121</v>
      </c>
      <c r="H10" s="77" t="n">
        <f aca="false">DCF!H22</f>
        <v>398715.503513791</v>
      </c>
    </row>
    <row r="11" customFormat="false" ht="15" hidden="false" customHeight="false" outlineLevel="0" collapsed="false">
      <c r="A11" s="0" t="s">
        <v>685</v>
      </c>
      <c r="C11" s="78" t="n">
        <f aca="false">DCF!C26</f>
        <v>0.5</v>
      </c>
      <c r="D11" s="78" t="n">
        <f aca="false">DCF!D26</f>
        <v>1</v>
      </c>
      <c r="E11" s="78" t="n">
        <f aca="false">DCF!E26</f>
        <v>1</v>
      </c>
      <c r="F11" s="78" t="n">
        <f aca="false">DCF!F26</f>
        <v>1</v>
      </c>
      <c r="G11" s="78" t="n">
        <f aca="false">DCF!G26</f>
        <v>1</v>
      </c>
      <c r="H11" s="78" t="n">
        <f aca="false">DCF!H26</f>
        <v>1</v>
      </c>
    </row>
    <row r="12" customFormat="false" ht="15" hidden="false" customHeight="false" outlineLevel="0" collapsed="false">
      <c r="A12" s="0" t="s">
        <v>686</v>
      </c>
      <c r="C12" s="79" t="n">
        <f aca="false">1*(1+$C$4)^-C11</f>
        <v>0.964159995147078</v>
      </c>
      <c r="D12" s="79" t="n">
        <f aca="false">C12*(1+$C$4)^-D11</f>
        <v>0.896287466585402</v>
      </c>
      <c r="E12" s="79" t="n">
        <f aca="false">D12*(1+$C$4)^-E11</f>
        <v>0.833192858863153</v>
      </c>
      <c r="F12" s="79" t="n">
        <f aca="false">E12*(1+$C$4)^-F11</f>
        <v>0.774539827835925</v>
      </c>
      <c r="G12" s="79" t="n">
        <f aca="false">F12*(1+$C$4)^-G11</f>
        <v>0.720015706474791</v>
      </c>
      <c r="H12" s="79" t="n">
        <f aca="false">G12*(1+$C$4)^-H11</f>
        <v>0.669329838103835</v>
      </c>
    </row>
    <row r="13" customFormat="false" ht="15" hidden="false" customHeight="false" outlineLevel="0" collapsed="false">
      <c r="A13" s="0" t="s">
        <v>687</v>
      </c>
      <c r="C13" s="79" t="n">
        <f aca="false">1*(1+$C$4)^-(C11/2)</f>
        <v>0.981916490923275</v>
      </c>
      <c r="D13" s="79" t="n">
        <f aca="false">C12*(1+$C$4)^-(D11/2)</f>
        <v>0.929604496242014</v>
      </c>
      <c r="E13" s="79" t="n">
        <f aca="false">D12*(1+$C$4)^-(E11/2)</f>
        <v>0.864164519433368</v>
      </c>
      <c r="F13" s="79" t="n">
        <f aca="false">E12*(1+$C$4)^-(F11/2)</f>
        <v>0.803331222758078</v>
      </c>
      <c r="G13" s="79" t="n">
        <f aca="false">F12*(1+$C$4)^-(G11/2)</f>
        <v>0.746780316647504</v>
      </c>
      <c r="H13" s="79" t="n">
        <f aca="false">G12*(1+$C$4)^-(H11/2)</f>
        <v>0.694210340060554</v>
      </c>
    </row>
    <row r="14" customFormat="false" ht="15" hidden="false" customHeight="false" outlineLevel="0" collapsed="false">
      <c r="A14" s="0" t="s">
        <v>688</v>
      </c>
      <c r="C14" s="77" t="n">
        <f aca="false">C10*C13</f>
        <v>111374.580807616</v>
      </c>
      <c r="D14" s="77" t="n">
        <f aca="false">D10*D13</f>
        <v>185400.73186535</v>
      </c>
      <c r="E14" s="77" t="n">
        <f aca="false">E10*E13</f>
        <v>224412.913115664</v>
      </c>
      <c r="F14" s="77" t="n">
        <f aca="false">F10*F13</f>
        <v>301506.769323545</v>
      </c>
      <c r="G14" s="77" t="n">
        <f aca="false">G10*G13</f>
        <v>281587.124260423</v>
      </c>
      <c r="H14" s="77" t="n">
        <f aca="false">H10*H13</f>
        <v>276792.425281724</v>
      </c>
    </row>
    <row r="16" customFormat="false" ht="15" hidden="false" customHeight="false" outlineLevel="0" collapsed="false">
      <c r="A16" s="0" t="s">
        <v>689</v>
      </c>
      <c r="C16" s="77" t="n">
        <f aca="false">SUM(C14:H14)</f>
        <v>1381074.54465432</v>
      </c>
    </row>
    <row r="17" customFormat="false" ht="15" hidden="false" customHeight="false" outlineLevel="0" collapsed="false">
      <c r="A17" s="0" t="s">
        <v>690</v>
      </c>
      <c r="C17" s="77" t="n">
        <f aca="false">DCF!I22</f>
        <v>528835.311960595</v>
      </c>
    </row>
    <row r="18" customFormat="false" ht="15" hidden="false" customHeight="false" outlineLevel="0" collapsed="false">
      <c r="A18" s="0" t="s">
        <v>691</v>
      </c>
      <c r="C18" s="74" t="n">
        <f aca="false">DCF!C39</f>
        <v>0.03</v>
      </c>
    </row>
    <row r="19" customFormat="false" ht="15" hidden="false" customHeight="false" outlineLevel="0" collapsed="false">
      <c r="A19" s="0" t="s">
        <v>692</v>
      </c>
      <c r="C19" s="77" t="n">
        <f aca="false">C17/(C4-C18)</f>
        <v>11565234.3777193</v>
      </c>
    </row>
    <row r="20" customFormat="false" ht="15" hidden="false" customHeight="false" outlineLevel="0" collapsed="false">
      <c r="A20" s="0" t="s">
        <v>693</v>
      </c>
      <c r="C20" s="77" t="n">
        <f aca="false">C19*H12</f>
        <v>7740956.45367179</v>
      </c>
    </row>
    <row r="21" customFormat="false" ht="15" hidden="false" customHeight="false" outlineLevel="0" collapsed="false">
      <c r="A21" s="76" t="s">
        <v>444</v>
      </c>
      <c r="C21" s="77" t="n">
        <f aca="false">C16+C20</f>
        <v>9122030.99832611</v>
      </c>
    </row>
    <row r="22" customFormat="false" ht="15" hidden="false" customHeight="false" outlineLevel="0" collapsed="false">
      <c r="A22" s="0" t="s">
        <v>694</v>
      </c>
      <c r="C22" s="77" t="n">
        <f aca="false">DCF!C45</f>
        <v>-1285740</v>
      </c>
    </row>
    <row r="23" customFormat="false" ht="15" hidden="false" customHeight="false" outlineLevel="0" collapsed="false">
      <c r="A23" s="0" t="s">
        <v>695</v>
      </c>
      <c r="C23" s="77" t="n">
        <f aca="false">DCF!C46</f>
        <v>-50841</v>
      </c>
    </row>
    <row r="24" customFormat="false" ht="15" hidden="false" customHeight="false" outlineLevel="0" collapsed="false">
      <c r="A24" s="0" t="s">
        <v>447</v>
      </c>
      <c r="C24" s="77" t="n">
        <f aca="false">C21+C22+C23</f>
        <v>7785449.99832611</v>
      </c>
    </row>
    <row r="25" customFormat="false" ht="15" hidden="false" customHeight="false" outlineLevel="0" collapsed="false">
      <c r="A25" s="0" t="s">
        <v>448</v>
      </c>
      <c r="C25" s="77" t="n">
        <f aca="false">DCF!C48</f>
        <v>2190</v>
      </c>
    </row>
    <row r="26" customFormat="false" ht="15" hidden="false" customHeight="false" outlineLevel="0" collapsed="false">
      <c r="A26" s="76" t="s">
        <v>592</v>
      </c>
      <c r="C26" s="80" t="n">
        <f aca="false">C24/C25</f>
        <v>3554.99999923566</v>
      </c>
    </row>
    <row r="27" customFormat="false" ht="15" hidden="false" customHeight="false" outlineLevel="0" collapsed="false">
      <c r="A27" s="0" t="s">
        <v>696</v>
      </c>
      <c r="C27" s="77" t="n">
        <f aca="false">DCF!C50</f>
        <v>3555</v>
      </c>
    </row>
    <row r="28" customFormat="false" ht="15" hidden="false" customHeight="false" outlineLevel="0" collapsed="false">
      <c r="A28" s="0" t="s">
        <v>697</v>
      </c>
      <c r="C28" s="81" t="n">
        <f aca="false">C26-C27</f>
        <v>-7.64335254643811E-007</v>
      </c>
    </row>
    <row r="31" customFormat="false" ht="15" hidden="false" customHeight="false" outlineLevel="0" collapsed="false">
      <c r="A31" s="76" t="s">
        <v>698</v>
      </c>
    </row>
    <row r="32" customFormat="false" ht="15" hidden="false" customHeight="false" outlineLevel="0" collapsed="false">
      <c r="A32" s="0" t="s">
        <v>699</v>
      </c>
    </row>
    <row r="33" customFormat="false" ht="15" hidden="false" customHeight="false" outlineLevel="0" collapsed="false">
      <c r="A33" s="0" t="s">
        <v>700</v>
      </c>
    </row>
    <row r="34" customFormat="false" ht="15" hidden="false" customHeight="false" outlineLevel="0" collapsed="false">
      <c r="A34" s="0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B100"/>
    <pageSetUpPr fitToPage="false"/>
  </sheetPr>
  <dimension ref="A1:Q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6"/>
    <col collapsed="false" customWidth="true" hidden="false" outlineLevel="0" max="17" min="11" style="0" width="12"/>
  </cols>
  <sheetData>
    <row r="1" customFormat="false" ht="16.15" hidden="false" customHeight="false" outlineLevel="0" collapsed="false">
      <c r="A1" s="82" t="s">
        <v>702</v>
      </c>
      <c r="B1" s="83" t="s">
        <v>677</v>
      </c>
    </row>
    <row r="2" customFormat="false" ht="15" hidden="false" customHeight="false" outlineLevel="0" collapsed="false">
      <c r="A2" s="84" t="s">
        <v>703</v>
      </c>
    </row>
    <row r="3" customFormat="false" ht="15" hidden="false" customHeight="false" outlineLevel="0" collapsed="false">
      <c r="A3" s="84" t="s">
        <v>704</v>
      </c>
    </row>
    <row r="5" customFormat="false" ht="15" hidden="false" customHeight="false" outlineLevel="0" collapsed="false">
      <c r="A5" s="10" t="s">
        <v>705</v>
      </c>
      <c r="B5" s="10"/>
      <c r="C5" s="10"/>
      <c r="D5" s="10"/>
      <c r="E5" s="10"/>
      <c r="F5" s="10"/>
      <c r="G5" s="10"/>
      <c r="H5" s="10"/>
      <c r="I5" s="10"/>
      <c r="J5" s="10"/>
    </row>
    <row r="6" customFormat="false" ht="39.75" hidden="false" customHeight="true" outlineLevel="0" collapsed="false">
      <c r="A6" s="85" t="s">
        <v>706</v>
      </c>
      <c r="C6" s="86" t="s">
        <v>707</v>
      </c>
      <c r="D6" s="86" t="s">
        <v>708</v>
      </c>
      <c r="E6" s="86" t="s">
        <v>709</v>
      </c>
      <c r="F6" s="86" t="s">
        <v>710</v>
      </c>
      <c r="G6" s="86" t="s">
        <v>711</v>
      </c>
      <c r="H6" s="86" t="s">
        <v>712</v>
      </c>
      <c r="I6" s="86" t="s">
        <v>713</v>
      </c>
    </row>
    <row r="7" customFormat="false" ht="15" hidden="false" customHeight="false" outlineLevel="0" collapsed="false">
      <c r="A7" s="85" t="s">
        <v>714</v>
      </c>
      <c r="C7" s="87" t="n">
        <f aca="false">C72</f>
        <v>0.0757262943921287</v>
      </c>
      <c r="D7" s="87" t="n">
        <f aca="false">C73</f>
        <v>0.0443944605748821</v>
      </c>
      <c r="E7" s="88" t="n">
        <f aca="false">C27</f>
        <v>0.104138867416108</v>
      </c>
      <c r="F7" s="88" t="n">
        <f aca="false">D27</f>
        <v>0.0719794829282607</v>
      </c>
      <c r="G7" s="89" t="n">
        <f aca="false">(C7-E7)*10000</f>
        <v>-284.125730239798</v>
      </c>
      <c r="H7" s="89" t="n">
        <f aca="false">(D7-F7)*10000</f>
        <v>-275.850223533787</v>
      </c>
      <c r="I7" s="90" t="s">
        <v>715</v>
      </c>
    </row>
    <row r="8" customFormat="false" ht="15" hidden="false" customHeight="false" outlineLevel="0" collapsed="false">
      <c r="A8" s="85" t="s">
        <v>716</v>
      </c>
      <c r="C8" s="87" t="n">
        <f aca="false">F105</f>
        <v>-0.020217356173453</v>
      </c>
      <c r="D8" s="87" t="n">
        <f aca="false">F106</f>
        <v>-0.0487547147315078</v>
      </c>
      <c r="E8" s="88" t="n">
        <f aca="false">C28</f>
        <v>0.119262901170031</v>
      </c>
      <c r="F8" s="88" t="n">
        <f aca="false">D28</f>
        <v>0.08666301084469</v>
      </c>
      <c r="G8" s="89" t="n">
        <f aca="false">(C8-E8)*10000</f>
        <v>-1394.80257343484</v>
      </c>
      <c r="H8" s="89" t="n">
        <f aca="false">(D8-F8)*10000</f>
        <v>-1354.17725576198</v>
      </c>
      <c r="I8" s="90" t="s">
        <v>717</v>
      </c>
    </row>
    <row r="9" customFormat="false" ht="15" hidden="false" customHeight="false" outlineLevel="0" collapsed="false">
      <c r="A9" s="91" t="s">
        <v>718</v>
      </c>
      <c r="C9" s="87" t="n">
        <f aca="false">I105</f>
        <v>0.0843410314456043</v>
      </c>
      <c r="D9" s="87" t="n">
        <f aca="false">I106</f>
        <v>0.0527582829568973</v>
      </c>
      <c r="E9" s="88" t="n">
        <f aca="false">C28</f>
        <v>0.119262901170031</v>
      </c>
      <c r="F9" s="88" t="n">
        <f aca="false">D28</f>
        <v>0.08666301084469</v>
      </c>
      <c r="G9" s="89" t="n">
        <f aca="false">(C9-E9)*10000</f>
        <v>-349.218697244265</v>
      </c>
      <c r="H9" s="89" t="n">
        <f aca="false">(D9-F9)*10000</f>
        <v>-339.047278877926</v>
      </c>
      <c r="I9" s="90" t="s">
        <v>719</v>
      </c>
    </row>
    <row r="10" customFormat="false" ht="15" hidden="false" customHeight="false" outlineLevel="0" collapsed="false">
      <c r="A10" s="91" t="s">
        <v>720</v>
      </c>
      <c r="C10" s="87" t="n">
        <f aca="false">G105</f>
        <v>0.10576389986351</v>
      </c>
      <c r="D10" s="87" t="n">
        <f aca="false">G106</f>
        <v>0.0735571843335043</v>
      </c>
      <c r="E10" s="88" t="n">
        <f aca="false">C28</f>
        <v>0.119262901170031</v>
      </c>
      <c r="F10" s="88" t="n">
        <f aca="false">D28</f>
        <v>0.08666301084469</v>
      </c>
      <c r="G10" s="89" t="n">
        <f aca="false">(C10-E10)*10000</f>
        <v>-134.990013065213</v>
      </c>
      <c r="H10" s="89" t="n">
        <f aca="false">(D10-F10)*10000</f>
        <v>-131.058265111856</v>
      </c>
      <c r="I10" s="90" t="s">
        <v>721</v>
      </c>
    </row>
    <row r="11" customFormat="false" ht="15" hidden="false" customHeight="false" outlineLevel="0" collapsed="false">
      <c r="A11" s="91" t="s">
        <v>722</v>
      </c>
      <c r="C11" s="87" t="n">
        <f aca="false">H105</f>
        <v>0.13516112090488</v>
      </c>
      <c r="D11" s="87" t="n">
        <f aca="false">H106</f>
        <v>0.102098175635805</v>
      </c>
      <c r="E11" s="88" t="n">
        <f aca="false">C28</f>
        <v>0.119262901170031</v>
      </c>
      <c r="F11" s="88" t="n">
        <f aca="false">D28</f>
        <v>0.08666301084469</v>
      </c>
      <c r="G11" s="89" t="n">
        <f aca="false">(C11-E11)*10000</f>
        <v>158.982197348487</v>
      </c>
      <c r="H11" s="89" t="n">
        <f aca="false">(D11-F11)*10000</f>
        <v>154.351647911153</v>
      </c>
      <c r="I11" s="90" t="s">
        <v>723</v>
      </c>
    </row>
    <row r="12" customFormat="false" ht="15" hidden="false" customHeight="false" outlineLevel="0" collapsed="false">
      <c r="A12" s="84" t="s">
        <v>724</v>
      </c>
    </row>
    <row r="13" customFormat="false" ht="15" hidden="false" customHeight="false" outlineLevel="0" collapsed="false">
      <c r="A13" s="84" t="s">
        <v>725</v>
      </c>
    </row>
    <row r="15" customFormat="false" ht="15" hidden="false" customHeight="false" outlineLevel="0" collapsed="false">
      <c r="A15" s="10" t="s">
        <v>726</v>
      </c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false" outlineLevel="0" collapsed="false">
      <c r="C16" s="86" t="s">
        <v>727</v>
      </c>
      <c r="D16" s="86" t="s">
        <v>728</v>
      </c>
    </row>
    <row r="17" customFormat="false" ht="15" hidden="false" customHeight="false" outlineLevel="0" collapsed="false">
      <c r="A17" s="91" t="s">
        <v>729</v>
      </c>
      <c r="C17" s="92" t="n">
        <f aca="false">Supuestos!B34</f>
        <v>0.03</v>
      </c>
    </row>
    <row r="18" customFormat="false" ht="15" hidden="false" customHeight="false" outlineLevel="0" collapsed="false">
      <c r="A18" s="91" t="s">
        <v>730</v>
      </c>
      <c r="C18" s="93" t="n">
        <f aca="false">Supuestos!B8</f>
        <v>3555</v>
      </c>
    </row>
    <row r="19" customFormat="false" ht="15" hidden="false" customHeight="false" outlineLevel="0" collapsed="false">
      <c r="A19" s="91" t="s">
        <v>731</v>
      </c>
      <c r="C19" s="93" t="n">
        <f aca="false">Precio_Objetivo!B15</f>
        <v>2075.72669191032</v>
      </c>
    </row>
    <row r="20" customFormat="false" ht="15" hidden="false" customHeight="false" outlineLevel="0" collapsed="false">
      <c r="A20" s="91" t="s">
        <v>732</v>
      </c>
      <c r="C20" s="93" t="n">
        <f aca="false">DCF!C49</f>
        <v>1856.81199718015</v>
      </c>
    </row>
    <row r="21" customFormat="false" ht="15" hidden="false" customHeight="false" outlineLevel="0" collapsed="false">
      <c r="A21" s="91" t="s">
        <v>733</v>
      </c>
      <c r="C21" s="93" t="n">
        <f aca="false">Supuestos!B9</f>
        <v>2190</v>
      </c>
    </row>
    <row r="22" customFormat="false" ht="15" hidden="false" customHeight="false" outlineLevel="0" collapsed="false">
      <c r="A22" s="91" t="s">
        <v>734</v>
      </c>
      <c r="C22" s="94" t="n">
        <f aca="false">C18*C21</f>
        <v>7785450</v>
      </c>
    </row>
    <row r="23" customFormat="false" ht="15" hidden="false" customHeight="false" outlineLevel="0" collapsed="false">
      <c r="A23" s="91" t="s">
        <v>735</v>
      </c>
      <c r="C23" s="93" t="n">
        <f aca="false">Supuestos!B10</f>
        <v>1285740</v>
      </c>
    </row>
    <row r="24" customFormat="false" ht="15" hidden="false" customHeight="false" outlineLevel="0" collapsed="false">
      <c r="A24" s="91" t="s">
        <v>736</v>
      </c>
      <c r="C24" s="93" t="n">
        <f aca="false">Supuestos!B11</f>
        <v>50841</v>
      </c>
    </row>
    <row r="25" customFormat="false" ht="15" hidden="false" customHeight="false" outlineLevel="0" collapsed="false">
      <c r="A25" s="85" t="s">
        <v>737</v>
      </c>
      <c r="C25" s="89" t="n">
        <f aca="false">C22+C23+C24</f>
        <v>9122031</v>
      </c>
    </row>
    <row r="26" customFormat="false" ht="15" hidden="false" customHeight="false" outlineLevel="0" collapsed="false">
      <c r="A26" s="91" t="s">
        <v>691</v>
      </c>
      <c r="C26" s="92" t="n">
        <f aca="false">DCF!C39</f>
        <v>0.03</v>
      </c>
      <c r="D26" s="92" t="n">
        <f aca="false">Supuestos!B89</f>
        <v>0</v>
      </c>
    </row>
    <row r="27" customFormat="false" ht="15" hidden="false" customHeight="false" outlineLevel="0" collapsed="false">
      <c r="A27" s="91" t="s">
        <v>738</v>
      </c>
      <c r="C27" s="92" t="n">
        <f aca="false">WACC!I43</f>
        <v>0.104138867416108</v>
      </c>
      <c r="D27" s="92" t="n">
        <f aca="false">WACC!I44</f>
        <v>0.0719794829282607</v>
      </c>
    </row>
    <row r="28" customFormat="false" ht="15" hidden="false" customHeight="false" outlineLevel="0" collapsed="false">
      <c r="A28" s="91" t="s">
        <v>739</v>
      </c>
      <c r="C28" s="92" t="n">
        <f aca="false">WACC!I39</f>
        <v>0.119262901170031</v>
      </c>
      <c r="D28" s="88" t="n">
        <f aca="false">(1+C28)/(1+$C$17)-1</f>
        <v>0.08666301084469</v>
      </c>
    </row>
    <row r="29" customFormat="false" ht="15" hidden="false" customHeight="false" outlineLevel="0" collapsed="false">
      <c r="A29" s="91" t="s">
        <v>740</v>
      </c>
      <c r="C29" s="92" t="n">
        <f aca="false">WACC!I42</f>
        <v>0.0511123726148531</v>
      </c>
      <c r="D29" s="88" t="n">
        <f aca="false">(1+C29)/(1+$C$17)-1</f>
        <v>0.020497449140634</v>
      </c>
    </row>
    <row r="30" customFormat="false" ht="15" hidden="false" customHeight="false" outlineLevel="0" collapsed="false">
      <c r="A30" s="91" t="s">
        <v>741</v>
      </c>
      <c r="C30" s="92" t="n">
        <f aca="false">WACC!C39</f>
        <v>0.117033041180547</v>
      </c>
      <c r="D30" s="88" t="n">
        <f aca="false">(1+C30)/(1+$C$17)-1</f>
        <v>0.0844980982335406</v>
      </c>
    </row>
    <row r="32" customFormat="false" ht="15" hidden="false" customHeight="false" outlineLevel="0" collapsed="false">
      <c r="A32" s="10" t="s">
        <v>742</v>
      </c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false" outlineLevel="0" collapsed="false">
      <c r="A33" s="85" t="s">
        <v>48</v>
      </c>
      <c r="C33" s="95" t="str">
        <f aca="false">DCF!C4</f>
        <v>2S26E</v>
      </c>
      <c r="D33" s="95" t="str">
        <f aca="false">DCF!D4</f>
        <v>2027E</v>
      </c>
      <c r="E33" s="95" t="str">
        <f aca="false">DCF!E4</f>
        <v>2028E</v>
      </c>
      <c r="F33" s="95" t="str">
        <f aca="false">DCF!F4</f>
        <v>2029E</v>
      </c>
      <c r="G33" s="95" t="str">
        <f aca="false">DCF!G4</f>
        <v>2030E</v>
      </c>
      <c r="H33" s="95" t="str">
        <f aca="false">DCF!H4</f>
        <v>2031E</v>
      </c>
      <c r="I33" s="96" t="s">
        <v>743</v>
      </c>
      <c r="J33" s="96" t="s">
        <v>744</v>
      </c>
    </row>
    <row r="34" customFormat="false" ht="15" hidden="false" customHeight="false" outlineLevel="0" collapsed="false">
      <c r="A34" s="91" t="s">
        <v>427</v>
      </c>
      <c r="C34" s="97" t="n">
        <f aca="false">DCF!C26</f>
        <v>0.5</v>
      </c>
      <c r="D34" s="97" t="n">
        <f aca="false">DCF!D26</f>
        <v>1</v>
      </c>
      <c r="E34" s="97" t="n">
        <f aca="false">DCF!E26</f>
        <v>1</v>
      </c>
      <c r="F34" s="97" t="n">
        <f aca="false">DCF!F26</f>
        <v>1</v>
      </c>
      <c r="G34" s="97" t="n">
        <f aca="false">DCF!G26</f>
        <v>1</v>
      </c>
      <c r="H34" s="97" t="n">
        <f aca="false">DCF!H26</f>
        <v>1</v>
      </c>
    </row>
    <row r="35" customFormat="false" ht="15" hidden="false" customHeight="false" outlineLevel="0" collapsed="false">
      <c r="A35" s="91" t="s">
        <v>745</v>
      </c>
      <c r="C35" s="98" t="n">
        <f aca="false">C34</f>
        <v>0.5</v>
      </c>
      <c r="D35" s="98" t="n">
        <f aca="false">C35+D34</f>
        <v>1.5</v>
      </c>
      <c r="E35" s="98" t="n">
        <f aca="false">D35+E34</f>
        <v>2.5</v>
      </c>
      <c r="F35" s="98" t="n">
        <f aca="false">E35+F34</f>
        <v>3.5</v>
      </c>
      <c r="G35" s="98" t="n">
        <f aca="false">F35+G34</f>
        <v>4.5</v>
      </c>
      <c r="H35" s="98" t="n">
        <f aca="false">G35+H34</f>
        <v>5.5</v>
      </c>
    </row>
    <row r="36" customFormat="false" ht="15" hidden="false" customHeight="false" outlineLevel="0" collapsed="false">
      <c r="A36" s="91" t="s">
        <v>746</v>
      </c>
      <c r="C36" s="98" t="n">
        <f aca="false">C35-C34/2</f>
        <v>0.25</v>
      </c>
      <c r="D36" s="98" t="n">
        <f aca="false">D35-D34/2</f>
        <v>1</v>
      </c>
      <c r="E36" s="98" t="n">
        <f aca="false">E35-E34/2</f>
        <v>2</v>
      </c>
      <c r="F36" s="98" t="n">
        <f aca="false">F35-F34/2</f>
        <v>3</v>
      </c>
      <c r="G36" s="98" t="n">
        <f aca="false">G35-G34/2</f>
        <v>4</v>
      </c>
      <c r="H36" s="98" t="n">
        <f aca="false">H35-H34/2</f>
        <v>5</v>
      </c>
    </row>
    <row r="37" customFormat="false" ht="15" hidden="false" customHeight="false" outlineLevel="0" collapsed="false">
      <c r="A37" s="91" t="s">
        <v>747</v>
      </c>
      <c r="C37" s="93" t="n">
        <f aca="false">DCF!C22</f>
        <v>113425.715768245</v>
      </c>
      <c r="D37" s="93" t="n">
        <f aca="false">DCF!D22</f>
        <v>199440.442268561</v>
      </c>
      <c r="E37" s="93" t="n">
        <f aca="false">DCF!E22</f>
        <v>259687.719258378</v>
      </c>
      <c r="F37" s="93" t="n">
        <f aca="false">DCF!F22</f>
        <v>375320.615932717</v>
      </c>
      <c r="G37" s="93" t="n">
        <f aca="false">DCF!G22</f>
        <v>377068.219372121</v>
      </c>
      <c r="H37" s="93" t="n">
        <f aca="false">DCF!H22</f>
        <v>398715.503513791</v>
      </c>
      <c r="I37" s="93" t="n">
        <f aca="false">DCF!I22</f>
        <v>528835.311960595</v>
      </c>
    </row>
    <row r="38" customFormat="false" ht="15" hidden="false" customHeight="false" outlineLevel="0" collapsed="false">
      <c r="A38" s="91" t="s">
        <v>748</v>
      </c>
      <c r="C38" s="93" t="n">
        <f aca="false">Deuda!C16</f>
        <v>60107.8</v>
      </c>
      <c r="D38" s="93" t="n">
        <f aca="false">Deuda!D16</f>
        <v>152015.526552925</v>
      </c>
      <c r="E38" s="93" t="n">
        <f aca="false">Deuda!E16</f>
        <v>171060.543183015</v>
      </c>
      <c r="F38" s="93" t="n">
        <f aca="false">Deuda!F16</f>
        <v>173764.537976493</v>
      </c>
      <c r="G38" s="93" t="n">
        <f aca="false">Deuda!G16</f>
        <v>174757.572734078</v>
      </c>
      <c r="H38" s="93" t="n">
        <f aca="false">Deuda!H16</f>
        <v>172638.903898688</v>
      </c>
    </row>
    <row r="39" customFormat="false" ht="15" hidden="false" customHeight="false" outlineLevel="0" collapsed="false">
      <c r="A39" s="91" t="s">
        <v>749</v>
      </c>
      <c r="C39" s="93" t="n">
        <f aca="false">Deuda!C20</f>
        <v>121017.556143167</v>
      </c>
      <c r="D39" s="93" t="n">
        <f aca="false">Deuda!D20</f>
        <v>236148.028317139</v>
      </c>
      <c r="E39" s="93" t="n">
        <f aca="false">Deuda!E20</f>
        <v>267954.437341106</v>
      </c>
      <c r="F39" s="93" t="n">
        <f aca="false">Deuda!F20</f>
        <v>380085.02721024</v>
      </c>
      <c r="G39" s="93" t="n">
        <f aca="false">Deuda!G20</f>
        <v>378626.381058733</v>
      </c>
      <c r="H39" s="93" t="n">
        <f aca="false">Deuda!H20</f>
        <v>404760.119623149</v>
      </c>
    </row>
    <row r="40" customFormat="false" ht="15" hidden="false" customHeight="false" outlineLevel="0" collapsed="false">
      <c r="A40" s="85" t="s">
        <v>750</v>
      </c>
      <c r="C40" s="89" t="n">
        <f aca="false">C38+C39</f>
        <v>181125.356143167</v>
      </c>
      <c r="D40" s="89" t="n">
        <f aca="false">D38+D39</f>
        <v>388163.554870063</v>
      </c>
      <c r="E40" s="89" t="n">
        <f aca="false">E38+E39</f>
        <v>439014.980524121</v>
      </c>
      <c r="F40" s="89" t="n">
        <f aca="false">F38+F39</f>
        <v>553849.565186733</v>
      </c>
      <c r="G40" s="89" t="n">
        <f aca="false">G38+G39</f>
        <v>553383.95379281</v>
      </c>
      <c r="H40" s="89" t="n">
        <f aca="false">H38+H39</f>
        <v>577399.023521837</v>
      </c>
      <c r="J40" s="89" t="n">
        <f aca="false">SUM(C40:H40)</f>
        <v>2692936.43403873</v>
      </c>
    </row>
    <row r="41" customFormat="false" ht="15" hidden="false" customHeight="false" outlineLevel="0" collapsed="false">
      <c r="A41" s="91" t="s">
        <v>751</v>
      </c>
      <c r="C41" s="94" t="n">
        <f aca="false">C40/(1+$C$17)^C36</f>
        <v>179791.827255364</v>
      </c>
      <c r="D41" s="94" t="n">
        <f aca="false">D40/(1+$C$17)^D36</f>
        <v>376857.820262197</v>
      </c>
      <c r="E41" s="94" t="n">
        <f aca="false">E40/(1+$C$17)^E36</f>
        <v>413813.724690471</v>
      </c>
      <c r="F41" s="94" t="n">
        <f aca="false">F40/(1+$C$17)^F36</f>
        <v>506850.810117013</v>
      </c>
      <c r="G41" s="94" t="n">
        <f aca="false">G40/(1+$C$17)^G36</f>
        <v>491674.475469286</v>
      </c>
      <c r="H41" s="94" t="n">
        <f aca="false">H40/(1+$C$17)^H36</f>
        <v>498069.469784775</v>
      </c>
      <c r="J41" s="94" t="n">
        <f aca="false">SUM(C41:H41)</f>
        <v>2467058.12757911</v>
      </c>
    </row>
    <row r="42" customFormat="false" ht="15" hidden="false" customHeight="false" outlineLevel="0" collapsed="false">
      <c r="A42" s="91" t="s">
        <v>752</v>
      </c>
      <c r="C42" s="99" t="n">
        <f aca="false">C40/$C$21</f>
        <v>82.7056420745054</v>
      </c>
      <c r="D42" s="99" t="n">
        <f aca="false">D40/$C$21</f>
        <v>177.24363236076</v>
      </c>
      <c r="E42" s="99" t="n">
        <f aca="false">E40/$C$21</f>
        <v>200.463461426539</v>
      </c>
      <c r="F42" s="99" t="n">
        <f aca="false">F40/$C$21</f>
        <v>252.899344834125</v>
      </c>
      <c r="G42" s="99" t="n">
        <f aca="false">G40/$C$21</f>
        <v>252.686736891694</v>
      </c>
      <c r="H42" s="99" t="n">
        <f aca="false">H40/$C$21</f>
        <v>263.65252215609</v>
      </c>
    </row>
    <row r="44" customFormat="false" ht="15" hidden="false" customHeight="false" outlineLevel="0" collapsed="false">
      <c r="A44" s="10" t="s">
        <v>753</v>
      </c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false" outlineLevel="0" collapsed="false">
      <c r="A45" s="91" t="s">
        <v>754</v>
      </c>
      <c r="C45" s="93" t="n">
        <f aca="false">DCF!C41</f>
        <v>7133037.37151092</v>
      </c>
    </row>
    <row r="46" customFormat="false" ht="15" hidden="false" customHeight="false" outlineLevel="0" collapsed="false">
      <c r="A46" s="91" t="s">
        <v>755</v>
      </c>
      <c r="C46" s="93" t="n">
        <f aca="false">-Deuda!H21</f>
        <v>-2684002.21391694</v>
      </c>
    </row>
    <row r="47" customFormat="false" ht="15" hidden="false" customHeight="false" outlineLevel="0" collapsed="false">
      <c r="A47" s="91" t="s">
        <v>756</v>
      </c>
      <c r="C47" s="93" t="n">
        <f aca="false">-Supuestos!B11</f>
        <v>-50841</v>
      </c>
    </row>
    <row r="48" customFormat="false" ht="15" hidden="false" customHeight="false" outlineLevel="0" collapsed="false">
      <c r="A48" s="85" t="s">
        <v>757</v>
      </c>
      <c r="C48" s="89" t="n">
        <f aca="false">SUM(C45:C47)</f>
        <v>4398194.15759398</v>
      </c>
    </row>
    <row r="49" customFormat="false" ht="15" hidden="false" customHeight="false" outlineLevel="0" collapsed="false">
      <c r="A49" s="91" t="s">
        <v>758</v>
      </c>
      <c r="C49" s="99" t="n">
        <f aca="false">C48/C21</f>
        <v>2008.3078345178</v>
      </c>
    </row>
    <row r="50" customFormat="false" ht="15" hidden="false" customHeight="false" outlineLevel="0" collapsed="false">
      <c r="A50" s="91" t="s">
        <v>759</v>
      </c>
      <c r="C50" s="94" t="n">
        <f aca="false">I37/(C72-C26)</f>
        <v>11565234.3797102</v>
      </c>
    </row>
    <row r="51" customFormat="false" ht="15" hidden="false" customHeight="false" outlineLevel="0" collapsed="false">
      <c r="A51" s="85" t="s">
        <v>760</v>
      </c>
      <c r="C51" s="89" t="n">
        <f aca="false">C50+C46+C47</f>
        <v>8830391.16579323</v>
      </c>
    </row>
    <row r="52" customFormat="false" ht="15" hidden="false" customHeight="false" outlineLevel="0" collapsed="false">
      <c r="A52" s="91" t="s">
        <v>758</v>
      </c>
      <c r="C52" s="99" t="n">
        <f aca="false">C51/C21</f>
        <v>4032.14208483709</v>
      </c>
    </row>
    <row r="54" customFormat="false" ht="15" hidden="false" customHeight="false" outlineLevel="0" collapsed="false">
      <c r="A54" s="10" t="s">
        <v>761</v>
      </c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false" outlineLevel="0" collapsed="false">
      <c r="A55" s="84" t="s">
        <v>762</v>
      </c>
    </row>
    <row r="56" customFormat="false" ht="15" hidden="false" customHeight="false" outlineLevel="0" collapsed="false">
      <c r="A56" s="85" t="s">
        <v>763</v>
      </c>
      <c r="C56" s="86" t="s">
        <v>764</v>
      </c>
      <c r="D56" s="86" t="s">
        <v>765</v>
      </c>
      <c r="E56" s="86" t="s">
        <v>766</v>
      </c>
      <c r="F56" s="86" t="s">
        <v>767</v>
      </c>
      <c r="G56" s="86" t="s">
        <v>768</v>
      </c>
    </row>
    <row r="57" customFormat="false" ht="15" hidden="false" customHeight="false" outlineLevel="0" collapsed="false">
      <c r="A57" s="91" t="s">
        <v>769</v>
      </c>
      <c r="C57" s="100" t="n">
        <f aca="false">C26+0.01</f>
        <v>0.04</v>
      </c>
      <c r="D57" s="94" t="n">
        <f aca="false">SUMPRODUCT($C$37:$H$37,(1+C57)^(-$C$36:$H$36))+$I$37/(C57-$C$26)*(1+C57)^(-$H$35)</f>
        <v>44150197.2984901</v>
      </c>
      <c r="E57" s="94" t="n">
        <f aca="false">D57-$C$25</f>
        <v>35028166.2984901</v>
      </c>
      <c r="F57" s="94" t="n">
        <f aca="false">-SUMPRODUCT($C$37:$H$37,$C$36:$H$36,(1+C57)^(-$C$36:$H$36-1))-$I$37*((1+C57)^(-$H$35)/(C57-$C$26)^2+$H$35*(1+C57)^(-$H$35-1)/(C57-$C$26))</f>
        <v>-4492089286.71575</v>
      </c>
      <c r="G57" s="100" t="n">
        <f aca="false">C57-E57/F57</f>
        <v>0.0477977448939132</v>
      </c>
    </row>
    <row r="58" customFormat="false" ht="15" hidden="false" customHeight="false" outlineLevel="0" collapsed="false">
      <c r="A58" s="91" t="s">
        <v>770</v>
      </c>
      <c r="C58" s="100" t="n">
        <f aca="false">G57</f>
        <v>0.0477977448939132</v>
      </c>
      <c r="D58" s="94" t="n">
        <f aca="false">SUMPRODUCT($C$37:$H$37,(1+C58)^(-$C$36:$H$36))+$I$37/(C58-$C$26)*(1+C58)^(-$H$35)</f>
        <v>24477986.9803251</v>
      </c>
      <c r="E58" s="94" t="n">
        <f aca="false">D58-$C$25</f>
        <v>15355955.9803251</v>
      </c>
      <c r="F58" s="94" t="n">
        <f aca="false">-SUMPRODUCT($C$37:$H$37,$C$36:$H$36,(1+C58)^(-$C$36:$H$36-1))-$I$37*((1+C58)^(-$H$35)/(C58-$C$26)^2+$H$35*(1+C58)^(-$H$35-1)/(C58-$C$26))</f>
        <v>-1416352219.49769</v>
      </c>
      <c r="G58" s="100" t="n">
        <f aca="false">C58-E58/F58</f>
        <v>0.0586396497315186</v>
      </c>
    </row>
    <row r="59" customFormat="false" ht="15" hidden="false" customHeight="false" outlineLevel="0" collapsed="false">
      <c r="A59" s="91" t="s">
        <v>771</v>
      </c>
      <c r="C59" s="100" t="n">
        <f aca="false">G58</f>
        <v>0.0586396497315186</v>
      </c>
      <c r="D59" s="94" t="n">
        <f aca="false">SUMPRODUCT($C$37:$H$37,(1+C59)^(-$C$36:$H$36))+$I$37/(C59-$C$26)*(1+C59)^(-$H$35)</f>
        <v>14945366.7266959</v>
      </c>
      <c r="E59" s="94" t="n">
        <f aca="false">D59-$C$25</f>
        <v>5823335.72669595</v>
      </c>
      <c r="F59" s="94" t="n">
        <f aca="false">-SUMPRODUCT($C$37:$H$37,$C$36:$H$36,(1+C59)^(-$C$36:$H$36-1))-$I$37*((1+C59)^(-$H$35)/(C59-$C$26)^2+$H$35*(1+C59)^(-$H$35-1)/(C59-$C$26))</f>
        <v>-545481300.792885</v>
      </c>
      <c r="G59" s="100" t="n">
        <f aca="false">C59-E59/F59</f>
        <v>0.0693152415771628</v>
      </c>
    </row>
    <row r="60" customFormat="false" ht="15" hidden="false" customHeight="false" outlineLevel="0" collapsed="false">
      <c r="A60" s="91" t="s">
        <v>772</v>
      </c>
      <c r="C60" s="100" t="n">
        <f aca="false">G59</f>
        <v>0.0693152415771628</v>
      </c>
      <c r="D60" s="94" t="n">
        <f aca="false">SUMPRODUCT($C$37:$H$37,(1+C60)^(-$C$36:$H$36))+$I$37/(C60-$C$26)*(1+C60)^(-$H$35)</f>
        <v>10709893.0611684</v>
      </c>
      <c r="E60" s="94" t="n">
        <f aca="false">D60-$C$25</f>
        <v>1587862.06116837</v>
      </c>
      <c r="F60" s="94" t="n">
        <f aca="false">-SUMPRODUCT($C$37:$H$37,$C$36:$H$36,(1+C60)^(-$C$36:$H$36-1))-$I$37*((1+C60)^(-$H$35)/(C60-$C$26)^2+$H$35*(1+C60)^(-$H$35-1)/(C60-$C$26))</f>
        <v>-288410290.417153</v>
      </c>
      <c r="G60" s="100" t="n">
        <f aca="false">C60-E60/F60</f>
        <v>0.0748208081742205</v>
      </c>
    </row>
    <row r="61" customFormat="false" ht="15" hidden="false" customHeight="false" outlineLevel="0" collapsed="false">
      <c r="A61" s="91" t="s">
        <v>773</v>
      </c>
      <c r="C61" s="100" t="n">
        <f aca="false">G60</f>
        <v>0.0748208081742205</v>
      </c>
      <c r="D61" s="94" t="n">
        <f aca="false">SUMPRODUCT($C$37:$H$37,(1+C61)^(-$C$36:$H$36))+$I$37/(C61-$C$26)*(1+C61)^(-$H$35)</f>
        <v>9318516.87244997</v>
      </c>
      <c r="E61" s="94" t="n">
        <f aca="false">D61-$C$25</f>
        <v>196485.872449974</v>
      </c>
      <c r="F61" s="94" t="n">
        <f aca="false">-SUMPRODUCT($C$37:$H$37,$C$36:$H$36,(1+C61)^(-$C$36:$H$36-1))-$I$37*((1+C61)^(-$H$35)/(C61-$C$26)^2+$H$35*(1+C61)^(-$H$35-1)/(C61-$C$26))</f>
        <v>-221420475.604904</v>
      </c>
      <c r="G61" s="100" t="n">
        <f aca="false">C61-E61/F61</f>
        <v>0.0757081961717089</v>
      </c>
    </row>
    <row r="62" customFormat="false" ht="15" hidden="false" customHeight="false" outlineLevel="0" collapsed="false">
      <c r="A62" s="91" t="s">
        <v>774</v>
      </c>
      <c r="C62" s="100" t="n">
        <f aca="false">G61</f>
        <v>0.0757081961717089</v>
      </c>
      <c r="D62" s="94" t="n">
        <f aca="false">SUMPRODUCT($C$37:$H$37,(1+C62)^(-$C$36:$H$36))+$I$37/(C62-$C$26)*(1+C62)^(-$H$35)</f>
        <v>9125881.25212251</v>
      </c>
      <c r="E62" s="94" t="n">
        <f aca="false">D62-$C$25</f>
        <v>3850.25212251395</v>
      </c>
      <c r="F62" s="94" t="n">
        <f aca="false">-SUMPRODUCT($C$37:$H$37,$C$36:$H$36,(1+C62)^(-$C$36:$H$36-1))-$I$37*((1+C62)^(-$H$35)/(C62-$C$26)^2+$H$35*(1+C62)^(-$H$35-1)/(C62-$C$26))</f>
        <v>-212827079.30397</v>
      </c>
      <c r="G62" s="100" t="n">
        <f aca="false">C62-E62/F62</f>
        <v>0.0757262871596373</v>
      </c>
    </row>
    <row r="63" customFormat="false" ht="15" hidden="false" customHeight="false" outlineLevel="0" collapsed="false">
      <c r="A63" s="91" t="s">
        <v>775</v>
      </c>
      <c r="C63" s="100" t="n">
        <f aca="false">G62</f>
        <v>0.0757262871596373</v>
      </c>
      <c r="D63" s="94" t="n">
        <f aca="false">SUMPRODUCT($C$37:$H$37,(1+C63)^(-$C$36:$H$36))+$I$37/(C63-$C$26)*(1+C63)^(-$H$35)</f>
        <v>9122032.53804025</v>
      </c>
      <c r="E63" s="94" t="n">
        <f aca="false">D63-$C$25</f>
        <v>1.53804024681449</v>
      </c>
      <c r="F63" s="94" t="n">
        <f aca="false">-SUMPRODUCT($C$37:$H$37,$C$36:$H$36,(1+C63)^(-$C$36:$H$36-1))-$I$37*((1+C63)^(-$H$35)/(C63-$C$26)^2+$H$35*(1+C63)^(-$H$35-1)/(C63-$C$26))</f>
        <v>-212657079.116794</v>
      </c>
      <c r="G63" s="100" t="n">
        <f aca="false">C63-E63/F63</f>
        <v>0.0757262943921275</v>
      </c>
    </row>
    <row r="64" customFormat="false" ht="15" hidden="false" customHeight="false" outlineLevel="0" collapsed="false">
      <c r="A64" s="91" t="s">
        <v>776</v>
      </c>
      <c r="C64" s="100" t="n">
        <f aca="false">G63</f>
        <v>0.0757262943921275</v>
      </c>
      <c r="D64" s="94" t="n">
        <f aca="false">SUMPRODUCT($C$37:$H$37,(1+C64)^(-$C$36:$H$36))+$I$37/(C64-$C$26)*(1+C64)^(-$H$35)</f>
        <v>9122031.00000025</v>
      </c>
      <c r="E64" s="94" t="n">
        <f aca="false">D64-$C$25</f>
        <v>2.47731804847717E-007</v>
      </c>
      <c r="F64" s="94" t="n">
        <f aca="false">-SUMPRODUCT($C$37:$H$37,$C$36:$H$36,(1+C64)^(-$C$36:$H$36-1))-$I$37*((1+C64)^(-$H$35)/(C64-$C$26)^2+$H$35*(1+C64)^(-$H$35-1)/(C64-$C$26))</f>
        <v>-212657011.193804</v>
      </c>
      <c r="G64" s="100" t="n">
        <f aca="false">C64-E64/F64</f>
        <v>0.0757262943921287</v>
      </c>
    </row>
    <row r="65" customFormat="false" ht="15" hidden="false" customHeight="false" outlineLevel="0" collapsed="false">
      <c r="A65" s="91" t="s">
        <v>777</v>
      </c>
      <c r="C65" s="100" t="n">
        <f aca="false">G64</f>
        <v>0.0757262943921287</v>
      </c>
      <c r="D65" s="94" t="n">
        <f aca="false">SUMPRODUCT($C$37:$H$37,(1+C65)^(-$C$36:$H$36))+$I$37/(C65-$C$26)*(1+C65)^(-$H$35)</f>
        <v>9122031</v>
      </c>
      <c r="E65" s="94" t="n">
        <f aca="false">D65-$C$25</f>
        <v>0</v>
      </c>
      <c r="F65" s="94" t="n">
        <f aca="false">-SUMPRODUCT($C$37:$H$37,$C$36:$H$36,(1+C65)^(-$C$36:$H$36-1))-$I$37*((1+C65)^(-$H$35)/(C65-$C$26)^2+$H$35*(1+C65)^(-$H$35-1)/(C65-$C$26))</f>
        <v>-212657011.193794</v>
      </c>
      <c r="G65" s="100" t="n">
        <f aca="false">C65-E65/F65</f>
        <v>0.0757262943921287</v>
      </c>
    </row>
    <row r="66" customFormat="false" ht="15" hidden="false" customHeight="false" outlineLevel="0" collapsed="false">
      <c r="A66" s="91" t="s">
        <v>778</v>
      </c>
      <c r="C66" s="100" t="n">
        <f aca="false">G65</f>
        <v>0.0757262943921287</v>
      </c>
      <c r="D66" s="94" t="n">
        <f aca="false">SUMPRODUCT($C$37:$H$37,(1+C66)^(-$C$36:$H$36))+$I$37/(C66-$C$26)*(1+C66)^(-$H$35)</f>
        <v>9122031</v>
      </c>
      <c r="E66" s="94" t="n">
        <f aca="false">D66-$C$25</f>
        <v>0</v>
      </c>
      <c r="F66" s="94" t="n">
        <f aca="false">-SUMPRODUCT($C$37:$H$37,$C$36:$H$36,(1+C66)^(-$C$36:$H$36-1))-$I$37*((1+C66)^(-$H$35)/(C66-$C$26)^2+$H$35*(1+C66)^(-$H$35-1)/(C66-$C$26))</f>
        <v>-212657011.193794</v>
      </c>
      <c r="G66" s="100" t="n">
        <f aca="false">C66-E66/F66</f>
        <v>0.0757262943921287</v>
      </c>
    </row>
    <row r="67" customFormat="false" ht="15" hidden="false" customHeight="false" outlineLevel="0" collapsed="false">
      <c r="A67" s="91" t="s">
        <v>779</v>
      </c>
      <c r="C67" s="100" t="n">
        <f aca="false">G66</f>
        <v>0.0757262943921287</v>
      </c>
      <c r="D67" s="94" t="n">
        <f aca="false">SUMPRODUCT($C$37:$H$37,(1+C67)^(-$C$36:$H$36))+$I$37/(C67-$C$26)*(1+C67)^(-$H$35)</f>
        <v>9122031</v>
      </c>
      <c r="E67" s="94" t="n">
        <f aca="false">D67-$C$25</f>
        <v>0</v>
      </c>
      <c r="F67" s="94" t="n">
        <f aca="false">-SUMPRODUCT($C$37:$H$37,$C$36:$H$36,(1+C67)^(-$C$36:$H$36-1))-$I$37*((1+C67)^(-$H$35)/(C67-$C$26)^2+$H$35*(1+C67)^(-$H$35-1)/(C67-$C$26))</f>
        <v>-212657011.193794</v>
      </c>
      <c r="G67" s="100" t="n">
        <f aca="false">C67-E67/F67</f>
        <v>0.0757262943921287</v>
      </c>
    </row>
    <row r="68" customFormat="false" ht="15" hidden="false" customHeight="false" outlineLevel="0" collapsed="false">
      <c r="A68" s="91" t="s">
        <v>780</v>
      </c>
      <c r="C68" s="100" t="n">
        <f aca="false">G67</f>
        <v>0.0757262943921287</v>
      </c>
      <c r="D68" s="94" t="n">
        <f aca="false">SUMPRODUCT($C$37:$H$37,(1+C68)^(-$C$36:$H$36))+$I$37/(C68-$C$26)*(1+C68)^(-$H$35)</f>
        <v>9122031</v>
      </c>
      <c r="E68" s="94" t="n">
        <f aca="false">D68-$C$25</f>
        <v>0</v>
      </c>
      <c r="F68" s="94" t="n">
        <f aca="false">-SUMPRODUCT($C$37:$H$37,$C$36:$H$36,(1+C68)^(-$C$36:$H$36-1))-$I$37*((1+C68)^(-$H$35)/(C68-$C$26)^2+$H$35*(1+C68)^(-$H$35-1)/(C68-$C$26))</f>
        <v>-212657011.193794</v>
      </c>
      <c r="G68" s="100" t="n">
        <f aca="false">C68-E68/F68</f>
        <v>0.0757262943921287</v>
      </c>
    </row>
    <row r="69" customFormat="false" ht="15" hidden="false" customHeight="false" outlineLevel="0" collapsed="false">
      <c r="A69" s="91" t="s">
        <v>781</v>
      </c>
      <c r="C69" s="100" t="n">
        <f aca="false">G68</f>
        <v>0.0757262943921287</v>
      </c>
      <c r="D69" s="94" t="n">
        <f aca="false">SUMPRODUCT($C$37:$H$37,(1+C69)^(-$C$36:$H$36))+$I$37/(C69-$C$26)*(1+C69)^(-$H$35)</f>
        <v>9122031</v>
      </c>
      <c r="E69" s="94" t="n">
        <f aca="false">D69-$C$25</f>
        <v>0</v>
      </c>
      <c r="F69" s="94" t="n">
        <f aca="false">-SUMPRODUCT($C$37:$H$37,$C$36:$H$36,(1+C69)^(-$C$36:$H$36-1))-$I$37*((1+C69)^(-$H$35)/(C69-$C$26)^2+$H$35*(1+C69)^(-$H$35-1)/(C69-$C$26))</f>
        <v>-212657011.193794</v>
      </c>
      <c r="G69" s="100" t="n">
        <f aca="false">C69-E69/F69</f>
        <v>0.0757262943921287</v>
      </c>
    </row>
    <row r="70" customFormat="false" ht="15" hidden="false" customHeight="false" outlineLevel="0" collapsed="false">
      <c r="A70" s="91" t="s">
        <v>782</v>
      </c>
      <c r="C70" s="100" t="n">
        <f aca="false">G69</f>
        <v>0.0757262943921287</v>
      </c>
      <c r="D70" s="94" t="n">
        <f aca="false">SUMPRODUCT($C$37:$H$37,(1+C70)^(-$C$36:$H$36))+$I$37/(C70-$C$26)*(1+C70)^(-$H$35)</f>
        <v>9122031</v>
      </c>
      <c r="E70" s="94" t="n">
        <f aca="false">D70-$C$25</f>
        <v>0</v>
      </c>
      <c r="F70" s="94" t="n">
        <f aca="false">-SUMPRODUCT($C$37:$H$37,$C$36:$H$36,(1+C70)^(-$C$36:$H$36-1))-$I$37*((1+C70)^(-$H$35)/(C70-$C$26)^2+$H$35*(1+C70)^(-$H$35-1)/(C70-$C$26))</f>
        <v>-212657011.193794</v>
      </c>
      <c r="G70" s="100" t="n">
        <f aca="false">C70-E70/F70</f>
        <v>0.0757262943921287</v>
      </c>
    </row>
    <row r="71" customFormat="false" ht="15" hidden="false" customHeight="false" outlineLevel="0" collapsed="false">
      <c r="A71" s="91" t="s">
        <v>783</v>
      </c>
      <c r="C71" s="100" t="n">
        <f aca="false">G70</f>
        <v>0.0757262943921287</v>
      </c>
      <c r="D71" s="94" t="n">
        <f aca="false">SUMPRODUCT($C$37:$H$37,(1+C71)^(-$C$36:$H$36))+$I$37/(C71-$C$26)*(1+C71)^(-$H$35)</f>
        <v>9122031</v>
      </c>
      <c r="E71" s="94" t="n">
        <f aca="false">D71-$C$25</f>
        <v>0</v>
      </c>
      <c r="F71" s="94" t="n">
        <f aca="false">-SUMPRODUCT($C$37:$H$37,$C$36:$H$36,(1+C71)^(-$C$36:$H$36-1))-$I$37*((1+C71)^(-$H$35)/(C71-$C$26)^2+$H$35*(1+C71)^(-$H$35-1)/(C71-$C$26))</f>
        <v>-212657011.193794</v>
      </c>
      <c r="G71" s="100" t="n">
        <f aca="false">C71-E71/F71</f>
        <v>0.0757262943921287</v>
      </c>
    </row>
    <row r="72" customFormat="false" ht="15" hidden="false" customHeight="false" outlineLevel="0" collapsed="false">
      <c r="A72" s="85" t="s">
        <v>784</v>
      </c>
      <c r="C72" s="101" t="n">
        <f aca="false">G71</f>
        <v>0.0757262943921287</v>
      </c>
    </row>
    <row r="73" customFormat="false" ht="15" hidden="false" customHeight="false" outlineLevel="0" collapsed="false">
      <c r="A73" s="85" t="s">
        <v>785</v>
      </c>
      <c r="C73" s="101" t="n">
        <f aca="false">(1+C72)/(1+C17)-1</f>
        <v>0.0443944605748821</v>
      </c>
    </row>
    <row r="74" customFormat="false" ht="15" hidden="false" customHeight="false" outlineLevel="0" collapsed="false">
      <c r="A74" s="91" t="s">
        <v>786</v>
      </c>
      <c r="C74" s="102" t="n">
        <f aca="false">(SUMPRODUCT($C$37:$H$37,(1+C72)^(-$C$36:$H$36))+$I$37/(C72-$C$26)*(1+C72)^(-$H$35)-C23-C24)/C21</f>
        <v>3555</v>
      </c>
      <c r="D74" s="103" t="n">
        <f aca="false">C74-C18</f>
        <v>0</v>
      </c>
    </row>
    <row r="75" customFormat="false" ht="15" hidden="false" customHeight="false" outlineLevel="0" collapsed="false">
      <c r="A75" s="91" t="s">
        <v>787</v>
      </c>
      <c r="C75" s="104" t="n">
        <f aca="false">(C72-TIR_Implicita!C4)*10000</f>
        <v>-7.87135634450209E-008</v>
      </c>
    </row>
    <row r="77" customFormat="false" ht="15" hidden="false" customHeight="false" outlineLevel="0" collapsed="false">
      <c r="A77" s="10" t="s">
        <v>788</v>
      </c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" hidden="false" customHeight="false" outlineLevel="0" collapsed="false">
      <c r="A78" s="84" t="s">
        <v>789</v>
      </c>
    </row>
    <row r="79" customFormat="false" ht="15" hidden="false" customHeight="false" outlineLevel="0" collapsed="false">
      <c r="A79" s="85" t="s">
        <v>790</v>
      </c>
      <c r="F79" s="89" t="n">
        <f aca="false">C18</f>
        <v>3555</v>
      </c>
      <c r="G79" s="89" t="n">
        <f aca="false">C19</f>
        <v>2075.72669191032</v>
      </c>
      <c r="H79" s="89" t="n">
        <f aca="false">C20</f>
        <v>1856.81199718015</v>
      </c>
      <c r="I79" s="89" t="n">
        <f aca="false">C18</f>
        <v>3555</v>
      </c>
    </row>
    <row r="80" customFormat="false" ht="39.75" hidden="false" customHeight="true" outlineLevel="0" collapsed="false">
      <c r="A80" s="85" t="s">
        <v>791</v>
      </c>
      <c r="B80" s="86" t="s">
        <v>792</v>
      </c>
      <c r="C80" s="86" t="s">
        <v>793</v>
      </c>
      <c r="D80" s="86" t="s">
        <v>794</v>
      </c>
      <c r="E80" s="86" t="s">
        <v>795</v>
      </c>
      <c r="F80" s="86" t="s">
        <v>796</v>
      </c>
      <c r="G80" s="86" t="s">
        <v>797</v>
      </c>
      <c r="H80" s="86" t="s">
        <v>798</v>
      </c>
      <c r="I80" s="86" t="s">
        <v>799</v>
      </c>
    </row>
    <row r="81" customFormat="false" ht="15" hidden="false" customHeight="false" outlineLevel="0" collapsed="false">
      <c r="A81" s="105" t="n">
        <v>0</v>
      </c>
      <c r="B81" s="98" t="n">
        <f aca="false">A81/4</f>
        <v>0</v>
      </c>
      <c r="C81" s="94" t="n">
        <f aca="false">SUMPRODUCT((ROUND($C$36:$H$36*4,0)=A81)*$C$40:$H$40)</f>
        <v>0</v>
      </c>
      <c r="D81" s="94" t="n">
        <f aca="false">IF(A81=ROUND($H$35*4,0),$C$48,0)</f>
        <v>0</v>
      </c>
      <c r="E81" s="94" t="n">
        <f aca="false">IF(A81=ROUND($H$35*4,0),$C$51,0)</f>
        <v>0</v>
      </c>
      <c r="F81" s="94" t="n">
        <f aca="false">-F$79*$C$21</f>
        <v>-7785450</v>
      </c>
      <c r="G81" s="94" t="n">
        <f aca="false">-G$79*$C$21</f>
        <v>-4545841.4552836</v>
      </c>
      <c r="H81" s="94" t="n">
        <f aca="false">-H$79*$C$21</f>
        <v>-4066418.27382452</v>
      </c>
      <c r="I81" s="94" t="n">
        <f aca="false">-I$79*$C$21</f>
        <v>-7785450</v>
      </c>
    </row>
    <row r="82" customFormat="false" ht="15" hidden="false" customHeight="false" outlineLevel="0" collapsed="false">
      <c r="A82" s="105" t="n">
        <v>1</v>
      </c>
      <c r="B82" s="98" t="n">
        <f aca="false">A82/4</f>
        <v>0.25</v>
      </c>
      <c r="C82" s="94" t="n">
        <f aca="false">SUMPRODUCT((ROUND($C$36:$H$36*4,0)=A82)*$C$40:$H$40)</f>
        <v>181125.356143167</v>
      </c>
      <c r="D82" s="94" t="n">
        <f aca="false">IF(A82=ROUND($H$35*4,0),$C$48,0)</f>
        <v>0</v>
      </c>
      <c r="E82" s="94" t="n">
        <f aca="false">IF(A82=ROUND($H$35*4,0),$C$51,0)</f>
        <v>0</v>
      </c>
      <c r="F82" s="94" t="n">
        <f aca="false">C82+D82</f>
        <v>181125.356143167</v>
      </c>
      <c r="G82" s="94" t="n">
        <f aca="false">C82+D82</f>
        <v>181125.356143167</v>
      </c>
      <c r="H82" s="94" t="n">
        <f aca="false">C82+D82</f>
        <v>181125.356143167</v>
      </c>
      <c r="I82" s="94" t="n">
        <f aca="false">C82+E82</f>
        <v>181125.356143167</v>
      </c>
    </row>
    <row r="83" customFormat="false" ht="15" hidden="false" customHeight="false" outlineLevel="0" collapsed="false">
      <c r="A83" s="105" t="n">
        <v>2</v>
      </c>
      <c r="B83" s="98" t="n">
        <f aca="false">A83/4</f>
        <v>0.5</v>
      </c>
      <c r="C83" s="94" t="n">
        <f aca="false">SUMPRODUCT((ROUND($C$36:$H$36*4,0)=A83)*$C$40:$H$40)</f>
        <v>0</v>
      </c>
      <c r="D83" s="94" t="n">
        <f aca="false">IF(A83=ROUND($H$35*4,0),$C$48,0)</f>
        <v>0</v>
      </c>
      <c r="E83" s="94" t="n">
        <f aca="false">IF(A83=ROUND($H$35*4,0),$C$51,0)</f>
        <v>0</v>
      </c>
      <c r="F83" s="94" t="n">
        <f aca="false">C83+D83</f>
        <v>0</v>
      </c>
      <c r="G83" s="94" t="n">
        <f aca="false">C83+D83</f>
        <v>0</v>
      </c>
      <c r="H83" s="94" t="n">
        <f aca="false">C83+D83</f>
        <v>0</v>
      </c>
      <c r="I83" s="94" t="n">
        <f aca="false">C83+E83</f>
        <v>0</v>
      </c>
    </row>
    <row r="84" customFormat="false" ht="15" hidden="false" customHeight="false" outlineLevel="0" collapsed="false">
      <c r="A84" s="105" t="n">
        <v>3</v>
      </c>
      <c r="B84" s="98" t="n">
        <f aca="false">A84/4</f>
        <v>0.75</v>
      </c>
      <c r="C84" s="94" t="n">
        <f aca="false">SUMPRODUCT((ROUND($C$36:$H$36*4,0)=A84)*$C$40:$H$40)</f>
        <v>0</v>
      </c>
      <c r="D84" s="94" t="n">
        <f aca="false">IF(A84=ROUND($H$35*4,0),$C$48,0)</f>
        <v>0</v>
      </c>
      <c r="E84" s="94" t="n">
        <f aca="false">IF(A84=ROUND($H$35*4,0),$C$51,0)</f>
        <v>0</v>
      </c>
      <c r="F84" s="94" t="n">
        <f aca="false">C84+D84</f>
        <v>0</v>
      </c>
      <c r="G84" s="94" t="n">
        <f aca="false">C84+D84</f>
        <v>0</v>
      </c>
      <c r="H84" s="94" t="n">
        <f aca="false">C84+D84</f>
        <v>0</v>
      </c>
      <c r="I84" s="94" t="n">
        <f aca="false">C84+E84</f>
        <v>0</v>
      </c>
    </row>
    <row r="85" customFormat="false" ht="15" hidden="false" customHeight="false" outlineLevel="0" collapsed="false">
      <c r="A85" s="105" t="n">
        <v>4</v>
      </c>
      <c r="B85" s="98" t="n">
        <f aca="false">A85/4</f>
        <v>1</v>
      </c>
      <c r="C85" s="94" t="n">
        <f aca="false">SUMPRODUCT((ROUND($C$36:$H$36*4,0)=A85)*$C$40:$H$40)</f>
        <v>388163.554870063</v>
      </c>
      <c r="D85" s="94" t="n">
        <f aca="false">IF(A85=ROUND($H$35*4,0),$C$48,0)</f>
        <v>0</v>
      </c>
      <c r="E85" s="94" t="n">
        <f aca="false">IF(A85=ROUND($H$35*4,0),$C$51,0)</f>
        <v>0</v>
      </c>
      <c r="F85" s="94" t="n">
        <f aca="false">C85+D85</f>
        <v>388163.554870063</v>
      </c>
      <c r="G85" s="94" t="n">
        <f aca="false">C85+D85</f>
        <v>388163.554870063</v>
      </c>
      <c r="H85" s="94" t="n">
        <f aca="false">C85+D85</f>
        <v>388163.554870063</v>
      </c>
      <c r="I85" s="94" t="n">
        <f aca="false">C85+E85</f>
        <v>388163.554870063</v>
      </c>
    </row>
    <row r="86" customFormat="false" ht="15" hidden="false" customHeight="false" outlineLevel="0" collapsed="false">
      <c r="A86" s="105" t="n">
        <v>5</v>
      </c>
      <c r="B86" s="98" t="n">
        <f aca="false">A86/4</f>
        <v>1.25</v>
      </c>
      <c r="C86" s="94" t="n">
        <f aca="false">SUMPRODUCT((ROUND($C$36:$H$36*4,0)=A86)*$C$40:$H$40)</f>
        <v>0</v>
      </c>
      <c r="D86" s="94" t="n">
        <f aca="false">IF(A86=ROUND($H$35*4,0),$C$48,0)</f>
        <v>0</v>
      </c>
      <c r="E86" s="94" t="n">
        <f aca="false">IF(A86=ROUND($H$35*4,0),$C$51,0)</f>
        <v>0</v>
      </c>
      <c r="F86" s="94" t="n">
        <f aca="false">C86+D86</f>
        <v>0</v>
      </c>
      <c r="G86" s="94" t="n">
        <f aca="false">C86+D86</f>
        <v>0</v>
      </c>
      <c r="H86" s="94" t="n">
        <f aca="false">C86+D86</f>
        <v>0</v>
      </c>
      <c r="I86" s="94" t="n">
        <f aca="false">C86+E86</f>
        <v>0</v>
      </c>
    </row>
    <row r="87" customFormat="false" ht="15" hidden="false" customHeight="false" outlineLevel="0" collapsed="false">
      <c r="A87" s="105" t="n">
        <v>6</v>
      </c>
      <c r="B87" s="98" t="n">
        <f aca="false">A87/4</f>
        <v>1.5</v>
      </c>
      <c r="C87" s="94" t="n">
        <f aca="false">SUMPRODUCT((ROUND($C$36:$H$36*4,0)=A87)*$C$40:$H$40)</f>
        <v>0</v>
      </c>
      <c r="D87" s="94" t="n">
        <f aca="false">IF(A87=ROUND($H$35*4,0),$C$48,0)</f>
        <v>0</v>
      </c>
      <c r="E87" s="94" t="n">
        <f aca="false">IF(A87=ROUND($H$35*4,0),$C$51,0)</f>
        <v>0</v>
      </c>
      <c r="F87" s="94" t="n">
        <f aca="false">C87+D87</f>
        <v>0</v>
      </c>
      <c r="G87" s="94" t="n">
        <f aca="false">C87+D87</f>
        <v>0</v>
      </c>
      <c r="H87" s="94" t="n">
        <f aca="false">C87+D87</f>
        <v>0</v>
      </c>
      <c r="I87" s="94" t="n">
        <f aca="false">C87+E87</f>
        <v>0</v>
      </c>
    </row>
    <row r="88" customFormat="false" ht="15" hidden="false" customHeight="false" outlineLevel="0" collapsed="false">
      <c r="A88" s="105" t="n">
        <v>7</v>
      </c>
      <c r="B88" s="98" t="n">
        <f aca="false">A88/4</f>
        <v>1.75</v>
      </c>
      <c r="C88" s="94" t="n">
        <f aca="false">SUMPRODUCT((ROUND($C$36:$H$36*4,0)=A88)*$C$40:$H$40)</f>
        <v>0</v>
      </c>
      <c r="D88" s="94" t="n">
        <f aca="false">IF(A88=ROUND($H$35*4,0),$C$48,0)</f>
        <v>0</v>
      </c>
      <c r="E88" s="94" t="n">
        <f aca="false">IF(A88=ROUND($H$35*4,0),$C$51,0)</f>
        <v>0</v>
      </c>
      <c r="F88" s="94" t="n">
        <f aca="false">C88+D88</f>
        <v>0</v>
      </c>
      <c r="G88" s="94" t="n">
        <f aca="false">C88+D88</f>
        <v>0</v>
      </c>
      <c r="H88" s="94" t="n">
        <f aca="false">C88+D88</f>
        <v>0</v>
      </c>
      <c r="I88" s="94" t="n">
        <f aca="false">C88+E88</f>
        <v>0</v>
      </c>
    </row>
    <row r="89" customFormat="false" ht="15" hidden="false" customHeight="false" outlineLevel="0" collapsed="false">
      <c r="A89" s="105" t="n">
        <v>8</v>
      </c>
      <c r="B89" s="98" t="n">
        <f aca="false">A89/4</f>
        <v>2</v>
      </c>
      <c r="C89" s="94" t="n">
        <f aca="false">SUMPRODUCT((ROUND($C$36:$H$36*4,0)=A89)*$C$40:$H$40)</f>
        <v>439014.980524121</v>
      </c>
      <c r="D89" s="94" t="n">
        <f aca="false">IF(A89=ROUND($H$35*4,0),$C$48,0)</f>
        <v>0</v>
      </c>
      <c r="E89" s="94" t="n">
        <f aca="false">IF(A89=ROUND($H$35*4,0),$C$51,0)</f>
        <v>0</v>
      </c>
      <c r="F89" s="94" t="n">
        <f aca="false">C89+D89</f>
        <v>439014.980524121</v>
      </c>
      <c r="G89" s="94" t="n">
        <f aca="false">C89+D89</f>
        <v>439014.980524121</v>
      </c>
      <c r="H89" s="94" t="n">
        <f aca="false">C89+D89</f>
        <v>439014.980524121</v>
      </c>
      <c r="I89" s="94" t="n">
        <f aca="false">C89+E89</f>
        <v>439014.980524121</v>
      </c>
    </row>
    <row r="90" customFormat="false" ht="15" hidden="false" customHeight="false" outlineLevel="0" collapsed="false">
      <c r="A90" s="105" t="n">
        <v>9</v>
      </c>
      <c r="B90" s="98" t="n">
        <f aca="false">A90/4</f>
        <v>2.25</v>
      </c>
      <c r="C90" s="94" t="n">
        <f aca="false">SUMPRODUCT((ROUND($C$36:$H$36*4,0)=A90)*$C$40:$H$40)</f>
        <v>0</v>
      </c>
      <c r="D90" s="94" t="n">
        <f aca="false">IF(A90=ROUND($H$35*4,0),$C$48,0)</f>
        <v>0</v>
      </c>
      <c r="E90" s="94" t="n">
        <f aca="false">IF(A90=ROUND($H$35*4,0),$C$51,0)</f>
        <v>0</v>
      </c>
      <c r="F90" s="94" t="n">
        <f aca="false">C90+D90</f>
        <v>0</v>
      </c>
      <c r="G90" s="94" t="n">
        <f aca="false">C90+D90</f>
        <v>0</v>
      </c>
      <c r="H90" s="94" t="n">
        <f aca="false">C90+D90</f>
        <v>0</v>
      </c>
      <c r="I90" s="94" t="n">
        <f aca="false">C90+E90</f>
        <v>0</v>
      </c>
    </row>
    <row r="91" customFormat="false" ht="15" hidden="false" customHeight="false" outlineLevel="0" collapsed="false">
      <c r="A91" s="105" t="n">
        <v>10</v>
      </c>
      <c r="B91" s="98" t="n">
        <f aca="false">A91/4</f>
        <v>2.5</v>
      </c>
      <c r="C91" s="94" t="n">
        <f aca="false">SUMPRODUCT((ROUND($C$36:$H$36*4,0)=A91)*$C$40:$H$40)</f>
        <v>0</v>
      </c>
      <c r="D91" s="94" t="n">
        <f aca="false">IF(A91=ROUND($H$35*4,0),$C$48,0)</f>
        <v>0</v>
      </c>
      <c r="E91" s="94" t="n">
        <f aca="false">IF(A91=ROUND($H$35*4,0),$C$51,0)</f>
        <v>0</v>
      </c>
      <c r="F91" s="94" t="n">
        <f aca="false">C91+D91</f>
        <v>0</v>
      </c>
      <c r="G91" s="94" t="n">
        <f aca="false">C91+D91</f>
        <v>0</v>
      </c>
      <c r="H91" s="94" t="n">
        <f aca="false">C91+D91</f>
        <v>0</v>
      </c>
      <c r="I91" s="94" t="n">
        <f aca="false">C91+E91</f>
        <v>0</v>
      </c>
    </row>
    <row r="92" customFormat="false" ht="15" hidden="false" customHeight="false" outlineLevel="0" collapsed="false">
      <c r="A92" s="105" t="n">
        <v>11</v>
      </c>
      <c r="B92" s="98" t="n">
        <f aca="false">A92/4</f>
        <v>2.75</v>
      </c>
      <c r="C92" s="94" t="n">
        <f aca="false">SUMPRODUCT((ROUND($C$36:$H$36*4,0)=A92)*$C$40:$H$40)</f>
        <v>0</v>
      </c>
      <c r="D92" s="94" t="n">
        <f aca="false">IF(A92=ROUND($H$35*4,0),$C$48,0)</f>
        <v>0</v>
      </c>
      <c r="E92" s="94" t="n">
        <f aca="false">IF(A92=ROUND($H$35*4,0),$C$51,0)</f>
        <v>0</v>
      </c>
      <c r="F92" s="94" t="n">
        <f aca="false">C92+D92</f>
        <v>0</v>
      </c>
      <c r="G92" s="94" t="n">
        <f aca="false">C92+D92</f>
        <v>0</v>
      </c>
      <c r="H92" s="94" t="n">
        <f aca="false">C92+D92</f>
        <v>0</v>
      </c>
      <c r="I92" s="94" t="n">
        <f aca="false">C92+E92</f>
        <v>0</v>
      </c>
    </row>
    <row r="93" customFormat="false" ht="15" hidden="false" customHeight="false" outlineLevel="0" collapsed="false">
      <c r="A93" s="105" t="n">
        <v>12</v>
      </c>
      <c r="B93" s="98" t="n">
        <f aca="false">A93/4</f>
        <v>3</v>
      </c>
      <c r="C93" s="94" t="n">
        <f aca="false">SUMPRODUCT((ROUND($C$36:$H$36*4,0)=A93)*$C$40:$H$40)</f>
        <v>553849.565186733</v>
      </c>
      <c r="D93" s="94" t="n">
        <f aca="false">IF(A93=ROUND($H$35*4,0),$C$48,0)</f>
        <v>0</v>
      </c>
      <c r="E93" s="94" t="n">
        <f aca="false">IF(A93=ROUND($H$35*4,0),$C$51,0)</f>
        <v>0</v>
      </c>
      <c r="F93" s="94" t="n">
        <f aca="false">C93+D93</f>
        <v>553849.565186733</v>
      </c>
      <c r="G93" s="94" t="n">
        <f aca="false">C93+D93</f>
        <v>553849.565186733</v>
      </c>
      <c r="H93" s="94" t="n">
        <f aca="false">C93+D93</f>
        <v>553849.565186733</v>
      </c>
      <c r="I93" s="94" t="n">
        <f aca="false">C93+E93</f>
        <v>553849.565186733</v>
      </c>
    </row>
    <row r="94" customFormat="false" ht="15" hidden="false" customHeight="false" outlineLevel="0" collapsed="false">
      <c r="A94" s="105" t="n">
        <v>13</v>
      </c>
      <c r="B94" s="98" t="n">
        <f aca="false">A94/4</f>
        <v>3.25</v>
      </c>
      <c r="C94" s="94" t="n">
        <f aca="false">SUMPRODUCT((ROUND($C$36:$H$36*4,0)=A94)*$C$40:$H$40)</f>
        <v>0</v>
      </c>
      <c r="D94" s="94" t="n">
        <f aca="false">IF(A94=ROUND($H$35*4,0),$C$48,0)</f>
        <v>0</v>
      </c>
      <c r="E94" s="94" t="n">
        <f aca="false">IF(A94=ROUND($H$35*4,0),$C$51,0)</f>
        <v>0</v>
      </c>
      <c r="F94" s="94" t="n">
        <f aca="false">C94+D94</f>
        <v>0</v>
      </c>
      <c r="G94" s="94" t="n">
        <f aca="false">C94+D94</f>
        <v>0</v>
      </c>
      <c r="H94" s="94" t="n">
        <f aca="false">C94+D94</f>
        <v>0</v>
      </c>
      <c r="I94" s="94" t="n">
        <f aca="false">C94+E94</f>
        <v>0</v>
      </c>
    </row>
    <row r="95" customFormat="false" ht="15" hidden="false" customHeight="false" outlineLevel="0" collapsed="false">
      <c r="A95" s="105" t="n">
        <v>14</v>
      </c>
      <c r="B95" s="98" t="n">
        <f aca="false">A95/4</f>
        <v>3.5</v>
      </c>
      <c r="C95" s="94" t="n">
        <f aca="false">SUMPRODUCT((ROUND($C$36:$H$36*4,0)=A95)*$C$40:$H$40)</f>
        <v>0</v>
      </c>
      <c r="D95" s="94" t="n">
        <f aca="false">IF(A95=ROUND($H$35*4,0),$C$48,0)</f>
        <v>0</v>
      </c>
      <c r="E95" s="94" t="n">
        <f aca="false">IF(A95=ROUND($H$35*4,0),$C$51,0)</f>
        <v>0</v>
      </c>
      <c r="F95" s="94" t="n">
        <f aca="false">C95+D95</f>
        <v>0</v>
      </c>
      <c r="G95" s="94" t="n">
        <f aca="false">C95+D95</f>
        <v>0</v>
      </c>
      <c r="H95" s="94" t="n">
        <f aca="false">C95+D95</f>
        <v>0</v>
      </c>
      <c r="I95" s="94" t="n">
        <f aca="false">C95+E95</f>
        <v>0</v>
      </c>
    </row>
    <row r="96" customFormat="false" ht="15" hidden="false" customHeight="false" outlineLevel="0" collapsed="false">
      <c r="A96" s="105" t="n">
        <v>15</v>
      </c>
      <c r="B96" s="98" t="n">
        <f aca="false">A96/4</f>
        <v>3.75</v>
      </c>
      <c r="C96" s="94" t="n">
        <f aca="false">SUMPRODUCT((ROUND($C$36:$H$36*4,0)=A96)*$C$40:$H$40)</f>
        <v>0</v>
      </c>
      <c r="D96" s="94" t="n">
        <f aca="false">IF(A96=ROUND($H$35*4,0),$C$48,0)</f>
        <v>0</v>
      </c>
      <c r="E96" s="94" t="n">
        <f aca="false">IF(A96=ROUND($H$35*4,0),$C$51,0)</f>
        <v>0</v>
      </c>
      <c r="F96" s="94" t="n">
        <f aca="false">C96+D96</f>
        <v>0</v>
      </c>
      <c r="G96" s="94" t="n">
        <f aca="false">C96+D96</f>
        <v>0</v>
      </c>
      <c r="H96" s="94" t="n">
        <f aca="false">C96+D96</f>
        <v>0</v>
      </c>
      <c r="I96" s="94" t="n">
        <f aca="false">C96+E96</f>
        <v>0</v>
      </c>
    </row>
    <row r="97" customFormat="false" ht="15" hidden="false" customHeight="false" outlineLevel="0" collapsed="false">
      <c r="A97" s="105" t="n">
        <v>16</v>
      </c>
      <c r="B97" s="98" t="n">
        <f aca="false">A97/4</f>
        <v>4</v>
      </c>
      <c r="C97" s="94" t="n">
        <f aca="false">SUMPRODUCT((ROUND($C$36:$H$36*4,0)=A97)*$C$40:$H$40)</f>
        <v>553383.95379281</v>
      </c>
      <c r="D97" s="94" t="n">
        <f aca="false">IF(A97=ROUND($H$35*4,0),$C$48,0)</f>
        <v>0</v>
      </c>
      <c r="E97" s="94" t="n">
        <f aca="false">IF(A97=ROUND($H$35*4,0),$C$51,0)</f>
        <v>0</v>
      </c>
      <c r="F97" s="94" t="n">
        <f aca="false">C97+D97</f>
        <v>553383.95379281</v>
      </c>
      <c r="G97" s="94" t="n">
        <f aca="false">C97+D97</f>
        <v>553383.95379281</v>
      </c>
      <c r="H97" s="94" t="n">
        <f aca="false">C97+D97</f>
        <v>553383.95379281</v>
      </c>
      <c r="I97" s="94" t="n">
        <f aca="false">C97+E97</f>
        <v>553383.95379281</v>
      </c>
    </row>
    <row r="98" customFormat="false" ht="15" hidden="false" customHeight="false" outlineLevel="0" collapsed="false">
      <c r="A98" s="105" t="n">
        <v>17</v>
      </c>
      <c r="B98" s="98" t="n">
        <f aca="false">A98/4</f>
        <v>4.25</v>
      </c>
      <c r="C98" s="94" t="n">
        <f aca="false">SUMPRODUCT((ROUND($C$36:$H$36*4,0)=A98)*$C$40:$H$40)</f>
        <v>0</v>
      </c>
      <c r="D98" s="94" t="n">
        <f aca="false">IF(A98=ROUND($H$35*4,0),$C$48,0)</f>
        <v>0</v>
      </c>
      <c r="E98" s="94" t="n">
        <f aca="false">IF(A98=ROUND($H$35*4,0),$C$51,0)</f>
        <v>0</v>
      </c>
      <c r="F98" s="94" t="n">
        <f aca="false">C98+D98</f>
        <v>0</v>
      </c>
      <c r="G98" s="94" t="n">
        <f aca="false">C98+D98</f>
        <v>0</v>
      </c>
      <c r="H98" s="94" t="n">
        <f aca="false">C98+D98</f>
        <v>0</v>
      </c>
      <c r="I98" s="94" t="n">
        <f aca="false">C98+E98</f>
        <v>0</v>
      </c>
    </row>
    <row r="99" customFormat="false" ht="15" hidden="false" customHeight="false" outlineLevel="0" collapsed="false">
      <c r="A99" s="105" t="n">
        <v>18</v>
      </c>
      <c r="B99" s="98" t="n">
        <f aca="false">A99/4</f>
        <v>4.5</v>
      </c>
      <c r="C99" s="94" t="n">
        <f aca="false">SUMPRODUCT((ROUND($C$36:$H$36*4,0)=A99)*$C$40:$H$40)</f>
        <v>0</v>
      </c>
      <c r="D99" s="94" t="n">
        <f aca="false">IF(A99=ROUND($H$35*4,0),$C$48,0)</f>
        <v>0</v>
      </c>
      <c r="E99" s="94" t="n">
        <f aca="false">IF(A99=ROUND($H$35*4,0),$C$51,0)</f>
        <v>0</v>
      </c>
      <c r="F99" s="94" t="n">
        <f aca="false">C99+D99</f>
        <v>0</v>
      </c>
      <c r="G99" s="94" t="n">
        <f aca="false">C99+D99</f>
        <v>0</v>
      </c>
      <c r="H99" s="94" t="n">
        <f aca="false">C99+D99</f>
        <v>0</v>
      </c>
      <c r="I99" s="94" t="n">
        <f aca="false">C99+E99</f>
        <v>0</v>
      </c>
    </row>
    <row r="100" customFormat="false" ht="15" hidden="false" customHeight="false" outlineLevel="0" collapsed="false">
      <c r="A100" s="105" t="n">
        <v>19</v>
      </c>
      <c r="B100" s="98" t="n">
        <f aca="false">A100/4</f>
        <v>4.75</v>
      </c>
      <c r="C100" s="94" t="n">
        <f aca="false">SUMPRODUCT((ROUND($C$36:$H$36*4,0)=A100)*$C$40:$H$40)</f>
        <v>0</v>
      </c>
      <c r="D100" s="94" t="n">
        <f aca="false">IF(A100=ROUND($H$35*4,0),$C$48,0)</f>
        <v>0</v>
      </c>
      <c r="E100" s="94" t="n">
        <f aca="false">IF(A100=ROUND($H$35*4,0),$C$51,0)</f>
        <v>0</v>
      </c>
      <c r="F100" s="94" t="n">
        <f aca="false">C100+D100</f>
        <v>0</v>
      </c>
      <c r="G100" s="94" t="n">
        <f aca="false">C100+D100</f>
        <v>0</v>
      </c>
      <c r="H100" s="94" t="n">
        <f aca="false">C100+D100</f>
        <v>0</v>
      </c>
      <c r="I100" s="94" t="n">
        <f aca="false">C100+E100</f>
        <v>0</v>
      </c>
    </row>
    <row r="101" customFormat="false" ht="15" hidden="false" customHeight="false" outlineLevel="0" collapsed="false">
      <c r="A101" s="105" t="n">
        <v>20</v>
      </c>
      <c r="B101" s="98" t="n">
        <f aca="false">A101/4</f>
        <v>5</v>
      </c>
      <c r="C101" s="94" t="n">
        <f aca="false">SUMPRODUCT((ROUND($C$36:$H$36*4,0)=A101)*$C$40:$H$40)</f>
        <v>577399.023521837</v>
      </c>
      <c r="D101" s="94" t="n">
        <f aca="false">IF(A101=ROUND($H$35*4,0),$C$48,0)</f>
        <v>0</v>
      </c>
      <c r="E101" s="94" t="n">
        <f aca="false">IF(A101=ROUND($H$35*4,0),$C$51,0)</f>
        <v>0</v>
      </c>
      <c r="F101" s="94" t="n">
        <f aca="false">C101+D101</f>
        <v>577399.023521837</v>
      </c>
      <c r="G101" s="94" t="n">
        <f aca="false">C101+D101</f>
        <v>577399.023521837</v>
      </c>
      <c r="H101" s="94" t="n">
        <f aca="false">C101+D101</f>
        <v>577399.023521837</v>
      </c>
      <c r="I101" s="94" t="n">
        <f aca="false">C101+E101</f>
        <v>577399.023521837</v>
      </c>
    </row>
    <row r="102" customFormat="false" ht="15" hidden="false" customHeight="false" outlineLevel="0" collapsed="false">
      <c r="A102" s="105" t="n">
        <v>21</v>
      </c>
      <c r="B102" s="98" t="n">
        <f aca="false">A102/4</f>
        <v>5.25</v>
      </c>
      <c r="C102" s="94" t="n">
        <f aca="false">SUMPRODUCT((ROUND($C$36:$H$36*4,0)=A102)*$C$40:$H$40)</f>
        <v>0</v>
      </c>
      <c r="D102" s="94" t="n">
        <f aca="false">IF(A102=ROUND($H$35*4,0),$C$48,0)</f>
        <v>0</v>
      </c>
      <c r="E102" s="94" t="n">
        <f aca="false">IF(A102=ROUND($H$35*4,0),$C$51,0)</f>
        <v>0</v>
      </c>
      <c r="F102" s="94" t="n">
        <f aca="false">C102+D102</f>
        <v>0</v>
      </c>
      <c r="G102" s="94" t="n">
        <f aca="false">C102+D102</f>
        <v>0</v>
      </c>
      <c r="H102" s="94" t="n">
        <f aca="false">C102+D102</f>
        <v>0</v>
      </c>
      <c r="I102" s="94" t="n">
        <f aca="false">C102+E102</f>
        <v>0</v>
      </c>
    </row>
    <row r="103" customFormat="false" ht="15" hidden="false" customHeight="false" outlineLevel="0" collapsed="false">
      <c r="A103" s="105" t="n">
        <v>22</v>
      </c>
      <c r="B103" s="98" t="n">
        <f aca="false">A103/4</f>
        <v>5.5</v>
      </c>
      <c r="C103" s="94" t="n">
        <f aca="false">SUMPRODUCT((ROUND($C$36:$H$36*4,0)=A103)*$C$40:$H$40)</f>
        <v>0</v>
      </c>
      <c r="D103" s="94" t="n">
        <f aca="false">IF(A103=ROUND($H$35*4,0),$C$48,0)</f>
        <v>4398194.15759398</v>
      </c>
      <c r="E103" s="94" t="n">
        <f aca="false">IF(A103=ROUND($H$35*4,0),$C$51,0)</f>
        <v>8830391.16579323</v>
      </c>
      <c r="F103" s="94" t="n">
        <f aca="false">C103+D103</f>
        <v>4398194.15759398</v>
      </c>
      <c r="G103" s="94" t="n">
        <f aca="false">C103+D103</f>
        <v>4398194.15759398</v>
      </c>
      <c r="H103" s="94" t="n">
        <f aca="false">C103+D103</f>
        <v>4398194.15759398</v>
      </c>
      <c r="I103" s="94" t="n">
        <f aca="false">C103+E103</f>
        <v>8830391.16579323</v>
      </c>
    </row>
    <row r="104" customFormat="false" ht="15" hidden="false" customHeight="false" outlineLevel="0" collapsed="false">
      <c r="A104" s="85" t="s">
        <v>800</v>
      </c>
      <c r="F104" s="100" t="n">
        <f aca="false">IRR(F81:F103,0.01)</f>
        <v>-0.00509311685591116</v>
      </c>
      <c r="G104" s="100" t="n">
        <f aca="false">IRR(G81:G103,0.01)</f>
        <v>0.0254526266081285</v>
      </c>
      <c r="H104" s="100" t="n">
        <f aca="false">IRR(H81:H103,0.01)</f>
        <v>0.0322012413948856</v>
      </c>
      <c r="I104" s="100" t="n">
        <f aca="false">IRR(I81:I103,0.01)</f>
        <v>0.0204493959668006</v>
      </c>
    </row>
    <row r="105" customFormat="false" ht="15" hidden="false" customHeight="false" outlineLevel="0" collapsed="false">
      <c r="A105" s="85" t="s">
        <v>801</v>
      </c>
      <c r="F105" s="101" t="n">
        <f aca="false">(1+F104)^4-1</f>
        <v>-0.020217356173453</v>
      </c>
      <c r="G105" s="101" t="n">
        <f aca="false">(1+G104)^4-1</f>
        <v>0.10576389986351</v>
      </c>
      <c r="H105" s="101" t="n">
        <f aca="false">(1+H104)^4-1</f>
        <v>0.13516112090488</v>
      </c>
      <c r="I105" s="101" t="n">
        <f aca="false">(1+I104)^4-1</f>
        <v>0.0843410314456043</v>
      </c>
    </row>
    <row r="106" customFormat="false" ht="15" hidden="false" customHeight="false" outlineLevel="0" collapsed="false">
      <c r="A106" s="85" t="s">
        <v>802</v>
      </c>
      <c r="F106" s="101" t="n">
        <f aca="false">(1+F105)/(1+$C$17)-1</f>
        <v>-0.0487547147315078</v>
      </c>
      <c r="G106" s="101" t="n">
        <f aca="false">(1+G105)/(1+$C$17)-1</f>
        <v>0.0735571843335043</v>
      </c>
      <c r="H106" s="101" t="n">
        <f aca="false">(1+H105)/(1+$C$17)-1</f>
        <v>0.102098175635805</v>
      </c>
      <c r="I106" s="101" t="n">
        <f aca="false">(1+I105)/(1+$C$17)-1</f>
        <v>0.0527582829568973</v>
      </c>
    </row>
    <row r="107" customFormat="false" ht="15" hidden="false" customHeight="false" outlineLevel="0" collapsed="false">
      <c r="A107" s="91" t="s">
        <v>803</v>
      </c>
      <c r="F107" s="104" t="n">
        <f aca="false">NPV(F104,F82:F103)+F81</f>
        <v>5.84591180086136E-006</v>
      </c>
      <c r="G107" s="104" t="n">
        <f aca="false">NPV(G104,G82:G103)+G81</f>
        <v>4.83356416225433E-007</v>
      </c>
      <c r="H107" s="104" t="n">
        <f aca="false">NPV(H104,H82:H103)+H81</f>
        <v>0</v>
      </c>
      <c r="I107" s="104" t="n">
        <f aca="false">NPV(I104,I82:I103)+I81</f>
        <v>0</v>
      </c>
    </row>
    <row r="110" customFormat="false" ht="15" hidden="false" customHeight="false" outlineLevel="0" collapsed="false">
      <c r="A110" s="10" t="s">
        <v>804</v>
      </c>
      <c r="B110" s="10"/>
      <c r="C110" s="10"/>
      <c r="D110" s="10"/>
      <c r="E110" s="10"/>
      <c r="F110" s="10"/>
      <c r="G110" s="10"/>
      <c r="H110" s="10"/>
      <c r="I110" s="10"/>
      <c r="J110" s="10"/>
    </row>
    <row r="111" customFormat="false" ht="15" hidden="false" customHeight="false" outlineLevel="0" collapsed="false">
      <c r="A111" s="84" t="s">
        <v>805</v>
      </c>
    </row>
    <row r="113" customFormat="false" ht="39.75" hidden="false" customHeight="true" outlineLevel="0" collapsed="false">
      <c r="A113" s="85" t="s">
        <v>806</v>
      </c>
      <c r="C113" s="86" t="s">
        <v>807</v>
      </c>
      <c r="D113" s="86" t="s">
        <v>708</v>
      </c>
      <c r="E113" s="86" t="s">
        <v>808</v>
      </c>
      <c r="F113" s="86" t="s">
        <v>809</v>
      </c>
      <c r="G113" s="86" t="s">
        <v>711</v>
      </c>
      <c r="H113" s="86" t="s">
        <v>712</v>
      </c>
      <c r="I113" s="86" t="s">
        <v>810</v>
      </c>
    </row>
    <row r="114" customFormat="false" ht="15" hidden="false" customHeight="false" outlineLevel="0" collapsed="false">
      <c r="A114" s="91" t="s">
        <v>811</v>
      </c>
      <c r="C114" s="87" t="n">
        <f aca="false">C126</f>
        <v>0.0731921256314031</v>
      </c>
      <c r="D114" s="88" t="n">
        <f aca="false">(1+C114)/(1+$C$17)-1</f>
        <v>0.0419341025547604</v>
      </c>
      <c r="E114" s="88" t="n">
        <f aca="false">C123</f>
        <v>0.114138867416108</v>
      </c>
      <c r="F114" s="88" t="n">
        <f aca="false">(1+E114)/(1+$C$17)-1</f>
        <v>0.0816882207923382</v>
      </c>
      <c r="G114" s="94" t="n">
        <f aca="false">(C114-E114)*10000</f>
        <v>-409.467417847053</v>
      </c>
      <c r="H114" s="94" t="n">
        <f aca="false">(D114-F114)*10000</f>
        <v>-397.541182375778</v>
      </c>
      <c r="I114" s="106" t="n">
        <v>1403.02825653351</v>
      </c>
    </row>
    <row r="115" customFormat="false" ht="15" hidden="false" customHeight="false" outlineLevel="0" collapsed="false">
      <c r="A115" s="91" t="s">
        <v>812</v>
      </c>
      <c r="C115" s="87" t="n">
        <f aca="false">C136</f>
        <v>0.0757262943921287</v>
      </c>
      <c r="D115" s="88" t="n">
        <f aca="false">(1+C115)/(1+$C$17)-1</f>
        <v>0.0443944605748821</v>
      </c>
      <c r="E115" s="88" t="n">
        <f aca="false">C133</f>
        <v>0.104138867416108</v>
      </c>
      <c r="F115" s="88" t="n">
        <f aca="false">(1+E115)/(1+$C$17)-1</f>
        <v>0.0719794829282607</v>
      </c>
      <c r="G115" s="94" t="n">
        <f aca="false">(C115-E115)*10000</f>
        <v>-284.125730239798</v>
      </c>
      <c r="H115" s="94" t="n">
        <f aca="false">(D115-F115)*10000</f>
        <v>-275.850223533787</v>
      </c>
      <c r="I115" s="106" t="n">
        <v>1856.81199718015</v>
      </c>
    </row>
    <row r="116" customFormat="false" ht="15" hidden="false" customHeight="false" outlineLevel="0" collapsed="false">
      <c r="A116" s="91" t="s">
        <v>813</v>
      </c>
      <c r="C116" s="87" t="n">
        <f aca="false">C146</f>
        <v>0.0788896483531988</v>
      </c>
      <c r="D116" s="88" t="n">
        <f aca="false">(1+C116)/(1+$C$17)-1</f>
        <v>0.0474656780128142</v>
      </c>
      <c r="E116" s="88" t="n">
        <f aca="false">C143</f>
        <v>0.0941388674161085</v>
      </c>
      <c r="F116" s="88" t="n">
        <f aca="false">(1+E116)/(1+$C$17)-1</f>
        <v>0.0622707450641831</v>
      </c>
      <c r="G116" s="94" t="n">
        <f aca="false">(C116-E116)*10000</f>
        <v>-152.492190629097</v>
      </c>
      <c r="H116" s="94" t="n">
        <f aca="false">(D116-F116)*10000</f>
        <v>-148.050670513689</v>
      </c>
      <c r="I116" s="106" t="n">
        <v>2545.99366143975</v>
      </c>
    </row>
    <row r="119" customFormat="false" ht="15" hidden="false" customHeight="false" outlineLevel="0" collapsed="false">
      <c r="A119" s="10" t="s">
        <v>814</v>
      </c>
      <c r="B119" s="10"/>
      <c r="C119" s="10"/>
      <c r="D119" s="10"/>
      <c r="E119" s="10"/>
      <c r="F119" s="10"/>
      <c r="G119" s="10"/>
      <c r="H119" s="10"/>
      <c r="I119" s="10"/>
      <c r="J119" s="10"/>
    </row>
    <row r="120" customFormat="false" ht="15" hidden="false" customHeight="false" outlineLevel="0" collapsed="false">
      <c r="A120" s="91" t="s">
        <v>815</v>
      </c>
      <c r="C120" s="107" t="n">
        <v>101501.110479864</v>
      </c>
      <c r="D120" s="107" t="n">
        <v>175003.766123098</v>
      </c>
      <c r="E120" s="107" t="n">
        <v>234359.074189176</v>
      </c>
      <c r="F120" s="107" t="n">
        <v>349316.513837361</v>
      </c>
      <c r="G120" s="107" t="n">
        <v>350776.120068153</v>
      </c>
      <c r="H120" s="107" t="n">
        <v>371118.621338758</v>
      </c>
      <c r="I120" s="107" t="n">
        <v>499908.827507774</v>
      </c>
    </row>
    <row r="121" customFormat="false" ht="15" hidden="false" customHeight="false" outlineLevel="0" collapsed="false">
      <c r="A121" s="91" t="s">
        <v>816</v>
      </c>
      <c r="C121" s="108" t="n">
        <v>0.03</v>
      </c>
    </row>
    <row r="122" customFormat="false" ht="15" hidden="false" customHeight="false" outlineLevel="0" collapsed="false">
      <c r="A122" s="91" t="s">
        <v>817</v>
      </c>
      <c r="C122" s="109" t="n">
        <v>100</v>
      </c>
    </row>
    <row r="123" customFormat="false" ht="15" hidden="false" customHeight="false" outlineLevel="0" collapsed="false">
      <c r="A123" s="91" t="s">
        <v>818</v>
      </c>
      <c r="C123" s="88" t="n">
        <f aca="false">$C$27+C122/10000</f>
        <v>0.114138867416108</v>
      </c>
    </row>
    <row r="124" customFormat="false" ht="15" hidden="false" customHeight="false" outlineLevel="0" collapsed="false">
      <c r="A124" s="91" t="s">
        <v>819</v>
      </c>
    </row>
    <row r="125" customFormat="false" ht="15" hidden="false" customHeight="false" outlineLevel="0" collapsed="false">
      <c r="A125" s="91" t="s">
        <v>820</v>
      </c>
      <c r="C125" s="110" t="n">
        <f aca="false">$C$121+0.01</f>
        <v>0.04</v>
      </c>
      <c r="D125" s="110" t="n">
        <f aca="false">C125-((SUMPRODUCT($C$120:$H$120,(1+C125)^(-$C$36:$H$36))+$I$120/(C125-$C$121)*(1+C125)^(-$H$35))-$C$25)/(-SUMPRODUCT($C$120:$H$120,$C$36:$H$36,(1+C125)^(-$C$36:$H$36-1))-$I$120*((1+C125)^(-$H$35)/(C125-$C$121)^2+$H$35*(1+C125)^(-$H$35-1)/(C125-$C$121)))</f>
        <v>0.0476701768875942</v>
      </c>
      <c r="E125" s="110" t="n">
        <f aca="false">D125-((SUMPRODUCT($C$120:$H$120,(1+D125)^(-$C$36:$H$36))+$I$120/(D125-$C$121)*(1+D125)^(-$H$35))-$C$25)/(-SUMPRODUCT($C$120:$H$120,$C$36:$H$36,(1+D125)^(-$C$36:$H$36-1))-$I$120*((1+D125)^(-$H$35)/(D125-$C$121)^2+$H$35*(1+D125)^(-$H$35-1)/(D125-$C$121)))</f>
        <v>0.0580854464831476</v>
      </c>
      <c r="F125" s="110" t="n">
        <f aca="false">E125-((SUMPRODUCT($C$120:$H$120,(1+E125)^(-$C$36:$H$36))+$I$120/(E125-$C$121)*(1+E125)^(-$H$35))-$C$25)/(-SUMPRODUCT($C$120:$H$120,$C$36:$H$36,(1+E125)^(-$C$36:$H$36-1))-$I$120*((1+E125)^(-$H$35)/(E125-$C$121)^2+$H$35*(1+E125)^(-$H$35-1)/(E125-$C$121)))</f>
        <v>0.0678866547315096</v>
      </c>
      <c r="G125" s="110" t="n">
        <f aca="false">F125-((SUMPRODUCT($C$120:$H$120,(1+F125)^(-$C$36:$H$36))+$I$120/(F125-$C$121)*(1+F125)^(-$H$35))-$C$25)/(-SUMPRODUCT($C$120:$H$120,$C$36:$H$36,(1+F125)^(-$C$36:$H$36-1))-$I$120*((1+F125)^(-$H$35)/(F125-$C$121)^2+$H$35*(1+F125)^(-$H$35-1)/(F125-$C$121)))</f>
        <v>0.0725357503865121</v>
      </c>
      <c r="H125" s="110" t="n">
        <f aca="false">G125-((SUMPRODUCT($C$120:$H$120,(1+G125)^(-$C$36:$H$36))+$I$120/(G125-$C$121)*(1+G125)^(-$H$35))-$C$25)/(-SUMPRODUCT($C$120:$H$120,$C$36:$H$36,(1+G125)^(-$C$36:$H$36-1))-$I$120*((1+G125)^(-$H$35)/(G125-$C$121)^2+$H$35*(1+G125)^(-$H$35-1)/(G125-$C$121)))</f>
        <v>0.0731820624874092</v>
      </c>
      <c r="I125" s="110" t="n">
        <f aca="false">H125-((SUMPRODUCT($C$120:$H$120,(1+H125)^(-$C$36:$H$36))+$I$120/(H125-$C$121)*(1+H125)^(-$H$35))-$C$25)/(-SUMPRODUCT($C$120:$H$120,$C$36:$H$36,(1+H125)^(-$C$36:$H$36-1))-$I$120*((1+H125)^(-$H$35)/(H125-$C$121)^2+$H$35*(1+H125)^(-$H$35-1)/(H125-$C$121)))</f>
        <v>0.073192123265472</v>
      </c>
      <c r="J125" s="110" t="n">
        <f aca="false">I125-((SUMPRODUCT($C$120:$H$120,(1+I125)^(-$C$36:$H$36))+$I$120/(I125-$C$121)*(1+I125)^(-$H$35))-$C$25)/(-SUMPRODUCT($C$120:$H$120,$C$36:$H$36,(1+I125)^(-$C$36:$H$36-1))-$I$120*((1+I125)^(-$H$35)/(I125-$C$121)^2+$H$35*(1+I125)^(-$H$35-1)/(I125-$C$121)))</f>
        <v>0.0731921256314031</v>
      </c>
      <c r="K125" s="110" t="n">
        <f aca="false">J125-((SUMPRODUCT($C$120:$H$120,(1+J125)^(-$C$36:$H$36))+$I$120/(J125-$C$121)*(1+J125)^(-$H$35))-$C$25)/(-SUMPRODUCT($C$120:$H$120,$C$36:$H$36,(1+J125)^(-$C$36:$H$36-1))-$I$120*((1+J125)^(-$H$35)/(J125-$C$121)^2+$H$35*(1+J125)^(-$H$35-1)/(J125-$C$121)))</f>
        <v>0.0731921256314031</v>
      </c>
      <c r="L125" s="110" t="n">
        <f aca="false">K125-((SUMPRODUCT($C$120:$H$120,(1+K125)^(-$C$36:$H$36))+$I$120/(K125-$C$121)*(1+K125)^(-$H$35))-$C$25)/(-SUMPRODUCT($C$120:$H$120,$C$36:$H$36,(1+K125)^(-$C$36:$H$36-1))-$I$120*((1+K125)^(-$H$35)/(K125-$C$121)^2+$H$35*(1+K125)^(-$H$35-1)/(K125-$C$121)))</f>
        <v>0.0731921256314031</v>
      </c>
      <c r="M125" s="110" t="n">
        <f aca="false">L125-((SUMPRODUCT($C$120:$H$120,(1+L125)^(-$C$36:$H$36))+$I$120/(L125-$C$121)*(1+L125)^(-$H$35))-$C$25)/(-SUMPRODUCT($C$120:$H$120,$C$36:$H$36,(1+L125)^(-$C$36:$H$36-1))-$I$120*((1+L125)^(-$H$35)/(L125-$C$121)^2+$H$35*(1+L125)^(-$H$35-1)/(L125-$C$121)))</f>
        <v>0.0731921256314031</v>
      </c>
      <c r="N125" s="110" t="n">
        <f aca="false">M125-((SUMPRODUCT($C$120:$H$120,(1+M125)^(-$C$36:$H$36))+$I$120/(M125-$C$121)*(1+M125)^(-$H$35))-$C$25)/(-SUMPRODUCT($C$120:$H$120,$C$36:$H$36,(1+M125)^(-$C$36:$H$36-1))-$I$120*((1+M125)^(-$H$35)/(M125-$C$121)^2+$H$35*(1+M125)^(-$H$35-1)/(M125-$C$121)))</f>
        <v>0.0731921256314031</v>
      </c>
      <c r="O125" s="110" t="n">
        <f aca="false">N125-((SUMPRODUCT($C$120:$H$120,(1+N125)^(-$C$36:$H$36))+$I$120/(N125-$C$121)*(1+N125)^(-$H$35))-$C$25)/(-SUMPRODUCT($C$120:$H$120,$C$36:$H$36,(1+N125)^(-$C$36:$H$36-1))-$I$120*((1+N125)^(-$H$35)/(N125-$C$121)^2+$H$35*(1+N125)^(-$H$35-1)/(N125-$C$121)))</f>
        <v>0.0731921256314031</v>
      </c>
      <c r="P125" s="110" t="n">
        <f aca="false">O125-((SUMPRODUCT($C$120:$H$120,(1+O125)^(-$C$36:$H$36))+$I$120/(O125-$C$121)*(1+O125)^(-$H$35))-$C$25)/(-SUMPRODUCT($C$120:$H$120,$C$36:$H$36,(1+O125)^(-$C$36:$H$36-1))-$I$120*((1+O125)^(-$H$35)/(O125-$C$121)^2+$H$35*(1+O125)^(-$H$35-1)/(O125-$C$121)))</f>
        <v>0.0731921256314031</v>
      </c>
      <c r="Q125" s="110" t="n">
        <f aca="false">P125-((SUMPRODUCT($C$120:$H$120,(1+P125)^(-$C$36:$H$36))+$I$120/(P125-$C$121)*(1+P125)^(-$H$35))-$C$25)/(-SUMPRODUCT($C$120:$H$120,$C$36:$H$36,(1+P125)^(-$C$36:$H$36-1))-$I$120*((1+P125)^(-$H$35)/(P125-$C$121)^2+$H$35*(1+P125)^(-$H$35-1)/(P125-$C$121)))</f>
        <v>0.0731921256314031</v>
      </c>
    </row>
    <row r="126" customFormat="false" ht="15" hidden="false" customHeight="false" outlineLevel="0" collapsed="false">
      <c r="A126" s="85" t="s">
        <v>821</v>
      </c>
      <c r="C126" s="101" t="n">
        <f aca="false">Q125</f>
        <v>0.0731921256314031</v>
      </c>
    </row>
    <row r="129" customFormat="false" ht="15" hidden="false" customHeight="false" outlineLevel="0" collapsed="false">
      <c r="A129" s="10" t="s">
        <v>822</v>
      </c>
      <c r="B129" s="10"/>
      <c r="C129" s="10"/>
      <c r="D129" s="10"/>
      <c r="E129" s="10"/>
      <c r="F129" s="10"/>
      <c r="G129" s="10"/>
      <c r="H129" s="10"/>
      <c r="I129" s="10"/>
      <c r="J129" s="10"/>
    </row>
    <row r="130" customFormat="false" ht="15" hidden="false" customHeight="false" outlineLevel="0" collapsed="false">
      <c r="A130" s="91" t="s">
        <v>815</v>
      </c>
      <c r="C130" s="94" t="n">
        <f aca="false">C37</f>
        <v>113425.715768245</v>
      </c>
      <c r="D130" s="94" t="n">
        <f aca="false">D37</f>
        <v>199440.442268561</v>
      </c>
      <c r="E130" s="94" t="n">
        <f aca="false">E37</f>
        <v>259687.719258378</v>
      </c>
      <c r="F130" s="94" t="n">
        <f aca="false">F37</f>
        <v>375320.615932717</v>
      </c>
      <c r="G130" s="94" t="n">
        <f aca="false">G37</f>
        <v>377068.219372121</v>
      </c>
      <c r="H130" s="94" t="n">
        <f aca="false">H37</f>
        <v>398715.503513791</v>
      </c>
      <c r="I130" s="94" t="n">
        <f aca="false">I37</f>
        <v>528835.311960595</v>
      </c>
    </row>
    <row r="131" customFormat="false" ht="15" hidden="false" customHeight="false" outlineLevel="0" collapsed="false">
      <c r="A131" s="91" t="s">
        <v>816</v>
      </c>
      <c r="C131" s="88" t="n">
        <f aca="false">C26</f>
        <v>0.03</v>
      </c>
    </row>
    <row r="132" customFormat="false" ht="15" hidden="false" customHeight="false" outlineLevel="0" collapsed="false">
      <c r="A132" s="91" t="s">
        <v>817</v>
      </c>
      <c r="C132" s="109" t="n">
        <v>0</v>
      </c>
    </row>
    <row r="133" customFormat="false" ht="15" hidden="false" customHeight="false" outlineLevel="0" collapsed="false">
      <c r="A133" s="91" t="s">
        <v>818</v>
      </c>
      <c r="C133" s="88" t="n">
        <f aca="false">$C$27+C132/10000</f>
        <v>0.104138867416108</v>
      </c>
    </row>
    <row r="134" customFormat="false" ht="15" hidden="false" customHeight="false" outlineLevel="0" collapsed="false">
      <c r="A134" s="91" t="s">
        <v>819</v>
      </c>
    </row>
    <row r="135" customFormat="false" ht="15" hidden="false" customHeight="false" outlineLevel="0" collapsed="false">
      <c r="A135" s="91" t="s">
        <v>820</v>
      </c>
      <c r="C135" s="110" t="n">
        <f aca="false">$C$131+0.01</f>
        <v>0.04</v>
      </c>
      <c r="D135" s="110" t="n">
        <f aca="false">C135-((SUMPRODUCT($C$130:$H$130,(1+C135)^(-$C$36:$H$36))+$I$130/(C135-$C$131)*(1+C135)^(-$H$35))-$C$25)/(-SUMPRODUCT($C$130:$H$130,$C$36:$H$36,(1+C135)^(-$C$36:$H$36-1))-$I$130*((1+C135)^(-$H$35)/(C135-$C$131)^2+$H$35*(1+C135)^(-$H$35-1)/(C135-$C$131)))</f>
        <v>0.0477977448939132</v>
      </c>
      <c r="E135" s="110" t="n">
        <f aca="false">D135-((SUMPRODUCT($C$130:$H$130,(1+D135)^(-$C$36:$H$36))+$I$130/(D135-$C$131)*(1+D135)^(-$H$35))-$C$25)/(-SUMPRODUCT($C$130:$H$130,$C$36:$H$36,(1+D135)^(-$C$36:$H$36-1))-$I$130*((1+D135)^(-$H$35)/(D135-$C$131)^2+$H$35*(1+D135)^(-$H$35-1)/(D135-$C$131)))</f>
        <v>0.0586396497315186</v>
      </c>
      <c r="F135" s="110" t="n">
        <f aca="false">E135-((SUMPRODUCT($C$130:$H$130,(1+E135)^(-$C$36:$H$36))+$I$130/(E135-$C$131)*(1+E135)^(-$H$35))-$C$25)/(-SUMPRODUCT($C$130:$H$130,$C$36:$H$36,(1+E135)^(-$C$36:$H$36-1))-$I$130*((1+E135)^(-$H$35)/(E135-$C$131)^2+$H$35*(1+E135)^(-$H$35-1)/(E135-$C$131)))</f>
        <v>0.0693152415771628</v>
      </c>
      <c r="G135" s="110" t="n">
        <f aca="false">F135-((SUMPRODUCT($C$130:$H$130,(1+F135)^(-$C$36:$H$36))+$I$130/(F135-$C$131)*(1+F135)^(-$H$35))-$C$25)/(-SUMPRODUCT($C$130:$H$130,$C$36:$H$36,(1+F135)^(-$C$36:$H$36-1))-$I$130*((1+F135)^(-$H$35)/(F135-$C$131)^2+$H$35*(1+F135)^(-$H$35-1)/(F135-$C$131)))</f>
        <v>0.0748208081742205</v>
      </c>
      <c r="H135" s="110" t="n">
        <f aca="false">G135-((SUMPRODUCT($C$130:$H$130,(1+G135)^(-$C$36:$H$36))+$I$130/(G135-$C$131)*(1+G135)^(-$H$35))-$C$25)/(-SUMPRODUCT($C$130:$H$130,$C$36:$H$36,(1+G135)^(-$C$36:$H$36-1))-$I$130*((1+G135)^(-$H$35)/(G135-$C$131)^2+$H$35*(1+G135)^(-$H$35-1)/(G135-$C$131)))</f>
        <v>0.0757081961717089</v>
      </c>
      <c r="I135" s="110" t="n">
        <f aca="false">H135-((SUMPRODUCT($C$130:$H$130,(1+H135)^(-$C$36:$H$36))+$I$130/(H135-$C$131)*(1+H135)^(-$H$35))-$C$25)/(-SUMPRODUCT($C$130:$H$130,$C$36:$H$36,(1+H135)^(-$C$36:$H$36-1))-$I$130*((1+H135)^(-$H$35)/(H135-$C$131)^2+$H$35*(1+H135)^(-$H$35-1)/(H135-$C$131)))</f>
        <v>0.0757262871596373</v>
      </c>
      <c r="J135" s="110" t="n">
        <f aca="false">I135-((SUMPRODUCT($C$130:$H$130,(1+I135)^(-$C$36:$H$36))+$I$130/(I135-$C$131)*(1+I135)^(-$H$35))-$C$25)/(-SUMPRODUCT($C$130:$H$130,$C$36:$H$36,(1+I135)^(-$C$36:$H$36-1))-$I$130*((1+I135)^(-$H$35)/(I135-$C$131)^2+$H$35*(1+I135)^(-$H$35-1)/(I135-$C$131)))</f>
        <v>0.0757262943921275</v>
      </c>
      <c r="K135" s="110" t="n">
        <f aca="false">J135-((SUMPRODUCT($C$130:$H$130,(1+J135)^(-$C$36:$H$36))+$I$130/(J135-$C$131)*(1+J135)^(-$H$35))-$C$25)/(-SUMPRODUCT($C$130:$H$130,$C$36:$H$36,(1+J135)^(-$C$36:$H$36-1))-$I$130*((1+J135)^(-$H$35)/(J135-$C$131)^2+$H$35*(1+J135)^(-$H$35-1)/(J135-$C$131)))</f>
        <v>0.0757262943921287</v>
      </c>
      <c r="L135" s="110" t="n">
        <f aca="false">K135-((SUMPRODUCT($C$130:$H$130,(1+K135)^(-$C$36:$H$36))+$I$130/(K135-$C$131)*(1+K135)^(-$H$35))-$C$25)/(-SUMPRODUCT($C$130:$H$130,$C$36:$H$36,(1+K135)^(-$C$36:$H$36-1))-$I$130*((1+K135)^(-$H$35)/(K135-$C$131)^2+$H$35*(1+K135)^(-$H$35-1)/(K135-$C$131)))</f>
        <v>0.0757262943921287</v>
      </c>
      <c r="M135" s="110" t="n">
        <f aca="false">L135-((SUMPRODUCT($C$130:$H$130,(1+L135)^(-$C$36:$H$36))+$I$130/(L135-$C$131)*(1+L135)^(-$H$35))-$C$25)/(-SUMPRODUCT($C$130:$H$130,$C$36:$H$36,(1+L135)^(-$C$36:$H$36-1))-$I$130*((1+L135)^(-$H$35)/(L135-$C$131)^2+$H$35*(1+L135)^(-$H$35-1)/(L135-$C$131)))</f>
        <v>0.0757262943921287</v>
      </c>
      <c r="N135" s="110" t="n">
        <f aca="false">M135-((SUMPRODUCT($C$130:$H$130,(1+M135)^(-$C$36:$H$36))+$I$130/(M135-$C$131)*(1+M135)^(-$H$35))-$C$25)/(-SUMPRODUCT($C$130:$H$130,$C$36:$H$36,(1+M135)^(-$C$36:$H$36-1))-$I$130*((1+M135)^(-$H$35)/(M135-$C$131)^2+$H$35*(1+M135)^(-$H$35-1)/(M135-$C$131)))</f>
        <v>0.0757262943921287</v>
      </c>
      <c r="O135" s="110" t="n">
        <f aca="false">N135-((SUMPRODUCT($C$130:$H$130,(1+N135)^(-$C$36:$H$36))+$I$130/(N135-$C$131)*(1+N135)^(-$H$35))-$C$25)/(-SUMPRODUCT($C$130:$H$130,$C$36:$H$36,(1+N135)^(-$C$36:$H$36-1))-$I$130*((1+N135)^(-$H$35)/(N135-$C$131)^2+$H$35*(1+N135)^(-$H$35-1)/(N135-$C$131)))</f>
        <v>0.0757262943921287</v>
      </c>
      <c r="P135" s="110" t="n">
        <f aca="false">O135-((SUMPRODUCT($C$130:$H$130,(1+O135)^(-$C$36:$H$36))+$I$130/(O135-$C$131)*(1+O135)^(-$H$35))-$C$25)/(-SUMPRODUCT($C$130:$H$130,$C$36:$H$36,(1+O135)^(-$C$36:$H$36-1))-$I$130*((1+O135)^(-$H$35)/(O135-$C$131)^2+$H$35*(1+O135)^(-$H$35-1)/(O135-$C$131)))</f>
        <v>0.0757262943921287</v>
      </c>
      <c r="Q135" s="110" t="n">
        <f aca="false">P135-((SUMPRODUCT($C$130:$H$130,(1+P135)^(-$C$36:$H$36))+$I$130/(P135-$C$131)*(1+P135)^(-$H$35))-$C$25)/(-SUMPRODUCT($C$130:$H$130,$C$36:$H$36,(1+P135)^(-$C$36:$H$36-1))-$I$130*((1+P135)^(-$H$35)/(P135-$C$131)^2+$H$35*(1+P135)^(-$H$35-1)/(P135-$C$131)))</f>
        <v>0.0757262943921287</v>
      </c>
    </row>
    <row r="136" customFormat="false" ht="15" hidden="false" customHeight="false" outlineLevel="0" collapsed="false">
      <c r="A136" s="85" t="s">
        <v>821</v>
      </c>
      <c r="C136" s="101" t="n">
        <f aca="false">Q135</f>
        <v>0.0757262943921287</v>
      </c>
    </row>
    <row r="139" customFormat="false" ht="15" hidden="false" customHeight="false" outlineLevel="0" collapsed="false">
      <c r="A139" s="10" t="s">
        <v>823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customFormat="false" ht="15" hidden="false" customHeight="false" outlineLevel="0" collapsed="false">
      <c r="A140" s="91" t="s">
        <v>815</v>
      </c>
      <c r="C140" s="107" t="n">
        <v>118179.208946825</v>
      </c>
      <c r="D140" s="107" t="n">
        <v>209181.609422983</v>
      </c>
      <c r="E140" s="107" t="n">
        <v>269784.451070242</v>
      </c>
      <c r="F140" s="107" t="n">
        <v>392701.827610271</v>
      </c>
      <c r="G140" s="107" t="n">
        <v>417088.62715134</v>
      </c>
      <c r="H140" s="107" t="n">
        <v>440722.945641085</v>
      </c>
      <c r="I140" s="107" t="n">
        <v>626636.837116106</v>
      </c>
    </row>
    <row r="141" customFormat="false" ht="15" hidden="false" customHeight="false" outlineLevel="0" collapsed="false">
      <c r="A141" s="91" t="s">
        <v>816</v>
      </c>
      <c r="C141" s="108" t="n">
        <v>0.025</v>
      </c>
    </row>
    <row r="142" customFormat="false" ht="15" hidden="false" customHeight="false" outlineLevel="0" collapsed="false">
      <c r="A142" s="91" t="s">
        <v>817</v>
      </c>
      <c r="C142" s="109" t="n">
        <v>-100</v>
      </c>
    </row>
    <row r="143" customFormat="false" ht="15" hidden="false" customHeight="false" outlineLevel="0" collapsed="false">
      <c r="A143" s="91" t="s">
        <v>818</v>
      </c>
      <c r="C143" s="88" t="n">
        <f aca="false">$C$27+C142/10000</f>
        <v>0.0941388674161085</v>
      </c>
    </row>
    <row r="144" customFormat="false" ht="15" hidden="false" customHeight="false" outlineLevel="0" collapsed="false">
      <c r="A144" s="91" t="s">
        <v>819</v>
      </c>
    </row>
    <row r="145" customFormat="false" ht="15" hidden="false" customHeight="false" outlineLevel="0" collapsed="false">
      <c r="A145" s="91" t="s">
        <v>820</v>
      </c>
      <c r="C145" s="110" t="n">
        <f aca="false">$C$141+0.01</f>
        <v>0.035</v>
      </c>
      <c r="D145" s="110" t="n">
        <f aca="false">C145-((SUMPRODUCT($C$140:$H$140,(1+C145)^(-$C$36:$H$36))+$I$140/(C145-$C$141)*(1+C145)^(-$H$35))-$C$25)/(-SUMPRODUCT($C$140:$H$140,$C$36:$H$36,(1+C145)^(-$C$36:$H$36-1))-$I$140*((1+C145)^(-$H$35)/(C145-$C$141)^2+$H$35*(1+C145)^(-$H$35-1)/(C145-$C$141)))</f>
        <v>0.0431218104199237</v>
      </c>
      <c r="E145" s="110" t="n">
        <f aca="false">D145-((SUMPRODUCT($C$140:$H$140,(1+D145)^(-$C$36:$H$36))+$I$140/(D145-$C$141)*(1+D145)^(-$H$35))-$C$25)/(-SUMPRODUCT($C$140:$H$140,$C$36:$H$36,(1+D145)^(-$C$36:$H$36-1))-$I$140*((1+D145)^(-$H$35)/(D145-$C$141)^2+$H$35*(1+D145)^(-$H$35-1)/(D145-$C$141)))</f>
        <v>0.055102426588127</v>
      </c>
      <c r="F145" s="110" t="n">
        <f aca="false">E145-((SUMPRODUCT($C$140:$H$140,(1+E145)^(-$C$36:$H$36))+$I$140/(E145-$C$141)*(1+E145)^(-$H$35))-$C$25)/(-SUMPRODUCT($C$140:$H$140,$C$36:$H$36,(1+E145)^(-$C$36:$H$36-1))-$I$140*((1+E145)^(-$H$35)/(E145-$C$141)^2+$H$35*(1+E145)^(-$H$35-1)/(E145-$C$141)))</f>
        <v>0.0683353073067305</v>
      </c>
      <c r="G145" s="110" t="n">
        <f aca="false">F145-((SUMPRODUCT($C$140:$H$140,(1+F145)^(-$C$36:$H$36))+$I$140/(F145-$C$141)*(1+F145)^(-$H$35))-$C$25)/(-SUMPRODUCT($C$140:$H$140,$C$36:$H$36,(1+F145)^(-$C$36:$H$36-1))-$I$140*((1+F145)^(-$H$35)/(F145-$C$141)^2+$H$35*(1+F145)^(-$H$35-1)/(F145-$C$141)))</f>
        <v>0.0768016128040991</v>
      </c>
      <c r="H145" s="110" t="n">
        <f aca="false">G145-((SUMPRODUCT($C$140:$H$140,(1+G145)^(-$C$36:$H$36))+$I$140/(G145-$C$141)*(1+G145)^(-$H$35))-$C$25)/(-SUMPRODUCT($C$140:$H$140,$C$36:$H$36,(1+G145)^(-$C$36:$H$36-1))-$I$140*((1+G145)^(-$H$35)/(G145-$C$141)^2+$H$35*(1+G145)^(-$H$35-1)/(G145-$C$141)))</f>
        <v>0.0788076144405591</v>
      </c>
      <c r="I145" s="110" t="n">
        <f aca="false">H145-((SUMPRODUCT($C$140:$H$140,(1+H145)^(-$C$36:$H$36))+$I$140/(H145-$C$141)*(1+H145)^(-$H$35))-$C$25)/(-SUMPRODUCT($C$140:$H$140,$C$36:$H$36,(1+H145)^(-$C$36:$H$36-1))-$I$140*((1+H145)^(-$H$35)/(H145-$C$141)^2+$H$35*(1+H145)^(-$H$35-1)/(H145-$C$141)))</f>
        <v>0.0788895216109019</v>
      </c>
      <c r="J145" s="110" t="n">
        <f aca="false">I145-((SUMPRODUCT($C$140:$H$140,(1+I145)^(-$C$36:$H$36))+$I$140/(I145-$C$141)*(1+I145)^(-$H$35))-$C$25)/(-SUMPRODUCT($C$140:$H$140,$C$36:$H$36,(1+I145)^(-$C$36:$H$36-1))-$I$140*((1+I145)^(-$H$35)/(I145-$C$141)^2+$H$35*(1+I145)^(-$H$35-1)/(I145-$C$141)))</f>
        <v>0.0788896483528962</v>
      </c>
      <c r="K145" s="110" t="n">
        <f aca="false">J145-((SUMPRODUCT($C$140:$H$140,(1+J145)^(-$C$36:$H$36))+$I$140/(J145-$C$141)*(1+J145)^(-$H$35))-$C$25)/(-SUMPRODUCT($C$140:$H$140,$C$36:$H$36,(1+J145)^(-$C$36:$H$36-1))-$I$140*((1+J145)^(-$H$35)/(J145-$C$141)^2+$H$35*(1+J145)^(-$H$35-1)/(J145-$C$141)))</f>
        <v>0.0788896483531988</v>
      </c>
      <c r="L145" s="110" t="n">
        <f aca="false">K145-((SUMPRODUCT($C$140:$H$140,(1+K145)^(-$C$36:$H$36))+$I$140/(K145-$C$141)*(1+K145)^(-$H$35))-$C$25)/(-SUMPRODUCT($C$140:$H$140,$C$36:$H$36,(1+K145)^(-$C$36:$H$36-1))-$I$140*((1+K145)^(-$H$35)/(K145-$C$141)^2+$H$35*(1+K145)^(-$H$35-1)/(K145-$C$141)))</f>
        <v>0.0788896483531988</v>
      </c>
      <c r="M145" s="110" t="n">
        <f aca="false">L145-((SUMPRODUCT($C$140:$H$140,(1+L145)^(-$C$36:$H$36))+$I$140/(L145-$C$141)*(1+L145)^(-$H$35))-$C$25)/(-SUMPRODUCT($C$140:$H$140,$C$36:$H$36,(1+L145)^(-$C$36:$H$36-1))-$I$140*((1+L145)^(-$H$35)/(L145-$C$141)^2+$H$35*(1+L145)^(-$H$35-1)/(L145-$C$141)))</f>
        <v>0.0788896483531988</v>
      </c>
      <c r="N145" s="110" t="n">
        <f aca="false">M145-((SUMPRODUCT($C$140:$H$140,(1+M145)^(-$C$36:$H$36))+$I$140/(M145-$C$141)*(1+M145)^(-$H$35))-$C$25)/(-SUMPRODUCT($C$140:$H$140,$C$36:$H$36,(1+M145)^(-$C$36:$H$36-1))-$I$140*((1+M145)^(-$H$35)/(M145-$C$141)^2+$H$35*(1+M145)^(-$H$35-1)/(M145-$C$141)))</f>
        <v>0.0788896483531988</v>
      </c>
      <c r="O145" s="110" t="n">
        <f aca="false">N145-((SUMPRODUCT($C$140:$H$140,(1+N145)^(-$C$36:$H$36))+$I$140/(N145-$C$141)*(1+N145)^(-$H$35))-$C$25)/(-SUMPRODUCT($C$140:$H$140,$C$36:$H$36,(1+N145)^(-$C$36:$H$36-1))-$I$140*((1+N145)^(-$H$35)/(N145-$C$141)^2+$H$35*(1+N145)^(-$H$35-1)/(N145-$C$141)))</f>
        <v>0.0788896483531988</v>
      </c>
      <c r="P145" s="110" t="n">
        <f aca="false">O145-((SUMPRODUCT($C$140:$H$140,(1+O145)^(-$C$36:$H$36))+$I$140/(O145-$C$141)*(1+O145)^(-$H$35))-$C$25)/(-SUMPRODUCT($C$140:$H$140,$C$36:$H$36,(1+O145)^(-$C$36:$H$36-1))-$I$140*((1+O145)^(-$H$35)/(O145-$C$141)^2+$H$35*(1+O145)^(-$H$35-1)/(O145-$C$141)))</f>
        <v>0.0788896483531988</v>
      </c>
      <c r="Q145" s="110" t="n">
        <f aca="false">P145-((SUMPRODUCT($C$140:$H$140,(1+P145)^(-$C$36:$H$36))+$I$140/(P145-$C$141)*(1+P145)^(-$H$35))-$C$25)/(-SUMPRODUCT($C$140:$H$140,$C$36:$H$36,(1+P145)^(-$C$36:$H$36-1))-$I$140*((1+P145)^(-$H$35)/(P145-$C$141)^2+$H$35*(1+P145)^(-$H$35-1)/(P145-$C$141)))</f>
        <v>0.0788896483531988</v>
      </c>
    </row>
    <row r="146" customFormat="false" ht="15" hidden="false" customHeight="false" outlineLevel="0" collapsed="false">
      <c r="A146" s="85" t="s">
        <v>821</v>
      </c>
      <c r="C146" s="101" t="n">
        <f aca="false">Q145</f>
        <v>0.0788896483531988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2026-10-11T22:00:47Z</dcterms:created>
  <dc:creator>openpyxl</dc:creator>
  <dc:description/>
  <dc:language>en-US</dc:language>
  <cp:lastModifiedBy>Cristian Felipe Eduardo Vidal Ríos</cp:lastModifiedBy>
  <dcterms:modified xsi:type="dcterms:W3CDTF">2026-10-17T15:43:20Z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