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Estructura_Valuacion" sheetId="2" state="visible" r:id="rId2"/>
    <sheet xmlns:r="http://schemas.openxmlformats.org/officeDocument/2006/relationships" name="Notas_Graficos" sheetId="3" state="visible" r:id="rId3"/>
    <sheet xmlns:r="http://schemas.openxmlformats.org/officeDocument/2006/relationships" name="Pendientes_Bloomberg" sheetId="4" state="visible" r:id="rId4"/>
    <sheet xmlns:r="http://schemas.openxmlformats.org/officeDocument/2006/relationships" name="V1_Football" sheetId="5" state="visible" r:id="rId5"/>
    <sheet xmlns:r="http://schemas.openxmlformats.org/officeDocument/2006/relationships" name="V2_WACC_Tasas" sheetId="6" state="visible" r:id="rId6"/>
    <sheet xmlns:r="http://schemas.openxmlformats.org/officeDocument/2006/relationships" name="V3_ValueDriver" sheetId="7" state="visible" r:id="rId7"/>
    <sheet xmlns:r="http://schemas.openxmlformats.org/officeDocument/2006/relationships" name="V4_CapitalTrabajo" sheetId="8" state="visible" r:id="rId8"/>
    <sheet xmlns:r="http://schemas.openxmlformats.org/officeDocument/2006/relationships" name="V5_CapRate" sheetId="9" state="visible" r:id="rId9"/>
    <sheet xmlns:r="http://schemas.openxmlformats.org/officeDocument/2006/relationships" name="V6_DCFInverso" sheetId="10" state="visible" r:id="rId10"/>
    <sheet xmlns:r="http://schemas.openxmlformats.org/officeDocument/2006/relationships" name="V7_Multiplos" sheetId="11" state="visible" r:id="rId11"/>
    <sheet xmlns:r="http://schemas.openxmlformats.org/officeDocument/2006/relationships" name="V8_PeersPrecio" sheetId="12" state="visible" r:id="rId12"/>
    <sheet xmlns:r="http://schemas.openxmlformats.org/officeDocument/2006/relationships" name="WACC_Construccion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0.0%;\(0.0%\);\-"/>
    <numFmt numFmtId="166" formatCode="0.00%;\(0.00%\);\-"/>
    <numFmt numFmtId="167" formatCode="0.0"/>
    <numFmt numFmtId="168" formatCode="0.0\x"/>
    <numFmt numFmtId="169" formatCode="\+0.0%;\-0.0%;0.0%"/>
    <numFmt numFmtId="170" formatCode="0.00\x"/>
    <numFmt numFmtId="171" formatCode="0.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66" fontId="6" fillId="3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6" fillId="0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171" fontId="6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6" fillId="4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0" fontId="6" fillId="4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6" fillId="0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171" fontId="6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4" min="1" max="1"/>
    <col width="95" customWidth="1" style="44" min="2" max="2"/>
  </cols>
  <sheetData>
    <row r="1" ht="15" customHeight="1" s="45">
      <c r="A1" s="46" t="inlineStr">
        <is>
          <t>Mallplaza — datos para las figuras de Valuación</t>
        </is>
      </c>
    </row>
    <row r="3" ht="15" customHeight="1" s="45">
      <c r="A3" s="47" t="inlineStr">
        <is>
          <t>Hoja</t>
        </is>
      </c>
      <c r="B3" s="47" t="inlineStr">
        <is>
          <t>Contenido</t>
        </is>
      </c>
    </row>
    <row r="4" ht="15" customHeight="1" s="45">
      <c r="A4" s="48" t="inlineStr">
        <is>
          <t>Estructura_Valuacion</t>
        </is>
      </c>
      <c r="B4" s="48" t="inlineStr">
        <is>
          <t>Orden de la sección, mensaje de cada bloque, figuras y cifras a citar.</t>
        </is>
      </c>
    </row>
    <row r="5" ht="15" customHeight="1" s="45">
      <c r="A5" s="48" t="inlineStr">
        <is>
          <t>Notas_Graficos</t>
        </is>
      </c>
      <c r="B5" s="48" t="inlineStr">
        <is>
          <t>Tipo de gráfico, ejes, qué destacar, título y fuente de cada figura.</t>
        </is>
      </c>
    </row>
    <row r="6" ht="15" customHeight="1" s="45">
      <c r="A6" s="48" t="inlineStr">
        <is>
          <t>Pendientes_Bloomberg</t>
        </is>
      </c>
      <c r="B6" s="48" t="inlineStr">
        <is>
          <t>Datos a completar en Bloomberg (celdas amarillas).</t>
        </is>
      </c>
    </row>
    <row r="7" ht="15" customHeight="1" s="45">
      <c r="A7" s="48" t="inlineStr">
        <is>
          <t>V1_Football</t>
        </is>
      </c>
      <c r="B7" s="48" t="inlineStr">
        <is>
          <t>Síntesis: ningún método llega a CLP 3.555.</t>
        </is>
      </c>
    </row>
    <row r="8" ht="15" customHeight="1" s="45">
      <c r="A8" s="48" t="inlineStr">
        <is>
          <t>V2_WACC_Tasas</t>
        </is>
      </c>
      <c r="B8" s="48" t="inlineStr">
        <is>
          <t>Tasa de descuento: a CLP 3.555 el patrimonio rinde casi lo mismo que la deuda.</t>
        </is>
      </c>
    </row>
    <row r="9" ht="15" customHeight="1" s="45">
      <c r="A9" s="48" t="inlineStr">
        <is>
          <t>V3_ValueDriver</t>
        </is>
      </c>
      <c r="B9" s="48" t="inlineStr">
        <is>
          <t>Crecimiento terminal: RONIC 5,0% &lt; WACC real 7,2% → g real 0%.</t>
        </is>
      </c>
    </row>
    <row r="10" ht="15" customHeight="1" s="45">
      <c r="A10" s="48" t="inlineStr">
        <is>
          <t>V4_CapitalTrabajo</t>
        </is>
      </c>
      <c r="B10" s="48" t="inlineStr">
        <is>
          <t>Capital de trabajo: supuesto de bajo impacto (±1,2%).</t>
        </is>
      </c>
    </row>
    <row r="11" ht="15" customHeight="1" s="45">
      <c r="A11" s="48" t="inlineStr">
        <is>
          <t>V5_CapRate</t>
        </is>
      </c>
      <c r="B11" s="48" t="inlineStr">
        <is>
          <t>Validación 1: cap rate del DCF 10,1% vs mercado 6,0%.</t>
        </is>
      </c>
    </row>
    <row r="12" ht="15" customHeight="1" s="45">
      <c r="A12" s="48" t="inlineStr">
        <is>
          <t>V6_DCFInverso</t>
        </is>
      </c>
      <c r="B12" s="48" t="inlineStr">
        <is>
          <t>Validación 2: el precio exige una WACC 285 pb menor.</t>
        </is>
      </c>
    </row>
    <row r="13" ht="15" customHeight="1" s="45">
      <c r="A13" s="48" t="inlineStr">
        <is>
          <t>V7_Multiplos</t>
        </is>
      </c>
      <c r="B13" s="48" t="inlineStr">
        <is>
          <t>Múltiplos: por qué Chile pesa 70%.</t>
        </is>
      </c>
    </row>
    <row r="14" ht="15" customHeight="1" s="45">
      <c r="A14" s="48" t="inlineStr">
        <is>
          <t>V8_PeersPrecio</t>
        </is>
      </c>
      <c r="B14" s="48" t="inlineStr">
        <is>
          <t>Gráfico del equipo (precio de pares vs múltiplos).</t>
        </is>
      </c>
    </row>
    <row r="15" ht="15" customHeight="1" s="45">
      <c r="A15" s="48" t="inlineStr">
        <is>
          <t>WACC_Construccion</t>
        </is>
      </c>
      <c r="B15" s="48" t="inlineStr">
        <is>
          <t>Apéndice: WACC completa con fórmulas; control contra v2 = 0 pb.</t>
        </is>
      </c>
    </row>
    <row r="16" ht="15" customHeight="1" s="45">
      <c r="A16" s="48" t="n"/>
      <c r="B16" s="48" t="n"/>
    </row>
    <row r="17" ht="15" customHeight="1" s="45">
      <c r="A17" s="48" t="inlineStr">
        <is>
          <t>Convenciones</t>
        </is>
      </c>
      <c r="B17" s="48" t="inlineStr">
        <is>
          <t>Azul = dato de v2 u otra fuente citada. Negro = fórmula. Amarillo = pendiente de Bloomberg. Rojo (fila 3) = tipo de gráfico. MM CLP salvo indicación.</t>
        </is>
      </c>
    </row>
    <row r="18" ht="15" customHeight="1" s="45">
      <c r="A18" s="48" t="inlineStr">
        <is>
          <t>Fechas</t>
        </is>
      </c>
      <c r="B18" s="48" t="inlineStr">
        <is>
          <t>Datos de mercado al 30-06-26 (fecha de valoración); precio al 30-09-26. Datos posteriores solo como argumentos aislados, marcados en las notas.</t>
        </is>
      </c>
    </row>
    <row r="19" ht="15" customHeight="1" s="45">
      <c r="A19" s="48" t="inlineStr">
        <is>
          <t>Réplica del DCF</t>
        </is>
      </c>
      <c r="B19" s="48" t="inlineStr">
        <is>
          <t>V4 y V6 usan una réplica del DCF de v2 (reproduce CLP 1.856,8 exactamente).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4" min="1" max="1"/>
    <col width="62" customWidth="1" style="44" min="2" max="2"/>
    <col width="22" customWidth="1" style="44" min="3" max="3"/>
    <col width="52" customWidth="1" style="44" min="4" max="4"/>
    <col width="34" customWidth="1" style="44" min="5" max="5"/>
  </cols>
  <sheetData>
    <row r="1" ht="15" customHeight="1" s="45">
      <c r="A1" s="46" t="inlineStr">
        <is>
          <t>Estructura de la sección de Valuación</t>
        </is>
      </c>
    </row>
    <row r="2" ht="15" customHeight="1" s="45">
      <c r="A2" s="49" t="inlineStr">
        <is>
          <t>Orden de la página, mensaje de cada bloque, figura y cifras a citar. Todas las cifras salen de v2 o de esta planilla; las de Riesgos se citan, no se repiten.</t>
        </is>
      </c>
    </row>
    <row r="4" ht="15" customHeight="1" s="45">
      <c r="A4" s="50" t="inlineStr">
        <is>
          <t>Bloque</t>
        </is>
      </c>
      <c r="B4" s="50" t="inlineStr">
        <is>
          <t>Mensaje (borrador para el texto)</t>
        </is>
      </c>
      <c r="C4" s="50" t="inlineStr">
        <is>
          <t>Figura</t>
        </is>
      </c>
      <c r="D4" s="50" t="inlineStr">
        <is>
          <t>Cifras a citar</t>
        </is>
      </c>
      <c r="E4" s="50" t="inlineStr">
        <is>
          <t>Se cita de Riesgos / Anexo</t>
        </is>
      </c>
    </row>
    <row r="5" ht="57.45" customHeight="1" s="45">
      <c r="A5" s="51" t="inlineStr">
        <is>
          <t>1. Síntesis y método</t>
        </is>
      </c>
      <c r="B5" s="52" t="inlineStr">
        <is>
          <t>Recomendación de VENTA con precio objetivo de CLP 2.076 (−42% vs CLP 3.555). Ponderamos 80% DCF de FCFF y 20% múltiplos EV/EBITDA: el DCF captura el pipeline, la estructura de capital que converge a 3,5x y la exposición a tres países; los múltiplos anclan el valor al mercado. Ningún método ni rango de sensibilidad llega al precio actual.</t>
        </is>
      </c>
      <c r="C5" s="52" t="inlineStr">
        <is>
          <t>V1</t>
        </is>
      </c>
      <c r="D5" s="52" t="inlineStr">
        <is>
          <t>DCF CLP 1.857; múltiplos CLP 2.951; APV CLP 1.894 (chequeo, −1,9%); precio objetivo CLP 2.076; upside −41,6%.</t>
        </is>
      </c>
      <c r="E5" s="52" t="inlineStr">
        <is>
          <t>—</t>
        </is>
      </c>
    </row>
    <row r="6" ht="57.45" customHeight="1" s="45">
      <c r="A6" s="51" t="inlineStr">
        <is>
          <t>2. DCF: tasa de descuento</t>
        </is>
      </c>
      <c r="B6" s="52" t="inlineStr">
        <is>
          <t>WACC nominal de 10,54% (2S26E) a 10,41% (terminal), con D/E que converge de 20% a 28,5%. La validamos contra el mercado: al precio actual, la WACC real implícita es 4,4%, solo 83 pb sobre el costo real de la deuda de la propia Mallplaza. El patrimonio prácticamente no recibiría prima sobre un bono AA+.</t>
        </is>
      </c>
      <c r="C6" s="52" t="inlineStr">
        <is>
          <t>V2 (+ apéndice WACC_Construccion)</t>
        </is>
      </c>
      <c r="D6" s="52" t="inlineStr">
        <is>
          <t>Rf 4,98% + β 1,09–1,14 × ERP 4,14% + CRP 1,41%; Kd real 3,6%; bono en UF 10 años 2,50% y en pesos 5,43% al 30-06-26; WACC real 7,2%.</t>
        </is>
      </c>
      <c r="E6" s="52" t="inlineStr">
        <is>
          <t>Anexo: Rf y UST 10Y 5,22% (argumento aislado, posterior).</t>
        </is>
      </c>
    </row>
    <row r="7" ht="46.25" customHeight="1" s="45">
      <c r="A7" s="51" t="inlineStr">
        <is>
          <t>3. DCF: crecimiento terminal</t>
        </is>
      </c>
      <c r="B7" s="52" t="inlineStr">
        <is>
          <t>g nominal 3,0% = inflación (g real 0%), por value driver: la expansión rinde un RONIC real de 5,0%, bajo la WACC real de 7,2%. Crecer exigiría reinvertir a una tasa que destruye valor; por eso un g mayor reduce el precio (ver Fig. 25).</t>
        </is>
      </c>
      <c r="C7" s="52" t="inlineStr">
        <is>
          <t>V3</t>
        </is>
      </c>
      <c r="D7" s="52" t="inlineStr">
        <is>
          <t>Yield on cost 6,9%; RONIC 5,0%; reinversión terminal 0%; valor terminal 76% del EV.</t>
        </is>
      </c>
      <c r="E7" s="52" t="inlineStr">
        <is>
          <t>Fig. 25 (WACC vs g).</t>
        </is>
      </c>
    </row>
    <row r="8" ht="35.05" customHeight="1" s="45">
      <c r="A8" s="51" t="inlineStr">
        <is>
          <t>4. DCF: capital de trabajo</t>
        </is>
      </c>
      <c r="B8" s="52" t="inlineStr">
        <is>
          <t>CTN de 15,6% de los ingresos (dic-25, primer cierre con Perú completo). Es un supuesto de bajo impacto: eliminarlo o duplicarlo mueve el precio objetivo ±1,2%.</t>
        </is>
      </c>
      <c r="C8" s="52" t="inlineStr">
        <is>
          <t>V4</t>
        </is>
      </c>
      <c r="D8" s="52" t="inlineStr">
        <is>
          <t>CTN CLP 102.039 MM; ±CLP 25 en el precio objetivo.</t>
        </is>
      </c>
      <c r="E8" s="52" t="inlineStr">
        <is>
          <t>—</t>
        </is>
      </c>
    </row>
    <row r="9" ht="57.45" customHeight="1" s="45">
      <c r="A9" s="51" t="inlineStr">
        <is>
          <t>5. Validación del DCF</t>
        </is>
      </c>
      <c r="B9" s="52" t="inlineStr">
        <is>
          <t>Dos chequeos independientes: (a) el DCF implica un cap rate de 10,1%, frente a 6,0% del mercado, 6,4% de los pares chilenos y 7,5% del valor libro; (b) para justificar CLP 3.555 la WACC tendría que ser 7,56%, 285 pb bajo la nuestra. Mallplaza misma compró Gran Plaza a un cap rate de 9,4% (hecho posterior, argumento aislado).</t>
        </is>
      </c>
      <c r="C9" s="52" t="inlineStr">
        <is>
          <t>V5, V6</t>
        </is>
      </c>
      <c r="D9" s="52" t="inlineStr">
        <is>
          <t>Cap rate DCF 10,1% vs mercado 6,0% (brecha 490 pb); WACC implícita 7,56% (−285 pb).</t>
        </is>
      </c>
      <c r="E9" s="52" t="inlineStr">
        <is>
          <t>Riesgos (análisis de sensibilidad): cap rate ~6,0% vs 10,1%.</t>
        </is>
      </c>
    </row>
    <row r="10" ht="57.45" customHeight="1" s="45">
      <c r="A10" s="51" t="inlineStr">
        <is>
          <t>6. Múltiplos comparables (20%)</t>
        </is>
      </c>
      <c r="B10" s="52" t="inlineStr">
        <is>
          <t>EV/EBITDA LTM ponderado 70% mediana Chile y 30% set común: 14,4x → CLP 2.951. Chile pesa más porque la brecha de múltiplos con Brasil se explica por tasas: el spread real del cap rate sobre el bono indexado local es similar en ambos países. Cualquier ponderación deja el precio objetivo entre CLP 1.916 y 2.144.</t>
        </is>
      </c>
      <c r="C10" s="52" t="inlineStr">
        <is>
          <t>V7, V8</t>
        </is>
      </c>
      <c r="D10" s="52" t="inlineStr">
        <is>
          <t>Chile 15,7x vs Brasil 9,0x; spread real Chile 385 pb (Brasil: pendiente NTN-B); Mallplaza transa a 16,8x.</t>
        </is>
      </c>
      <c r="E10" s="52" t="inlineStr">
        <is>
          <t>—</t>
        </is>
      </c>
    </row>
    <row r="11" ht="57.45" customHeight="1" s="45">
      <c r="A11" s="51" t="inlineStr">
        <is>
          <t>7. Sensibilidad y riesgo de la valoración</t>
        </is>
      </c>
      <c r="B11" s="52" t="inlineStr">
        <is>
          <t>El valor depende de la tasa, no de la operación: el peor caso operacional resta 10,0% al DCF; +100 pb de WACC restan 17,2% al DCF (12,3% al precio objetivo). No se hizo Monte Carlo porque los insumos operacionales no son sensibles. Incluso la mejor celda de la Fig. 25 queda bajo el precio actual.</t>
        </is>
      </c>
      <c r="C11" s="52" t="inlineStr">
        <is>
          <t>(se citan)</t>
        </is>
      </c>
      <c r="D11" s="52" t="inlineStr">
        <is>
          <t>Usar la misma base al comparar (DCF o precio objetivo).</t>
        </is>
      </c>
      <c r="E11" s="52" t="inlineStr">
        <is>
          <t>Figs. 24, 25 y 26.</t>
        </is>
      </c>
    </row>
    <row r="12" ht="35.05" customHeight="1" s="45">
      <c r="A12" s="51" t="inlineStr">
        <is>
          <t>Apéndice</t>
        </is>
      </c>
      <c r="B12" s="52" t="inlineStr">
        <is>
          <t>Construcción completa de la WACC por período, betas de pares, CRP ponderado, control contra el modelo y la discusión de la tasa libre de riesgo (UST + CRP vs bono en pesos).</t>
        </is>
      </c>
      <c r="C12" s="52" t="inlineStr">
        <is>
          <t>WACC_Construccion</t>
        </is>
      </c>
      <c r="D12" s="52" t="inlineStr">
        <is>
          <t>Con el bono en pesos el precio objetivo sería CLP 2.439 (aún −31%).</t>
        </is>
      </c>
      <c r="E12" s="52" t="inlineStr">
        <is>
          <t>—</t>
        </is>
      </c>
    </row>
    <row r="14" ht="15" customHeight="1" s="45">
      <c r="A14" s="47" t="inlineStr">
        <is>
          <t>Coherencia pendiente en Riesgos</t>
        </is>
      </c>
    </row>
    <row r="15" ht="15" customHeight="1" s="45">
      <c r="A15" s="48" t="inlineStr">
        <is>
          <t>• "CLP 2.487" (mejor celda de la Fig. 25) no está en v2: la tabla de v2 da como máximo CLP 2.453 en DCF (WACC −1%, g 2,5%). Alinear la figura con el Excel.</t>
        </is>
      </c>
    </row>
    <row r="16" ht="15" customHeight="1" s="45">
      <c r="A16" s="48" t="inlineStr">
        <is>
          <t>• Comparar el −10,0% operacional y el efecto de +100 pb sobre la misma base (DCF: −10,0% vs −17,2%).</t>
        </is>
      </c>
    </row>
    <row r="17" ht="15" customHeight="1" s="45">
      <c r="A17" s="48" t="inlineStr">
        <is>
          <t>• "6,7 años" aparece como duración de contratos y de la deuda: verificar.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44" min="1" max="1"/>
    <col width="26" customWidth="1" style="44" min="2" max="2"/>
    <col width="40" customWidth="1" style="44" min="3" max="3"/>
    <col width="44" customWidth="1" style="44" min="4" max="4"/>
    <col width="40" customWidth="1" style="44" min="5" max="7"/>
  </cols>
  <sheetData>
    <row r="1" ht="15" customHeight="1" s="45">
      <c r="A1" s="46" t="inlineStr">
        <is>
          <t>Especificación de cada gráfico (para construirlos en Claude Code)</t>
        </is>
      </c>
    </row>
    <row r="2" ht="15" customHeight="1" s="45">
      <c r="A2" s="49" t="inlineStr">
        <is>
          <t>Celdas amarillas = pendientes de Bloomberg (ver hoja Pendientes_Bloomberg). Todo lo demás está listo.</t>
        </is>
      </c>
    </row>
    <row r="4" ht="15" customHeight="1" s="45">
      <c r="A4" s="50" t="inlineStr">
        <is>
          <t>Hoja</t>
        </is>
      </c>
      <c r="B4" s="50" t="inlineStr">
        <is>
          <t>Tipo de gráfico</t>
        </is>
      </c>
      <c r="C4" s="50" t="inlineStr">
        <is>
          <t>Ejes / series</t>
        </is>
      </c>
      <c r="D4" s="50" t="inlineStr">
        <is>
          <t>Qué destacar</t>
        </is>
      </c>
      <c r="E4" s="50" t="inlineStr">
        <is>
          <t>Título sugerido</t>
        </is>
      </c>
      <c r="F4" s="50" t="inlineStr">
        <is>
          <t>Fuente (pie de figura)</t>
        </is>
      </c>
      <c r="G4" s="50" t="inlineStr">
        <is>
          <t>Pendiente</t>
        </is>
      </c>
    </row>
    <row r="5" ht="34.5" customHeight="1" s="45">
      <c r="A5" s="52" t="inlineStr">
        <is>
          <t>V1_Football</t>
        </is>
      </c>
      <c r="B5" s="52" t="inlineStr">
        <is>
          <t>Barras horizontales flotantes (mín–máx) — football field</t>
        </is>
      </c>
      <c r="C5" s="52" t="inlineStr">
        <is>
          <t>Eje X: CLP por acción. Una barra por método (filas 5–10). Punto en el valor central.</t>
        </is>
      </c>
      <c r="D5" s="52" t="inlineStr">
        <is>
          <t>Línea vertical sólida en el precio objetivo (B12) y punteada en el precio actual (B13). Ninguna barra llega a 3.555.</t>
        </is>
      </c>
      <c r="E5" s="52" t="inlineStr">
        <is>
          <t>Ningún método justifica el precio actual</t>
        </is>
      </c>
      <c r="F5" s="52" t="inlineStr">
        <is>
          <t>Análisis del equipo; Bloomberg</t>
        </is>
      </c>
      <c r="G5" s="52" t="inlineStr">
        <is>
          <t>Rango 52 semanas (B10:C10)</t>
        </is>
      </c>
    </row>
    <row r="6" ht="34.5" customHeight="1" s="45">
      <c r="A6" s="52" t="inlineStr">
        <is>
          <t>V4_CapitalTrabajo</t>
        </is>
      </c>
      <c r="B6" s="52" t="inlineStr">
        <is>
          <t>Panel A: cascada (waterfall). Panel B: tabla de 5 filas</t>
        </is>
      </c>
      <c r="C6" s="52" t="inlineStr">
        <is>
          <t>A: componentes dic-25 (D5:D9) → total D10. B: filas 15–19, columnas CTN/ingresos, precio objetivo y Δ.</t>
        </is>
      </c>
      <c r="D6" s="52" t="inlineStr">
        <is>
          <t>Poner el ±1,2% en el título. Positivos y negativos con colores distintos.</t>
        </is>
      </c>
      <c r="E6" s="52" t="inlineStr">
        <is>
          <t>Capital de trabajo: un supuesto que no mueve el precio</t>
        </is>
      </c>
      <c r="F6" s="52" t="inlineStr">
        <is>
          <t>EEFF Mallplaza; análisis del equipo</t>
        </is>
      </c>
      <c r="G6" s="52" t="inlineStr">
        <is>
          <t>—</t>
        </is>
      </c>
    </row>
    <row r="7" ht="34.5" customHeight="1" s="45">
      <c r="A7" s="52" t="inlineStr">
        <is>
          <t>V5_CapRate</t>
        </is>
      </c>
      <c r="B7" s="52" t="inlineStr">
        <is>
          <t>Barras horizontales ordenadas de menor a mayor</t>
        </is>
      </c>
      <c r="C7" s="52" t="inlineStr">
        <is>
          <t>Eje X: cap rate (%). Categorías A5:A10, valores B5:B10.</t>
        </is>
      </c>
      <c r="D7" s="52" t="inlineStr">
        <is>
          <t>Barras del DCF en color propio; Gran Plaza en gris con etiqueta "hecho posterior"; anotar la brecha de 490 pb (B12).</t>
        </is>
      </c>
      <c r="E7" s="52" t="inlineStr">
        <is>
          <t>El mercado paga 6,0%; nuestros flujos valen 10,1%</t>
        </is>
      </c>
      <c r="F7" s="52" t="inlineStr">
        <is>
          <t>Mallplaza; Bloomberg; DF (Gran Plaza); análisis del equipo</t>
        </is>
      </c>
      <c r="G7" s="52" t="inlineStr">
        <is>
          <t>—</t>
        </is>
      </c>
    </row>
    <row r="8" ht="34.5" customHeight="1" s="45">
      <c r="A8" s="52" t="inlineStr">
        <is>
          <t>V2_WACC_Tasas</t>
        </is>
      </c>
      <c r="B8" s="52" t="inlineStr">
        <is>
          <t>Barras horizontales (tasas reales, columna C), orden ascendente</t>
        </is>
      </c>
      <c r="C8" s="52" t="inlineStr">
        <is>
          <t>Eje X: tasa real (%). Categorías A7:A14.</t>
        </is>
      </c>
      <c r="D8" s="52" t="inlineStr">
        <is>
          <t>Destacar la WACC implícita (C11) y la nuestra (C13); corchete con el spread de 83 pb sobre el Kd (B16).</t>
        </is>
      </c>
      <c r="E8" s="52" t="inlineStr">
        <is>
          <t>A CLP 3.555 el patrimonio rinde casi lo mismo que la deuda</t>
        </is>
      </c>
      <c r="F8" s="52" t="inlineStr">
        <is>
          <t>BCCh (30-06-26); Mallplaza; análisis del equipo</t>
        </is>
      </c>
      <c r="G8" s="52" t="inlineStr">
        <is>
          <t>—</t>
        </is>
      </c>
    </row>
    <row r="9" ht="23.25" customHeight="1" s="45">
      <c r="A9" s="52" t="inlineStr">
        <is>
          <t>V3_ValueDriver</t>
        </is>
      </c>
      <c r="B9" s="52" t="inlineStr">
        <is>
          <t>Tabla (estilo Kozminski Fig. 44) + línea opcional</t>
        </is>
      </c>
      <c r="C9" s="52" t="inlineStr">
        <is>
          <t>Tabla: B4:B11 y A13:F17. Línea opcional: Panel C, eje X g real (A24:A27), 3 series B–D.</t>
        </is>
      </c>
      <c r="D9" s="52" t="inlineStr">
        <is>
          <t>Fila de g = 3,0% resaltada; en la línea, la serie de Mallplaza cae y la de RONIC 10% sube.</t>
        </is>
      </c>
      <c r="E9" s="52" t="inlineStr">
        <is>
          <t>Crecer bajo la WACC destruye valor: g real = 0%</t>
        </is>
      </c>
      <c r="F9" s="52" t="inlineStr">
        <is>
          <t>Análisis del equipo</t>
        </is>
      </c>
      <c r="G9" s="52" t="inlineStr">
        <is>
          <t>—</t>
        </is>
      </c>
    </row>
    <row r="10" ht="34.5" customHeight="1" s="45">
      <c r="A10" s="52" t="inlineStr">
        <is>
          <t>V6_DCFInverso</t>
        </is>
      </c>
      <c r="B10" s="52" t="inlineStr">
        <is>
          <t>Línea (valor vs WACC)</t>
        </is>
      </c>
      <c r="C10" s="52" t="inlineStr">
        <is>
          <t>Eje X: WACC terminal (B5:B15). Series: valor DCF (C) y precio objetivo (D). Línea horizontal: precio actual (E).</t>
        </is>
      </c>
      <c r="D10" s="52" t="inlineStr">
        <is>
          <t>Marcadores en la WACC base (10,41%) y en la implícita (7,56%, B17); flecha con −285 pb (B18).</t>
        </is>
      </c>
      <c r="E10" s="52" t="inlineStr">
        <is>
          <t>El precio exige una WACC 285 pb menor</t>
        </is>
      </c>
      <c r="F10" s="52" t="inlineStr">
        <is>
          <t>Análisis del equipo</t>
        </is>
      </c>
      <c r="G10" s="52" t="inlineStr">
        <is>
          <t>—</t>
        </is>
      </c>
    </row>
    <row r="11" ht="34.5" customHeight="1" s="45">
      <c r="A11" s="52" t="inlineStr">
        <is>
          <t>V7_Multiplos</t>
        </is>
      </c>
      <c r="B11" s="52" t="inlineStr">
        <is>
          <t>Panel A: dispersión. Panel B: barras de spread. Panel C (apéndice): tabla</t>
        </is>
      </c>
      <c r="C11" s="52" t="inlineStr">
        <is>
          <t>A: eje X bono real local (E8:E13), eje Y EV/EBITDA (C8:C13), color por país. B: spread real (F15:F16). C: A26:E30.</t>
        </is>
      </c>
      <c r="D11" s="52" t="inlineStr">
        <is>
          <t>Mostrar que el spread real es parecido en ambos países pese a la gran brecha de múltiplos. Mallplaza con marcador distinto.</t>
        </is>
      </c>
      <c r="E11" s="52" t="inlineStr">
        <is>
          <t>Chile y Brasil cobran la misma prima: los múltiplos difieren por las tasas</t>
        </is>
      </c>
      <c r="F11" s="52" t="inlineStr">
        <is>
          <t>Bloomberg; BCCh; análisis del equipo</t>
        </is>
      </c>
      <c r="G11" s="52" t="inlineStr">
        <is>
          <t>NTN-B (E6) y macro Brasil (C21:C23, B22:B23)</t>
        </is>
      </c>
    </row>
    <row r="12" ht="34.5" customHeight="1" s="45">
      <c r="A12" s="52" t="inlineStr">
        <is>
          <t>WACC_Construccion</t>
        </is>
      </c>
      <c r="B12" s="52" t="inlineStr">
        <is>
          <t>Apéndice: tabla de construcción + línea por período</t>
        </is>
      </c>
      <c r="C12" s="52" t="inlineStr">
        <is>
          <t>Tabla: secciones A–D. Línea: WACC nominal (fila 65) y D/E (fila 56) por período.</t>
        </is>
      </c>
      <c r="D12" s="52" t="inlineStr">
        <is>
          <t>Control de la sección E en 0. Sección F como respuesta preparada a "¿por qué no el bono en pesos?".</t>
        </is>
      </c>
      <c r="E12" s="52" t="inlineStr">
        <is>
          <t>Construcción de la WACC</t>
        </is>
      </c>
      <c r="F12" s="52" t="inlineStr">
        <is>
          <t>Damodaran; Bloomberg; BCCh; análisis del equipo</t>
        </is>
      </c>
      <c r="G12" s="52" t="inlineStr">
        <is>
          <t>Betas de regresión (B85:B86), opcional</t>
        </is>
      </c>
    </row>
    <row r="13" ht="15" customHeight="1" s="45">
      <c r="A13" s="52" t="inlineStr">
        <is>
          <t>V8_PeersPrecio</t>
        </is>
      </c>
      <c r="B13" s="52" t="inlineStr">
        <is>
          <t>El del equipo</t>
        </is>
      </c>
      <c r="C13" s="52" t="inlineStr">
        <is>
          <t>—</t>
        </is>
      </c>
      <c r="D13" s="52" t="inlineStr">
        <is>
          <t>Mismo set de pares y fecha que V7.</t>
        </is>
      </c>
      <c r="E13" s="52" t="inlineStr">
        <is>
          <t>—</t>
        </is>
      </c>
      <c r="F13" s="52" t="inlineStr">
        <is>
          <t>Bloomberg; análisis del equipo</t>
        </is>
      </c>
      <c r="G13" s="52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44" min="1" max="1"/>
    <col width="42" customWidth="1" style="44" min="2" max="2"/>
    <col width="44" customWidth="1" style="44" min="3" max="3"/>
    <col width="16" customWidth="1" style="44" min="4" max="4"/>
    <col width="40" customWidth="1" style="44" min="5" max="5"/>
  </cols>
  <sheetData>
    <row r="1" ht="15" customHeight="1" s="45">
      <c r="A1" s="46" t="inlineStr">
        <is>
          <t>Pendientes para llenar con Bloomberg</t>
        </is>
      </c>
    </row>
    <row r="2" ht="15" customHeight="1" s="45">
      <c r="A2" s="49" t="inlineStr">
        <is>
          <t>Fecha de los datos: 30-06-2026 (fecha de valoración), salvo el rango de 52 semanas, que va con el precio al 30-09-2026. Verificar los tickers en el terminal.</t>
        </is>
      </c>
    </row>
    <row r="4" ht="15" customHeight="1" s="45">
      <c r="A4" s="50" t="inlineStr">
        <is>
          <t>Celda</t>
        </is>
      </c>
      <c r="B4" s="50" t="inlineStr">
        <is>
          <t>Dato</t>
        </is>
      </c>
      <c r="C4" s="50" t="inlineStr">
        <is>
          <t>Ticker / campo sugerido</t>
        </is>
      </c>
      <c r="D4" s="50" t="inlineStr">
        <is>
          <t>Fecha</t>
        </is>
      </c>
      <c r="E4" s="50" t="inlineStr">
        <is>
          <t>Comentario</t>
        </is>
      </c>
    </row>
    <row r="5" ht="15" customHeight="1" s="45">
      <c r="A5" s="52" t="inlineStr">
        <is>
          <t>V1_Football!B10</t>
        </is>
      </c>
      <c r="B5" s="52" t="inlineStr">
        <is>
          <t>Mínimo 52 semanas Mallplaza</t>
        </is>
      </c>
      <c r="C5" s="52" t="inlineStr">
        <is>
          <t>MALLPLAZ CI Equity · LOW_52WEEK</t>
        </is>
      </c>
      <c r="D5" s="52" t="inlineStr">
        <is>
          <t>30-09-26</t>
        </is>
      </c>
      <c r="E5" s="53" t="inlineStr">
        <is>
          <t>COMPLETADO: 2.470 (10-10-25) · Mismo día que el precio de referencia</t>
        </is>
      </c>
    </row>
    <row r="6" ht="15" customHeight="1" s="45">
      <c r="A6" s="52" t="inlineStr">
        <is>
          <t>V1_Football!C10</t>
        </is>
      </c>
      <c r="B6" s="52" t="inlineStr">
        <is>
          <t>Máximo 52 semanas Mallplaza</t>
        </is>
      </c>
      <c r="C6" s="52" t="inlineStr">
        <is>
          <t>MALLPLAZ CI Equity · HIGH_52WEEK</t>
        </is>
      </c>
      <c r="D6" s="52" t="inlineStr">
        <is>
          <t>30-09-26</t>
        </is>
      </c>
      <c r="E6" s="53" t="inlineStr">
        <is>
          <t xml:space="preserve">COMPLETADO: 4.700 (27-04-26) · </t>
        </is>
      </c>
    </row>
    <row r="7" ht="15" customHeight="1" s="45">
      <c r="A7" s="52" t="inlineStr">
        <is>
          <t>V7_Multiplos!E6</t>
        </is>
      </c>
      <c r="B7" s="52" t="inlineStr">
        <is>
          <t>NTN-B ~10 años (tasa real)</t>
        </is>
      </c>
      <c r="C7" s="52" t="inlineStr">
        <is>
          <t>NTN-B 2035 · YLD_YTM_MID</t>
        </is>
      </c>
      <c r="D7" s="52" t="inlineStr">
        <is>
          <t>30-06-26</t>
        </is>
      </c>
      <c r="E7" s="53" t="inlineStr">
        <is>
          <t>COMPLETADO: 8,0777% · Activa los spreads de Brasil (F11:F13, F16)</t>
        </is>
      </c>
    </row>
    <row r="8" ht="23.25" customHeight="1" s="45">
      <c r="A8" s="52" t="inlineStr">
        <is>
          <t>V7_Multiplos!C21</t>
        </is>
      </c>
      <c r="B8" s="52" t="inlineStr">
        <is>
          <t>Tasa nominal 10 años Brasil</t>
        </is>
      </c>
      <c r="C8" s="52" t="inlineStr">
        <is>
          <t>GEBR10Y Index (o DI jan/36: ODF36 Comdty) · PX_LAST</t>
        </is>
      </c>
      <c r="D8" s="52" t="inlineStr">
        <is>
          <t>30-06-26</t>
        </is>
      </c>
      <c r="E8" s="53" t="inlineStr">
        <is>
          <t xml:space="preserve">COMPLETADO: 14,34% (GTBRL10YR Corp) · </t>
        </is>
      </c>
    </row>
    <row r="9" ht="23.25" customHeight="1" s="45">
      <c r="A9" s="52" t="inlineStr">
        <is>
          <t>V7_Multiplos!B22:C22</t>
        </is>
      </c>
      <c r="B9" s="52" t="inlineStr">
        <is>
          <t>Inflación esperada 2026 Chile y Brasil</t>
        </is>
      </c>
      <c r="C9" s="52" t="inlineStr">
        <is>
          <t>ECFC (consenso) · CPI 2026</t>
        </is>
      </c>
      <c r="D9" s="52" t="inlineStr">
        <is>
          <t>30-06-26</t>
        </is>
      </c>
      <c r="E9" s="53" t="inlineStr">
        <is>
          <t>COMPLETADO con fuentes públicas (no con ECFC): IPC 2026 Chile 4,1% (EEE jun-26) y Brasil 5,33% (Focus 26-06-26). Si se quiere ECFC, reemplazar B22:C22.</t>
        </is>
      </c>
    </row>
    <row r="10" ht="23.25" customHeight="1" s="45">
      <c r="A10" s="52" t="inlineStr">
        <is>
          <t>V7_Multiplos!B23:C23</t>
        </is>
      </c>
      <c r="B10" s="52" t="inlineStr">
        <is>
          <t>PIB esperado 2026 Chile y Brasil</t>
        </is>
      </c>
      <c r="C10" s="52" t="inlineStr">
        <is>
          <t>ECFC (consenso) · GDP 2026</t>
        </is>
      </c>
      <c r="D10" s="52" t="inlineStr">
        <is>
          <t>30-06-26</t>
        </is>
      </c>
      <c r="E10" s="53" t="inlineStr">
        <is>
          <t>COMPLETADO con fuentes públicas: PIB 2026 Chile 1,6% (EEE jun-26) y Brasil 1,99% (Focus). Si se quiere ECFC, reemplazar B23:C23.</t>
        </is>
      </c>
    </row>
    <row r="11" ht="23.25" customHeight="1" s="45">
      <c r="A11" s="52" t="inlineStr">
        <is>
          <t>WACC_Construccion!B85</t>
        </is>
      </c>
      <c r="B11" s="52" t="inlineStr">
        <is>
          <t>Beta de regresión vs IPSA (opcional)</t>
        </is>
      </c>
      <c r="C11" s="52" t="inlineStr">
        <is>
          <t>MALLPLAZ CI Equity · BETA (índice IPSA Index, 2 años semanal)</t>
        </is>
      </c>
      <c r="D11" s="52" t="inlineStr">
        <is>
          <t>30-06-26</t>
        </is>
      </c>
      <c r="E11" s="52" t="inlineStr">
        <is>
          <t>NO EXTRAÍDO: opcional; el cálculo con overrides de BETA falló en la sesión. No cambia el modelo.</t>
        </is>
      </c>
    </row>
    <row r="12" ht="23.25" customHeight="1" s="45">
      <c r="A12" s="52" t="inlineStr">
        <is>
          <t>WACC_Construccion!B86</t>
        </is>
      </c>
      <c r="B12" s="52" t="inlineStr">
        <is>
          <t>Beta ajustada (opcional)</t>
        </is>
      </c>
      <c r="C12" s="52" t="inlineStr">
        <is>
          <t>MALLPLAZ CI Equity · ADJUSTED_BETA</t>
        </is>
      </c>
      <c r="D12" s="52" t="inlineStr">
        <is>
          <t>30-06-26</t>
        </is>
      </c>
      <c r="E12" s="52" t="inlineStr">
        <is>
          <t>NO EXTRAÍDO: opcional. No cambia el modelo.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4" min="1" max="1"/>
    <col width="15" customWidth="1" style="44" min="2" max="8"/>
  </cols>
  <sheetData>
    <row r="1" ht="15" customHeight="1" s="45">
      <c r="A1" s="46" t="inlineStr">
        <is>
          <t>V1 — Football field (CLP por acción)</t>
        </is>
      </c>
    </row>
    <row r="2" ht="15" customHeight="1" s="45">
      <c r="A2" s="49" t="inlineStr">
        <is>
          <t>Barras horizontales: mínimo–máximo de cada método; líneas verticales en precio objetivo y precio actual.</t>
        </is>
      </c>
    </row>
    <row r="3" ht="15" customHeight="1" s="45">
      <c r="A3" s="54" t="inlineStr">
        <is>
          <t>Gráfico: Barras horizontales flotantes (mín–máx) — football field. Rango 52 semanas completado con Bloomberg</t>
        </is>
      </c>
    </row>
    <row r="4" ht="15" customHeight="1" s="45">
      <c r="A4" s="50" t="inlineStr">
        <is>
          <t>Método</t>
        </is>
      </c>
      <c r="B4" s="50" t="inlineStr">
        <is>
          <t>Mínimo</t>
        </is>
      </c>
      <c r="C4" s="50" t="inlineStr">
        <is>
          <t>Máximo</t>
        </is>
      </c>
      <c r="D4" s="50" t="inlineStr">
        <is>
          <t>Punto central</t>
        </is>
      </c>
      <c r="E4" s="50" t="inlineStr">
        <is>
          <t>Fuente / rango</t>
        </is>
      </c>
    </row>
    <row r="5" ht="15" customHeight="1" s="45">
      <c r="A5" s="48" t="inlineStr">
        <is>
          <t>DCF FCFF (WACC ±50 pb, g 3,0%)</t>
        </is>
      </c>
      <c r="B5" s="55" t="n">
        <v>1686.94389181781</v>
      </c>
      <c r="C5" s="55" t="n">
        <v>2051.79933329428</v>
      </c>
      <c r="D5" s="55" t="n">
        <v>1856.81199718015</v>
      </c>
      <c r="E5" s="49" t="inlineStr">
        <is>
          <t>v2 Sensibilidad, Tabla 1</t>
        </is>
      </c>
    </row>
    <row r="6" ht="15" customHeight="1" s="45">
      <c r="A6" s="48" t="inlineStr">
        <is>
          <t>DCF FCFF (WACC ±100 pb, g 2,5–4,0%)</t>
        </is>
      </c>
      <c r="B6" s="55" t="n">
        <v>1379.44188269913</v>
      </c>
      <c r="C6" s="55" t="n">
        <v>2328.90760780526</v>
      </c>
      <c r="D6" s="55" t="n">
        <v>1856.81199718015</v>
      </c>
      <c r="E6" s="49" t="inlineStr">
        <is>
          <t>v2 Sensibilidad, Tabla 1 completa</t>
        </is>
      </c>
    </row>
    <row r="7" ht="15" customHeight="1" s="45">
      <c r="A7" s="48" t="inlineStr">
        <is>
          <t>APV (chequeo)</t>
        </is>
      </c>
      <c r="B7" s="55" t="n">
        <v>1893.65312381858</v>
      </c>
      <c r="C7" s="55" t="n">
        <v>1893.65312381858</v>
      </c>
      <c r="D7" s="55" t="n">
        <v>1893.65312381858</v>
      </c>
      <c r="E7" s="49" t="inlineStr">
        <is>
          <t>v2 APV</t>
        </is>
      </c>
    </row>
    <row r="8" ht="15" customHeight="1" s="45">
      <c r="A8" s="48" t="inlineStr">
        <is>
          <t>Múltiplos EV/EBITDA (100% set común – 100% Chile)</t>
        </is>
      </c>
      <c r="B8" s="55" t="n">
        <v>2152</v>
      </c>
      <c r="C8" s="55" t="n">
        <v>3294</v>
      </c>
      <c r="D8" s="55" t="n">
        <v>2951.38547083101</v>
      </c>
      <c r="E8" s="49" t="inlineStr">
        <is>
          <t>V7; central = 70/30 (v2 Precio_Objetivo)</t>
        </is>
      </c>
    </row>
    <row r="9" ht="15" customHeight="1" s="45">
      <c r="A9" s="48" t="inlineStr">
        <is>
          <t>Múltiplos EV/EBITDA NTM / EV/EBIT LTM</t>
        </is>
      </c>
      <c r="B9" s="55" t="n">
        <v>2914.35679520534</v>
      </c>
      <c r="C9" s="55" t="n">
        <v>3098.23701907886</v>
      </c>
      <c r="D9" s="56">
        <f>AVERAGE(B9:C9)</f>
        <v/>
      </c>
      <c r="E9" s="49" t="inlineStr">
        <is>
          <t>v2 Precio_Objetivo</t>
        </is>
      </c>
    </row>
    <row r="10" ht="15" customHeight="1" s="45">
      <c r="A10" s="48" t="inlineStr">
        <is>
          <t>Rango 52 semanas (intradía, 01-10-25 a 30-09-26)</t>
        </is>
      </c>
      <c r="B10" s="57" t="n">
        <v>2470</v>
      </c>
      <c r="C10" s="57" t="n">
        <v>4700</v>
      </c>
      <c r="D10" s="57" t="n">
        <v>3555</v>
      </c>
      <c r="E10" s="49" t="inlineStr">
        <is>
          <t>Bloomberg BDH PX_LOW/PX_HIGH: mín 10-10-25, máx 27-04-26. Base cierres: 2.522 – 4.650. Central = cierre 30-09-26.</t>
        </is>
      </c>
    </row>
    <row r="12" ht="15" customHeight="1" s="45">
      <c r="A12" s="48" t="inlineStr">
        <is>
          <t>Precio objetivo (80% DCF + 20% múltiplos)</t>
        </is>
      </c>
      <c r="B12" s="56">
        <f>0.8*D5+0.2*D8</f>
        <v/>
      </c>
    </row>
    <row r="13" ht="15" customHeight="1" s="45">
      <c r="A13" s="48" t="inlineStr">
        <is>
          <t>Precio 30-09-2026</t>
        </is>
      </c>
      <c r="B13" s="55" t="n">
        <v>3555</v>
      </c>
      <c r="C13" s="49" t="inlineStr">
        <is>
          <t>v2 Supuestos A</t>
        </is>
      </c>
    </row>
    <row r="14" ht="15" customHeight="1" s="45">
      <c r="A14" s="48" t="inlineStr">
        <is>
          <t>Upside / (downside)</t>
        </is>
      </c>
      <c r="B14" s="58">
        <f>B12/B13-1</f>
        <v/>
      </c>
    </row>
    <row r="16" ht="15" customHeight="1" s="45">
      <c r="A16" s="49" t="inlineStr">
        <is>
          <t>Excluir P/E (CLP 8.644): incluye revalorizaciones de propiedades. P/BV (CLP 3.171) solo como referencia, si se muestra.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4" min="1" max="1"/>
    <col width="15" customWidth="1" style="44" min="2" max="8"/>
  </cols>
  <sheetData>
    <row r="1" ht="15" customHeight="1" s="45">
      <c r="A1" s="46" t="inlineStr">
        <is>
          <t>V2 — Validación de la WACC: escalera de tasas (reales, en UF)</t>
        </is>
      </c>
    </row>
    <row r="2" ht="15" customHeight="1" s="45">
      <c r="A2" s="49" t="inlineStr">
        <is>
          <t>Barras horizontales ordenadas de menor a mayor. Mensaje: la WACC implícita en el precio queda pegada al costo de la deuda.</t>
        </is>
      </c>
    </row>
    <row r="3" ht="15" customHeight="1" s="45">
      <c r="A3" s="54" t="inlineStr">
        <is>
          <t>Gráfico: Barras horizontales (tasas reales, columna C), orden ascendente. Pendiente Bloomberg: —</t>
        </is>
      </c>
    </row>
    <row r="4" ht="15" customHeight="1" s="45">
      <c r="A4" s="48" t="inlineStr">
        <is>
          <t>Inflación de largo plazo Chile (meta BCCh)</t>
        </is>
      </c>
      <c r="B4" s="59" t="n">
        <v>0.03</v>
      </c>
      <c r="C4" s="49" t="inlineStr">
        <is>
          <t>v2 Supuestos B</t>
        </is>
      </c>
    </row>
    <row r="6" ht="15" customHeight="1" s="45">
      <c r="A6" s="50" t="inlineStr">
        <is>
          <t>Tasa</t>
        </is>
      </c>
      <c r="B6" s="50" t="inlineStr">
        <is>
          <t>Nominal CLP</t>
        </is>
      </c>
      <c r="C6" s="50" t="inlineStr">
        <is>
          <t>Real (UF)</t>
        </is>
      </c>
      <c r="D6" s="50" t="inlineStr">
        <is>
          <t>Fuente</t>
        </is>
      </c>
    </row>
    <row r="7" ht="15" customHeight="1" s="45">
      <c r="A7" s="48" t="inlineStr">
        <is>
          <t>Bono en UF 10 años BCCh (real)</t>
        </is>
      </c>
      <c r="B7" s="60">
        <f>(1+C7)*(1+$B$4)-1</f>
        <v/>
      </c>
      <c r="C7" s="61" t="n">
        <v>0.025</v>
      </c>
      <c r="D7" s="60" t="inlineStr">
        <is>
          <t>BCCh, Informativo Diario 2-jul-26 (tasa al 30-06-26)</t>
        </is>
      </c>
    </row>
    <row r="8" ht="15" customHeight="1" s="45">
      <c r="A8" s="48" t="inlineStr">
        <is>
          <t>Bono en pesos 10 años BCCh (nominal)</t>
        </is>
      </c>
      <c r="B8" s="61" t="n">
        <v>0.0543</v>
      </c>
      <c r="C8" s="60">
        <f>(1+B8)/(1+$B$4)-1</f>
        <v/>
      </c>
      <c r="D8" s="60" t="inlineStr">
        <is>
          <t>BCCh, Informativo Diario 2-jul-26 (tasa al 30-06-26); = Rf "Chile" de v2</t>
        </is>
      </c>
    </row>
    <row r="9" ht="15" customHeight="1" s="45">
      <c r="A9" s="48" t="inlineStr">
        <is>
          <t>Base del modelo: Rf UST + CRP Chile, convertida a CLP</t>
        </is>
      </c>
      <c r="B9" s="60">
        <f>(1+0.049778+0.0104)*(1+B4)/(1+0.022431)-1</f>
        <v/>
      </c>
      <c r="C9" s="60">
        <f>(1+B9)/(1+$B$4)-1</f>
        <v/>
      </c>
      <c r="D9" s="60" t="inlineStr">
        <is>
          <t>v2 Supuestos B (Rf 4,98%, CRP 1,04%, breakeven 2,24%)</t>
        </is>
      </c>
    </row>
    <row r="10" ht="15" customHeight="1" s="45">
      <c r="A10" s="48" t="inlineStr">
        <is>
          <t>Kd Mallplaza (cupón última emisión UF)</t>
        </is>
      </c>
      <c r="B10" s="60">
        <f>(1+C10)*(1+$B$4)-1</f>
        <v/>
      </c>
      <c r="C10" s="61" t="n">
        <v>0.036</v>
      </c>
      <c r="D10" s="60" t="inlineStr">
        <is>
          <t>v2 Supuestos B</t>
        </is>
      </c>
    </row>
    <row r="11" ht="15" customHeight="1" s="45">
      <c r="A11" s="48" t="inlineStr">
        <is>
          <t>WACC implícita en el precio actual (DCF inverso)</t>
        </is>
      </c>
      <c r="B11" s="61" t="n">
        <v>0.0756146197226035</v>
      </c>
      <c r="C11" s="60">
        <f>(1+B11)/(1+$B$4)-1</f>
        <v/>
      </c>
      <c r="D11" s="60" t="inlineStr">
        <is>
          <t>V6</t>
        </is>
      </c>
    </row>
    <row r="12" ht="15" customHeight="1" s="45">
      <c r="A12" s="48" t="inlineStr">
        <is>
          <t>WACC real de la tasación (Nota 11, Chile jun-26)</t>
        </is>
      </c>
      <c r="B12" s="60">
        <f>(1+C12)*(1+$B$4)-1</f>
        <v/>
      </c>
      <c r="C12" s="61" t="n">
        <v>0.0555</v>
      </c>
      <c r="D12" s="60" t="inlineStr">
        <is>
          <t>v2 WACC (punto medio Nota 11)</t>
        </is>
      </c>
    </row>
    <row r="13" ht="15" customHeight="1" s="45">
      <c r="A13" s="48" t="inlineStr">
        <is>
          <t>Nuestra WACC terminal</t>
        </is>
      </c>
      <c r="B13" s="61" t="n">
        <v>0.104138867416108</v>
      </c>
      <c r="C13" s="60">
        <f>(1+B13)/(1+$B$4)-1</f>
        <v/>
      </c>
      <c r="D13" s="60" t="inlineStr">
        <is>
          <t>v2 WACC</t>
        </is>
      </c>
    </row>
    <row r="14" ht="15" customHeight="1" s="45">
      <c r="A14" s="48" t="inlineStr">
        <is>
          <t>Nuestro Ke terminal</t>
        </is>
      </c>
      <c r="B14" s="61" t="n">
        <v>0.119262901170031</v>
      </c>
      <c r="C14" s="60">
        <f>(1+B14)/(1+$B$4)-1</f>
        <v/>
      </c>
      <c r="D14" s="60" t="inlineStr">
        <is>
          <t>v2 WACC</t>
        </is>
      </c>
    </row>
    <row r="16" ht="15" customHeight="1" s="45">
      <c r="A16" s="48" t="inlineStr">
        <is>
          <t>Spread WACC implícita − Kd Mallplaza (pb, real)</t>
        </is>
      </c>
      <c r="B16" s="62">
        <f>(C11-C10)*10000</f>
        <v/>
      </c>
    </row>
    <row r="17" ht="15" customHeight="1" s="45">
      <c r="A17" s="48" t="inlineStr">
        <is>
          <t>Spread WACC implícita − BCU 10 (pb, real)</t>
        </is>
      </c>
      <c r="B17" s="62">
        <f>(C11-C7)*10000</f>
        <v/>
      </c>
    </row>
    <row r="18" ht="15" customHeight="1" s="45">
      <c r="A18" s="48" t="inlineStr">
        <is>
          <t>Spread nuestra WACC − BCU 10 (pb, real)</t>
        </is>
      </c>
      <c r="B18" s="62">
        <f>(C13-C7)*10000</f>
        <v/>
      </c>
    </row>
    <row r="20" ht="15" customHeight="1" s="45">
      <c r="A20" s="49" t="inlineStr">
        <is>
          <t>Lectura: a CLP 3.555 la WACC real implícita (~4,4%) supera en solo ~80 pb al costo real de la deuda de la propia Mallplaza (3,6%).</t>
        </is>
      </c>
    </row>
    <row r="21" ht="15" customHeight="1" s="45">
      <c r="A21" s="49" t="inlineStr">
        <is>
          <t>Eso implica que el patrimonio (78% del capital) casi no recibe prima sobre un bono corporativo AA+: un premio por riesgo difícil de sostener.</t>
        </is>
      </c>
    </row>
    <row r="22" ht="15" customHeight="1" s="45">
      <c r="A22" s="49" t="inlineStr">
        <is>
          <t>La base del modelo (Rf + CRP en CLP, 6,80%) queda 137 pb sobre el bono en pesos a 10 años al 30-06 (5,43%). Es una elección conservadora: ver hoja WACC_Construccion, sección F.</t>
        </is>
      </c>
    </row>
    <row r="23" ht="15" customHeight="1" s="45">
      <c r="A23" s="49" t="inlineStr">
        <is>
          <t>Argumento aislado (dato posterior, no entra al modelo): al 1-oct-26 el bono en pesos a 10 años subió a 6,25% y el UST a 5,22% (anexo), lo que acerca el mercado a la base del modelo.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4" min="1" max="1"/>
    <col width="15" customWidth="1" style="44" min="2" max="8"/>
  </cols>
  <sheetData>
    <row r="1" ht="15" customHeight="1" s="45">
      <c r="A1" s="46" t="inlineStr">
        <is>
          <t>V3 — Crecimiento terminal por value driver</t>
        </is>
      </c>
    </row>
    <row r="2" ht="15" customHeight="1" s="45">
      <c r="A2" s="49" t="inlineStr">
        <is>
          <t>Panel A: tabla tipo Kozminski Fig. 44. Panel B: por qué un g mayor resta valor. Panel C: ilustración con RONIC &gt; WACC.</t>
        </is>
      </c>
    </row>
    <row r="3" ht="15" customHeight="1" s="45">
      <c r="A3" s="54" t="inlineStr">
        <is>
          <t>Gráfico: Tabla (estilo Kozminski Fig. 44) + línea opcional. Pendiente Bloomberg: —</t>
        </is>
      </c>
    </row>
    <row r="4" ht="15" customHeight="1" s="45">
      <c r="A4" s="48" t="inlineStr">
        <is>
          <t>Yield on cost de la expansión (EBITDA maduro / inversión)</t>
        </is>
      </c>
      <c r="B4" s="61" t="n">
        <v>0.0690189707474264</v>
      </c>
      <c r="C4" s="49" t="inlineStr">
        <is>
          <t>v2 Expansion D</t>
        </is>
      </c>
    </row>
    <row r="5" ht="15" customHeight="1" s="45">
      <c r="A5" s="48" t="inlineStr">
        <is>
          <t>Tasa de impuesto</t>
        </is>
      </c>
      <c r="B5" s="59" t="n">
        <v>0.27</v>
      </c>
      <c r="C5" s="49" t="inlineStr">
        <is>
          <t>v2 Supuestos D</t>
        </is>
      </c>
    </row>
    <row r="6" ht="15" customHeight="1" s="45">
      <c r="A6" s="48" t="inlineStr">
        <is>
          <t>RONIC real después de impuestos</t>
        </is>
      </c>
      <c r="B6" s="60">
        <f>B4*(1-B5)</f>
        <v/>
      </c>
    </row>
    <row r="7" ht="15" customHeight="1" s="45">
      <c r="A7" s="48" t="inlineStr">
        <is>
          <t>WACC real terminal</t>
        </is>
      </c>
      <c r="B7" s="61" t="n">
        <v>0.0719794829282607</v>
      </c>
      <c r="C7" s="49" t="inlineStr">
        <is>
          <t>v2 WACC</t>
        </is>
      </c>
    </row>
    <row r="8" ht="15" customHeight="1" s="45">
      <c r="A8" s="48" t="inlineStr">
        <is>
          <t>Spread RONIC − WACC real (pb)</t>
        </is>
      </c>
      <c r="B8" s="62">
        <f>(B6-B7)*10000</f>
        <v/>
      </c>
    </row>
    <row r="9" ht="15" customHeight="1" s="45">
      <c r="A9" s="48" t="inlineStr">
        <is>
          <t>g real elegido</t>
        </is>
      </c>
      <c r="B9" s="61" t="n">
        <v>0</v>
      </c>
      <c r="C9" s="49" t="inlineStr">
        <is>
          <t>v2 Supuestos G</t>
        </is>
      </c>
    </row>
    <row r="10" ht="15" customHeight="1" s="45">
      <c r="A10" s="48" t="inlineStr">
        <is>
          <t>Tasa de reinversión = g real / RONIC</t>
        </is>
      </c>
      <c r="B10" s="58">
        <f>B9/B6</f>
        <v/>
      </c>
    </row>
    <row r="11" ht="15" customHeight="1" s="45">
      <c r="A11" s="48" t="inlineStr">
        <is>
          <t>g nominal = (1 + g real)(1 + inflación) − 1</t>
        </is>
      </c>
      <c r="B11" s="58">
        <f>(1+B9)*(1+0.03)-1</f>
        <v/>
      </c>
    </row>
    <row r="13" ht="15" customHeight="1" s="45">
      <c r="A13" s="50" t="inlineStr">
        <is>
          <t>g nominal</t>
        </is>
      </c>
      <c r="B13" s="50" t="inlineStr">
        <is>
          <t>g real</t>
        </is>
      </c>
      <c r="C13" s="50" t="inlineStr">
        <is>
          <t>Reinversión (% NOPAT)</t>
        </is>
      </c>
      <c r="D13" s="50" t="inlineStr">
        <is>
          <t>FCFF 2032E (MM CLP)</t>
        </is>
      </c>
      <c r="E13" s="50" t="inlineStr">
        <is>
          <t>Valor DCF (CLP)</t>
        </is>
      </c>
      <c r="F13" s="50" t="inlineStr">
        <is>
          <t>Δ vs base</t>
        </is>
      </c>
    </row>
    <row r="14" ht="15" customHeight="1" s="45">
      <c r="A14" s="59" t="n">
        <v>0.025</v>
      </c>
      <c r="B14" s="60">
        <f>(1+A14)/1.03-1</f>
        <v/>
      </c>
      <c r="C14" s="58">
        <f>B14/$B$6</f>
        <v/>
      </c>
      <c r="D14" s="55" t="n">
        <v>582787.013869718</v>
      </c>
      <c r="E14" s="55" t="n">
        <v>1917.83874034918</v>
      </c>
      <c r="F14" s="58">
        <f>E14/$E$15-1</f>
        <v/>
      </c>
    </row>
    <row r="15" ht="15" customHeight="1" s="45">
      <c r="A15" s="59" t="n">
        <v>0.03</v>
      </c>
      <c r="B15" s="60">
        <f>(1+A15)/1.03-1</f>
        <v/>
      </c>
      <c r="C15" s="58">
        <f>B15/$B$6</f>
        <v/>
      </c>
      <c r="D15" s="55" t="n">
        <v>528835.311960595</v>
      </c>
      <c r="E15" s="55" t="n">
        <v>1856.81199718015</v>
      </c>
      <c r="F15" s="58">
        <f>E15/$E$15-1</f>
        <v/>
      </c>
    </row>
    <row r="16" ht="15" customHeight="1" s="45">
      <c r="A16" s="59" t="n">
        <v>0.035</v>
      </c>
      <c r="B16" s="60">
        <f>(1+A16)/1.03-1</f>
        <v/>
      </c>
      <c r="C16" s="58">
        <f>B16/$B$6</f>
        <v/>
      </c>
      <c r="D16" s="55" t="n">
        <v>474339.436361579</v>
      </c>
      <c r="E16" s="55" t="n">
        <v>1784.87985066846</v>
      </c>
      <c r="F16" s="58">
        <f>E16/$E$15-1</f>
        <v/>
      </c>
    </row>
    <row r="17" ht="15" customHeight="1" s="45">
      <c r="A17" s="59" t="n">
        <v>0.04</v>
      </c>
      <c r="B17" s="60">
        <f>(1+A17)/1.03-1</f>
        <v/>
      </c>
      <c r="C17" s="58">
        <f>B17/$B$6</f>
        <v/>
      </c>
      <c r="D17" s="55" t="n">
        <v>419299.387072671</v>
      </c>
      <c r="E17" s="55" t="n">
        <v>1699.49188081559</v>
      </c>
      <c r="F17" s="58">
        <f>E17/$E$15-1</f>
        <v/>
      </c>
    </row>
    <row r="18" ht="15" customHeight="1" s="45">
      <c r="A18" s="49" t="inlineStr">
        <is>
          <t>FCFF 2032E y valor: v2 Sensibilidad (auxiliar y Tabla 1). g 2,5% implica g real negativo: el modelo libera capital (desinversión), por eso sube; conviene mostrar solo 3,0–4,0%.</t>
        </is>
      </c>
    </row>
    <row r="20" ht="15" customHeight="1" s="45">
      <c r="A20" s="47" t="inlineStr">
        <is>
          <t>Panel C — ilustración: valor terminal relativo = (1 − g/RONIC) / (WACC real − g), índice 100 con g = 0</t>
        </is>
      </c>
    </row>
    <row r="21" ht="15" customHeight="1" s="45">
      <c r="A21" s="48" t="inlineStr">
        <is>
          <t>WACC real (ilustración)</t>
        </is>
      </c>
      <c r="B21" s="60">
        <f>B7</f>
        <v/>
      </c>
    </row>
    <row r="22" ht="15" customHeight="1" s="45">
      <c r="A22" s="50" t="inlineStr">
        <is>
          <t>g real</t>
        </is>
      </c>
      <c r="B22" s="50" t="inlineStr">
        <is>
          <t>RONIC 5,0% (Mallplaza)</t>
        </is>
      </c>
      <c r="C22" s="50" t="inlineStr">
        <is>
          <t>RONIC = WACC (7,2%)</t>
        </is>
      </c>
      <c r="D22" s="50" t="inlineStr">
        <is>
          <t>RONIC 10,0%</t>
        </is>
      </c>
    </row>
    <row r="23" ht="15" customHeight="1" s="45">
      <c r="A23" s="48" t="inlineStr">
        <is>
          <t>RONIC →</t>
        </is>
      </c>
      <c r="B23" s="60">
        <f>B6</f>
        <v/>
      </c>
      <c r="C23" s="60">
        <f>B7</f>
        <v/>
      </c>
      <c r="D23" s="61" t="n">
        <v>0.1</v>
      </c>
    </row>
    <row r="24" ht="15" customHeight="1" s="45">
      <c r="A24" s="59" t="n">
        <v>0</v>
      </c>
      <c r="B24" s="63">
        <f>100*((1-$A24/B$23)/($B$21-$A24))/(1/$B$21)</f>
        <v/>
      </c>
      <c r="C24" s="63">
        <f>100*((1-$A24/C$23)/($B$21-$A24))/(1/$B$21)</f>
        <v/>
      </c>
      <c r="D24" s="63">
        <f>100*((1-$A24/D$23)/($B$21-$A24))/(1/$B$21)</f>
        <v/>
      </c>
    </row>
    <row r="25" ht="15" customHeight="1" s="45">
      <c r="A25" s="59" t="n">
        <v>0.005</v>
      </c>
      <c r="B25" s="63">
        <f>100*((1-$A25/B$23)/($B$21-$A25))/(1/$B$21)</f>
        <v/>
      </c>
      <c r="C25" s="63">
        <f>100*((1-$A25/C$23)/($B$21-$A25))/(1/$B$21)</f>
        <v/>
      </c>
      <c r="D25" s="63">
        <f>100*((1-$A25/D$23)/($B$21-$A25))/(1/$B$21)</f>
        <v/>
      </c>
    </row>
    <row r="26" ht="15" customHeight="1" s="45">
      <c r="A26" s="59" t="n">
        <v>0.01</v>
      </c>
      <c r="B26" s="63">
        <f>100*((1-$A26/B$23)/($B$21-$A26))/(1/$B$21)</f>
        <v/>
      </c>
      <c r="C26" s="63">
        <f>100*((1-$A26/C$23)/($B$21-$A26))/(1/$B$21)</f>
        <v/>
      </c>
      <c r="D26" s="63">
        <f>100*((1-$A26/D$23)/($B$21-$A26))/(1/$B$21)</f>
        <v/>
      </c>
    </row>
    <row r="27" ht="15" customHeight="1" s="45">
      <c r="A27" s="59" t="n">
        <v>0.015</v>
      </c>
      <c r="B27" s="63">
        <f>100*((1-$A27/B$23)/($B$21-$A27))/(1/$B$21)</f>
        <v/>
      </c>
      <c r="C27" s="63">
        <f>100*((1-$A27/C$23)/($B$21-$A27))/(1/$B$21)</f>
        <v/>
      </c>
      <c r="D27" s="63">
        <f>100*((1-$A27/D$23)/($B$21-$A27))/(1/$B$21)</f>
        <v/>
      </c>
    </row>
    <row r="29" ht="15" customHeight="1" s="45">
      <c r="A29" s="49" t="inlineStr">
        <is>
          <t>Con RONIC &lt; WACC cada punto de crecimiento baja el valor; con RONIC = WACC el valor no cambia; con RONIC &gt; WACC crecer suma valor.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4" min="1" max="1"/>
    <col width="15" customWidth="1" style="44" min="2" max="8"/>
  </cols>
  <sheetData>
    <row r="1" ht="15" customHeight="1" s="45">
      <c r="A1" s="46" t="inlineStr">
        <is>
          <t>V4 — Capital de trabajo</t>
        </is>
      </c>
    </row>
    <row r="2" ht="15" customHeight="1" s="45">
      <c r="A2" s="49" t="inlineStr">
        <is>
          <t>Panel A: cascada dic-25 (estilo Kozminski Fig. 37). Panel B: sensibilidad del valor al supuesto CTN/ingresos.</t>
        </is>
      </c>
    </row>
    <row r="3" ht="15" customHeight="1" s="45">
      <c r="A3" s="54" t="inlineStr">
        <is>
          <t>Gráfico: Panel A: cascada (waterfall). Panel B: tabla de 5 filas. Pendiente Bloomberg: —</t>
        </is>
      </c>
    </row>
    <row r="4" ht="15" customHeight="1" s="45">
      <c r="A4" s="50" t="inlineStr">
        <is>
          <t>Componente (MM CLP)</t>
        </is>
      </c>
      <c r="B4" s="50" t="inlineStr">
        <is>
          <t>dic-23</t>
        </is>
      </c>
      <c r="C4" s="50" t="inlineStr">
        <is>
          <t>dic-24</t>
        </is>
      </c>
      <c r="D4" s="50" t="inlineStr">
        <is>
          <t>dic-25</t>
        </is>
      </c>
    </row>
    <row r="5" ht="15" customHeight="1" s="45">
      <c r="A5" s="48" t="inlineStr">
        <is>
          <t>(+) Deudores comerciales</t>
        </is>
      </c>
      <c r="B5" s="55" t="n">
        <v>109044.234</v>
      </c>
      <c r="C5" s="55" t="n">
        <v>111058.299</v>
      </c>
      <c r="D5" s="55" t="n">
        <v>122369.806</v>
      </c>
      <c r="E5" s="49" t="inlineStr">
        <is>
          <t>v2 Capital_Trabajo</t>
        </is>
      </c>
    </row>
    <row r="6" ht="15" customHeight="1" s="45">
      <c r="A6" s="48" t="inlineStr">
        <is>
          <t>(+) CxC relacionadas</t>
        </is>
      </c>
      <c r="B6" s="55" t="n">
        <v>45909.292</v>
      </c>
      <c r="C6" s="55" t="n">
        <v>19565.384</v>
      </c>
      <c r="D6" s="55" t="n">
        <v>13695.594</v>
      </c>
      <c r="E6" s="49" t="inlineStr">
        <is>
          <t>v2 Capital_Trabajo</t>
        </is>
      </c>
    </row>
    <row r="7" ht="15" customHeight="1" s="45">
      <c r="A7" s="48" t="inlineStr">
        <is>
          <t>(−) CxP comerciales operativas (sin dividendo)</t>
        </is>
      </c>
      <c r="B7" s="55" t="n">
        <v>56494.871</v>
      </c>
      <c r="C7" s="55" t="n">
        <v>24351.691</v>
      </c>
      <c r="D7" s="55" t="n">
        <v>11484.079</v>
      </c>
      <c r="E7" s="49" t="inlineStr">
        <is>
          <t>v2 Capital_Trabajo</t>
        </is>
      </c>
    </row>
    <row r="8" ht="15" customHeight="1" s="45">
      <c r="A8" s="48" t="inlineStr">
        <is>
          <t>(−) CxP relacionadas</t>
        </is>
      </c>
      <c r="B8" s="55" t="n">
        <v>34486.698</v>
      </c>
      <c r="C8" s="55" t="n">
        <v>2641.613</v>
      </c>
      <c r="D8" s="55" t="n">
        <v>2296.174</v>
      </c>
      <c r="E8" s="49" t="inlineStr">
        <is>
          <t>v2 Capital_Trabajo</t>
        </is>
      </c>
    </row>
    <row r="9" ht="15" customHeight="1" s="45">
      <c r="A9" s="48" t="inlineStr">
        <is>
          <t>(−) Otros pasivos no financieros (arriendos anticipados)</t>
        </is>
      </c>
      <c r="B9" s="55" t="n">
        <v>10367.061</v>
      </c>
      <c r="C9" s="55" t="n">
        <v>23176.757</v>
      </c>
      <c r="D9" s="55" t="n">
        <v>20246.646</v>
      </c>
      <c r="E9" s="49" t="inlineStr">
        <is>
          <t>v2 Capital_Trabajo</t>
        </is>
      </c>
    </row>
    <row r="10" ht="15" customHeight="1" s="45">
      <c r="A10" s="48" t="inlineStr">
        <is>
          <t>Capital de trabajo neto</t>
        </is>
      </c>
      <c r="B10" s="56">
        <f>B5+B6-B7-B8-B9</f>
        <v/>
      </c>
      <c r="C10" s="56">
        <f>C5+C6-C7-C8-C9</f>
        <v/>
      </c>
      <c r="D10" s="56">
        <f>D5+D6-D7-D8-D9</f>
        <v/>
      </c>
    </row>
    <row r="11" ht="15" customHeight="1" s="45">
      <c r="A11" s="48" t="inlineStr">
        <is>
          <t>Ingresos del año</t>
        </is>
      </c>
      <c r="B11" s="55" t="n">
        <v>419904</v>
      </c>
      <c r="C11" s="55" t="n">
        <v>494605</v>
      </c>
      <c r="D11" s="55" t="n">
        <v>653911</v>
      </c>
      <c r="E11" s="49" t="inlineStr">
        <is>
          <t>v2 Capital_Trabajo</t>
        </is>
      </c>
    </row>
    <row r="12" ht="15" customHeight="1" s="45">
      <c r="A12" s="48" t="inlineStr">
        <is>
          <t>CTN / ingresos</t>
        </is>
      </c>
      <c r="B12" s="58">
        <f>B10/B11</f>
        <v/>
      </c>
      <c r="C12" s="58">
        <f>C10/C11</f>
        <v/>
      </c>
      <c r="D12" s="58">
        <f>D10/D11</f>
        <v/>
      </c>
    </row>
    <row r="14" ht="15" customHeight="1" s="45">
      <c r="A14" s="50" t="inlineStr">
        <is>
          <t>Escenario (CTN/ingresos vs base 15,6%)</t>
        </is>
      </c>
      <c r="B14" s="50" t="inlineStr">
        <is>
          <t>Multiplicador</t>
        </is>
      </c>
      <c r="C14" s="50" t="inlineStr">
        <is>
          <t>CTN/ingresos</t>
        </is>
      </c>
      <c r="D14" s="50" t="inlineStr">
        <is>
          <t>Valor DCF (CLP)</t>
        </is>
      </c>
      <c r="E14" s="50" t="inlineStr">
        <is>
          <t>Precio objetivo (CLP)</t>
        </is>
      </c>
      <c r="F14" s="50" t="inlineStr">
        <is>
          <t>Δ vs base</t>
        </is>
      </c>
    </row>
    <row r="15" ht="15" customHeight="1" s="45">
      <c r="A15" s="48" t="inlineStr">
        <is>
          <t>Sin capital de trabajo</t>
        </is>
      </c>
      <c r="B15" s="64" t="n">
        <v>0</v>
      </c>
      <c r="C15" s="58">
        <f>B15*$D$12</f>
        <v/>
      </c>
      <c r="D15" s="55" t="n">
        <v>1888.8</v>
      </c>
      <c r="E15" s="56">
        <f>0.8*D15+0.2*2951.38547083101</f>
        <v/>
      </c>
      <c r="F15" s="58">
        <f>E15/$E$17-1</f>
        <v/>
      </c>
    </row>
    <row r="16" ht="15" customHeight="1" s="45">
      <c r="A16" s="48" t="inlineStr">
        <is>
          <t>Mitad</t>
        </is>
      </c>
      <c r="B16" s="64" t="n">
        <v>0.5</v>
      </c>
      <c r="C16" s="58">
        <f>B16*$D$12</f>
        <v/>
      </c>
      <c r="D16" s="55" t="n">
        <v>1872.8</v>
      </c>
      <c r="E16" s="56">
        <f>0.8*D16+0.2*2951.38547083101</f>
        <v/>
      </c>
      <c r="F16" s="58">
        <f>E16/$E$17-1</f>
        <v/>
      </c>
    </row>
    <row r="17" ht="15" customHeight="1" s="45">
      <c r="A17" s="48" t="inlineStr">
        <is>
          <t>Base (dic-25)</t>
        </is>
      </c>
      <c r="B17" s="64" t="n">
        <v>1</v>
      </c>
      <c r="C17" s="58">
        <f>B17*$D$12</f>
        <v/>
      </c>
      <c r="D17" s="55" t="n">
        <v>1856.8</v>
      </c>
      <c r="E17" s="56">
        <f>0.8*D17+0.2*2951.38547083101</f>
        <v/>
      </c>
      <c r="F17" s="58">
        <f>E17/$E$17-1</f>
        <v/>
      </c>
    </row>
    <row r="18" ht="15" customHeight="1" s="45">
      <c r="A18" s="48" t="inlineStr">
        <is>
          <t>+50%</t>
        </is>
      </c>
      <c r="B18" s="64" t="n">
        <v>1.5</v>
      </c>
      <c r="C18" s="58">
        <f>B18*$D$12</f>
        <v/>
      </c>
      <c r="D18" s="55" t="n">
        <v>1840.8</v>
      </c>
      <c r="E18" s="56">
        <f>0.8*D18+0.2*2951.38547083101</f>
        <v/>
      </c>
      <c r="F18" s="58">
        <f>E18/$E$17-1</f>
        <v/>
      </c>
    </row>
    <row r="19" ht="15" customHeight="1" s="45">
      <c r="A19" s="48" t="inlineStr">
        <is>
          <t>Doble</t>
        </is>
      </c>
      <c r="B19" s="64" t="n">
        <v>2</v>
      </c>
      <c r="C19" s="58">
        <f>B19*$D$12</f>
        <v/>
      </c>
      <c r="D19" s="55" t="n">
        <v>1824.8</v>
      </c>
      <c r="E19" s="56">
        <f>0.8*D19+0.2*2951.38547083101</f>
        <v/>
      </c>
      <c r="F19" s="58">
        <f>E19/$E$17-1</f>
        <v/>
      </c>
    </row>
    <row r="21" ht="15" customHeight="1" s="45">
      <c r="A21" s="49" t="inlineStr">
        <is>
          <t>Valor DCF: réplica del DCF v2 escalando la inversión en capital de trabajo de todos los períodos y del año terminal (base = CLP 1.856,8).</t>
        </is>
      </c>
    </row>
    <row r="22" ht="15" customHeight="1" s="45">
      <c r="A22" s="49" t="inlineStr">
        <is>
          <t>Lectura: todo el capital de trabajo vale ~CLP 32 por acción (1,7% del DCF). El valor no depende de este supuesto.</t>
        </is>
      </c>
    </row>
    <row r="23" ht="15" customHeight="1" s="45">
      <c r="A23" s="49" t="inlineStr">
        <is>
          <t>Limitación (v2): las CxP comerciales incluyen proveedores de obras (capex); sin la nota de desglose no se separan.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4" min="1" max="1"/>
    <col width="15" customWidth="1" style="44" min="2" max="8"/>
  </cols>
  <sheetData>
    <row r="1" ht="15" customHeight="1" s="45">
      <c r="A1" s="46" t="inlineStr">
        <is>
          <t>V5 — Cap rate implícito vs referencias</t>
        </is>
      </c>
    </row>
    <row r="2" ht="15" customHeight="1" s="45">
      <c r="A2" s="49" t="inlineStr">
        <is>
          <t>Barras: cap rate = EBITDA LTM / EV. Línea horizontal en el cap rate del DCF.</t>
        </is>
      </c>
    </row>
    <row r="3" ht="15" customHeight="1" s="45">
      <c r="A3" s="54" t="inlineStr">
        <is>
          <t>Gráfico: Barras horizontales ordenadas de menor a mayor. Pendiente Bloomberg: —</t>
        </is>
      </c>
    </row>
    <row r="4" ht="15" customHeight="1" s="45">
      <c r="A4" s="50" t="inlineStr">
        <is>
          <t>Referencia</t>
        </is>
      </c>
      <c r="B4" s="50" t="inlineStr">
        <is>
          <t>Cap rate</t>
        </is>
      </c>
      <c r="C4" s="50" t="n"/>
      <c r="D4" s="50" t="inlineStr">
        <is>
          <t>Fuente</t>
        </is>
      </c>
    </row>
    <row r="5" ht="15" customHeight="1" s="45">
      <c r="A5" s="48" t="inlineStr">
        <is>
          <t>Mercado: Mallplaza al precio actual</t>
        </is>
      </c>
      <c r="B5" s="59" t="n">
        <v>0.0595696699374472</v>
      </c>
      <c r="C5" s="58" t="n"/>
      <c r="D5" s="58" t="inlineStr">
        <is>
          <t>v2 Precio_Objetivo C</t>
        </is>
      </c>
    </row>
    <row r="6" ht="15" customHeight="1" s="45">
      <c r="A6" s="48" t="inlineStr">
        <is>
          <t>Pares chilenos (1 / mediana EV/EBITDA Chile)</t>
        </is>
      </c>
      <c r="B6" s="59" t="n">
        <v>0.0635409535170989</v>
      </c>
      <c r="C6" s="58" t="n"/>
      <c r="D6" s="58" t="inlineStr">
        <is>
          <t>v2 Precio_Objetivo C</t>
        </is>
      </c>
    </row>
    <row r="7" ht="15" customHeight="1" s="45">
      <c r="A7" s="48" t="inlineStr">
        <is>
          <t>Valor libro (EBITDA LTM / propiedades de inversión)</t>
        </is>
      </c>
      <c r="B7" s="59" t="n">
        <v>0.075</v>
      </c>
      <c r="C7" s="58" t="n"/>
      <c r="D7" s="58" t="inlineStr">
        <is>
          <t>v2 DCF, chequeos</t>
        </is>
      </c>
    </row>
    <row r="8" ht="15" customHeight="1" s="45">
      <c r="A8" s="48" t="inlineStr">
        <is>
          <t>Compra Gran Plaza, Colombia (NOI / precio) — argumento aislado</t>
        </is>
      </c>
      <c r="B8" s="59" t="n">
        <v>0.094</v>
      </c>
      <c r="C8" s="58" t="n"/>
      <c r="D8" s="58" t="inlineStr">
        <is>
          <t>NOI LTM COP 111.000 MM / precio COP 1.177.806 MM (DF, 31-jul-26). Hecho posterior: no entra al modelo</t>
        </is>
      </c>
    </row>
    <row r="9" ht="15" customHeight="1" s="45">
      <c r="A9" s="48" t="inlineStr">
        <is>
          <t>Nuestro DCF (EBITDA LTM / EV DCF)</t>
        </is>
      </c>
      <c r="B9" s="59" t="n">
        <v>0.100857870301779</v>
      </c>
      <c r="C9" s="58" t="n"/>
      <c r="D9" s="58" t="inlineStr">
        <is>
          <t>v2 DCF, chequeos</t>
        </is>
      </c>
    </row>
    <row r="10" ht="15" customHeight="1" s="45">
      <c r="A10" s="48" t="inlineStr">
        <is>
          <t>Nuestro DCF, valor terminal (EBITDA 2032E / VT)</t>
        </is>
      </c>
      <c r="B10" s="59" t="n">
        <v>0.112715304010366</v>
      </c>
      <c r="C10" s="58" t="n"/>
      <c r="D10" s="58" t="inlineStr">
        <is>
          <t>v2 DCF, chequeos</t>
        </is>
      </c>
    </row>
    <row r="12" ht="15" customHeight="1" s="45">
      <c r="A12" s="48" t="inlineStr">
        <is>
          <t>Brecha DCF − mercado (pb)</t>
        </is>
      </c>
      <c r="B12" s="62">
        <f>(B9-B5)*10000</f>
        <v/>
      </c>
    </row>
    <row r="14" ht="15" customHeight="1" s="45">
      <c r="A14" s="49" t="inlineStr">
        <is>
          <t>Mensaje: el mercado valora Mallplaza como si sus activos rindieran 6,0%; los pares chilenos, 6,4%; la propia contabilidad a valor razonable, 7,5%.</t>
        </is>
      </c>
    </row>
    <row r="15" ht="15" customHeight="1" s="45">
      <c r="A15" s="49" t="inlineStr">
        <is>
          <t>Gran Plaza: es Colombia (CRP 3,70% vs 1,04% Chile) y usa NOI, no EBITDA. Mostrar con color distinto y nota de "hecho posterior".</t>
        </is>
      </c>
    </row>
    <row r="16" ht="15" customHeight="1" s="45">
      <c r="A16" s="49" t="inlineStr">
        <is>
          <t>Defensa ante la Nota 11 (tasación con WACC real 5,55%): ver V2. La tasación usa una tasa real más baja que la de cualquier inversionista de patrimonio.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4" min="1" max="1"/>
    <col width="15" customWidth="1" style="44" min="2" max="8"/>
  </cols>
  <sheetData>
    <row r="1" ht="15" customHeight="1" s="45">
      <c r="A1" s="46" t="inlineStr">
        <is>
          <t>V6 — DCF inverso: valor por acción según la WACC</t>
        </is>
      </c>
    </row>
    <row r="2" ht="15" customHeight="1" s="45">
      <c r="A2" s="49" t="inlineStr">
        <is>
          <t>Línea: valor DCF y precio objetivo vs WACC terminal; líneas horizontales en CLP 3.555 y CLP 2.076; marcar WACC base 10,41% y WACC implícita 7,56%.</t>
        </is>
      </c>
    </row>
    <row r="3" ht="15" customHeight="1" s="45">
      <c r="A3" s="54" t="inlineStr">
        <is>
          <t>Gráfico: Línea (valor vs WACC). Pendiente Bloomberg: —</t>
        </is>
      </c>
    </row>
    <row r="4" ht="15" customHeight="1" s="45">
      <c r="A4" s="50" t="inlineStr">
        <is>
          <t>Δ WACC (todos los períodos)</t>
        </is>
      </c>
      <c r="B4" s="50" t="inlineStr">
        <is>
          <t>WACC terminal</t>
        </is>
      </c>
      <c r="C4" s="50" t="inlineStr">
        <is>
          <t>Valor DCF (CLP)</t>
        </is>
      </c>
      <c r="D4" s="50" t="inlineStr">
        <is>
          <t>Precio objetivo 80/20 (CLP)</t>
        </is>
      </c>
      <c r="E4" s="50" t="inlineStr">
        <is>
          <t>Precio actual</t>
        </is>
      </c>
    </row>
    <row r="5" ht="15" customHeight="1" s="45">
      <c r="A5" s="65" t="n">
        <v>-0.04</v>
      </c>
      <c r="B5" s="60">
        <f>0.104138867416108+A5</f>
        <v/>
      </c>
      <c r="C5" s="55" t="n">
        <v>5051</v>
      </c>
      <c r="D5" s="56">
        <f>0.8*C5+0.2*2951.38547083101</f>
        <v/>
      </c>
      <c r="E5" s="55" t="n">
        <v>3555</v>
      </c>
    </row>
    <row r="6" ht="15" customHeight="1" s="45">
      <c r="A6" s="65" t="n">
        <v>-0.035</v>
      </c>
      <c r="B6" s="60">
        <f>0.104138867416108+A6</f>
        <v/>
      </c>
      <c r="C6" s="55" t="n">
        <v>4290</v>
      </c>
      <c r="D6" s="56">
        <f>0.8*C6+0.2*2951.38547083101</f>
        <v/>
      </c>
      <c r="E6" s="55" t="n">
        <v>3555</v>
      </c>
    </row>
    <row r="7" ht="15" customHeight="1" s="45">
      <c r="A7" s="65" t="n">
        <v>-0.03</v>
      </c>
      <c r="B7" s="60">
        <f>0.104138867416108+A7</f>
        <v/>
      </c>
      <c r="C7" s="55" t="n">
        <v>3703</v>
      </c>
      <c r="D7" s="56">
        <f>0.8*C7+0.2*2951.38547083101</f>
        <v/>
      </c>
      <c r="E7" s="55" t="n">
        <v>3555</v>
      </c>
    </row>
    <row r="8" ht="15" customHeight="1" s="45">
      <c r="A8" s="65" t="n">
        <v>-0.025</v>
      </c>
      <c r="B8" s="60">
        <f>0.104138867416108+A8</f>
        <v/>
      </c>
      <c r="C8" s="55" t="n">
        <v>3237</v>
      </c>
      <c r="D8" s="56">
        <f>0.8*C8+0.2*2951.38547083101</f>
        <v/>
      </c>
      <c r="E8" s="55" t="n">
        <v>3555</v>
      </c>
    </row>
    <row r="9" ht="15" customHeight="1" s="45">
      <c r="A9" s="65" t="n">
        <v>-0.02</v>
      </c>
      <c r="B9" s="60">
        <f>0.104138867416108+A9</f>
        <v/>
      </c>
      <c r="C9" s="55" t="n">
        <v>2857</v>
      </c>
      <c r="D9" s="56">
        <f>0.8*C9+0.2*2951.38547083101</f>
        <v/>
      </c>
      <c r="E9" s="55" t="n">
        <v>3555</v>
      </c>
    </row>
    <row r="10" ht="15" customHeight="1" s="45">
      <c r="A10" s="65" t="n">
        <v>-0.015</v>
      </c>
      <c r="B10" s="60">
        <f>0.104138867416108+A10</f>
        <v/>
      </c>
      <c r="C10" s="55" t="n">
        <v>2543</v>
      </c>
      <c r="D10" s="56">
        <f>0.8*C10+0.2*2951.38547083101</f>
        <v/>
      </c>
      <c r="E10" s="55" t="n">
        <v>3555</v>
      </c>
    </row>
    <row r="11" ht="15" customHeight="1" s="45">
      <c r="A11" s="65" t="n">
        <v>-0.01</v>
      </c>
      <c r="B11" s="60">
        <f>0.104138867416108+A11</f>
        <v/>
      </c>
      <c r="C11" s="55" t="n">
        <v>2278</v>
      </c>
      <c r="D11" s="56">
        <f>0.8*C11+0.2*2951.38547083101</f>
        <v/>
      </c>
      <c r="E11" s="55" t="n">
        <v>3555</v>
      </c>
    </row>
    <row r="12" ht="15" customHeight="1" s="45">
      <c r="A12" s="65" t="n">
        <v>-0.005</v>
      </c>
      <c r="B12" s="60">
        <f>0.104138867416108+A12</f>
        <v/>
      </c>
      <c r="C12" s="55" t="n">
        <v>2052</v>
      </c>
      <c r="D12" s="56">
        <f>0.8*C12+0.2*2951.38547083101</f>
        <v/>
      </c>
      <c r="E12" s="55" t="n">
        <v>3555</v>
      </c>
    </row>
    <row r="13" ht="15" customHeight="1" s="45">
      <c r="A13" s="65" t="n">
        <v>0</v>
      </c>
      <c r="B13" s="60">
        <f>0.104138867416108+A13</f>
        <v/>
      </c>
      <c r="C13" s="55" t="n">
        <v>1857</v>
      </c>
      <c r="D13" s="56">
        <f>0.8*C13+0.2*2951.38547083101</f>
        <v/>
      </c>
      <c r="E13" s="55" t="n">
        <v>3555</v>
      </c>
    </row>
    <row r="14" ht="15" customHeight="1" s="45">
      <c r="A14" s="65" t="n">
        <v>0.005</v>
      </c>
      <c r="B14" s="60">
        <f>0.104138867416108+A14</f>
        <v/>
      </c>
      <c r="C14" s="55" t="n">
        <v>1687</v>
      </c>
      <c r="D14" s="56">
        <f>0.8*C14+0.2*2951.38547083101</f>
        <v/>
      </c>
      <c r="E14" s="55" t="n">
        <v>3555</v>
      </c>
    </row>
    <row r="15" ht="15" customHeight="1" s="45">
      <c r="A15" s="65" t="n">
        <v>0.01</v>
      </c>
      <c r="B15" s="60">
        <f>0.104138867416108+A15</f>
        <v/>
      </c>
      <c r="C15" s="55" t="n">
        <v>1538</v>
      </c>
      <c r="D15" s="56">
        <f>0.8*C15+0.2*2951.38547083101</f>
        <v/>
      </c>
      <c r="E15" s="55" t="n">
        <v>3555</v>
      </c>
    </row>
    <row r="17" ht="15" customHeight="1" s="45">
      <c r="A17" s="48" t="inlineStr">
        <is>
          <t>WACC terminal que iguala el DCF al precio actual</t>
        </is>
      </c>
      <c r="B17" s="61" t="n">
        <v>0.0756146197226035</v>
      </c>
      <c r="C17" s="49" t="inlineStr">
        <is>
          <t>Búsqueda de objetivo sobre la réplica del DCF</t>
        </is>
      </c>
    </row>
    <row r="18" ht="15" customHeight="1" s="45">
      <c r="A18" s="48" t="inlineStr">
        <is>
          <t>Brecha vs nuestra WACC (pb)</t>
        </is>
      </c>
      <c r="B18" s="62">
        <f>(B17-0.104138867416108)*10000</f>
        <v/>
      </c>
    </row>
    <row r="19" ht="15" customHeight="1" s="45">
      <c r="A19" s="48" t="inlineStr">
        <is>
          <t>WACC terminal que iguala el precio objetivo 80/20 al precio actual</t>
        </is>
      </c>
      <c r="B19" s="61" t="n">
        <v>0.0741153260304354</v>
      </c>
      <c r="C19" s="49" t="inlineStr">
        <is>
          <t>Ídem, con múltiplos fijos</t>
        </is>
      </c>
    </row>
    <row r="21" ht="15" customHeight="1" s="45">
      <c r="A21" s="49" t="inlineStr">
        <is>
          <t>Valores −1% a +1% coinciden con v2 Sensibilidad (g 3,0%). Fuera de ese rango: réplica del DCF, mismo método (desplazamiento paralelo de la WACC por período).</t>
        </is>
      </c>
    </row>
    <row r="22" ht="15" customHeight="1" s="45">
      <c r="A22" s="49" t="inlineStr">
        <is>
          <t>Mensaje: para justificar CLP 3.555 el mercado debe descontar a ~7,6% nominal (~4,4% real), 285 pb bajo nuestra WACC (ver V2).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4" min="1" max="1"/>
    <col width="15" customWidth="1" style="44" min="2" max="8"/>
  </cols>
  <sheetData>
    <row r="1" ht="15" customHeight="1" s="45">
      <c r="A1" s="46" t="inlineStr">
        <is>
          <t>V7 — Múltiplos: por qué Chile pesa 70%</t>
        </is>
      </c>
    </row>
    <row r="2" ht="15" customHeight="1" s="45">
      <c r="A2" s="49" t="inlineStr">
        <is>
          <t>Panel A: EV/EBITDA vs tasa local. Panel B: spread real del cap rate sobre el bono indexado local. Panel C: sensibilidad del precio objetivo a la ponderación.</t>
        </is>
      </c>
    </row>
    <row r="3" ht="15" customHeight="1" s="45">
      <c r="A3" s="54" t="inlineStr">
        <is>
          <t>Gráfico: Panel A: dispersión. Panel B: barras de spread. Panel C (apéndice): tabla. NTN-B (E6) y tasa nominal Brasil (C21) completadas; inflación y PIB esperados (B22:C23) completados con fuentes públicas (C21:C23, B22:B23)</t>
        </is>
      </c>
    </row>
    <row r="4" ht="15" customHeight="1" s="45">
      <c r="A4" s="50" t="inlineStr">
        <is>
          <t>Empresa</t>
        </is>
      </c>
      <c r="B4" s="50" t="inlineStr">
        <is>
          <t>País</t>
        </is>
      </c>
      <c r="C4" s="50" t="inlineStr">
        <is>
          <t>EV/EBITDA LTM</t>
        </is>
      </c>
      <c r="D4" s="50" t="inlineStr">
        <is>
          <t>Cap rate (1/múltiplo)</t>
        </is>
      </c>
      <c r="E4" s="50" t="inlineStr">
        <is>
          <t>Bono real 10 años local</t>
        </is>
      </c>
      <c r="F4" s="50" t="inlineStr">
        <is>
          <t>Spread real (pb)</t>
        </is>
      </c>
    </row>
    <row r="5" ht="15" customHeight="1" s="45">
      <c r="A5" s="48" t="inlineStr">
        <is>
          <t>Bono real Chile: UF 10 años BCCh</t>
        </is>
      </c>
      <c r="B5" s="60" t="n"/>
      <c r="C5" s="60" t="n"/>
      <c r="D5" s="60" t="n"/>
      <c r="E5" s="61" t="n">
        <v>0.025</v>
      </c>
      <c r="F5" s="49" t="inlineStr">
        <is>
          <t>BCCh, tasa al 30-06-26</t>
        </is>
      </c>
    </row>
    <row r="6" ht="15" customHeight="1" s="45">
      <c r="A6" s="48" t="inlineStr">
        <is>
          <t>Bono real Brasil: NTN-B ~10 años (IPCA+)</t>
        </is>
      </c>
      <c r="B6" s="60" t="n"/>
      <c r="C6" s="60" t="n"/>
      <c r="D6" s="60" t="n"/>
      <c r="E6" s="66" t="n">
        <v>0.080777</v>
      </c>
      <c r="F6" s="49" t="inlineStr">
        <is>
          <t>Bloomberg: BNTNB 6 05/15/35 Govt (vence 15-05-2035), YLD_YTM_MID al 30-06-26 = 8,0777%</t>
        </is>
      </c>
    </row>
    <row r="8" ht="15" customHeight="1" s="45">
      <c r="A8" s="48" t="inlineStr">
        <is>
          <t>Mallplaza (precio actual)</t>
        </is>
      </c>
      <c r="B8" s="48" t="inlineStr">
        <is>
          <t>Chile</t>
        </is>
      </c>
      <c r="C8" s="64" t="n">
        <v>16.7870663216714</v>
      </c>
      <c r="D8" s="58">
        <f>1/C8</f>
        <v/>
      </c>
      <c r="E8" s="60">
        <f>IF($E$5="","",$E$5)</f>
        <v/>
      </c>
      <c r="F8" s="62">
        <f>IF(E8="","",(D8-E8)*10000)</f>
        <v/>
      </c>
    </row>
    <row r="9" ht="15" customHeight="1" s="45">
      <c r="A9" s="48" t="inlineStr">
        <is>
          <t>Parque Arauco</t>
        </is>
      </c>
      <c r="B9" s="48" t="inlineStr">
        <is>
          <t>Chile</t>
        </is>
      </c>
      <c r="C9" s="64" t="n">
        <v>18.441862447395</v>
      </c>
      <c r="D9" s="58">
        <f>1/C9</f>
        <v/>
      </c>
      <c r="E9" s="60">
        <f>IF($E$5="","",$E$5)</f>
        <v/>
      </c>
      <c r="F9" s="62">
        <f>IF(E9="","",(D9-E9)*10000)</f>
        <v/>
      </c>
    </row>
    <row r="10" ht="15" customHeight="1" s="45">
      <c r="A10" s="48" t="inlineStr">
        <is>
          <t>Cencosud Shopping</t>
        </is>
      </c>
      <c r="B10" s="48" t="inlineStr">
        <is>
          <t>Chile</t>
        </is>
      </c>
      <c r="C10" s="64" t="n">
        <v>13.0339006517817</v>
      </c>
      <c r="D10" s="58">
        <f>1/C10</f>
        <v/>
      </c>
      <c r="E10" s="60">
        <f>IF($E$5="","",$E$5)</f>
        <v/>
      </c>
      <c r="F10" s="62">
        <f>IF(E10="","",(D10-E10)*10000)</f>
        <v/>
      </c>
    </row>
    <row r="11" ht="15" customHeight="1" s="45">
      <c r="A11" s="48" t="inlineStr">
        <is>
          <t>Multiplan</t>
        </is>
      </c>
      <c r="B11" s="48" t="inlineStr">
        <is>
          <t>Brasil</t>
        </is>
      </c>
      <c r="C11" s="64" t="n">
        <v>9.0124422835631</v>
      </c>
      <c r="D11" s="58">
        <f>1/C11</f>
        <v/>
      </c>
      <c r="E11" s="60">
        <f>IF($E$6="","",$E$6)</f>
        <v/>
      </c>
      <c r="F11" s="62">
        <f>IF(E11="","",(D11-E11)*10000)</f>
        <v/>
      </c>
    </row>
    <row r="12" ht="15" customHeight="1" s="45">
      <c r="A12" s="48" t="inlineStr">
        <is>
          <t>Allos</t>
        </is>
      </c>
      <c r="B12" s="48" t="inlineStr">
        <is>
          <t>Brasil</t>
        </is>
      </c>
      <c r="C12" s="64" t="n">
        <v>10.0170499078843</v>
      </c>
      <c r="D12" s="58">
        <f>1/C12</f>
        <v/>
      </c>
      <c r="E12" s="60">
        <f>IF($E$6="","",$E$6)</f>
        <v/>
      </c>
      <c r="F12" s="62">
        <f>IF(E12="","",(D12-E12)*10000)</f>
        <v/>
      </c>
    </row>
    <row r="13" ht="15" customHeight="1" s="45">
      <c r="A13" s="48" t="inlineStr">
        <is>
          <t>Iguatemi</t>
        </is>
      </c>
      <c r="B13" s="48" t="inlineStr">
        <is>
          <t>Brasil</t>
        </is>
      </c>
      <c r="C13" s="64" t="n">
        <v>8.75410023334625</v>
      </c>
      <c r="D13" s="58">
        <f>1/C13</f>
        <v/>
      </c>
      <c r="E13" s="60">
        <f>IF($E$6="","",$E$6)</f>
        <v/>
      </c>
      <c r="F13" s="62">
        <f>IF(E13="","",(D13-E13)*10000)</f>
        <v/>
      </c>
    </row>
    <row r="15" ht="15" customHeight="1" s="45">
      <c r="A15" s="47" t="inlineStr">
        <is>
          <t>Mediana Chile (pares)</t>
        </is>
      </c>
      <c r="B15" s="47" t="n"/>
      <c r="C15" s="67">
        <f>MEDIAN(C9:C10)</f>
        <v/>
      </c>
      <c r="D15" s="68">
        <f>1/C15</f>
        <v/>
      </c>
      <c r="E15" s="69">
        <f>$E$5</f>
        <v/>
      </c>
      <c r="F15" s="70">
        <f>IF(E15="","",(D15-E15)*10000)</f>
        <v/>
      </c>
    </row>
    <row r="16" ht="15" customHeight="1" s="45">
      <c r="A16" s="47" t="inlineStr">
        <is>
          <t>Mediana Brasil</t>
        </is>
      </c>
      <c r="B16" s="47" t="n"/>
      <c r="C16" s="67">
        <f>MEDIAN(C11:C13)</f>
        <v/>
      </c>
      <c r="D16" s="68">
        <f>1/C16</f>
        <v/>
      </c>
      <c r="E16" s="69">
        <f>IF($E$6="","",$E$6)</f>
        <v/>
      </c>
      <c r="F16" s="70">
        <f>IF(E16="","",(D16-E16)*10000)</f>
        <v/>
      </c>
    </row>
    <row r="17" ht="15" customHeight="1" s="45">
      <c r="A17" s="49" t="inlineStr">
        <is>
          <t>Múltiplos: v2 Comparables (precio 30-09-2026). IRSA (12,3x) se omite del panel: cifras NIC 29 y tasas argentinas no comparables.</t>
        </is>
      </c>
    </row>
    <row r="19" ht="15" customHeight="1" s="45">
      <c r="A19" s="50" t="inlineStr">
        <is>
          <t>Contexto macro</t>
        </is>
      </c>
      <c r="B19" s="50" t="inlineStr">
        <is>
          <t>Chile</t>
        </is>
      </c>
      <c r="C19" s="50" t="inlineStr">
        <is>
          <t>Brasil</t>
        </is>
      </c>
      <c r="D19" s="50" t="inlineStr">
        <is>
          <t>Fuente</t>
        </is>
      </c>
    </row>
    <row r="20" ht="15" customHeight="1" s="45">
      <c r="A20" s="48" t="inlineStr">
        <is>
          <t>Tasa de política monetaria (30-06-26)</t>
        </is>
      </c>
      <c r="B20" s="61" t="n">
        <v>0.045</v>
      </c>
      <c r="C20" s="61" t="n">
        <v>0.1425</v>
      </c>
      <c r="D20" s="49" t="inlineStr">
        <is>
          <t>BCCh (TPM 4,50%); Copom jun-26 (Selic 14,25%)</t>
        </is>
      </c>
    </row>
    <row r="21" ht="15" customHeight="1" s="45">
      <c r="A21" s="48" t="inlineStr">
        <is>
          <t>Tasa nominal 10 años (30-06-26)</t>
        </is>
      </c>
      <c r="B21" s="61" t="n">
        <v>0.0543</v>
      </c>
      <c r="C21" s="66" t="n">
        <v>0.1434375</v>
      </c>
      <c r="D21" s="49" t="inlineStr">
        <is>
          <t>Chile: BCCh 30-06-26 · Brasil: Bloomberg GTBRL10YR Corp, PX_LAST al 30-06-26 (14,34%)</t>
        </is>
      </c>
    </row>
    <row r="22" ht="15" customHeight="1" s="45">
      <c r="A22" s="48" t="inlineStr">
        <is>
          <t>Inflación esperada 2026 (encuesta a jun-26)</t>
        </is>
      </c>
      <c r="B22" s="66" t="n">
        <v>0.041</v>
      </c>
      <c r="C22" s="66" t="n">
        <v>0.0533</v>
      </c>
      <c r="D22" s="49" t="inlineStr">
        <is>
          <t>Chile: EEE BCCh jun-26 (IPC dic-26, mediana 4,1%) · Brasil: Boletim Focus 29-06-26, ref. 26-06-26 (IPCA 2026, mediana 5,33%)</t>
        </is>
      </c>
    </row>
    <row r="23" ht="15" customHeight="1" s="45">
      <c r="A23" s="48" t="inlineStr">
        <is>
          <t>Crecimiento PIB 2026 (encuesta a jun-26)</t>
        </is>
      </c>
      <c r="B23" s="66" t="n">
        <v>0.016</v>
      </c>
      <c r="C23" s="66" t="n">
        <v>0.0199</v>
      </c>
      <c r="D23" s="49" t="inlineStr">
        <is>
          <t>Chile: EEE BCCh jun-26 (PIB 2026, mediana 1,6%) · Brasil: Boletim Focus 29-06-26 (PIB 2026, mediana 1,99%)</t>
        </is>
      </c>
    </row>
    <row r="25" ht="15" customHeight="1" s="45">
      <c r="A25" s="50" t="inlineStr">
        <is>
          <t>Peso de Chile en el múltiplo</t>
        </is>
      </c>
      <c r="B25" s="50" t="inlineStr">
        <is>
          <t>Múltiplo</t>
        </is>
      </c>
      <c r="C25" s="50" t="inlineStr">
        <is>
          <t>Valor por múltiplos (CLP)</t>
        </is>
      </c>
      <c r="D25" s="50" t="inlineStr">
        <is>
          <t>Precio objetivo (CLP)</t>
        </is>
      </c>
      <c r="E25" s="50" t="inlineStr">
        <is>
          <t>Δ vs base</t>
        </is>
      </c>
    </row>
    <row r="26" ht="15" customHeight="1" s="45">
      <c r="A26" s="72" t="n">
        <v>1</v>
      </c>
      <c r="B26" s="73">
        <f>A26*15.7378815495883+(1-A26)*11.1490876866811</f>
        <v/>
      </c>
      <c r="C26" s="56">
        <f>(B26*544935-1311568.558-50841.428)/2190</f>
        <v/>
      </c>
      <c r="D26" s="56">
        <f>0.8*1856.81199718015+0.2*C26</f>
        <v/>
      </c>
      <c r="E26" s="58">
        <f>D26/$D$27-1</f>
        <v/>
      </c>
    </row>
    <row r="27" ht="15" customHeight="1" s="45">
      <c r="A27" s="72" t="n">
        <v>0.7</v>
      </c>
      <c r="B27" s="73">
        <f>A27*15.7378815495883+(1-A27)*11.1490876866811</f>
        <v/>
      </c>
      <c r="C27" s="56">
        <f>(B27*544935-1311568.558-50841.428)/2190</f>
        <v/>
      </c>
      <c r="D27" s="56">
        <f>0.8*1856.81199718015+0.2*C27</f>
        <v/>
      </c>
      <c r="E27" s="58">
        <f>D27/$D$27-1</f>
        <v/>
      </c>
    </row>
    <row r="28" ht="15" customHeight="1" s="45">
      <c r="A28" s="72" t="n">
        <v>0.5</v>
      </c>
      <c r="B28" s="73">
        <f>A28*15.7378815495883+(1-A28)*11.1490876866811</f>
        <v/>
      </c>
      <c r="C28" s="56">
        <f>(B28*544935-1311568.558-50841.428)/2190</f>
        <v/>
      </c>
      <c r="D28" s="56">
        <f>0.8*1856.81199718015+0.2*C28</f>
        <v/>
      </c>
      <c r="E28" s="58">
        <f>D28/$D$27-1</f>
        <v/>
      </c>
    </row>
    <row r="29" ht="15" customHeight="1" s="45">
      <c r="A29" s="72" t="n">
        <v>0.3</v>
      </c>
      <c r="B29" s="73">
        <f>A29*15.7378815495883+(1-A29)*11.1490876866811</f>
        <v/>
      </c>
      <c r="C29" s="56">
        <f>(B29*544935-1311568.558-50841.428)/2190</f>
        <v/>
      </c>
      <c r="D29" s="56">
        <f>0.8*1856.81199718015+0.2*C29</f>
        <v/>
      </c>
      <c r="E29" s="58">
        <f>D29/$D$27-1</f>
        <v/>
      </c>
    </row>
    <row r="30" ht="15" customHeight="1" s="45">
      <c r="A30" s="72" t="n">
        <v>0</v>
      </c>
      <c r="B30" s="73">
        <f>A30*15.7378815495883+(1-A30)*11.1490876866811</f>
        <v/>
      </c>
      <c r="C30" s="56">
        <f>(B30*544935-1311568.558-50841.428)/2190</f>
        <v/>
      </c>
      <c r="D30" s="56">
        <f>0.8*1856.81199718015+0.2*C30</f>
        <v/>
      </c>
      <c r="E30" s="58">
        <f>D30/$D$27-1</f>
        <v/>
      </c>
    </row>
    <row r="32" ht="15" customHeight="1" s="45">
      <c r="A32" s="49" t="inlineStr">
        <is>
          <t>Medianas: Chile 15,74x y set común 11,15x (v2 Comparables). Deuda neta y minoritarios BBG (v2 Supuestos A).</t>
        </is>
      </c>
    </row>
    <row r="33" ht="15" customHeight="1" s="45">
      <c r="A33" s="49" t="inlineStr">
        <is>
          <t>Lectura: la ponderación mueve el precio objetivo entre CLP 1.916 y 2.144 (±3%). Ninguna ponderación se acerca a CLP 3.555.</t>
        </is>
      </c>
    </row>
    <row r="34" ht="15" customHeight="1" s="45">
      <c r="A34" s="49" t="inlineStr">
        <is>
          <t>Advertencia honesta: la mediana chilena son solo 2 pares (Parque Arauco y Cencosud Shopping); el set común (30%) aporta diversificación.</t>
        </is>
      </c>
    </row>
    <row r="35" ht="15" customHeight="1" s="45">
      <c r="A35" s="49" t="inlineStr">
        <is>
          <t>Spread Brasil y medianas calculados con la NTN-B de 8,08% real (30-06-26).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44" min="1" max="1"/>
  </cols>
  <sheetData>
    <row r="1" ht="15" customHeight="1" s="45">
      <c r="A1" s="46" t="inlineStr">
        <is>
          <t>V8 — Precio de los pares vs sus múltiplos (gráfico del equipo, ya listo)</t>
        </is>
      </c>
    </row>
    <row r="3" ht="15" customHeight="1" s="45">
      <c r="A3" s="54" t="inlineStr">
        <is>
          <t>Gráfico: el del equipo. Va inmediatamente después de V7, como evidencia del 20% asignado a múltiplos.</t>
        </is>
      </c>
    </row>
    <row r="5" ht="15" customHeight="1" s="45">
      <c r="A5" s="48" t="inlineStr">
        <is>
          <t>Revisar que use los mismos pares, la misma fecha de precio (30-09-26) y la misma definición de EV/EBITDA LTM que v2 Comparables.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44" min="1" max="1"/>
    <col width="15" customWidth="1" style="44" min="2" max="8"/>
  </cols>
  <sheetData>
    <row r="1" ht="15" customHeight="1" s="45">
      <c r="A1" s="46" t="inlineStr">
        <is>
          <t>Apéndice — Construcción de la WACC (réplica con fórmulas de v2, hoja WACC)</t>
        </is>
      </c>
    </row>
    <row r="2" ht="15" customHeight="1" s="45">
      <c r="A2" s="49" t="inlineStr">
        <is>
          <t>Todo se calcula desde los inputs azules. La sección E compara contra v2: las diferencias deben ser 0.</t>
        </is>
      </c>
    </row>
    <row r="3" ht="15" customHeight="1" s="45">
      <c r="A3" s="54" t="inlineStr">
        <is>
          <t>Gráfico: Apéndice: tabla de construcción + línea por período. Pendiente Bloomberg: Betas de regresión (B85:B86), opcional</t>
        </is>
      </c>
    </row>
    <row r="4" ht="15" customHeight="1" s="45">
      <c r="A4" s="47" t="inlineStr">
        <is>
          <t>A. Inputs</t>
        </is>
      </c>
    </row>
    <row r="5" ht="15" customHeight="1" s="45">
      <c r="A5" s="48" t="inlineStr">
        <is>
          <t>Rf — bono del Tesoro EE.UU. 10 años</t>
        </is>
      </c>
      <c r="B5" s="61" t="n">
        <v>0.049778</v>
      </c>
      <c r="C5" s="49" t="inlineStr">
        <is>
          <t>v2 Supuestos B (Tasa_WACC.xlsm FFCF!C11)</t>
        </is>
      </c>
    </row>
    <row r="6" ht="15" customHeight="1" s="45">
      <c r="A6" s="48" t="inlineStr">
        <is>
          <t>Prima por riesgo de mercado (ERP)</t>
        </is>
      </c>
      <c r="B6" s="61" t="n">
        <v>0.0414</v>
      </c>
      <c r="C6" s="49" t="inlineStr">
        <is>
          <t>Damodaran (v2 Supuestos B)</t>
        </is>
      </c>
    </row>
    <row r="7" ht="15" customHeight="1" s="45">
      <c r="A7" s="48" t="inlineStr">
        <is>
          <t>CRP Chile</t>
        </is>
      </c>
      <c r="B7" s="61" t="n">
        <v>0.0104</v>
      </c>
      <c r="C7" s="49" t="inlineStr">
        <is>
          <t>Damodaran (v2)</t>
        </is>
      </c>
    </row>
    <row r="8" ht="15" customHeight="1" s="45">
      <c r="A8" s="48" t="inlineStr">
        <is>
          <t>CRP Perú</t>
        </is>
      </c>
      <c r="B8" s="61" t="n">
        <v>0.0155</v>
      </c>
      <c r="C8" s="49" t="inlineStr">
        <is>
          <t>Damodaran (v2)</t>
        </is>
      </c>
    </row>
    <row r="9" ht="15" customHeight="1" s="45">
      <c r="A9" s="48" t="inlineStr">
        <is>
          <t>CRP Colombia</t>
        </is>
      </c>
      <c r="B9" s="61" t="n">
        <v>0.037</v>
      </c>
      <c r="C9" s="49" t="inlineStr">
        <is>
          <t>Damodaran (v2)</t>
        </is>
      </c>
    </row>
    <row r="10" ht="15" customHeight="1" s="45">
      <c r="A10" s="48" t="inlineStr">
        <is>
          <t>Inflación LP Chile (meta BCCh)</t>
        </is>
      </c>
      <c r="B10" s="61" t="n">
        <v>0.03</v>
      </c>
      <c r="C10" s="49" t="inlineStr">
        <is>
          <t>v2 Supuestos B</t>
        </is>
      </c>
    </row>
    <row r="11" ht="15" customHeight="1" s="45">
      <c r="A11" s="48" t="inlineStr">
        <is>
          <t>Inflación LP EE.UU. (breakeven 10Y, jun-26)</t>
        </is>
      </c>
      <c r="B11" s="61" t="n">
        <v>0.022431</v>
      </c>
      <c r="C11" s="49" t="inlineStr">
        <is>
          <t>Bloomberg USGG10YR − USGGT10Y (v2)</t>
        </is>
      </c>
    </row>
    <row r="12" ht="15" customHeight="1" s="45">
      <c r="A12" s="48" t="inlineStr">
        <is>
          <t>Tasa de impuesto Chile</t>
        </is>
      </c>
      <c r="B12" s="59" t="n">
        <v>0.27</v>
      </c>
      <c r="C12" s="49" t="inlineStr">
        <is>
          <t>Ley de Impuesto a la Renta (v2)</t>
        </is>
      </c>
    </row>
    <row r="13" ht="15" customHeight="1" s="45">
      <c r="A13" s="48" t="inlineStr">
        <is>
          <t>Kd real — cupón última emisión UF</t>
        </is>
      </c>
      <c r="B13" s="61" t="n">
        <v>0.036</v>
      </c>
      <c r="C13" s="49" t="inlineStr">
        <is>
          <t>v2 Supuestos B</t>
        </is>
      </c>
    </row>
    <row r="14" ht="15" customHeight="1" s="45">
      <c r="A14" s="48" t="inlineStr">
        <is>
          <t>Aumento Kd real por vuelta de DFN/EBITDA</t>
        </is>
      </c>
      <c r="B14" s="61" t="n">
        <v>0.0025</v>
      </c>
      <c r="C14" s="49" t="inlineStr">
        <is>
          <t>Supuesto del equipo (v2 Supuestos C)</t>
        </is>
      </c>
    </row>
    <row r="15" ht="15" customHeight="1" s="45">
      <c r="A15" s="48" t="inlineStr">
        <is>
          <t>DFN/EBITDA inicial (30-06-26)</t>
        </is>
      </c>
      <c r="B15" s="74" t="n">
        <v>2.3594373640893</v>
      </c>
      <c r="C15" s="49" t="inlineStr">
        <is>
          <t>v2 Supuestos C</t>
        </is>
      </c>
    </row>
    <row r="16" ht="15" customHeight="1" s="45">
      <c r="A16" s="48" t="inlineStr">
        <is>
          <t>DFN/EBITDA objetivo</t>
        </is>
      </c>
      <c r="B16" s="74" t="n">
        <v>3.5</v>
      </c>
      <c r="C16" s="49" t="inlineStr">
        <is>
          <t>v2 Supuestos C</t>
        </is>
      </c>
    </row>
    <row r="17" ht="15" customHeight="1" s="45">
      <c r="A17" s="48" t="inlineStr">
        <is>
          <t>Años de convergencia (30-06-26 a dic-2031)</t>
        </is>
      </c>
      <c r="B17" s="75" t="n">
        <v>5.5</v>
      </c>
      <c r="C17" s="49" t="inlineStr">
        <is>
          <t>v2 Supuestos C</t>
        </is>
      </c>
    </row>
    <row r="18" ht="15" customHeight="1" s="45">
      <c r="A18" s="48" t="inlineStr">
        <is>
          <t>Deuda financiera bruta (estructura actual)</t>
        </is>
      </c>
      <c r="B18" s="55" t="n">
        <v>1579315.2</v>
      </c>
      <c r="C18" s="49" t="inlineStr">
        <is>
          <t>Tasa_WACC.xlsm FFCF!G23:G24 (v2)</t>
        </is>
      </c>
    </row>
    <row r="19" ht="15" customHeight="1" s="45">
      <c r="A19" s="48" t="inlineStr">
        <is>
          <t>Market cap (estructura WACC)</t>
        </is>
      </c>
      <c r="B19" s="55" t="n">
        <v>7905900</v>
      </c>
      <c r="C19" s="49" t="inlineStr">
        <is>
          <t>Tasa_WACC.xlsm FFCF!G26 (v2)</t>
        </is>
      </c>
    </row>
    <row r="20" ht="15" customHeight="1" s="45">
      <c r="A20" s="48" t="inlineStr">
        <is>
          <t>EBITDA LTM 2T26</t>
        </is>
      </c>
      <c r="B20" s="55" t="n">
        <v>544935</v>
      </c>
      <c r="C20" s="49" t="inlineStr">
        <is>
          <t>Release 2Q26 (v2)</t>
        </is>
      </c>
    </row>
    <row r="21" ht="15" customHeight="1" s="45">
      <c r="A21" s="48" t="inlineStr">
        <is>
          <t>Caja 30-06-26</t>
        </is>
      </c>
      <c r="B21" s="55" t="n">
        <v>347621</v>
      </c>
      <c r="C21" s="49" t="inlineStr">
        <is>
          <t>Release 2Q26 (v2)</t>
        </is>
      </c>
    </row>
    <row r="22" ht="15" customHeight="1" s="45">
      <c r="A22" s="48" t="inlineStr">
        <is>
          <t>Ingresos LTM consolidados (MM CLP)</t>
        </is>
      </c>
      <c r="B22" s="55" t="n">
        <v>677333</v>
      </c>
      <c r="C22" s="49" t="inlineStr">
        <is>
          <t>v2</t>
        </is>
      </c>
    </row>
    <row r="23" ht="15" customHeight="1" s="45">
      <c r="A23" s="48" t="inlineStr">
        <is>
          <t>Ingresos LTM Chile (MM CLP)</t>
        </is>
      </c>
      <c r="B23" s="55" t="n">
        <v>486084</v>
      </c>
      <c r="C23" s="49" t="inlineStr">
        <is>
          <t>v2</t>
        </is>
      </c>
    </row>
    <row r="24" ht="15" customHeight="1" s="45">
      <c r="A24" s="48" t="inlineStr">
        <is>
          <t>Ingresos LTM Perú (miles PEN)</t>
        </is>
      </c>
      <c r="B24" s="55" t="n">
        <v>463174</v>
      </c>
      <c r="C24" s="49" t="inlineStr">
        <is>
          <t>v2</t>
        </is>
      </c>
    </row>
    <row r="25" ht="15" customHeight="1" s="45">
      <c r="A25" s="48" t="inlineStr">
        <is>
          <t>Ingresos LTM Colombia (MM COP)</t>
        </is>
      </c>
      <c r="B25" s="55" t="n">
        <v>275461</v>
      </c>
      <c r="C25" s="49" t="inlineStr">
        <is>
          <t>v2</t>
        </is>
      </c>
    </row>
    <row r="26" ht="15" customHeight="1" s="45">
      <c r="A26" s="48" t="inlineStr">
        <is>
          <t>USDCLP</t>
        </is>
      </c>
      <c r="B26" s="76" t="n">
        <v>922.21</v>
      </c>
      <c r="C26" s="49" t="inlineStr">
        <is>
          <t>v2</t>
        </is>
      </c>
    </row>
    <row r="27" ht="15" customHeight="1" s="45">
      <c r="A27" s="48" t="inlineStr">
        <is>
          <t>USDPEN</t>
        </is>
      </c>
      <c r="B27" s="76" t="n">
        <v>3.41</v>
      </c>
      <c r="C27" s="49" t="inlineStr">
        <is>
          <t>v2</t>
        </is>
      </c>
    </row>
    <row r="28" ht="15" customHeight="1" s="45">
      <c r="A28" s="48" t="inlineStr">
        <is>
          <t>USDCOP</t>
        </is>
      </c>
      <c r="B28" s="76" t="n">
        <v>3416.45</v>
      </c>
      <c r="C28" s="49" t="inlineStr">
        <is>
          <t>v2</t>
        </is>
      </c>
    </row>
    <row r="30" ht="15" customHeight="1" s="45">
      <c r="A30" s="47" t="inlineStr">
        <is>
          <t>B. Beta: pares desapalancados (Hamada) → mediana → re-apalancada por período</t>
        </is>
      </c>
    </row>
    <row r="31" ht="15" customHeight="1" s="45">
      <c r="A31" s="50" t="inlineStr">
        <is>
          <t>Empresa</t>
        </is>
      </c>
      <c r="B31" s="50" t="inlineStr">
        <is>
          <t>Beta apalancada</t>
        </is>
      </c>
      <c r="C31" s="50" t="inlineStr">
        <is>
          <t>Deuda (MM CLP)</t>
        </is>
      </c>
      <c r="D31" s="50" t="inlineStr">
        <is>
          <t>Market cap (MM CLP)</t>
        </is>
      </c>
      <c r="E31" s="50" t="inlineStr">
        <is>
          <t>Impuesto</t>
        </is>
      </c>
      <c r="F31" s="50" t="inlineStr">
        <is>
          <t>Beta desapalancada</t>
        </is>
      </c>
      <c r="G31" s="50" t="inlineStr">
        <is>
          <t>Incluida (1/0)</t>
        </is>
      </c>
      <c r="H31" s="50" t="inlineStr">
        <is>
          <t>Para mediana</t>
        </is>
      </c>
    </row>
    <row r="32" ht="15" customHeight="1" s="45">
      <c r="A32" s="48" t="inlineStr">
        <is>
          <t>Parque Arauco</t>
        </is>
      </c>
      <c r="B32" s="77" t="n">
        <v>1.25</v>
      </c>
      <c r="C32" s="55" t="n">
        <v>1700506.9</v>
      </c>
      <c r="D32" s="55" t="n">
        <v>3828031</v>
      </c>
      <c r="E32" s="59" t="n">
        <v>0.27</v>
      </c>
      <c r="F32" s="78">
        <f>B32/(1+(1-E32)*C32/D32)</f>
        <v/>
      </c>
      <c r="G32" s="79" t="n">
        <v>1</v>
      </c>
      <c r="H32" s="78">
        <f>IF(G32=1,F32,"")</f>
        <v/>
      </c>
    </row>
    <row r="33" ht="15" customHeight="1" s="45">
      <c r="A33" s="48" t="inlineStr">
        <is>
          <t>Cencosud Shopping</t>
        </is>
      </c>
      <c r="B33" s="77" t="n">
        <v>1.075</v>
      </c>
      <c r="C33" s="55" t="n">
        <v>762153.7</v>
      </c>
      <c r="D33" s="55" t="n">
        <v>3942858</v>
      </c>
      <c r="E33" s="59" t="n">
        <v>0.27</v>
      </c>
      <c r="F33" s="78">
        <f>B33/(1+(1-E33)*C33/D33)</f>
        <v/>
      </c>
      <c r="G33" s="79" t="n">
        <v>1</v>
      </c>
      <c r="H33" s="78">
        <f>IF(G33=1,F33,"")</f>
        <v/>
      </c>
    </row>
    <row r="34" ht="15" customHeight="1" s="45">
      <c r="A34" s="48" t="inlineStr">
        <is>
          <t>Allos</t>
        </is>
      </c>
      <c r="B34" s="77" t="n">
        <v>1.164</v>
      </c>
      <c r="C34" s="55" t="n">
        <v>960191</v>
      </c>
      <c r="D34" s="55" t="n">
        <v>2712166.2</v>
      </c>
      <c r="E34" s="59" t="n">
        <v>0.34</v>
      </c>
      <c r="F34" s="78">
        <f>B34/(1+(1-E34)*C34/D34)</f>
        <v/>
      </c>
      <c r="G34" s="79" t="n">
        <v>1</v>
      </c>
      <c r="H34" s="78">
        <f>IF(G34=1,F34,"")</f>
        <v/>
      </c>
    </row>
    <row r="35" ht="15" customHeight="1" s="45">
      <c r="A35" s="48" t="inlineStr">
        <is>
          <t>Iguatemi</t>
        </is>
      </c>
      <c r="B35" s="77" t="n">
        <v>0.908</v>
      </c>
      <c r="C35" s="55" t="n">
        <v>647396.6</v>
      </c>
      <c r="D35" s="55" t="n">
        <v>1421560.1</v>
      </c>
      <c r="E35" s="59" t="n">
        <v>0.34</v>
      </c>
      <c r="F35" s="78">
        <f>B35/(1+(1-E35)*C35/D35)</f>
        <v/>
      </c>
      <c r="G35" s="79" t="n">
        <v>1</v>
      </c>
      <c r="H35" s="78">
        <f>IF(G35=1,F35,"")</f>
        <v/>
      </c>
    </row>
    <row r="36" ht="15" customHeight="1" s="45">
      <c r="A36" s="48" t="inlineStr">
        <is>
          <t>Costa Verde</t>
        </is>
      </c>
      <c r="B36" s="77" t="n">
        <v>0.025</v>
      </c>
      <c r="C36" s="55" t="n">
        <v>203967.5</v>
      </c>
      <c r="D36" s="55" t="n">
        <v>489349.7</v>
      </c>
      <c r="E36" s="59" t="n">
        <v>0.3</v>
      </c>
      <c r="F36" s="78">
        <f>B36/(1+(1-E36)*C36/D36)</f>
        <v/>
      </c>
      <c r="G36" s="79" t="n">
        <v>0</v>
      </c>
      <c r="H36" s="78">
        <f>IF(G36=1,F36,"")</f>
        <v/>
      </c>
    </row>
    <row r="37" ht="15" customHeight="1" s="45">
      <c r="A37" s="48" t="inlineStr">
        <is>
          <t>IRSA</t>
        </is>
      </c>
      <c r="B37" s="77" t="n">
        <v>0.427</v>
      </c>
      <c r="C37" s="55" t="n">
        <v>625046.5</v>
      </c>
      <c r="D37" s="55" t="n">
        <v>1218777.1</v>
      </c>
      <c r="E37" s="59" t="n">
        <v>0.35</v>
      </c>
      <c r="F37" s="78">
        <f>B37/(1+(1-E37)*C37/D37)</f>
        <v/>
      </c>
      <c r="G37" s="79" t="n">
        <v>1</v>
      </c>
      <c r="H37" s="78">
        <f>IF(G37=1,F37,"")</f>
        <v/>
      </c>
    </row>
    <row r="38" ht="15" customHeight="1" s="45">
      <c r="A38" s="48" t="inlineStr">
        <is>
          <t>Multiplan</t>
        </is>
      </c>
      <c r="B38" s="77" t="n">
        <v>1.219</v>
      </c>
      <c r="C38" s="55" t="n">
        <v>191478.3</v>
      </c>
      <c r="D38" s="55" t="n">
        <v>2959844.9</v>
      </c>
      <c r="E38" s="59" t="n">
        <v>0.34</v>
      </c>
      <c r="F38" s="78">
        <f>B38/(1+(1-E38)*C38/D38)</f>
        <v/>
      </c>
      <c r="G38" s="79" t="n">
        <v>1</v>
      </c>
      <c r="H38" s="78">
        <f>IF(G38=1,F38,"")</f>
        <v/>
      </c>
    </row>
    <row r="39" ht="15" customHeight="1" s="45">
      <c r="A39" s="49" t="inlineStr">
        <is>
          <t>Fuente: v2 WACC A (betas Bloomberg). Costa Verde excluida: no está en comparables.</t>
        </is>
      </c>
    </row>
    <row r="40" ht="15" customHeight="1" s="45">
      <c r="A40" s="47" t="inlineStr">
        <is>
          <t>Beta desapalancada: mediana de incluidas</t>
        </is>
      </c>
      <c r="B40" s="78">
        <f>MEDIAN(H32:H38)</f>
        <v/>
      </c>
    </row>
    <row r="42" ht="15" customHeight="1" s="45">
      <c r="A42" s="47" t="inlineStr">
        <is>
          <t>C. Riesgo país ponderado por ingresos</t>
        </is>
      </c>
    </row>
    <row r="43" ht="15" customHeight="1" s="45">
      <c r="A43" s="48" t="inlineStr">
        <is>
          <t>Ingresos Perú (MM CLP)</t>
        </is>
      </c>
      <c r="B43" s="56">
        <f>B24/1000*B26/B27</f>
        <v/>
      </c>
    </row>
    <row r="44" ht="15" customHeight="1" s="45">
      <c r="A44" s="48" t="inlineStr">
        <is>
          <t>Ingresos Colombia (MM CLP)</t>
        </is>
      </c>
      <c r="B44" s="56">
        <f>B25*B26/B28</f>
        <v/>
      </c>
    </row>
    <row r="45" ht="15" customHeight="1" s="45">
      <c r="A45" s="48" t="inlineStr">
        <is>
          <t>Ponderación Chile</t>
        </is>
      </c>
      <c r="B45" s="58">
        <f>B23/B22</f>
        <v/>
      </c>
    </row>
    <row r="46" ht="15" customHeight="1" s="45">
      <c r="A46" s="48" t="inlineStr">
        <is>
          <t>Ponderación Perú = resto × participación de Perú en el exterior</t>
        </is>
      </c>
      <c r="B46" s="58">
        <f>(1-B45)*B43/(B43+B44)</f>
        <v/>
      </c>
    </row>
    <row r="47" ht="15" customHeight="1" s="45">
      <c r="A47" s="48" t="inlineStr">
        <is>
          <t>Ponderación Colombia = resto × participación de Colombia</t>
        </is>
      </c>
      <c r="B47" s="58">
        <f>(1-B45)*B44/(B43+B44)</f>
        <v/>
      </c>
    </row>
    <row r="48" ht="15" customHeight="1" s="45">
      <c r="A48" s="47" t="inlineStr">
        <is>
          <t>CRP ponderado</t>
        </is>
      </c>
      <c r="B48" s="60">
        <f>B45*B7+B46*B8+B47*B9</f>
        <v/>
      </c>
    </row>
    <row r="49" ht="15" customHeight="1" s="45">
      <c r="A49" s="49" t="inlineStr">
        <is>
          <t>Método de v2: Chile = ingresos Chile / consolidado; el resto se reparte entre Perú y Colombia según sus ingresos convertidos (así las ponderaciones suman 100%).</t>
        </is>
      </c>
    </row>
    <row r="50" ht="15" customHeight="1" s="45">
      <c r="A50" s="47" t="inlineStr">
        <is>
          <t>D. WACC por período (D/E converge linealmente de la estructura actual a la objetivo)</t>
        </is>
      </c>
    </row>
    <row r="51" ht="15" customHeight="1" s="45">
      <c r="A51" s="50" t="inlineStr">
        <is>
          <t>Concepto</t>
        </is>
      </c>
      <c r="B51" s="50" t="inlineStr">
        <is>
          <t>2S26E</t>
        </is>
      </c>
      <c r="C51" s="50" t="inlineStr">
        <is>
          <t>2027E</t>
        </is>
      </c>
      <c r="D51" s="50" t="inlineStr">
        <is>
          <t>2028E</t>
        </is>
      </c>
      <c r="E51" s="50" t="inlineStr">
        <is>
          <t>2029E</t>
        </is>
      </c>
      <c r="F51" s="50" t="inlineStr">
        <is>
          <t>2030E</t>
        </is>
      </c>
      <c r="G51" s="50" t="inlineStr">
        <is>
          <t>2031E</t>
        </is>
      </c>
      <c r="H51" s="50" t="inlineStr">
        <is>
          <t>Terminal</t>
        </is>
      </c>
    </row>
    <row r="52" ht="15" customHeight="1" s="45">
      <c r="A52" s="48" t="inlineStr">
        <is>
          <t>Años desde 30-06-26</t>
        </is>
      </c>
      <c r="B52" s="75" t="n">
        <v>0.5</v>
      </c>
      <c r="C52" s="75" t="n">
        <v>1.5</v>
      </c>
      <c r="D52" s="75" t="n">
        <v>2.5</v>
      </c>
      <c r="E52" s="75" t="n">
        <v>3.5</v>
      </c>
      <c r="F52" s="75" t="n">
        <v>4.5</v>
      </c>
      <c r="G52" s="75" t="n">
        <v>5.5</v>
      </c>
      <c r="H52" s="63">
        <f>G52</f>
        <v/>
      </c>
    </row>
    <row r="53" ht="15" customHeight="1" s="45">
      <c r="A53" s="48" t="inlineStr">
        <is>
          <t>DFN/EBITDA</t>
        </is>
      </c>
      <c r="B53" s="80">
        <f>$B$15+($B$16-$B$15)*MIN(B52/$B$17,1)</f>
        <v/>
      </c>
      <c r="C53" s="80">
        <f>$B$15+($B$16-$B$15)*MIN(C52/$B$17,1)</f>
        <v/>
      </c>
      <c r="D53" s="80">
        <f>$B$15+($B$16-$B$15)*MIN(D52/$B$17,1)</f>
        <v/>
      </c>
      <c r="E53" s="80">
        <f>$B$15+($B$16-$B$15)*MIN(E52/$B$17,1)</f>
        <v/>
      </c>
      <c r="F53" s="80">
        <f>$B$15+($B$16-$B$15)*MIN(F52/$B$17,1)</f>
        <v/>
      </c>
      <c r="G53" s="80">
        <f>$B$15+($B$16-$B$15)*MIN(G52/$B$17,1)</f>
        <v/>
      </c>
      <c r="H53" s="80">
        <f>$B$15+($B$16-$B$15)*MIN(H52/$B$17,1)</f>
        <v/>
      </c>
    </row>
    <row r="54" ht="15" customHeight="1" s="45">
      <c r="A54" s="48" t="inlineStr">
        <is>
          <t>D/E actual</t>
        </is>
      </c>
      <c r="B54" s="60">
        <f>$B$18/$B$19</f>
        <v/>
      </c>
      <c r="C54" s="60">
        <f>$B$18/$B$19</f>
        <v/>
      </c>
      <c r="D54" s="60">
        <f>$B$18/$B$19</f>
        <v/>
      </c>
      <c r="E54" s="60">
        <f>$B$18/$B$19</f>
        <v/>
      </c>
      <c r="F54" s="60">
        <f>$B$18/$B$19</f>
        <v/>
      </c>
      <c r="G54" s="60">
        <f>$B$18/$B$19</f>
        <v/>
      </c>
      <c r="H54" s="60">
        <f>$B$18/$B$19</f>
        <v/>
      </c>
    </row>
    <row r="55" ht="15" customHeight="1" s="45">
      <c r="A55" s="48" t="inlineStr">
        <is>
          <t>D/E objetivo</t>
        </is>
      </c>
      <c r="B55" s="60">
        <f>($B$16*$B$20+$B$21)/$B$19</f>
        <v/>
      </c>
      <c r="C55" s="60">
        <f>($B$16*$B$20+$B$21)/$B$19</f>
        <v/>
      </c>
      <c r="D55" s="60">
        <f>($B$16*$B$20+$B$21)/$B$19</f>
        <v/>
      </c>
      <c r="E55" s="60">
        <f>($B$16*$B$20+$B$21)/$B$19</f>
        <v/>
      </c>
      <c r="F55" s="60">
        <f>($B$16*$B$20+$B$21)/$B$19</f>
        <v/>
      </c>
      <c r="G55" s="60">
        <f>($B$16*$B$20+$B$21)/$B$19</f>
        <v/>
      </c>
      <c r="H55" s="60">
        <f>($B$16*$B$20+$B$21)/$B$19</f>
        <v/>
      </c>
    </row>
    <row r="56" ht="15" customHeight="1" s="45">
      <c r="A56" s="48" t="inlineStr">
        <is>
          <t>D/E usado</t>
        </is>
      </c>
      <c r="B56" s="60">
        <f>B54+(B55-B54)*MIN(B52/$B$17,1)</f>
        <v/>
      </c>
      <c r="C56" s="60">
        <f>C54+(C55-C54)*MIN(C52/$B$17,1)</f>
        <v/>
      </c>
      <c r="D56" s="60">
        <f>D54+(D55-D54)*MIN(D52/$B$17,1)</f>
        <v/>
      </c>
      <c r="E56" s="60">
        <f>E54+(E55-E54)*MIN(E52/$B$17,1)</f>
        <v/>
      </c>
      <c r="F56" s="60">
        <f>F54+(F55-F54)*MIN(F52/$B$17,1)</f>
        <v/>
      </c>
      <c r="G56" s="60">
        <f>G54+(G55-G54)*MIN(G52/$B$17,1)</f>
        <v/>
      </c>
      <c r="H56" s="60">
        <f>H54+(H55-H54)*MIN(H52/$B$17,1)</f>
        <v/>
      </c>
    </row>
    <row r="57" ht="15" customHeight="1" s="45">
      <c r="A57" s="48" t="inlineStr">
        <is>
          <t>D/V</t>
        </is>
      </c>
      <c r="B57" s="58">
        <f>B56/(1+B56)</f>
        <v/>
      </c>
      <c r="C57" s="58">
        <f>C56/(1+C56)</f>
        <v/>
      </c>
      <c r="D57" s="58">
        <f>D56/(1+D56)</f>
        <v/>
      </c>
      <c r="E57" s="58">
        <f>E56/(1+E56)</f>
        <v/>
      </c>
      <c r="F57" s="58">
        <f>F56/(1+F56)</f>
        <v/>
      </c>
      <c r="G57" s="58">
        <f>G56/(1+G56)</f>
        <v/>
      </c>
      <c r="H57" s="58">
        <f>H56/(1+H56)</f>
        <v/>
      </c>
    </row>
    <row r="58" ht="15" customHeight="1" s="45">
      <c r="A58" s="48" t="inlineStr">
        <is>
          <t>E/V</t>
        </is>
      </c>
      <c r="B58" s="58">
        <f>1-B57</f>
        <v/>
      </c>
      <c r="C58" s="58">
        <f>1-C57</f>
        <v/>
      </c>
      <c r="D58" s="58">
        <f>1-D57</f>
        <v/>
      </c>
      <c r="E58" s="58">
        <f>1-E57</f>
        <v/>
      </c>
      <c r="F58" s="58">
        <f>1-F57</f>
        <v/>
      </c>
      <c r="G58" s="58">
        <f>1-G57</f>
        <v/>
      </c>
      <c r="H58" s="58">
        <f>1-H57</f>
        <v/>
      </c>
    </row>
    <row r="59" ht="15" customHeight="1" s="45">
      <c r="A59" s="48" t="inlineStr">
        <is>
          <t>Beta re-apalancada</t>
        </is>
      </c>
      <c r="B59" s="78">
        <f>$B$40*(1+(1-$B$12)*B56)</f>
        <v/>
      </c>
      <c r="C59" s="78">
        <f>$B$40*(1+(1-$B$12)*C56)</f>
        <v/>
      </c>
      <c r="D59" s="78">
        <f>$B$40*(1+(1-$B$12)*D56)</f>
        <v/>
      </c>
      <c r="E59" s="78">
        <f>$B$40*(1+(1-$B$12)*E56)</f>
        <v/>
      </c>
      <c r="F59" s="78">
        <f>$B$40*(1+(1-$B$12)*F56)</f>
        <v/>
      </c>
      <c r="G59" s="78">
        <f>$B$40*(1+(1-$B$12)*G56)</f>
        <v/>
      </c>
      <c r="H59" s="78">
        <f>$B$40*(1+(1-$B$12)*H56)</f>
        <v/>
      </c>
    </row>
    <row r="60" ht="15" customHeight="1" s="45">
      <c r="A60" s="48" t="inlineStr">
        <is>
          <t>Ke USD = Rf + β·ERP + CRP</t>
        </is>
      </c>
      <c r="B60" s="60">
        <f>$B$5+B59*$B$6+$B$48</f>
        <v/>
      </c>
      <c r="C60" s="60">
        <f>$B$5+C59*$B$6+$B$48</f>
        <v/>
      </c>
      <c r="D60" s="60">
        <f>$B$5+D59*$B$6+$B$48</f>
        <v/>
      </c>
      <c r="E60" s="60">
        <f>$B$5+E59*$B$6+$B$48</f>
        <v/>
      </c>
      <c r="F60" s="60">
        <f>$B$5+F59*$B$6+$B$48</f>
        <v/>
      </c>
      <c r="G60" s="60">
        <f>$B$5+G59*$B$6+$B$48</f>
        <v/>
      </c>
      <c r="H60" s="60">
        <f>$B$5+H59*$B$6+$B$48</f>
        <v/>
      </c>
    </row>
    <row r="61" ht="15" customHeight="1" s="45">
      <c r="A61" s="48" t="inlineStr">
        <is>
          <t>Ke nominal CLP</t>
        </is>
      </c>
      <c r="B61" s="60">
        <f>(1+B60)*(1+$B$10)/(1+$B$11)-1</f>
        <v/>
      </c>
      <c r="C61" s="60">
        <f>(1+C60)*(1+$B$10)/(1+$B$11)-1</f>
        <v/>
      </c>
      <c r="D61" s="60">
        <f>(1+D60)*(1+$B$10)/(1+$B$11)-1</f>
        <v/>
      </c>
      <c r="E61" s="60">
        <f>(1+E60)*(1+$B$10)/(1+$B$11)-1</f>
        <v/>
      </c>
      <c r="F61" s="60">
        <f>(1+F60)*(1+$B$10)/(1+$B$11)-1</f>
        <v/>
      </c>
      <c r="G61" s="60">
        <f>(1+G60)*(1+$B$10)/(1+$B$11)-1</f>
        <v/>
      </c>
      <c r="H61" s="60">
        <f>(1+H60)*(1+$B$10)/(1+$B$11)-1</f>
        <v/>
      </c>
    </row>
    <row r="62" ht="15" customHeight="1" s="45">
      <c r="A62" s="48" t="inlineStr">
        <is>
          <t>Kd real (UF) con spread</t>
        </is>
      </c>
      <c r="B62" s="60">
        <f>$B$13+$B$14*(B53-$B$15)</f>
        <v/>
      </c>
      <c r="C62" s="60">
        <f>$B$13+$B$14*(C53-$B$15)</f>
        <v/>
      </c>
      <c r="D62" s="60">
        <f>$B$13+$B$14*(D53-$B$15)</f>
        <v/>
      </c>
      <c r="E62" s="60">
        <f>$B$13+$B$14*(E53-$B$15)</f>
        <v/>
      </c>
      <c r="F62" s="60">
        <f>$B$13+$B$14*(F53-$B$15)</f>
        <v/>
      </c>
      <c r="G62" s="60">
        <f>$B$13+$B$14*(G53-$B$15)</f>
        <v/>
      </c>
      <c r="H62" s="60">
        <f>$B$13+$B$14*(H53-$B$15)</f>
        <v/>
      </c>
    </row>
    <row r="63" ht="15" customHeight="1" s="45">
      <c r="A63" s="48" t="inlineStr">
        <is>
          <t>Kd nominal CLP</t>
        </is>
      </c>
      <c r="B63" s="60">
        <f>(1+B62)*(1+$B$10)-1</f>
        <v/>
      </c>
      <c r="C63" s="60">
        <f>(1+C62)*(1+$B$10)-1</f>
        <v/>
      </c>
      <c r="D63" s="60">
        <f>(1+D62)*(1+$B$10)-1</f>
        <v/>
      </c>
      <c r="E63" s="60">
        <f>(1+E62)*(1+$B$10)-1</f>
        <v/>
      </c>
      <c r="F63" s="60">
        <f>(1+F62)*(1+$B$10)-1</f>
        <v/>
      </c>
      <c r="G63" s="60">
        <f>(1+G62)*(1+$B$10)-1</f>
        <v/>
      </c>
      <c r="H63" s="60">
        <f>(1+H62)*(1+$B$10)-1</f>
        <v/>
      </c>
    </row>
    <row r="64" ht="15" customHeight="1" s="45">
      <c r="A64" s="48" t="inlineStr">
        <is>
          <t>Kd después de impuestos</t>
        </is>
      </c>
      <c r="B64" s="60">
        <f>B63*(1-$B$12)</f>
        <v/>
      </c>
      <c r="C64" s="60">
        <f>C63*(1-$B$12)</f>
        <v/>
      </c>
      <c r="D64" s="60">
        <f>D63*(1-$B$12)</f>
        <v/>
      </c>
      <c r="E64" s="60">
        <f>E63*(1-$B$12)</f>
        <v/>
      </c>
      <c r="F64" s="60">
        <f>F63*(1-$B$12)</f>
        <v/>
      </c>
      <c r="G64" s="60">
        <f>G63*(1-$B$12)</f>
        <v/>
      </c>
      <c r="H64" s="60">
        <f>H63*(1-$B$12)</f>
        <v/>
      </c>
    </row>
    <row r="65" ht="15" customHeight="1" s="45">
      <c r="A65" s="47" t="inlineStr">
        <is>
          <t>WACC nominal CLP</t>
        </is>
      </c>
      <c r="B65" s="60">
        <f>B58*B61+B57*B64</f>
        <v/>
      </c>
      <c r="C65" s="60">
        <f>C58*C61+C57*C64</f>
        <v/>
      </c>
      <c r="D65" s="60">
        <f>D58*D61+D57*D64</f>
        <v/>
      </c>
      <c r="E65" s="60">
        <f>E58*E61+E57*E64</f>
        <v/>
      </c>
      <c r="F65" s="60">
        <f>F58*F61+F57*F64</f>
        <v/>
      </c>
      <c r="G65" s="60">
        <f>G58*G61+G57*G64</f>
        <v/>
      </c>
      <c r="H65" s="60">
        <f>H58*H61+H57*H64</f>
        <v/>
      </c>
    </row>
    <row r="66" ht="15" customHeight="1" s="45">
      <c r="A66" s="47" t="inlineStr">
        <is>
          <t>WACC real</t>
        </is>
      </c>
      <c r="B66" s="60">
        <f>(1+B65)/(1+$B$10)-1</f>
        <v/>
      </c>
      <c r="C66" s="60">
        <f>(1+C65)/(1+$B$10)-1</f>
        <v/>
      </c>
      <c r="D66" s="60">
        <f>(1+D65)/(1+$B$10)-1</f>
        <v/>
      </c>
      <c r="E66" s="60">
        <f>(1+E65)/(1+$B$10)-1</f>
        <v/>
      </c>
      <c r="F66" s="60">
        <f>(1+F65)/(1+$B$10)-1</f>
        <v/>
      </c>
      <c r="G66" s="60">
        <f>(1+G65)/(1+$B$10)-1</f>
        <v/>
      </c>
      <c r="H66" s="60">
        <f>(1+H65)/(1+$B$10)-1</f>
        <v/>
      </c>
    </row>
    <row r="68" ht="15" customHeight="1" s="45">
      <c r="A68" s="47" t="inlineStr">
        <is>
          <t>E. Control contra v2 (diferencia en pb; debe ser 0)</t>
        </is>
      </c>
    </row>
    <row r="69" ht="15" customHeight="1" s="45">
      <c r="A69" s="48" t="inlineStr">
        <is>
          <t>WACC v2 (hoja WACC)</t>
        </is>
      </c>
      <c r="B69" s="61" t="n">
        <v>0.10536861207682</v>
      </c>
      <c r="C69" s="61" t="n">
        <v>0.10509035847844</v>
      </c>
      <c r="D69" s="61" t="n">
        <v>0.104828865047159</v>
      </c>
      <c r="E69" s="61" t="n">
        <v>0.104583508888836</v>
      </c>
      <c r="F69" s="61" t="n">
        <v>0.104353697598228</v>
      </c>
      <c r="G69" s="61" t="n">
        <v>0.104138867416108</v>
      </c>
      <c r="H69" s="61" t="n">
        <v>0.104138867416108</v>
      </c>
    </row>
    <row r="70" ht="15" customHeight="1" s="45">
      <c r="A70" s="48" t="inlineStr">
        <is>
          <t>Diferencia (pb)</t>
        </is>
      </c>
      <c r="B70" s="81">
        <f>(B65-B69)*10000</f>
        <v/>
      </c>
      <c r="C70" s="81">
        <f>(C65-C69)*10000</f>
        <v/>
      </c>
      <c r="D70" s="81">
        <f>(D65-D69)*10000</f>
        <v/>
      </c>
      <c r="E70" s="81">
        <f>(E65-E69)*10000</f>
        <v/>
      </c>
      <c r="F70" s="81">
        <f>(F65-F69)*10000</f>
        <v/>
      </c>
      <c r="G70" s="81">
        <f>(G65-G69)*10000</f>
        <v/>
      </c>
      <c r="H70" s="81">
        <f>(H65-H69)*10000</f>
        <v/>
      </c>
    </row>
    <row r="72" ht="15" customHeight="1" s="45">
      <c r="A72" s="47" t="inlineStr">
        <is>
          <t>F. Elección de la tasa libre de riesgo (posible pregunta de los jueces)</t>
        </is>
      </c>
    </row>
    <row r="73" ht="15" customHeight="1" s="45">
      <c r="A73" s="48" t="inlineStr">
        <is>
          <t>Base del modelo: Rf EE.UU. + CRP Chile, en CLP</t>
        </is>
      </c>
      <c r="B73" s="60">
        <f>(1+B5+B7)*(1+B10)/(1+B11)-1</f>
        <v/>
      </c>
    </row>
    <row r="74" ht="15" customHeight="1" s="45">
      <c r="A74" s="48" t="inlineStr">
        <is>
          <t>Bono en pesos 10 años BCCh al 30-06-26</t>
        </is>
      </c>
      <c r="B74" s="61" t="n">
        <v>0.0543</v>
      </c>
      <c r="C74" s="49" t="inlineStr">
        <is>
          <t>BCCh, Informativo Diario 2-jul-26 (= Rf "Chile" del archivo original)</t>
        </is>
      </c>
    </row>
    <row r="75" ht="15" customHeight="1" s="45">
      <c r="A75" s="48" t="inlineStr">
        <is>
          <t>Diferencia (pb)</t>
        </is>
      </c>
      <c r="B75" s="62">
        <f>(B73-B74)*10000</f>
        <v/>
      </c>
    </row>
    <row r="76" ht="15" customHeight="1" s="45">
      <c r="A76" s="48" t="inlineStr">
        <is>
          <t>Efecto aproximado en la WACC terminal (pb) = diferencia × E/V</t>
        </is>
      </c>
      <c r="B76" s="62">
        <f>-B75*H58</f>
        <v/>
      </c>
    </row>
    <row r="77" ht="15" customHeight="1" s="45">
      <c r="A77" s="48" t="inlineStr">
        <is>
          <t>Valor DCF si se usara el bono en pesos (CLP)</t>
        </is>
      </c>
      <c r="B77" s="55" t="n">
        <v>2311</v>
      </c>
      <c r="C77" s="49" t="inlineStr">
        <is>
          <t>Réplica del DCF v2 con WACC −107 pb en todos los períodos</t>
        </is>
      </c>
    </row>
    <row r="78" ht="15" customHeight="1" s="45">
      <c r="A78" s="48" t="inlineStr">
        <is>
          <t>Precio objetivo 80/20 en ese caso (CLP)</t>
        </is>
      </c>
      <c r="B78" s="56">
        <f>0.8*B77+0.2*2951.38547083101</f>
        <v/>
      </c>
    </row>
    <row r="80" ht="15" customHeight="1" s="45">
      <c r="A80" s="49" t="inlineStr">
        <is>
          <t>Por qué UST + CRP y no el bono en pesos: (1) el bono local ya trae riesgo Chile, y sumarle el CRP lo contaría dos veces; (2) un 28% de los ingresos viene de Perú y Colombia, cuyo riesgo se agrega con el CRP ponderado.</t>
        </is>
      </c>
    </row>
    <row r="81" ht="15" customHeight="1" s="45">
      <c r="A81" s="49" t="inlineStr">
        <is>
          <t>Es la elección más conservadora: con el bono en pesos el precio objetivo sube a ~CLP 2.439, todavía 31% bajo el precio de CLP 3.555. La recomendación no cambia.</t>
        </is>
      </c>
    </row>
    <row r="82" ht="15" customHeight="1" s="45">
      <c r="A82" s="49" t="inlineStr">
        <is>
          <t>Argumento aislado (posterior): al 1-oct-26 el bono en pesos a 10 años llegó a 6,25%, acercándose a la base del modelo (anexo macro).</t>
        </is>
      </c>
    </row>
    <row r="84" ht="15" customHeight="1" s="45">
      <c r="A84" s="47" t="inlineStr">
        <is>
          <t>G. Chequeo de beta por regresión (opcional, como Kozminski Annex 13)</t>
        </is>
      </c>
    </row>
    <row r="85" ht="15" customHeight="1" s="45">
      <c r="A85" s="48" t="inlineStr">
        <is>
          <t>Beta de regresión MALLPLAZ CI vs IPSA (2 años, semanal)</t>
        </is>
      </c>
      <c r="B85" s="82" t="n"/>
      <c r="C85" s="49" t="inlineStr">
        <is>
          <t>BLOOMBERG: BETA — MALLPLAZ CI Equity, índice IPSA Index, al 30-06-26</t>
        </is>
      </c>
    </row>
    <row r="86" ht="15" customHeight="1" s="45">
      <c r="A86" s="48" t="inlineStr">
        <is>
          <t>Beta ajustada (Blume) de Bloomberg</t>
        </is>
      </c>
      <c r="B86" s="82" t="n"/>
      <c r="C86" s="49" t="inlineStr">
        <is>
          <t>BLOOMBERG: ADJUSTED_BETA, mismo período</t>
        </is>
      </c>
    </row>
    <row r="87" ht="15" customHeight="1" s="45">
      <c r="A87" s="48" t="inlineStr">
        <is>
          <t>Beta re-apalancada del modelo (2S26E)</t>
        </is>
      </c>
      <c r="B87" s="78">
        <f>B59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2026-10-11T23:45:47Z</dcterms:created>
  <dcterms:modified xmlns:dcterms="http://purl.org/dc/terms/" xmlns:xsi="http://www.w3.org/2001/XMLSchema-instance" xsi:type="dcterms:W3CDTF">2026-10-14T13:43:06Z</dcterms:modified>
  <cp:revision>0</cp:revision>
</cp:coreProperties>
</file>