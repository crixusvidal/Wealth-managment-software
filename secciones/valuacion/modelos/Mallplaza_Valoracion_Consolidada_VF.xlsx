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WACC" sheetId="2" state="visible" r:id="rId4"/>
    <sheet name="Forecast_Base" sheetId="3" state="visible" r:id="rId5"/>
    <sheet name="Expansion" sheetId="4" state="visible" r:id="rId6"/>
    <sheet name="Capital_Trabajo" sheetId="5" state="visible" r:id="rId7"/>
    <sheet name="DCF" sheetId="6" state="visible" r:id="rId8"/>
    <sheet name="Deuda" sheetId="7" state="visible" r:id="rId9"/>
    <sheet name="Comparables" sheetId="8" state="visible" r:id="rId10"/>
    <sheet name="Precio_Objetivo" sheetId="9" state="visible" r:id="rId11"/>
    <sheet name="Datos_BBG" sheetId="10" state="visible" r:id="rId12"/>
    <sheet name="Notas_Fuen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<sst xmlns="http://schemas.openxmlformats.org/spreadsheetml/2006/main" count="1063" uniqueCount="575">
  <si>
    <t xml:space="preserve">Supuestos — modelo consolidado de valoración Mallplaza (Plaza S.A.)</t>
  </si>
  <si>
    <t xml:space="preserve">Única hoja de inputs del DCF, la WACC y los múltiplos. Azul = dato ingresado · negro = fórmula · verde = vínculo a otra hoja · fondo amarillo = supuesto clave del equipo. MM CLP salvo indicación.</t>
  </si>
  <si>
    <t xml:space="preserve">Tags: [R] reportado · [P] consenso / proyección del forecast · [C] cálculo · [S] supuesto del equipo.</t>
  </si>
  <si>
    <t xml:space="preserve">Concepto</t>
  </si>
  <si>
    <t xml:space="preserve">Valor</t>
  </si>
  <si>
    <t xml:space="preserve">Unidad</t>
  </si>
  <si>
    <t xml:space="preserve">Tag</t>
  </si>
  <si>
    <t xml:space="preserve">Fuente / comentario</t>
  </si>
  <si>
    <t xml:space="preserve">A. General y puente a patrimonio</t>
  </si>
  <si>
    <t xml:space="preserve">Fecha de valorización</t>
  </si>
  <si>
    <t xml:space="preserve">30-06-2026</t>
  </si>
  <si>
    <t xml:space="preserve">fecha</t>
  </si>
  <si>
    <t xml:space="preserve">S</t>
  </si>
  <si>
    <t xml:space="preserve">Coincide con la última DFN y minoritarios reportados (Release 2Q26).</t>
  </si>
  <si>
    <t xml:space="preserve">Precio de referencia</t>
  </si>
  <si>
    <t xml:space="preserve">CLP</t>
  </si>
  <si>
    <t xml:space="preserve">R</t>
  </si>
  <si>
    <t xml:space="preserve">Bloomberg PX_LAST al 30-09-2026 (archivo de comparables, Datos_BBG).</t>
  </si>
  <si>
    <t xml:space="preserve">Acciones en circulación</t>
  </si>
  <si>
    <t xml:space="preserve">MM</t>
  </si>
  <si>
    <t xml:space="preserve">Bloomberg: market cap / precio (Datos_BBG).</t>
  </si>
  <si>
    <t xml:space="preserve">Deuda financiera neta 30-06-2026 (definición compañía)</t>
  </si>
  <si>
    <t xml:space="preserve">MM CLP</t>
  </si>
  <si>
    <t xml:space="preserve">Release 2Q26 / Análisis Razonado 1S26.</t>
  </si>
  <si>
    <t xml:space="preserve">Participaciones no controladoras (libro) 30-06-2026</t>
  </si>
  <si>
    <t xml:space="preserve">Release 2Q26, estado de situación. Libro como proxy del valor de mercado [S].</t>
  </si>
  <si>
    <t xml:space="preserve">Caja y equivalentes 30-06-2026</t>
  </si>
  <si>
    <t xml:space="preserve">Release 2Q26.</t>
  </si>
  <si>
    <t xml:space="preserve">EBITDA LTM 2T26 (definición compañía)</t>
  </si>
  <si>
    <t xml:space="preserve">Release 2Q26, p. 29.</t>
  </si>
  <si>
    <t xml:space="preserve">Deuda neta Mallplaza para múltiplos (BBG NET_DEBT)</t>
  </si>
  <si>
    <t xml:space="preserve">Misma definición que los pares (Bloomberg), solo para el método de múltiplos.</t>
  </si>
  <si>
    <t xml:space="preserve">B. WACC (fórmulas en hoja WACC)</t>
  </si>
  <si>
    <t xml:space="preserve">Rf — bono del Tesoro de EE.UU.</t>
  </si>
  <si>
    <t xml:space="preserve">%</t>
  </si>
  <si>
    <t xml:space="preserve">Tasa_WACC.xlsm, FFCF!C11 ("USA"). Referencia; no es la que usa el Ke del archivo.</t>
  </si>
  <si>
    <t xml:space="preserve">Rf — tasa "Chile" usada en el Ke</t>
  </si>
  <si>
    <t xml:space="preserve">Tasa_WACC.xlsm, FFCF!E11. El Ke del archivo (FFCF!B112) usa ESTA celda. Confirmar instrumento: si ya incluye riesgo Chile, el CRP Chile se cuenta dos veces.</t>
  </si>
  <si>
    <t xml:space="preserve">Rf usada en el Ke (1 = "Chile" 5,43% · 2 = EE.UU. 4,98%)</t>
  </si>
  <si>
    <t xml:space="preserve">switch</t>
  </si>
  <si>
    <t xml:space="preserve">Instrucción del equipo: Rf = bono de EE.UU.; el CRP se suma aparte (sin doble conteo).</t>
  </si>
  <si>
    <t xml:space="preserve">Inflación de largo plazo EE.UU. (breakeven 10Y, jun-26)</t>
  </si>
  <si>
    <t xml:space="preserve">Exhibits v6, E7_WACC: UST 10Y − TIPS 10Y al 30-06-2026 (Bloomberg USGG10YR / USGGT10Y).</t>
  </si>
  <si>
    <t xml:space="preserve">Convertir el Ke en USD a CLP con el diferencial de inflación (1 = sí)</t>
  </si>
  <si>
    <t xml:space="preserve">Con Rf de EE.UU. el Ke queda en dólares; el FCFF está en CLP nominales. Ke CLP = (1 + Ke USD) × (1 + inflación Chile) / (1 + inflación EE.UU.) − 1.</t>
  </si>
  <si>
    <t xml:space="preserve">Prima por riesgo de mercado (ERP)</t>
  </si>
  <si>
    <t xml:space="preserve">Damodaran (Tasa_WACC.xlsm, FFCF!B73).</t>
  </si>
  <si>
    <t xml:space="preserve">CRP Chile</t>
  </si>
  <si>
    <t xml:space="preserve">Tasa_WACC.xlsm, FFCF!C79.</t>
  </si>
  <si>
    <t xml:space="preserve">CRP Perú</t>
  </si>
  <si>
    <t xml:space="preserve">Tasa_WACC.xlsm, FFCF!C80.</t>
  </si>
  <si>
    <t xml:space="preserve">CRP Colombia</t>
  </si>
  <si>
    <t xml:space="preserve">Tasa_WACC.xlsm, FFCF!C81.</t>
  </si>
  <si>
    <t xml:space="preserve">Ingresos LTM consolidados (ponderador CRP)</t>
  </si>
  <si>
    <t xml:space="preserve">Tasa_WACC.xlsm, FFCF!C83.</t>
  </si>
  <si>
    <t xml:space="preserve">Ingresos LTM Chile</t>
  </si>
  <si>
    <t xml:space="preserve">Tasa_WACC.xlsm, FFCF!C86.</t>
  </si>
  <si>
    <t xml:space="preserve">Ingresos LTM Perú</t>
  </si>
  <si>
    <t xml:space="preserve">miles PEN</t>
  </si>
  <si>
    <t xml:space="preserve">Tasa_WACC.xlsm, FFCF!C90 (rotulado "miles de soles").</t>
  </si>
  <si>
    <t xml:space="preserve">Ingresos LTM Colombia</t>
  </si>
  <si>
    <t xml:space="preserve">MM COP</t>
  </si>
  <si>
    <t xml:space="preserve">Tasa_WACC.xlsm, FFCF!C93.</t>
  </si>
  <si>
    <t xml:space="preserve">USDCLP (ponderador CRP)</t>
  </si>
  <si>
    <t xml:space="preserve">CLP/USD</t>
  </si>
  <si>
    <t xml:space="preserve">Tasa_WACC.xlsm, FFCF!C87.</t>
  </si>
  <si>
    <t xml:space="preserve">USDPEN (ponderador CRP)</t>
  </si>
  <si>
    <t xml:space="preserve">PEN/USD</t>
  </si>
  <si>
    <t xml:space="preserve">Tasa_WACC.xlsm, FFCF!C91.</t>
  </si>
  <si>
    <t xml:space="preserve">USDCOP (ponderador CRP)</t>
  </si>
  <si>
    <t xml:space="preserve">COP/USD</t>
  </si>
  <si>
    <t xml:space="preserve">Tasa_WACC.xlsm, FFCF!C94.</t>
  </si>
  <si>
    <t xml:space="preserve">Kd real — cupón última emisión en UF</t>
  </si>
  <si>
    <t xml:space="preserve">Tasa_WACC.xlsm, FFCF!B115. Es tasa REAL (UF): se pasa a nominal con la inflación de LP para una WACC en CLP nominales.</t>
  </si>
  <si>
    <t xml:space="preserve">Inflación de largo plazo Chile</t>
  </si>
  <si>
    <t xml:space="preserve">Meta BCCh. Se usa para Kd nominal, conversión del Ke y crecimiento terminal real.</t>
  </si>
  <si>
    <t xml:space="preserve">Tasa de impuesto Chile (escudo de la deuda y re-apalancamiento)</t>
  </si>
  <si>
    <t xml:space="preserve">Ley de Impuesto a la Renta. La deuda está emitida en Chile (79% en UF).</t>
  </si>
  <si>
    <t xml:space="preserve">Deuda financiera bruta Mallplaza (estructura actual)</t>
  </si>
  <si>
    <t xml:space="preserve">Tasa_WACC.xlsm, FFCF!G23:G24 (préstamos CP + deuda LP).</t>
  </si>
  <si>
    <t xml:space="preserve">Market cap Mallplaza (estructura de la WACC)</t>
  </si>
  <si>
    <t xml:space="preserve">Tasa_WACC.xlsm, FFCF!G26.</t>
  </si>
  <si>
    <t xml:space="preserve">DFN / EBITDA objetivo (apalancamiento para crecer)</t>
  </si>
  <si>
    <t xml:space="preserve">x</t>
  </si>
  <si>
    <t xml:space="preserve">Supuesto del equipo: la compañía usa su bajo endeudamiento (2,36x jun-26) para financiar la expansión. Referencias: 3,78x dic-24; Parque Arauco 5,7x; Cencosud Shopping 2,1x.</t>
  </si>
  <si>
    <t xml:space="preserve">Estructura de capital de la WACC (1 = objetivo · 0 = actual)</t>
  </si>
  <si>
    <t xml:space="preserve">Con 1 la beta se re-apalanca y se pondera con la estructura objetivo. Con 0 se reproduce el Ke de 11,31% del archivo.</t>
  </si>
  <si>
    <t xml:space="preserve">C. Forecast base (motor operativo, Exhibits v6)</t>
  </si>
  <si>
    <t xml:space="preserve">Ingresos 1S26 real</t>
  </si>
  <si>
    <t xml:space="preserve">Release 2Q26, p. 31.</t>
  </si>
  <si>
    <t xml:space="preserve">EBITDA 1S26 real usado para aislar el 2S26</t>
  </si>
  <si>
    <t xml:space="preserve">DCF del equipo (reconstrucción). El release informa 270.573 (p. 8): diferencia de redondeo.</t>
  </si>
  <si>
    <t xml:space="preserve">Ingresos 2025A</t>
  </si>
  <si>
    <t xml:space="preserve">EEFF dic-25 (para la variación de capital de trabajo del 2S26).</t>
  </si>
  <si>
    <t xml:space="preserve">D&amp;A / ingresos</t>
  </si>
  <si>
    <t xml:space="preserve">C</t>
  </si>
  <si>
    <t xml:space="preserve">D&amp;A LTM / ingresos LTM (Exhibits v6, DCF_Valuation fila 6).</t>
  </si>
  <si>
    <t xml:space="preserve">Capex de mantención + TI / ingresos</t>
  </si>
  <si>
    <t xml:space="preserve">Exhibits v6: entre 2024 (~4,8%) y UDM 2T26 (~6,6%).</t>
  </si>
  <si>
    <t xml:space="preserve">Tasa de impuesto operacional de largo plazo</t>
  </si>
  <si>
    <t xml:space="preserve">Trayectoria 16,8% → 27% del forecast; 27% desde 2030.</t>
  </si>
  <si>
    <t xml:space="preserve">D. Expansión continua post-pipeline (supuesto nuevo)</t>
  </si>
  <si>
    <t xml:space="preserve">Incluir expansión continua (1 = sí)</t>
  </si>
  <si>
    <t xml:space="preserve">Supuesto del equipo: la compañía sigue expandiendo GLA después de 2028 a un ritmo parecido al histórico.</t>
  </si>
  <si>
    <t xml:space="preserve">GLA orgánico agregado 2022</t>
  </si>
  <si>
    <t xml:space="preserve">m²</t>
  </si>
  <si>
    <t xml:space="preserve">Release 2Q26, p. 29, "GLA Agregado".</t>
  </si>
  <si>
    <t xml:space="preserve">GLA orgánico agregado 2023</t>
  </si>
  <si>
    <t xml:space="preserve">GLA orgánico agregado 2025</t>
  </si>
  <si>
    <t xml:space="preserve">Release 2Q26, p. 29. Se excluye 2024 (413.628 m²): incluye la compra de Open Plaza Perú (inorgánico).</t>
  </si>
  <si>
    <t xml:space="preserve">GLA nuevo por año desde la primera apertura</t>
  </si>
  <si>
    <t xml:space="preserve">Ritmo histórico orgánico = promedio 2022, 2023 y 2025. El pipeline 2026–2028 promedia ~41.000 m²/año.</t>
  </si>
  <si>
    <t xml:space="preserve">Primer año de apertura de la expansión genérica</t>
  </si>
  <si>
    <t xml:space="preserve">año</t>
  </si>
  <si>
    <t xml:space="preserve">El pipeline informado termina en 2028 (Release 2Q26, p. 13).</t>
  </si>
  <si>
    <t xml:space="preserve">Capex desembolsado 2 años antes de abrir</t>
  </si>
  <si>
    <t xml:space="preserve">Construcción de 2 años: 50% en t−2 y 50% en t−1. Los ingresos parten recién en el año de apertura.</t>
  </si>
  <si>
    <t xml:space="preserve">Inversión total pipeline en curso</t>
  </si>
  <si>
    <t xml:space="preserve">MMUSD</t>
  </si>
  <si>
    <t xml:space="preserve">Release 2Q26, p. 13, "Proyectos de Expansión en Curso".</t>
  </si>
  <si>
    <t xml:space="preserve">m² del pipeline en curso</t>
  </si>
  <si>
    <t xml:space="preserve">Release 2Q26, p. 13.</t>
  </si>
  <si>
    <t xml:space="preserve">Costo por m² de expansión</t>
  </si>
  <si>
    <t xml:space="preserve">USD/m²</t>
  </si>
  <si>
    <t xml:space="preserve">Inversión total / m² del pipeline en curso.</t>
  </si>
  <si>
    <t xml:space="preserve">USDCLP para convertir el costo (2026)</t>
  </si>
  <si>
    <t xml:space="preserve">P</t>
  </si>
  <si>
    <t xml:space="preserve">Forecast v6 (consenso ECFC, 2029+ constante).</t>
  </si>
  <si>
    <t xml:space="preserve">m² del pipeline en Chile (sin "Otros proyectos Chile")</t>
  </si>
  <si>
    <t xml:space="preserve">Release 2Q26, p. 13: Trébol, Oeste, Norte, La Serena.</t>
  </si>
  <si>
    <t xml:space="preserve">m² del pipeline en Perú</t>
  </si>
  <si>
    <t xml:space="preserve">Release 2Q26, p. 13: Trujillo, Piura, La Marina, Angamos.</t>
  </si>
  <si>
    <t xml:space="preserve">Mix de la expansión en Chile</t>
  </si>
  <si>
    <t xml:space="preserve">Se replica el mix país del pipeline actual; el resto va a Perú.</t>
  </si>
  <si>
    <t xml:space="preserve">Margen EBITDA Chile</t>
  </si>
  <si>
    <t xml:space="preserve">Forecast v6.</t>
  </si>
  <si>
    <t xml:space="preserve">Margen EBITDA Perú</t>
  </si>
  <si>
    <t xml:space="preserve">Factor de ingreso: año de apertura</t>
  </si>
  <si>
    <t xml:space="preserve">Forecast v6: apertura a mitad de año × 70% de productividad.</t>
  </si>
  <si>
    <t xml:space="preserve">Factor de ingreso: segundo año</t>
  </si>
  <si>
    <t xml:space="preserve">Factor de ingreso: tercer año en adelante</t>
  </si>
  <si>
    <t xml:space="preserve">Yield on cost (EBITDA maduro / inversión) — dejar vacío para usar el derivado</t>
  </si>
  <si>
    <t xml:space="preserve">Si el equipo tiene la guía de retorno de proyectos de la compañía, ingresarla aquí: reemplaza el derivado en el valor terminal (RONIC).</t>
  </si>
  <si>
    <t xml:space="preserve">E. Capital de trabajo</t>
  </si>
  <si>
    <t xml:space="preserve">Incluir variación de capital de trabajo (1 = sí)</t>
  </si>
  <si>
    <t xml:space="preserve">Ver hoja Capital_Trabajo para la justificación.</t>
  </si>
  <si>
    <t xml:space="preserve">Inversión en capital de trabajo / Δ ingresos (= capital de trabajo neto / ingresos dic-25)</t>
  </si>
  <si>
    <t xml:space="preserve">Capital de trabajo neto operativo / ingresos al cierre de dic-25 (hoja Capital_Trabajo), constante.</t>
  </si>
  <si>
    <t xml:space="preserve">F. Valor terminal</t>
  </si>
  <si>
    <t xml:space="preserve">Crecimiento terminal nominal (g)</t>
  </si>
  <si>
    <t xml:space="preserve">Igual a la inflación LP Chile (0% real). Con RONIC (5,0%) &lt; WACC real, crecer resta valor: no se supone crecimiento real. Volver a 4% solo si el yield on cost de los proyectos supera ~9,8%.</t>
  </si>
  <si>
    <t xml:space="preserve">Crecimiento terminal real implícito</t>
  </si>
  <si>
    <t xml:space="preserve">Solo el crecimiento real exige reinversión: la inflación llega por la indexación UF de los contratos.</t>
  </si>
  <si>
    <t xml:space="preserve">G. Precio objetivo y múltiplos</t>
  </si>
  <si>
    <t xml:space="preserve">Peso del DCF en el precio objetivo</t>
  </si>
  <si>
    <t xml:space="preserve">Supuesto del equipo (80% DCF / 20% múltiplos).</t>
  </si>
  <si>
    <t xml:space="preserve">Peso de los comparables chilenos en el múltiplo</t>
  </si>
  <si>
    <t xml:space="preserve">70% mediana Chile + 30% mediana del set común completo.</t>
  </si>
  <si>
    <t xml:space="preserve">Umbral 'no significativo' (múltiplo mayor a → NM)</t>
  </si>
  <si>
    <t xml:space="preserve">Archivo de comparables.</t>
  </si>
  <si>
    <t xml:space="preserve">H. Tipos de cambio para comparables (30-06-2026)</t>
  </si>
  <si>
    <t xml:space="preserve">CLP por CLP</t>
  </si>
  <si>
    <t xml:space="preserve">—</t>
  </si>
  <si>
    <t xml:space="preserve">CLP por USD</t>
  </si>
  <si>
    <t xml:space="preserve">Dólar observado BCCh 30-jun-2026.</t>
  </si>
  <si>
    <t xml:space="preserve">CLP por BRL</t>
  </si>
  <si>
    <t xml:space="preserve">BRL 5,163 por USD, cierre 30-jun-2026.</t>
  </si>
  <si>
    <t xml:space="preserve">CLP por MXN</t>
  </si>
  <si>
    <t xml:space="preserve">Banxico, MXN 17,4986 por USD, cierre 30-jun-2026.</t>
  </si>
  <si>
    <t xml:space="preserve">CLP por ARS</t>
  </si>
  <si>
    <t xml:space="preserve">ARS 1.482 por USD, oficial mayorista cierre 30-jun-2026.</t>
  </si>
  <si>
    <t xml:space="preserve">I. Chequeo de endeudamiento (hoja Deuda)</t>
  </si>
  <si>
    <t xml:space="preserve">Costo financiero neto / DFN de apertura</t>
  </si>
  <si>
    <t xml:space="preserve">Exhibits v6: 1S26 anualizado; no incluye el reajuste UF.</t>
  </si>
  <si>
    <t xml:space="preserve">Deuda en UF / deuda total</t>
  </si>
  <si>
    <t xml:space="preserve">Payout sobre utilidad distribuible</t>
  </si>
  <si>
    <t xml:space="preserve">Política de dividendos (EEFF dic-25, Nota 20e).</t>
  </si>
  <si>
    <t xml:space="preserve">Dividendos 2026E totales</t>
  </si>
  <si>
    <t xml:space="preserve">Exhibits v6 (40% × distribuible 2025).</t>
  </si>
  <si>
    <t xml:space="preserve">Dividendos pagados 1S26</t>
  </si>
  <si>
    <t xml:space="preserve">EEFF jun-26, flujos.</t>
  </si>
  <si>
    <t xml:space="preserve">WACC nominal en CLP — misma lógica que Tasa_WACC.xlsm (hoja FFCF), con tres correcciones</t>
  </si>
  <si>
    <t xml:space="preserve">Correcciones: (1) Kd real en UF pasado a nominal; (2) escudo fiscal (1 − t) que faltaba en FFCF!B120; (3) set de pares = coincidencia entre las betas y los comparables (función COUNTIF por ticker).</t>
  </si>
  <si>
    <t xml:space="preserve">A. Betas de los pares (datos de Tasa_WACC.xlsm, FFCF)</t>
  </si>
  <si>
    <t xml:space="preserve">Empresa</t>
  </si>
  <si>
    <t xml:space="preserve">Ticker BBG</t>
  </si>
  <si>
    <t xml:space="preserve">País</t>
  </si>
  <si>
    <t xml:space="preserve">Beta apalancada</t>
  </si>
  <si>
    <t xml:space="preserve">Deuda</t>
  </si>
  <si>
    <t xml:space="preserve">Market cap</t>
  </si>
  <si>
    <t xml:space="preserve">Impuesto</t>
  </si>
  <si>
    <t xml:space="preserve">Beta desapalancada</t>
  </si>
  <si>
    <t xml:space="preserve">En set común (1/0)</t>
  </si>
  <si>
    <t xml:space="preserve">Fuente / nota</t>
  </si>
  <si>
    <t xml:space="preserve">Beta incluida</t>
  </si>
  <si>
    <t xml:space="preserve">Parque Arauco</t>
  </si>
  <si>
    <t xml:space="preserve">PARAUCO CI</t>
  </si>
  <si>
    <t xml:space="preserve">Chile</t>
  </si>
  <si>
    <t xml:space="preserve">Deuda = préstamos CP + deuda LP; market cap en MM CLP (FFCF!G28:G61).</t>
  </si>
  <si>
    <t xml:space="preserve">Cencosud Shopping</t>
  </si>
  <si>
    <t xml:space="preserve">CENCOMAL CI</t>
  </si>
  <si>
    <t xml:space="preserve">Allos</t>
  </si>
  <si>
    <t xml:space="preserve">ALOS3 BZ</t>
  </si>
  <si>
    <t xml:space="preserve">Brasil</t>
  </si>
  <si>
    <t xml:space="preserve">Iguatemi</t>
  </si>
  <si>
    <t xml:space="preserve">IGTI11 BZ</t>
  </si>
  <si>
    <t xml:space="preserve">Costa Verde</t>
  </si>
  <si>
    <t xml:space="preserve">n/d (no está en comparables)</t>
  </si>
  <si>
    <t xml:space="preserve">México</t>
  </si>
  <si>
    <t xml:space="preserve">Costa Verde no tiene comparables en Bloomberg: queda fuera por la regla de coincidencia.</t>
  </si>
  <si>
    <t xml:space="preserve">IRSA</t>
  </si>
  <si>
    <t xml:space="preserve">IRSA AR</t>
  </si>
  <si>
    <t xml:space="preserve">Argentina</t>
  </si>
  <si>
    <t xml:space="preserve">IRSA entra porque está en ambas listas (en el archivo de comparables estaba como "Sensibilidad").</t>
  </si>
  <si>
    <t xml:space="preserve">Multiplan</t>
  </si>
  <si>
    <t xml:space="preserve">MULT3 BZ</t>
  </si>
  <si>
    <t xml:space="preserve">Beta desapalancada: mediana del set común</t>
  </si>
  <si>
    <t xml:space="preserve">Número de pares en la mediana.</t>
  </si>
  <si>
    <t xml:space="preserve">B. Estructura de capital de Mallplaza</t>
  </si>
  <si>
    <t xml:space="preserve">Deuda actual (bruta)</t>
  </si>
  <si>
    <t xml:space="preserve">D/E actual</t>
  </si>
  <si>
    <t xml:space="preserve">Deuda objetivo = DFN/EBITDA objetivo × EBITDA LTM + caja</t>
  </si>
  <si>
    <t xml:space="preserve">Deuda bruta = DFN objetivo + caja, para ser comparable con la deuda bruta actual.</t>
  </si>
  <si>
    <t xml:space="preserve">D/E objetivo</t>
  </si>
  <si>
    <t xml:space="preserve">D/E usado</t>
  </si>
  <si>
    <t xml:space="preserve">D/V usado</t>
  </si>
  <si>
    <t xml:space="preserve">E/V usado</t>
  </si>
  <si>
    <t xml:space="preserve">C. Costo del patrimonio (Ke = Rf + β × ERP + CRP)</t>
  </si>
  <si>
    <t xml:space="preserve">Rf usada</t>
  </si>
  <si>
    <t xml:space="preserve">Beta desapalancada (mediana)</t>
  </si>
  <si>
    <t xml:space="preserve">Beta re-apalancada Mallplaza</t>
  </si>
  <si>
    <t xml:space="preserve">ERP</t>
  </si>
  <si>
    <t xml:space="preserve">Ponderación Chile (ingresos)</t>
  </si>
  <si>
    <t xml:space="preserve">Ingresos Perú en CLP</t>
  </si>
  <si>
    <t xml:space="preserve">Ingresos Colombia en CLP</t>
  </si>
  <si>
    <t xml:space="preserve">Ponderación Perú</t>
  </si>
  <si>
    <t xml:space="preserve">Igual que FFCF: Perú y Colombia se reparten el resto según sus ingresos en CLP.</t>
  </si>
  <si>
    <t xml:space="preserve">Ponderación Colombia</t>
  </si>
  <si>
    <t xml:space="preserve">CRP ponderado Mallplaza</t>
  </si>
  <si>
    <t xml:space="preserve">Ke nominal CLP</t>
  </si>
  <si>
    <t xml:space="preserve">Rf + β × ERP + CRP; con Rf de EE.UU. se convierte de USD a CLP por el diferencial de inflación (Supuestos B).</t>
  </si>
  <si>
    <t xml:space="preserve">Control: Ke del archivo (Rf "Chile", estructura actual)</t>
  </si>
  <si>
    <t xml:space="preserve">Debe dar 11,31% (Tasa_WACC.xlsm, FFCF!B112).</t>
  </si>
  <si>
    <t xml:space="preserve">D. Costo de la deuda y WACC</t>
  </si>
  <si>
    <t xml:space="preserve">Kd real (UF)</t>
  </si>
  <si>
    <t xml:space="preserve">Kd nominal CLP = (1 + Kd real)(1 + inflación) − 1</t>
  </si>
  <si>
    <t xml:space="preserve">Kd nominal después de impuestos</t>
  </si>
  <si>
    <t xml:space="preserve">WACC nominal CLP</t>
  </si>
  <si>
    <t xml:space="preserve">WACC real implícita</t>
  </si>
  <si>
    <t xml:space="preserve">Referencia: WACC del archivo original (FFCF!B120)</t>
  </si>
  <si>
    <t xml:space="preserve">Sin escudo fiscal y con Kd real; no comparable.</t>
  </si>
  <si>
    <t xml:space="preserve">Referencia: WACC real tasación Nota 11 Chile jun-26</t>
  </si>
  <si>
    <t xml:space="preserve">Punto medio del rango de la Nota 11 (Exhibits v6, E7).</t>
  </si>
  <si>
    <t xml:space="preserve">Forecast base — motor operativo (Mallplaza_FA_Exhibits_v6.xlsx), 2S26E–2031E</t>
  </si>
  <si>
    <t xml:space="preserve">Cifras del forecast del equipo en azul (hoja Forecast de Exhibits v6), basadas en el pipeline anunciado hasta 2028. Sin la expansión post-2028 (hoja Expansion).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</si>
  <si>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</si>
  <si>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</si>
  <si>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</si>
  <si>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</si>
  <si>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</si>
  <si>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</si>
  <si>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Fuente / supuesto</t>
  </si>
  <si>
    <t xml:space="preserve">Ingresos año calendario (2026E = año completo)</t>
  </si>
  <si>
    <t xml:space="preserve">Exhibits v6, Forecast fila "Ingresos ordinarios consolidados".</t>
  </si>
  <si>
    <t xml:space="preserve">Ingresos del período (2S26E = 2026E − 1S26 real)</t>
  </si>
  <si>
    <t xml:space="preserve">2S26E = 2026E − 1S26 real (Supuestos).</t>
  </si>
  <si>
    <t xml:space="preserve">EBITDA año calendario</t>
  </si>
  <si>
    <t xml:space="preserve">Exhibits v6, Forecast bloque E.</t>
  </si>
  <si>
    <t xml:space="preserve">EBITDA del período</t>
  </si>
  <si>
    <t xml:space="preserve">2S26E = 2026E − EBITDA 1S26 (Supuestos).</t>
  </si>
  <si>
    <t xml:space="preserve">Margen EBITDA</t>
  </si>
  <si>
    <t xml:space="preserve">D&amp;A</t>
  </si>
  <si>
    <t xml:space="preserve">D&amp;A / ingresos LTM × ingresos (Exhibits v6, DCF_Valuation fila 3b).</t>
  </si>
  <si>
    <t xml:space="preserve">Tasa de impuesto operacional en caja</t>
  </si>
  <si>
    <t xml:space="preserve">Exhibits v6: impuesto corriente / (EBITDA − costo financiero), 16,8% → 27%.</t>
  </si>
  <si>
    <t xml:space="preserve">Capex de proyectos en curso (MMUSD)</t>
  </si>
  <si>
    <t xml:space="preserve">Release 2Q26, pp. 12–14: remanente por proyecto repartido hasta su apertura (Exhibits v6, bloque G).</t>
  </si>
  <si>
    <t xml:space="preserve">USDCLP promedio</t>
  </si>
  <si>
    <t xml:space="preserve">Exhibits v6: 2S26E promedio del semestre; 2027+ promedio de fin de año (consenso ECFC); 2029+ constante.</t>
  </si>
  <si>
    <t xml:space="preserve">Capex de proyectos en curso (MM CLP)</t>
  </si>
  <si>
    <t xml:space="preserve">Capex de mantención + TI</t>
  </si>
  <si>
    <t xml:space="preserve">5,5% de ingresos (2S26E: medio año de 2026E).</t>
  </si>
  <si>
    <t xml:space="preserve">Capex base total</t>
  </si>
  <si>
    <t xml:space="preserve">Sin la expansión post-pipeline (ver hoja Expansion).</t>
  </si>
  <si>
    <t xml:space="preserve">Ingreso anual por m² Chile (CLP)</t>
  </si>
  <si>
    <t xml:space="preserve">Exhibits v6, Forecast bloque D, Chile. Se aplica al GLA nuevo.</t>
  </si>
  <si>
    <t xml:space="preserve">Ingreso anual por m² Perú (PEN)</t>
  </si>
  <si>
    <t xml:space="preserve">Exhibits v6, Forecast bloque D, Perú.</t>
  </si>
  <si>
    <t xml:space="preserve">CLP por PEN (promedio)</t>
  </si>
  <si>
    <t xml:space="preserve">Exhibits v6, Forecast bloque A.</t>
  </si>
  <si>
    <t xml:space="preserve">Expansión continua post-pipeline — capex con 2 años de construcción y rampa de ingresos</t>
  </si>
  <si>
    <t xml:space="preserve">Cada cohorte abre GLA nuevo al ritmo histórico. El capex se gasta en los 2 años previos a la apertura y los ingresos parten en el año de apertura con la rampa del forecast (35% / 90% / 100%). Se apaga con Supuestos "Incluir expansión".</t>
  </si>
  <si>
    <t xml:space="preserve">Año del período</t>
  </si>
  <si>
    <t xml:space="preserve">Año (número)</t>
  </si>
  <si>
    <t xml:space="preserve">Índice de costo (IPC Chile, 2026 = 1)</t>
  </si>
  <si>
    <t xml:space="preserve">Costo por m² (MM CLP)</t>
  </si>
  <si>
    <t xml:space="preserve">Costo del pipeline en curso (USD/m²) × USDCLP 2026, indexado a IPC Chile (obras en UF).</t>
  </si>
  <si>
    <t xml:space="preserve">Ingreso por m² de la expansión (CLP, mix Chile/Perú)</t>
  </si>
  <si>
    <t xml:space="preserve">Mismo ingreso por m² que el forecast aplica al GLA nuevo del pipeline.</t>
  </si>
  <si>
    <t xml:space="preserve">Margen EBITDA de la expansión</t>
  </si>
  <si>
    <t xml:space="preserve">A. m² que abre cada cohorte</t>
  </si>
  <si>
    <t xml:space="preserve">Cohorte (año de apertura)</t>
  </si>
  <si>
    <t xml:space="preserve">Cohortes 2032–2033 abren fuera del horizonte, pero su capex (2030–2031) cae dentro: sostiene el crecimiento del valor terminal.</t>
  </si>
  <si>
    <t xml:space="preserve">B. Capex por cohorte (MM CLP)</t>
  </si>
  <si>
    <t xml:space="preserve">Total</t>
  </si>
  <si>
    <t xml:space="preserve">C. Ingresos por cohorte (MM CLP)</t>
  </si>
  <si>
    <t xml:space="preserve">EBITDA de la expansión</t>
  </si>
  <si>
    <t xml:space="preserve">D. Retorno de la expansión (alimenta el valor terminal)</t>
  </si>
  <si>
    <t xml:space="preserve">Yield on cost derivado (EBITDA maduro por m² / costo por m², 2026)</t>
  </si>
  <si>
    <t xml:space="preserve">Ingreso promedio por m² del portafolio × margen / costo por m² del pipeline. Es la misma productividad que el forecast asume para el pipeline actual. El ingreso se indexa a inflación, así que es un yield real.</t>
  </si>
  <si>
    <t xml:space="preserve">Yield on cost usado</t>
  </si>
  <si>
    <t xml:space="preserve">RONIC real después de impuestos = yield × (1 − t)</t>
  </si>
  <si>
    <t xml:space="preserve">Comparar con la WACC real (hoja WACC): si el RONIC es menor, crecer destruye valor.</t>
  </si>
  <si>
    <t xml:space="preserve">Ajuste de productividad de la expansión = yield usado / derivado</t>
  </si>
  <si>
    <t xml:space="preserve">Multiplica los ingresos de la expansión: si se ingresa un yield propio, el EBITDA explícito y el valor terminal quedan consistentes.</t>
  </si>
  <si>
    <t xml:space="preserve">Capital de trabajo — saldos de los EEFF y supuesto del modelo</t>
  </si>
  <si>
    <t xml:space="preserve">A. Saldos de balance operativos (MM CLP; EEFF consolidados Plaza S.A. y Filiales, estado de situación financiera)</t>
  </si>
  <si>
    <t xml:space="preserve">dic-23</t>
  </si>
  <si>
    <t xml:space="preserve">dic-24</t>
  </si>
  <si>
    <t xml:space="preserve">dic-25</t>
  </si>
  <si>
    <t xml:space="preserve">mar-26</t>
  </si>
  <si>
    <t xml:space="preserve">Fuente</t>
  </si>
  <si>
    <t xml:space="preserve">(+) Deudores comerciales y otras cuentas por cobrar corrientes</t>
  </si>
  <si>
    <t xml:space="preserve">dic-23: EEFF interinos mar-24, p. 3 · dic-24: EEFF interinos jun-25, p. 3 · dic-25 y mar-26: EEFF interinos mar-26, p. 3 (M$ / 1.000).</t>
  </si>
  <si>
    <t xml:space="preserve">(+) Cuentas por cobrar a entidades relacionadas corrientes</t>
  </si>
  <si>
    <t xml:space="preserve">Mismas fuentes. Arriendos por cobrar a tiendas del grupo controlador: operativo.</t>
  </si>
  <si>
    <t xml:space="preserve">Cuentas por pagar comerciales y otras cuentas por pagar (total)</t>
  </si>
  <si>
    <t xml:space="preserve">Incluye la provisión del dividendo mínimo (Nota 2.25), que es financiamiento y se excluye.</t>
  </si>
  <si>
    <t xml:space="preserve">    menos: dividendo mínimo provisionado estimado (30% × utilidad distribuible)</t>
  </si>
  <si>
    <t xml:space="preserve">Nota 2.25: al cierre se provisiona el 30% de la utilidad líquida distribuible (Nota 20e/21e, Exhibits v6). Supone sin dividendos provisorios.</t>
  </si>
  <si>
    <t xml:space="preserve">(−) Cuentas por pagar comerciales operativas (sin dividendos)</t>
  </si>
  <si>
    <t xml:space="preserve">(−) Cuentas por pagar a entidades relacionadas corrientes</t>
  </si>
  <si>
    <t xml:space="preserve">(−) Otros pasivos no financieros corrientes</t>
  </si>
  <si>
    <t xml:space="preserve">Principalmente arriendos cobrados por anticipado y garantías: operativo.</t>
  </si>
  <si>
    <t xml:space="preserve">Ingresos del año</t>
  </si>
  <si>
    <t xml:space="preserve">Exhibits v6, Inputs.</t>
  </si>
  <si>
    <t xml:space="preserve">Excluidos: caja, deuda financiera y activos/pasivos por impuestos (los impuestos ya están en caja en el NOPAT).</t>
  </si>
  <si>
    <t xml:space="preserve">B. Capital de trabajo neto operativo</t>
  </si>
  <si>
    <t xml:space="preserve">Capital de trabajo neto operativo</t>
  </si>
  <si>
    <t xml:space="preserve">Capital de trabajo neto / ingresos</t>
  </si>
  <si>
    <t xml:space="preserve">Referencia: Δ capital de trabajo neto / Δ ingresos (dic-23 → dic-25)</t>
  </si>
  <si>
    <t xml:space="preserve">Distorsionado: dic-24 ya consolida Perú pero los ingresos 2024 solo traen un mes; y las cuentas con relacionadas cayeron fuerte en 2024.</t>
  </si>
  <si>
    <t xml:space="preserve">Supuesto del modelo: capital de trabajo neto / ingresos constante al nivel de dic-25</t>
  </si>
  <si>
    <t xml:space="preserve">Inversión anual = este % × Δ ingresos. Va a Supuestos (sección E).</t>
  </si>
  <si>
    <t xml:space="preserve">C. Lectura</t>
  </si>
  <si>
    <t xml:space="preserve">1. Capital de trabajo neto operativo = deudores + cuentas por cobrar relacionadas − cuentas por pagar comerciales (sin dividendos) − cuentas por pagar relacionadas</t>
  </si>
  <si>
    <t xml:space="preserve">    − otros pasivos no financieros. Se excluyen caja, deuda e impuestos.</t>
  </si>
  <si>
    <t xml:space="preserve">2. La provisión del dividendo mínimo se resta de las cuentas por pagar porque es una obligación con accionistas, no de la operación.</t>
  </si>
  <si>
    <t xml:space="preserve">3. Limitación: las cuentas por pagar comerciales también incluyen proveedores de obras (capex). Sin el desglose de la Nota 14/15 no se pueden separar.</t>
  </si>
  <si>
    <t xml:space="preserve">4. Hay estacionalidad (mar-26: deudores bajan por recaudación, cuentas por pagar suben por el dividendo; Release 1Q26, pp. 37–38): se compara cierre contra cierre.</t>
  </si>
  <si>
    <t xml:space="preserve">5. Se usa el nivel de dic-25 porque es el primer cierre con Perú completo tanto en balance como en ingresos.</t>
  </si>
  <si>
    <t xml:space="preserve">D. Referencia: brecha EBITDA − flujo operativo (MM CLP)</t>
  </si>
  <si>
    <t xml:space="preserve">FY2024</t>
  </si>
  <si>
    <t xml:space="preserve">FY2025</t>
  </si>
  <si>
    <t xml:space="preserve">1S26</t>
  </si>
  <si>
    <t xml:space="preserve">EBITDA</t>
  </si>
  <si>
    <t xml:space="preserve">Exhibits v6 (Inputs, E4_Cash). Mezcla impuestos y capital de trabajo: solo referencial.</t>
  </si>
  <si>
    <t xml:space="preserve">Flujo operativo (EEFF)</t>
  </si>
  <si>
    <t xml:space="preserve">Brecha = impuestos pagados + capital de trabajo + otros</t>
  </si>
  <si>
    <t xml:space="preserve">E. Capital de trabajo neto operativo: histórico y proyectado (MM CLP)</t>
  </si>
  <si>
    <t xml:space="preserve">2023A</t>
  </si>
  <si>
    <t xml:space="preserve">2024A</t>
  </si>
  <si>
    <t xml:space="preserve">2025A</t>
  </si>
  <si>
    <t xml:space="preserve">2026E</t>
  </si>
  <si>
    <t xml:space="preserve">Ingresos</t>
  </si>
  <si>
    <t xml:space="preserve">CTN / ingresos</t>
  </si>
  <si>
    <t xml:space="preserve">Δ capital de trabajo neto (inversión)</t>
  </si>
  <si>
    <t xml:space="preserve">Δ ingresos</t>
  </si>
  <si>
    <t xml:space="preserve">Δ CTN / Δ ingresos</t>
  </si>
  <si>
    <t xml:space="preserve">Variación en el DCF (2026E: solo 2S26)</t>
  </si>
  <si>
    <t xml:space="preserve">2024: el balance de dic-24 ya consolida Open Plaza Perú pero los ingresos 2024 solo un mes (por eso 36%). 2025: primer año limpio. Proyección: CTN = 15,6% de los ingresos de cada año → la inversión anual es 15,6% del aumento de ingresos.</t>
  </si>
  <si>
    <t xml:space="preserve">DCF de FCFF — Mallplaza · CLP nominales · fecha de valorización 30-06-2026</t>
  </si>
  <si>
    <t xml:space="preserve">Flujos 2S26E–2031E con la expansión continua; valor terminal con reinversión explícita (solo el crecimiento real exige capex). Convención de mitad de período.</t>
  </si>
  <si>
    <t xml:space="preserve">Terminal (2032E)</t>
  </si>
  <si>
    <t xml:space="preserve">Ingresos base</t>
  </si>
  <si>
    <t xml:space="preserve">Ingresos expansión</t>
  </si>
  <si>
    <t xml:space="preserve">Ingresos totales</t>
  </si>
  <si>
    <t xml:space="preserve">Crecimiento ingresos (año calendario)</t>
  </si>
  <si>
    <t xml:space="preserve">EBITDA base</t>
  </si>
  <si>
    <t xml:space="preserve">EBITDA expansión</t>
  </si>
  <si>
    <t xml:space="preserve">EBITDA total</t>
  </si>
  <si>
    <t xml:space="preserve">(−) D&amp;A</t>
  </si>
  <si>
    <t xml:space="preserve">EBIT</t>
  </si>
  <si>
    <t xml:space="preserve">Tasa de impuesto operacional</t>
  </si>
  <si>
    <t xml:space="preserve">(−) Impuestos operacionales</t>
  </si>
  <si>
    <t xml:space="preserve">NOPAT</t>
  </si>
  <si>
    <t xml:space="preserve">(+) D&amp;A</t>
  </si>
  <si>
    <t xml:space="preserve">(−) Capex base (pipeline + mantención)</t>
  </si>
  <si>
    <t xml:space="preserve">Terminal: mantención 5,5% de ingresos.</t>
  </si>
  <si>
    <t xml:space="preserve">(−) Capex expansión</t>
  </si>
  <si>
    <t xml:space="preserve">Terminal: reinversión = g real / RONIC × NOPAT (value driver). Reemplaza al capex de expansión explícito.</t>
  </si>
  <si>
    <t xml:space="preserve">(−) Inversión en capital de trabajo</t>
  </si>
  <si>
    <t xml:space="preserve">% del Δ ingresos (Supuestos E).</t>
  </si>
  <si>
    <t xml:space="preserve">FCFF</t>
  </si>
  <si>
    <t xml:space="preserve">Período de descuento (años desde 30-06-2026)</t>
  </si>
  <si>
    <t xml:space="preserve">2S26E a 0,25 años; luego la mitad de cada año desde el 30-06-2026.</t>
  </si>
  <si>
    <t xml:space="preserve">Factor de descuento</t>
  </si>
  <si>
    <t xml:space="preserve">Valor presente del FCFF</t>
  </si>
  <si>
    <t xml:space="preserve">Normalización 2031: base + expansión financiada (cohortes ≤ 2032) a madurez</t>
  </si>
  <si>
    <t xml:space="preserve">Ingresos 2031 normalizados</t>
  </si>
  <si>
    <t xml:space="preserve">El capex de las cohortes que abren hasta 2032 ya está en el FCFF explícito, pero sus ingresos maduran después de 2031: el año terminal los cuenta a madurez (100%) para no castigar dos veces. La cohorte 2033 (solo 50% del capex dentro) queda en la reinversión terminal.</t>
  </si>
  <si>
    <t xml:space="preserve">EBITDA 2031 normalizado</t>
  </si>
  <si>
    <t xml:space="preserve">EBIT 2031 normalizado</t>
  </si>
  <si>
    <t xml:space="preserve">Valor de la empresa → valor por acción</t>
  </si>
  <si>
    <t xml:space="preserve">Tasa de reinversión terminal (g real / RONIC)</t>
  </si>
  <si>
    <t xml:space="preserve">Valor terminal al 31-12-2031 = FCFF 2032E / (WACC − g)</t>
  </si>
  <si>
    <t xml:space="preserve">Valor presente del valor terminal (5,5 años)</t>
  </si>
  <si>
    <t xml:space="preserve">Suma VP del FCFF explícito</t>
  </si>
  <si>
    <t xml:space="preserve">Enterprise value</t>
  </si>
  <si>
    <t xml:space="preserve">(−) Deuda financiera neta 30-06-2026</t>
  </si>
  <si>
    <t xml:space="preserve">(−) Minoritarios (libro)</t>
  </si>
  <si>
    <t xml:space="preserve">Valor del patrimonio</t>
  </si>
  <si>
    <t xml:space="preserve">Acciones (MM)</t>
  </si>
  <si>
    <t xml:space="preserve">Valor por acción DCF (CLP)</t>
  </si>
  <si>
    <t xml:space="preserve">Precio 30-09-2026 (CLP)</t>
  </si>
  <si>
    <t xml:space="preserve">Upside / (downside)</t>
  </si>
  <si>
    <t xml:space="preserve">Chequeos</t>
  </si>
  <si>
    <t xml:space="preserve">VP del valor terminal / EV</t>
  </si>
  <si>
    <t xml:space="preserve">DCF anterior del equipo: 72%.</t>
  </si>
  <si>
    <t xml:space="preserve">EV / EBITDA LTM implícito</t>
  </si>
  <si>
    <t xml:space="preserve">Comparar con la hoja Comparables.</t>
  </si>
  <si>
    <t xml:space="preserve">Cap rate implícito sobre el EV (EBITDA LTM / EV)</t>
  </si>
  <si>
    <t xml:space="preserve">Mercado ~6,0%; pares Chile ~6,4%; libro (EBITDA LTM / PI) 7,5%; Gran Plaza 9,4%.</t>
  </si>
  <si>
    <t xml:space="preserve">Cap rate implícito del valor terminal (EBITDA 2032E / VT)</t>
  </si>
  <si>
    <t xml:space="preserve">Nota 11 Chile jun-26: 5,55% real.</t>
  </si>
  <si>
    <t xml:space="preserve">RONIC real de la expansión</t>
  </si>
  <si>
    <t xml:space="preserve">Si es menor que la WACC real, la expansión resta valor (crecer no paga el costo de capital).</t>
  </si>
  <si>
    <t xml:space="preserve">DFN / EBITDA máximo del período (hoja Deuda)</t>
  </si>
  <si>
    <t xml:space="preserve">Debe quedar bajo el objetivo de Supuestos; si no, la expansión no se puede financiar solo con deuda.</t>
  </si>
  <si>
    <t xml:space="preserve">Sensibilidad: valor por acción (CLP) — WACC (filas) vs g (columnas)</t>
  </si>
  <si>
    <t xml:space="preserve">WACC \ g</t>
  </si>
  <si>
    <t xml:space="preserve">Fila central = WACC del modelo. La celda con g = Supuestos debe igualar el valor por acción del DCF.</t>
  </si>
  <si>
    <t xml:space="preserve">Chequeo de endeudamiento — ¿la expansión se puede financiar con deuda hasta el objetivo?</t>
  </si>
  <si>
    <t xml:space="preserve">No entra en el valor (el FCFF es desapalancado): verifica que la estructura objetivo de la WACC sea alcanzable. DFN(t) = DFN(t−1) − FCFF + intereses después de impuestos + reajuste UF + dividendos.</t>
  </si>
  <si>
    <t xml:space="preserve">DFN de apertura</t>
  </si>
  <si>
    <t xml:space="preserve">(−) FCFF</t>
  </si>
  <si>
    <t xml:space="preserve">(+) Costo financiero neto después de impuestos</t>
  </si>
  <si>
    <t xml:space="preserve">(+) Reajuste UF de la deuda</t>
  </si>
  <si>
    <t xml:space="preserve">(+) Dividendos pagados</t>
  </si>
  <si>
    <t xml:space="preserve">2S26E: dividendos 2026E − pagado 1S26. 2027E+: payout × distribuible del año anterior (desfase de un año).</t>
  </si>
  <si>
    <t xml:space="preserve">DFN de cierre</t>
  </si>
  <si>
    <t xml:space="preserve">EBITDA del período (anualizado en 2S26E)</t>
  </si>
  <si>
    <t xml:space="preserve">DFN / EBITDA</t>
  </si>
  <si>
    <t xml:space="preserve">Utilidad distribuible proxy (FFO − reajuste UF)</t>
  </si>
  <si>
    <t xml:space="preserve">2S26E: distribuible 2026E de Exhibits v6 (año completo). Proxy sin minoritarios.</t>
  </si>
  <si>
    <t xml:space="preserve">Capacidad de deuda al objetivo (objetivo × EBITDA − DFN)</t>
  </si>
  <si>
    <t xml:space="preserve">Positivo = espacio para más deuda sin superar el objetivo.</t>
  </si>
  <si>
    <t xml:space="preserve">Comparables — múltiplos LTM y NTM con el mismo set de pares que la WACC</t>
  </si>
  <si>
    <t xml:space="preserve">Set común = empresas con beta en la WACC y con datos en Bloomberg (columna "Set"). Estadístico principal: 70% mediana Chile + 30% mediana del set común (Supuestos G). MM CLP con TC del 30-06-2026; precio 30-09-2026.</t>
  </si>
  <si>
    <t xml:space="preserve">Columnas auxiliares para las medianas (no editar)</t>
  </si>
  <si>
    <t xml:space="preserve">Ticker</t>
  </si>
  <si>
    <t xml:space="preserve">Set (1/0)</t>
  </si>
  <si>
    <t xml:space="preserve">Chile (1/0)</t>
  </si>
  <si>
    <t xml:space="preserve">Deuda neta</t>
  </si>
  <si>
    <t xml:space="preserve">Minoritarios</t>
  </si>
  <si>
    <t xml:space="preserve">EV</t>
  </si>
  <si>
    <t xml:space="preserve">Ingresos LTM</t>
  </si>
  <si>
    <t xml:space="preserve">EBITDA LTM</t>
  </si>
  <si>
    <t xml:space="preserve">EBIT LTM</t>
  </si>
  <si>
    <t xml:space="preserve">Utilidad LTM</t>
  </si>
  <si>
    <t xml:space="preserve">Patrimonio</t>
  </si>
  <si>
    <t xml:space="preserve">EBITDA NTM</t>
  </si>
  <si>
    <t xml:space="preserve">EV/EBITDA LTM</t>
  </si>
  <si>
    <t xml:space="preserve">EV/EBITDA NTM</t>
  </si>
  <si>
    <t xml:space="preserve">EV/EBIT LTM</t>
  </si>
  <si>
    <t xml:space="preserve">P/E LTM</t>
  </si>
  <si>
    <t xml:space="preserve">P/BV</t>
  </si>
  <si>
    <t xml:space="preserve">EV/EBITDA LTM set</t>
  </si>
  <si>
    <t xml:space="preserve">EV/EBITDA LTM Chile</t>
  </si>
  <si>
    <t xml:space="preserve">EV/EBITDA NTM set</t>
  </si>
  <si>
    <t xml:space="preserve">EV/EBITDA NTM Chile</t>
  </si>
  <si>
    <t xml:space="preserve">EV/EBIT LTM set</t>
  </si>
  <si>
    <t xml:space="preserve">EV/EBIT LTM Chile</t>
  </si>
  <si>
    <t xml:space="preserve">P/E LTM set</t>
  </si>
  <si>
    <t xml:space="preserve">P/E LTM Chile</t>
  </si>
  <si>
    <t xml:space="preserve">P/BV set</t>
  </si>
  <si>
    <t xml:space="preserve">P/BV Chile</t>
  </si>
  <si>
    <t xml:space="preserve">EV/EBITDA LTM resto</t>
  </si>
  <si>
    <t xml:space="preserve">EV/EBITDA NTM resto</t>
  </si>
  <si>
    <t xml:space="preserve">EV/EBIT LTM resto</t>
  </si>
  <si>
    <t xml:space="preserve">P/E LTM resto</t>
  </si>
  <si>
    <t xml:space="preserve">P/BV resto</t>
  </si>
  <si>
    <t xml:space="preserve">Target</t>
  </si>
  <si>
    <t xml:space="preserve">Estadísticos (excluyen a Mallplaza)</t>
  </si>
  <si>
    <t xml:space="preserve">Mediana set común</t>
  </si>
  <si>
    <t xml:space="preserve">Mediana Chile (set común)</t>
  </si>
  <si>
    <t xml:space="preserve">Mediana resto (set común sin Chile)</t>
  </si>
  <si>
    <t xml:space="preserve">Múltiplo ponderado (70% Chile / 30% set común)</t>
  </si>
  <si>
    <t xml:space="preserve">N° pares set común</t>
  </si>
  <si>
    <t xml:space="preserve">Mallplaza vs ponderado (prima / (descuento))</t>
  </si>
  <si>
    <t xml:space="preserve">Notas: P/E y P/BV mezclan pares a valor razonable (Chile, IRSA) con pares a costo (Brasil); usar como referencia. EV/EBITDA es el método principal (neutral a la contabilidad de propiedades). IRSA: cifras NIC 29 y NTM de 1 analista.</t>
  </si>
  <si>
    <t xml:space="preserve">Precio objetivo — 80% DCF / 20% múltiplos (EV/EBITDA ponderado 70% Chile)</t>
  </si>
  <si>
    <t xml:space="preserve">A. Valor por múltiplos (Mallplaza)</t>
  </si>
  <si>
    <t xml:space="preserve">Múltiplo</t>
  </si>
  <si>
    <t xml:space="preserve">Múltiplo ponderado</t>
  </si>
  <si>
    <t xml:space="preserve">Métrica Mallplaza</t>
  </si>
  <si>
    <t xml:space="preserve">Valor por acción (CLP)</t>
  </si>
  <si>
    <t xml:space="preserve">EV/EBITDA LTM (método principal)</t>
  </si>
  <si>
    <t xml:space="preserve">EV implícito − deuda neta BBG − minoritarios, / acciones.</t>
  </si>
  <si>
    <t xml:space="preserve">P/E LTM (referencia: incluye revalorización)</t>
  </si>
  <si>
    <t xml:space="preserve">P/BV (referencia)</t>
  </si>
  <si>
    <t xml:space="preserve">B. Precio objetivo combinado</t>
  </si>
  <si>
    <t xml:space="preserve">Valor DCF (CLP)</t>
  </si>
  <si>
    <t xml:space="preserve">Valor por múltiplos: EV/EBITDA LTM ponderado (CLP)</t>
  </si>
  <si>
    <t xml:space="preserve">Peso DCF</t>
  </si>
  <si>
    <t xml:space="preserve">Precio objetivo (CLP)</t>
  </si>
  <si>
    <t xml:space="preserve">C. Lectura rápida</t>
  </si>
  <si>
    <t xml:space="preserve">Cap rate implícito del DCF (EBITDA LTM / EV)</t>
  </si>
  <si>
    <t xml:space="preserve">Cap rate implícito del mercado (EBITDA LTM / EV de mercado)</t>
  </si>
  <si>
    <t xml:space="preserve">Cap rate de los pares chilenos (1 / EV/EBITDA LTM mediana Chile)</t>
  </si>
  <si>
    <t xml:space="preserve">WACC nominal / WACC real</t>
  </si>
  <si>
    <t xml:space="preserve">Datos Bloomberg en moneda local (millones). EBITDA = IS_COMPARABLE_EBITDA (salvo nota) · EBIT = EBITDA − D&amp;A (CF_DEPR_AMORT) · LTM = suma 3T25–2T26 · Balance LTM al 30-jun-2026</t>
  </si>
  <si>
    <t xml:space="preserve">Grupo</t>
  </si>
  <si>
    <t xml:space="preserve">Moneda</t>
  </si>
  <si>
    <t xml:space="preserve">Período</t>
  </si>
  <si>
    <t xml:space="preserve">Revenue</t>
  </si>
  <si>
    <t xml:space="preserve">Net Income (controladora)</t>
  </si>
  <si>
    <t xml:space="preserve">Book Value (TOT_COMMON_EQY)</t>
  </si>
  <si>
    <t xml:space="preserve">Net Debt (BBG)</t>
  </si>
  <si>
    <t xml:space="preserve">Market Cap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</si>
  <si>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</si>
  <si>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</si>
  <si>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</si>
  <si>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</si>
  <si>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</si>
  <si>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Mallplaza</t>
  </si>
  <si>
    <t xml:space="preserve">MALLPLAZ CI</t>
  </si>
  <si>
    <t xml:space="preserve">FY2022</t>
  </si>
  <si>
    <t xml:space="preserve">FY2023</t>
  </si>
  <si>
    <t xml:space="preserve">Net Income incluye revalorización de propiedades (~1,0 bn).</t>
  </si>
  <si>
    <t xml:space="preserve">LTM</t>
  </si>
  <si>
    <t xml:space="preserve">Core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</si>
  <si>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</si>
  <si>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</si>
  <si>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BRL</t>
  </si>
  <si>
    <t xml:space="preserve">Revenue BBG 7.481 incluye ítems no recurrentes de la combinación con brMalls; se usa 2.804 (S&amp;P). P/E NM por ganancia no recurrente.</t>
  </si>
  <si>
    <t xml:space="preserve">EBITDA = EBITDA_ADJUSTED (comparable incluía ganancia por venta de activos).</t>
  </si>
  <si>
    <t xml:space="preserve">Q1-26 EBITDA = EBITDA_ADJUSTED.</t>
  </si>
  <si>
    <t xml:space="preserve">Sensibilidad</t>
  </si>
  <si>
    <t xml:space="preserve">ARS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</si>
  <si>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</si>
  <si>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</si>
  <si>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</si>
  <si>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</si>
  <si>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</si>
  <si>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</si>
  <si>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Fibra Danhos</t>
  </si>
  <si>
    <t xml:space="preserve">DANHOS13 MM</t>
  </si>
  <si>
    <t xml:space="preserve">MXN</t>
  </si>
  <si>
    <t xml:space="preserve">NTM — consenso Bloomberg BEst, 12 meses forward mezclado (BEST_FPERIOD_OVERRIDE = BF), al 07-oct-2026</t>
  </si>
  <si>
    <t xml:space="preserve">Revenue NTM</t>
  </si>
  <si>
    <t xml:space="preserve">EBIT NTM</t>
  </si>
  <si>
    <t xml:space="preserve">Net Income NTM</t>
  </si>
  <si>
    <t xml:space="preserve">Nº analistas (TOT_ANALYST_REC)</t>
  </si>
  <si>
    <t xml:space="preserve">NTM</t>
  </si>
  <si>
    <t xml:space="preserve">Consenso EBIT &gt; EBITDA (distintos sets de analistas).</t>
  </si>
  <si>
    <t xml:space="preserve">Solo 1 analista: consenso no representativo.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</si>
  <si>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</si>
  <si>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</si>
  <si>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</si>
  <si>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(controladora, reportada)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</si>
  <si>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</si>
  <si>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 (el EBIT comparable de BBG era errático).</t>
  </si>
  <si>
    <t xml:space="preserve">Excepciones EBITDA</t>
  </si>
  <si>
    <t xml:space="preserve">Se usó EBITDA_ADJUSTED donde el comparable era inconsistente: Cencosud Shopping FY2022 y 1T26; Iguatemi FY2025 y 1T26; IRSA todos los períodos (su comparable venía con errores de escala/signo).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</si>
  <si>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</si>
  <si>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Como IRSA no tiene consenso representativo, la tabla principal es LTM (regla: no mezclar).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</si>
  <si>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</si>
  <si>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</si>
  <si>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 para que EV/Revenue sea comparable. P/E FY2023 NM.</t>
  </si>
  <si>
    <t xml:space="preserve">Ejercicio jul-jun; cifras bajo NIC 29 en moneda de cada cierre: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</si>
  <si>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</si>
  <si>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Para comparar con Mallplaza, priorizar EV/EBITDA.</t>
  </si>
  <si>
    <t xml:space="preserve">Cambios vs versión anterior</t>
  </si>
  <si>
    <t xml:space="preserve">Fuente cambiada de S&amp;P/StockAnalysis a Bloomberg; se agrega FY2022; precios al 30-sep-2026 exactos; balance 2T26 de Danhos actualizado; Mallplaza agregado como fila Target (excluida de medianas).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</si>
</sst>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@"/>
    <numFmt numFmtId="166" formatCode="#,##0;\(#,##0\);\-"/>
    <numFmt numFmtId="167" formatCode="0.00%;\(0.00%\);\-"/>
    <numFmt numFmtId="168" formatCode="0"/>
    <numFmt numFmtId="169" formatCode="#,##0.00"/>
    <numFmt numFmtId="170" formatCode="0.00"/>
    <numFmt numFmtId="171" formatCode="0.0%;\(0.0%\);\-"/>
    <numFmt numFmtId="172" formatCode="0.0\x"/>
    <numFmt numFmtId="173" formatCode="#,##0.0;\(#,##0.0\);\-"/>
    <numFmt numFmtId="174" formatCode="#,##0"/>
    <numFmt numFmtId="175" formatCode="0.0000"/>
    <numFmt numFmtId="176" formatCode="0.000"/>
    <numFmt numFmtId="177" formatCode="#,##0.0;\(#,##0.0\);\-"/>
    <numFmt numFmtId="178" formatCode="#,##0.0000"/>
    <numFmt numFmtId="179" formatCode="#,##0;\(#,##0\);\-"/>
    <numFmt numFmtId="180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7" customFormat="false" ht="15" hidden="false" customHeight="false" outlineLevel="0" collapsed="false">
      <c r="A7" s="4" t="s">
        <v>8</v>
      </c>
      <c r="B7" s="5"/>
      <c r="C7" s="5"/>
      <c r="D7" s="5"/>
      <c r="E7" s="5"/>
    </row>
    <row r="8" customFormat="false" ht="15" hidden="false" customHeight="false" outlineLevel="0" collapsed="false">
      <c r="A8" s="6" t="s">
        <v>9</v>
      </c>
      <c r="B8" s="7" t="s">
        <v>10</v>
      </c>
      <c r="C8" s="6" t="s">
        <v>11</v>
      </c>
      <c r="D8" s="6" t="s">
        <v>12</v>
      </c>
      <c r="E8" s="2" t="s">
        <v>13</v>
      </c>
    </row>
    <row r="9" customFormat="false" ht="15" hidden="false" customHeight="false" outlineLevel="0" collapsed="false">
      <c r="A9" s="6" t="s">
        <v>14</v>
      </c>
      <c r="B9" s="8" t="n">
        <v>3555</v>
      </c>
      <c r="C9" s="6" t="s">
        <v>15</v>
      </c>
      <c r="D9" s="6" t="s">
        <v>16</v>
      </c>
      <c r="E9" s="2" t="s">
        <v>17</v>
      </c>
    </row>
    <row r="10" customFormat="false" ht="15" hidden="false" customHeight="false" outlineLevel="0" collapsed="false">
      <c r="A10" s="6" t="s">
        <v>18</v>
      </c>
      <c r="B10" s="8" t="n">
        <v>2190</v>
      </c>
      <c r="C10" s="6" t="s">
        <v>19</v>
      </c>
      <c r="D10" s="6" t="s">
        <v>16</v>
      </c>
      <c r="E10" s="2" t="s">
        <v>20</v>
      </c>
    </row>
    <row r="11" customFormat="false" ht="15" hidden="false" customHeight="false" outlineLevel="0" collapsed="false">
      <c r="A11" s="6" t="s">
        <v>21</v>
      </c>
      <c r="B11" s="8" t="n">
        <v>1285740</v>
      </c>
      <c r="C11" s="6" t="s">
        <v>22</v>
      </c>
      <c r="D11" s="6" t="s">
        <v>16</v>
      </c>
      <c r="E11" s="2" t="s">
        <v>23</v>
      </c>
    </row>
    <row r="12" customFormat="false" ht="15" hidden="false" customHeight="false" outlineLevel="0" collapsed="false">
      <c r="A12" s="6" t="s">
        <v>24</v>
      </c>
      <c r="B12" s="8" t="n">
        <v>50841</v>
      </c>
      <c r="C12" s="6" t="s">
        <v>22</v>
      </c>
      <c r="D12" s="6" t="s">
        <v>16</v>
      </c>
      <c r="E12" s="2" t="s">
        <v>25</v>
      </c>
    </row>
    <row r="13" customFormat="false" ht="15" hidden="false" customHeight="false" outlineLevel="0" collapsed="false">
      <c r="A13" s="6" t="s">
        <v>26</v>
      </c>
      <c r="B13" s="8" t="n">
        <v>347621</v>
      </c>
      <c r="C13" s="6" t="s">
        <v>22</v>
      </c>
      <c r="D13" s="6" t="s">
        <v>16</v>
      </c>
      <c r="E13" s="2" t="s">
        <v>27</v>
      </c>
    </row>
    <row r="14" customFormat="false" ht="15" hidden="false" customHeight="false" outlineLevel="0" collapsed="false">
      <c r="A14" s="6" t="s">
        <v>28</v>
      </c>
      <c r="B14" s="8" t="n">
        <v>544935</v>
      </c>
      <c r="C14" s="6" t="s">
        <v>22</v>
      </c>
      <c r="D14" s="6" t="s">
        <v>16</v>
      </c>
      <c r="E14" s="2" t="s">
        <v>29</v>
      </c>
    </row>
    <row r="15" customFormat="false" ht="15" hidden="false" customHeight="false" outlineLevel="0" collapsed="false">
      <c r="A15" s="6" t="s">
        <v>30</v>
      </c>
      <c r="B15" s="9" t="n">
        <f aca="false">Datos_BBG!M8</f>
        <v>1311568.558</v>
      </c>
      <c r="C15" s="6" t="s">
        <v>22</v>
      </c>
      <c r="D15" s="6" t="s">
        <v>16</v>
      </c>
      <c r="E15" s="2" t="s">
        <v>31</v>
      </c>
    </row>
    <row r="17" customFormat="false" ht="15" hidden="false" customHeight="false" outlineLevel="0" collapsed="false">
      <c r="A17" s="4" t="s">
        <v>32</v>
      </c>
      <c r="B17" s="5"/>
      <c r="C17" s="5"/>
      <c r="D17" s="5"/>
      <c r="E17" s="5"/>
    </row>
    <row r="18" customFormat="false" ht="15" hidden="false" customHeight="false" outlineLevel="0" collapsed="false">
      <c r="A18" s="6" t="s">
        <v>33</v>
      </c>
      <c r="B18" s="10" t="n">
        <v>0.049778</v>
      </c>
      <c r="C18" s="6" t="s">
        <v>34</v>
      </c>
      <c r="D18" s="6" t="s">
        <v>16</v>
      </c>
      <c r="E18" s="2" t="s">
        <v>35</v>
      </c>
    </row>
    <row r="19" customFormat="false" ht="15" hidden="false" customHeight="false" outlineLevel="0" collapsed="false">
      <c r="A19" s="6" t="s">
        <v>36</v>
      </c>
      <c r="B19" s="11" t="n">
        <v>0.0543</v>
      </c>
      <c r="C19" s="6" t="s">
        <v>34</v>
      </c>
      <c r="D19" s="6" t="s">
        <v>16</v>
      </c>
      <c r="E19" s="2" t="s">
        <v>37</v>
      </c>
    </row>
    <row r="20" customFormat="false" ht="15" hidden="false" customHeight="false" outlineLevel="0" collapsed="false">
      <c r="A20" s="6" t="s">
        <v>38</v>
      </c>
      <c r="B20" s="12" t="n">
        <v>2</v>
      </c>
      <c r="C20" s="6" t="s">
        <v>39</v>
      </c>
      <c r="D20" s="6" t="s">
        <v>12</v>
      </c>
      <c r="E20" s="2" t="s">
        <v>40</v>
      </c>
    </row>
    <row r="21" customFormat="false" ht="15" hidden="false" customHeight="false" outlineLevel="0" collapsed="false">
      <c r="A21" s="6" t="s">
        <v>41</v>
      </c>
      <c r="B21" s="10" t="n">
        <v>0.022431</v>
      </c>
      <c r="C21" s="6" t="s">
        <v>34</v>
      </c>
      <c r="D21" s="6" t="s">
        <v>16</v>
      </c>
      <c r="E21" s="2" t="s">
        <v>42</v>
      </c>
    </row>
    <row r="22" customFormat="false" ht="15" hidden="false" customHeight="false" outlineLevel="0" collapsed="false">
      <c r="A22" s="6" t="s">
        <v>43</v>
      </c>
      <c r="B22" s="12" t="n">
        <v>1</v>
      </c>
      <c r="C22" s="6" t="s">
        <v>39</v>
      </c>
      <c r="D22" s="6" t="s">
        <v>12</v>
      </c>
      <c r="E22" s="2" t="s">
        <v>44</v>
      </c>
    </row>
    <row r="23" customFormat="false" ht="15" hidden="false" customHeight="false" outlineLevel="0" collapsed="false">
      <c r="A23" s="6" t="s">
        <v>45</v>
      </c>
      <c r="B23" s="10" t="n">
        <v>0.0414</v>
      </c>
      <c r="C23" s="6" t="s">
        <v>34</v>
      </c>
      <c r="D23" s="6" t="s">
        <v>16</v>
      </c>
      <c r="E23" s="2" t="s">
        <v>46</v>
      </c>
    </row>
    <row r="24" customFormat="false" ht="15" hidden="false" customHeight="false" outlineLevel="0" collapsed="false">
      <c r="A24" s="6" t="s">
        <v>47</v>
      </c>
      <c r="B24" s="10" t="n">
        <v>0.0104</v>
      </c>
      <c r="C24" s="6" t="s">
        <v>34</v>
      </c>
      <c r="D24" s="6" t="s">
        <v>16</v>
      </c>
      <c r="E24" s="2" t="s">
        <v>48</v>
      </c>
    </row>
    <row r="25" customFormat="false" ht="15" hidden="false" customHeight="false" outlineLevel="0" collapsed="false">
      <c r="A25" s="6" t="s">
        <v>49</v>
      </c>
      <c r="B25" s="10" t="n">
        <v>0.0155</v>
      </c>
      <c r="C25" s="6" t="s">
        <v>34</v>
      </c>
      <c r="D25" s="6" t="s">
        <v>16</v>
      </c>
      <c r="E25" s="2" t="s">
        <v>50</v>
      </c>
    </row>
    <row r="26" customFormat="false" ht="15" hidden="false" customHeight="false" outlineLevel="0" collapsed="false">
      <c r="A26" s="6" t="s">
        <v>51</v>
      </c>
      <c r="B26" s="10" t="n">
        <v>0.037</v>
      </c>
      <c r="C26" s="6" t="s">
        <v>34</v>
      </c>
      <c r="D26" s="6" t="s">
        <v>16</v>
      </c>
      <c r="E26" s="2" t="s">
        <v>52</v>
      </c>
    </row>
    <row r="27" customFormat="false" ht="15" hidden="false" customHeight="false" outlineLevel="0" collapsed="false">
      <c r="A27" s="6" t="s">
        <v>53</v>
      </c>
      <c r="B27" s="8" t="n">
        <v>677333</v>
      </c>
      <c r="C27" s="6" t="s">
        <v>22</v>
      </c>
      <c r="D27" s="6" t="s">
        <v>16</v>
      </c>
      <c r="E27" s="2" t="s">
        <v>54</v>
      </c>
    </row>
    <row r="28" customFormat="false" ht="15" hidden="false" customHeight="false" outlineLevel="0" collapsed="false">
      <c r="A28" s="6" t="s">
        <v>55</v>
      </c>
      <c r="B28" s="8" t="n">
        <v>486084</v>
      </c>
      <c r="C28" s="6" t="s">
        <v>22</v>
      </c>
      <c r="D28" s="6" t="s">
        <v>16</v>
      </c>
      <c r="E28" s="2" t="s">
        <v>56</v>
      </c>
    </row>
    <row r="29" customFormat="false" ht="15" hidden="false" customHeight="false" outlineLevel="0" collapsed="false">
      <c r="A29" s="6" t="s">
        <v>57</v>
      </c>
      <c r="B29" s="8" t="n">
        <v>463174</v>
      </c>
      <c r="C29" s="6" t="s">
        <v>58</v>
      </c>
      <c r="D29" s="6" t="s">
        <v>16</v>
      </c>
      <c r="E29" s="2" t="s">
        <v>59</v>
      </c>
    </row>
    <row r="30" customFormat="false" ht="15" hidden="false" customHeight="false" outlineLevel="0" collapsed="false">
      <c r="A30" s="6" t="s">
        <v>60</v>
      </c>
      <c r="B30" s="8" t="n">
        <v>275461</v>
      </c>
      <c r="C30" s="6" t="s">
        <v>61</v>
      </c>
      <c r="D30" s="6" t="s">
        <v>16</v>
      </c>
      <c r="E30" s="2" t="s">
        <v>62</v>
      </c>
    </row>
    <row r="31" customFormat="false" ht="15" hidden="false" customHeight="false" outlineLevel="0" collapsed="false">
      <c r="A31" s="6" t="s">
        <v>63</v>
      </c>
      <c r="B31" s="13" t="n">
        <v>922.21</v>
      </c>
      <c r="C31" s="6" t="s">
        <v>64</v>
      </c>
      <c r="D31" s="6" t="s">
        <v>16</v>
      </c>
      <c r="E31" s="2" t="s">
        <v>65</v>
      </c>
    </row>
    <row r="32" customFormat="false" ht="15" hidden="false" customHeight="false" outlineLevel="0" collapsed="false">
      <c r="A32" s="6" t="s">
        <v>66</v>
      </c>
      <c r="B32" s="14" t="n">
        <v>3.41</v>
      </c>
      <c r="C32" s="6" t="s">
        <v>67</v>
      </c>
      <c r="D32" s="6" t="s">
        <v>16</v>
      </c>
      <c r="E32" s="2" t="s">
        <v>68</v>
      </c>
    </row>
    <row r="33" customFormat="false" ht="15" hidden="false" customHeight="false" outlineLevel="0" collapsed="false">
      <c r="A33" s="6" t="s">
        <v>69</v>
      </c>
      <c r="B33" s="13" t="n">
        <v>3416.45</v>
      </c>
      <c r="C33" s="6" t="s">
        <v>70</v>
      </c>
      <c r="D33" s="6" t="s">
        <v>16</v>
      </c>
      <c r="E33" s="2" t="s">
        <v>71</v>
      </c>
    </row>
    <row r="34" customFormat="false" ht="15" hidden="false" customHeight="false" outlineLevel="0" collapsed="false">
      <c r="A34" s="6" t="s">
        <v>72</v>
      </c>
      <c r="B34" s="11" t="n">
        <v>0.036</v>
      </c>
      <c r="C34" s="6" t="s">
        <v>34</v>
      </c>
      <c r="D34" s="6" t="s">
        <v>16</v>
      </c>
      <c r="E34" s="2" t="s">
        <v>73</v>
      </c>
    </row>
    <row r="35" customFormat="false" ht="15" hidden="false" customHeight="false" outlineLevel="0" collapsed="false">
      <c r="A35" s="6" t="s">
        <v>74</v>
      </c>
      <c r="B35" s="10" t="n">
        <v>0.03</v>
      </c>
      <c r="C35" s="6" t="s">
        <v>34</v>
      </c>
      <c r="D35" s="6" t="s">
        <v>12</v>
      </c>
      <c r="E35" s="2" t="s">
        <v>75</v>
      </c>
    </row>
    <row r="36" customFormat="false" ht="15" hidden="false" customHeight="false" outlineLevel="0" collapsed="false">
      <c r="A36" s="6" t="s">
        <v>76</v>
      </c>
      <c r="B36" s="15" t="n">
        <v>0.27</v>
      </c>
      <c r="C36" s="6" t="s">
        <v>34</v>
      </c>
      <c r="D36" s="6" t="s">
        <v>16</v>
      </c>
      <c r="E36" s="2" t="s">
        <v>77</v>
      </c>
    </row>
    <row r="37" customFormat="false" ht="15" hidden="false" customHeight="false" outlineLevel="0" collapsed="false">
      <c r="A37" s="6" t="s">
        <v>78</v>
      </c>
      <c r="B37" s="16" t="n">
        <f aca="false">127178.9+1452136.3</f>
        <v>1579315.2</v>
      </c>
      <c r="C37" s="6" t="s">
        <v>22</v>
      </c>
      <c r="D37" s="6" t="s">
        <v>16</v>
      </c>
      <c r="E37" s="2" t="s">
        <v>79</v>
      </c>
    </row>
    <row r="38" customFormat="false" ht="15" hidden="false" customHeight="false" outlineLevel="0" collapsed="false">
      <c r="A38" s="6" t="s">
        <v>80</v>
      </c>
      <c r="B38" s="8" t="n">
        <v>7905900</v>
      </c>
      <c r="C38" s="6" t="s">
        <v>22</v>
      </c>
      <c r="D38" s="6" t="s">
        <v>16</v>
      </c>
      <c r="E38" s="2" t="s">
        <v>81</v>
      </c>
    </row>
    <row r="39" customFormat="false" ht="15" hidden="false" customHeight="false" outlineLevel="0" collapsed="false">
      <c r="A39" s="6" t="s">
        <v>82</v>
      </c>
      <c r="B39" s="17" t="n">
        <v>3.5</v>
      </c>
      <c r="C39" s="6" t="s">
        <v>83</v>
      </c>
      <c r="D39" s="6" t="s">
        <v>12</v>
      </c>
      <c r="E39" s="2" t="s">
        <v>84</v>
      </c>
    </row>
    <row r="40" customFormat="false" ht="15" hidden="false" customHeight="false" outlineLevel="0" collapsed="false">
      <c r="A40" s="6" t="s">
        <v>85</v>
      </c>
      <c r="B40" s="12" t="n">
        <v>1</v>
      </c>
      <c r="C40" s="6" t="s">
        <v>39</v>
      </c>
      <c r="D40" s="6" t="s">
        <v>12</v>
      </c>
      <c r="E40" s="2" t="s">
        <v>86</v>
      </c>
    </row>
    <row r="42" customFormat="false" ht="15" hidden="false" customHeight="false" outlineLevel="0" collapsed="false">
      <c r="A42" s="4" t="s">
        <v>87</v>
      </c>
      <c r="B42" s="5"/>
      <c r="C42" s="5"/>
      <c r="D42" s="5"/>
      <c r="E42" s="5"/>
    </row>
    <row r="43" customFormat="false" ht="15" hidden="false" customHeight="false" outlineLevel="0" collapsed="false">
      <c r="A43" s="6" t="s">
        <v>88</v>
      </c>
      <c r="B43" s="8" t="n">
        <v>339530</v>
      </c>
      <c r="C43" s="6" t="s">
        <v>22</v>
      </c>
      <c r="D43" s="6" t="s">
        <v>16</v>
      </c>
      <c r="E43" s="2" t="s">
        <v>89</v>
      </c>
    </row>
    <row r="44" customFormat="false" ht="15" hidden="false" customHeight="false" outlineLevel="0" collapsed="false">
      <c r="A44" s="6" t="s">
        <v>90</v>
      </c>
      <c r="B44" s="8" t="n">
        <v>270574</v>
      </c>
      <c r="C44" s="6" t="s">
        <v>22</v>
      </c>
      <c r="D44" s="6" t="s">
        <v>16</v>
      </c>
      <c r="E44" s="2" t="s">
        <v>91</v>
      </c>
    </row>
    <row r="45" customFormat="false" ht="15" hidden="false" customHeight="false" outlineLevel="0" collapsed="false">
      <c r="A45" s="6" t="s">
        <v>92</v>
      </c>
      <c r="B45" s="8" t="n">
        <v>653911</v>
      </c>
      <c r="C45" s="6" t="s">
        <v>22</v>
      </c>
      <c r="D45" s="6" t="s">
        <v>16</v>
      </c>
      <c r="E45" s="2" t="s">
        <v>93</v>
      </c>
    </row>
    <row r="46" customFormat="false" ht="15" hidden="false" customHeight="false" outlineLevel="0" collapsed="false">
      <c r="A46" s="6" t="s">
        <v>94</v>
      </c>
      <c r="B46" s="10" t="n">
        <v>0.00703642078564015</v>
      </c>
      <c r="C46" s="6" t="s">
        <v>34</v>
      </c>
      <c r="D46" s="6" t="s">
        <v>95</v>
      </c>
      <c r="E46" s="2" t="s">
        <v>96</v>
      </c>
    </row>
    <row r="47" customFormat="false" ht="15" hidden="false" customHeight="false" outlineLevel="0" collapsed="false">
      <c r="A47" s="6" t="s">
        <v>97</v>
      </c>
      <c r="B47" s="15" t="n">
        <v>0.055</v>
      </c>
      <c r="C47" s="6" t="s">
        <v>34</v>
      </c>
      <c r="D47" s="6" t="s">
        <v>12</v>
      </c>
      <c r="E47" s="2" t="s">
        <v>98</v>
      </c>
    </row>
    <row r="48" customFormat="false" ht="15" hidden="false" customHeight="false" outlineLevel="0" collapsed="false">
      <c r="A48" s="6" t="s">
        <v>99</v>
      </c>
      <c r="B48" s="15" t="n">
        <v>0.27</v>
      </c>
      <c r="C48" s="6" t="s">
        <v>34</v>
      </c>
      <c r="D48" s="6" t="s">
        <v>12</v>
      </c>
      <c r="E48" s="2" t="s">
        <v>100</v>
      </c>
    </row>
    <row r="50" customFormat="false" ht="15" hidden="false" customHeight="false" outlineLevel="0" collapsed="false">
      <c r="A50" s="4" t="s">
        <v>101</v>
      </c>
      <c r="B50" s="5"/>
      <c r="C50" s="5"/>
      <c r="D50" s="5"/>
      <c r="E50" s="5"/>
    </row>
    <row r="51" customFormat="false" ht="15" hidden="false" customHeight="false" outlineLevel="0" collapsed="false">
      <c r="A51" s="6" t="s">
        <v>102</v>
      </c>
      <c r="B51" s="12" t="n">
        <v>1</v>
      </c>
      <c r="C51" s="6" t="s">
        <v>39</v>
      </c>
      <c r="D51" s="6" t="s">
        <v>12</v>
      </c>
      <c r="E51" s="2" t="s">
        <v>103</v>
      </c>
    </row>
    <row r="52" customFormat="false" ht="15" hidden="false" customHeight="false" outlineLevel="0" collapsed="false">
      <c r="A52" s="6" t="s">
        <v>104</v>
      </c>
      <c r="B52" s="8" t="n">
        <v>30458</v>
      </c>
      <c r="C52" s="6" t="s">
        <v>105</v>
      </c>
      <c r="D52" s="6" t="s">
        <v>16</v>
      </c>
      <c r="E52" s="2" t="s">
        <v>106</v>
      </c>
    </row>
    <row r="53" customFormat="false" ht="15" hidden="false" customHeight="false" outlineLevel="0" collapsed="false">
      <c r="A53" s="6" t="s">
        <v>107</v>
      </c>
      <c r="B53" s="8" t="n">
        <v>38618</v>
      </c>
      <c r="C53" s="6" t="s">
        <v>105</v>
      </c>
      <c r="D53" s="6" t="s">
        <v>16</v>
      </c>
      <c r="E53" s="2" t="s">
        <v>29</v>
      </c>
    </row>
    <row r="54" customFormat="false" ht="15" hidden="false" customHeight="false" outlineLevel="0" collapsed="false">
      <c r="A54" s="6" t="s">
        <v>108</v>
      </c>
      <c r="B54" s="8" t="n">
        <v>12150</v>
      </c>
      <c r="C54" s="6" t="s">
        <v>105</v>
      </c>
      <c r="D54" s="6" t="s">
        <v>16</v>
      </c>
      <c r="E54" s="2" t="s">
        <v>109</v>
      </c>
    </row>
    <row r="55" customFormat="false" ht="15" hidden="false" customHeight="false" outlineLevel="0" collapsed="false">
      <c r="A55" s="6" t="s">
        <v>110</v>
      </c>
      <c r="B55" s="18" t="n">
        <f aca="false">AVERAGE($B$52,$B$53,$B$54)</f>
        <v>27075.3333333333</v>
      </c>
      <c r="C55" s="6" t="s">
        <v>105</v>
      </c>
      <c r="D55" s="6" t="s">
        <v>95</v>
      </c>
      <c r="E55" s="2" t="s">
        <v>111</v>
      </c>
    </row>
    <row r="56" customFormat="false" ht="15" hidden="false" customHeight="false" outlineLevel="0" collapsed="false">
      <c r="A56" s="6" t="s">
        <v>112</v>
      </c>
      <c r="B56" s="19" t="n">
        <v>2029</v>
      </c>
      <c r="C56" s="6" t="s">
        <v>113</v>
      </c>
      <c r="D56" s="6" t="s">
        <v>12</v>
      </c>
      <c r="E56" s="2" t="s">
        <v>114</v>
      </c>
    </row>
    <row r="57" customFormat="false" ht="15" hidden="false" customHeight="false" outlineLevel="0" collapsed="false">
      <c r="A57" s="6" t="s">
        <v>115</v>
      </c>
      <c r="B57" s="20" t="n">
        <v>0.5</v>
      </c>
      <c r="C57" s="6" t="s">
        <v>34</v>
      </c>
      <c r="D57" s="6" t="s">
        <v>12</v>
      </c>
      <c r="E57" s="2" t="s">
        <v>116</v>
      </c>
    </row>
    <row r="58" customFormat="false" ht="15" hidden="false" customHeight="false" outlineLevel="0" collapsed="false">
      <c r="A58" s="6" t="s">
        <v>117</v>
      </c>
      <c r="B58" s="21" t="n">
        <v>613.2</v>
      </c>
      <c r="C58" s="6" t="s">
        <v>118</v>
      </c>
      <c r="D58" s="6" t="s">
        <v>16</v>
      </c>
      <c r="E58" s="2" t="s">
        <v>119</v>
      </c>
    </row>
    <row r="59" customFormat="false" ht="15" hidden="false" customHeight="false" outlineLevel="0" collapsed="false">
      <c r="A59" s="6" t="s">
        <v>120</v>
      </c>
      <c r="B59" s="8" t="n">
        <v>170200</v>
      </c>
      <c r="C59" s="6" t="s">
        <v>105</v>
      </c>
      <c r="D59" s="6" t="s">
        <v>16</v>
      </c>
      <c r="E59" s="2" t="s">
        <v>121</v>
      </c>
    </row>
    <row r="60" customFormat="false" ht="15" hidden="false" customHeight="false" outlineLevel="0" collapsed="false">
      <c r="A60" s="6" t="s">
        <v>122</v>
      </c>
      <c r="B60" s="16" t="n">
        <f aca="false">$B$58*1000000/$B$59</f>
        <v>3602.82021151586</v>
      </c>
      <c r="C60" s="6" t="s">
        <v>123</v>
      </c>
      <c r="D60" s="6" t="s">
        <v>95</v>
      </c>
      <c r="E60" s="2" t="s">
        <v>124</v>
      </c>
    </row>
    <row r="61" customFormat="false" ht="15" hidden="false" customHeight="false" outlineLevel="0" collapsed="false">
      <c r="A61" s="6" t="s">
        <v>125</v>
      </c>
      <c r="B61" s="22" t="n">
        <v>921</v>
      </c>
      <c r="C61" s="6" t="s">
        <v>64</v>
      </c>
      <c r="D61" s="6" t="s">
        <v>126</v>
      </c>
      <c r="E61" s="2" t="s">
        <v>127</v>
      </c>
    </row>
    <row r="62" customFormat="false" ht="15" hidden="false" customHeight="false" outlineLevel="0" collapsed="false">
      <c r="A62" s="6" t="s">
        <v>128</v>
      </c>
      <c r="B62" s="16" t="n">
        <f aca="false">26000+18800+13600+9500</f>
        <v>67900</v>
      </c>
      <c r="C62" s="6" t="s">
        <v>105</v>
      </c>
      <c r="D62" s="6" t="s">
        <v>16</v>
      </c>
      <c r="E62" s="2" t="s">
        <v>129</v>
      </c>
    </row>
    <row r="63" customFormat="false" ht="15" hidden="false" customHeight="false" outlineLevel="0" collapsed="false">
      <c r="A63" s="6" t="s">
        <v>130</v>
      </c>
      <c r="B63" s="16" t="n">
        <f aca="false">12200+7900+18700+17000</f>
        <v>55800</v>
      </c>
      <c r="C63" s="6" t="s">
        <v>105</v>
      </c>
      <c r="D63" s="6" t="s">
        <v>16</v>
      </c>
      <c r="E63" s="2" t="s">
        <v>131</v>
      </c>
    </row>
    <row r="64" customFormat="false" ht="15" hidden="false" customHeight="false" outlineLevel="0" collapsed="false">
      <c r="A64" s="6" t="s">
        <v>132</v>
      </c>
      <c r="B64" s="23" t="n">
        <f aca="false">$B$62/($B$62+$B$63)</f>
        <v>0.54890864995958</v>
      </c>
      <c r="C64" s="6" t="s">
        <v>34</v>
      </c>
      <c r="D64" s="6" t="s">
        <v>95</v>
      </c>
      <c r="E64" s="2" t="s">
        <v>133</v>
      </c>
    </row>
    <row r="65" customFormat="false" ht="15" hidden="false" customHeight="false" outlineLevel="0" collapsed="false">
      <c r="A65" s="6" t="s">
        <v>134</v>
      </c>
      <c r="B65" s="15" t="n">
        <v>0.8</v>
      </c>
      <c r="C65" s="6" t="s">
        <v>34</v>
      </c>
      <c r="D65" s="6" t="s">
        <v>12</v>
      </c>
      <c r="E65" s="2" t="s">
        <v>135</v>
      </c>
    </row>
    <row r="66" customFormat="false" ht="15" hidden="false" customHeight="false" outlineLevel="0" collapsed="false">
      <c r="A66" s="6" t="s">
        <v>136</v>
      </c>
      <c r="B66" s="15" t="n">
        <v>0.82</v>
      </c>
      <c r="C66" s="6" t="s">
        <v>34</v>
      </c>
      <c r="D66" s="6" t="s">
        <v>12</v>
      </c>
      <c r="E66" s="2" t="s">
        <v>135</v>
      </c>
    </row>
    <row r="67" customFormat="false" ht="15" hidden="false" customHeight="false" outlineLevel="0" collapsed="false">
      <c r="A67" s="6" t="s">
        <v>137</v>
      </c>
      <c r="B67" s="15" t="n">
        <v>0.35</v>
      </c>
      <c r="C67" s="6" t="s">
        <v>34</v>
      </c>
      <c r="D67" s="6" t="s">
        <v>12</v>
      </c>
      <c r="E67" s="2" t="s">
        <v>138</v>
      </c>
    </row>
    <row r="68" customFormat="false" ht="15" hidden="false" customHeight="false" outlineLevel="0" collapsed="false">
      <c r="A68" s="6" t="s">
        <v>139</v>
      </c>
      <c r="B68" s="15" t="n">
        <v>0.9</v>
      </c>
      <c r="C68" s="6" t="s">
        <v>34</v>
      </c>
      <c r="D68" s="6" t="s">
        <v>12</v>
      </c>
      <c r="E68" s="2" t="s">
        <v>135</v>
      </c>
    </row>
    <row r="69" customFormat="false" ht="15" hidden="false" customHeight="false" outlineLevel="0" collapsed="false">
      <c r="A69" s="6" t="s">
        <v>140</v>
      </c>
      <c r="B69" s="15" t="n">
        <v>1</v>
      </c>
      <c r="C69" s="6" t="s">
        <v>34</v>
      </c>
      <c r="D69" s="6" t="s">
        <v>12</v>
      </c>
      <c r="E69" s="2" t="s">
        <v>135</v>
      </c>
    </row>
    <row r="70" customFormat="false" ht="15" hidden="false" customHeight="false" outlineLevel="0" collapsed="false">
      <c r="A70" s="6" t="s">
        <v>141</v>
      </c>
      <c r="B70" s="20"/>
      <c r="C70" s="6" t="s">
        <v>34</v>
      </c>
      <c r="D70" s="6" t="s">
        <v>12</v>
      </c>
      <c r="E70" s="2" t="s">
        <v>142</v>
      </c>
    </row>
    <row r="72" customFormat="false" ht="15" hidden="false" customHeight="false" outlineLevel="0" collapsed="false">
      <c r="A72" s="4" t="s">
        <v>143</v>
      </c>
      <c r="B72" s="5"/>
      <c r="C72" s="5"/>
      <c r="D72" s="5"/>
      <c r="E72" s="5"/>
    </row>
    <row r="73" customFormat="false" ht="15" hidden="false" customHeight="false" outlineLevel="0" collapsed="false">
      <c r="A73" s="6" t="s">
        <v>144</v>
      </c>
      <c r="B73" s="19" t="n">
        <v>1</v>
      </c>
      <c r="C73" s="6" t="s">
        <v>39</v>
      </c>
      <c r="D73" s="6" t="s">
        <v>12</v>
      </c>
      <c r="E73" s="2" t="s">
        <v>145</v>
      </c>
    </row>
    <row r="74" customFormat="false" ht="15" hidden="false" customHeight="false" outlineLevel="0" collapsed="false">
      <c r="A74" s="6" t="s">
        <v>146</v>
      </c>
      <c r="B74" s="24" t="n">
        <f aca="false">Capital_Trabajo!$D$18</f>
        <v>0.156043408047884</v>
      </c>
      <c r="C74" s="6" t="s">
        <v>34</v>
      </c>
      <c r="D74" s="6" t="s">
        <v>95</v>
      </c>
      <c r="E74" s="2" t="s">
        <v>147</v>
      </c>
    </row>
    <row r="76" customFormat="false" ht="15" hidden="false" customHeight="false" outlineLevel="0" collapsed="false">
      <c r="A76" s="4" t="s">
        <v>148</v>
      </c>
      <c r="B76" s="5"/>
      <c r="C76" s="5"/>
      <c r="D76" s="5"/>
      <c r="E76" s="5"/>
    </row>
    <row r="77" customFormat="false" ht="15" hidden="false" customHeight="false" outlineLevel="0" collapsed="false">
      <c r="A77" s="6" t="s">
        <v>149</v>
      </c>
      <c r="B77" s="11" t="n">
        <v>0.03</v>
      </c>
      <c r="C77" s="6" t="s">
        <v>34</v>
      </c>
      <c r="D77" s="6" t="s">
        <v>12</v>
      </c>
      <c r="E77" s="2" t="s">
        <v>150</v>
      </c>
    </row>
    <row r="78" customFormat="false" ht="15" hidden="false" customHeight="false" outlineLevel="0" collapsed="false">
      <c r="A78" s="6" t="s">
        <v>151</v>
      </c>
      <c r="B78" s="25" t="n">
        <f aca="false">(1+$B$77)/(1+$B$35)-1</f>
        <v>0</v>
      </c>
      <c r="C78" s="6" t="s">
        <v>34</v>
      </c>
      <c r="D78" s="6" t="s">
        <v>95</v>
      </c>
      <c r="E78" s="2" t="s">
        <v>152</v>
      </c>
    </row>
    <row r="80" customFormat="false" ht="15" hidden="false" customHeight="false" outlineLevel="0" collapsed="false">
      <c r="A80" s="4" t="s">
        <v>153</v>
      </c>
      <c r="B80" s="5"/>
      <c r="C80" s="5"/>
      <c r="D80" s="5"/>
      <c r="E80" s="5"/>
    </row>
    <row r="81" customFormat="false" ht="15" hidden="false" customHeight="false" outlineLevel="0" collapsed="false">
      <c r="A81" s="6" t="s">
        <v>154</v>
      </c>
      <c r="B81" s="15" t="n">
        <v>0.8</v>
      </c>
      <c r="C81" s="6" t="s">
        <v>34</v>
      </c>
      <c r="D81" s="6" t="s">
        <v>12</v>
      </c>
      <c r="E81" s="2" t="s">
        <v>155</v>
      </c>
    </row>
    <row r="82" customFormat="false" ht="15" hidden="false" customHeight="false" outlineLevel="0" collapsed="false">
      <c r="A82" s="6" t="s">
        <v>156</v>
      </c>
      <c r="B82" s="20" t="n">
        <v>0.7</v>
      </c>
      <c r="C82" s="6" t="s">
        <v>34</v>
      </c>
      <c r="D82" s="6" t="s">
        <v>12</v>
      </c>
      <c r="E82" s="2" t="s">
        <v>157</v>
      </c>
    </row>
    <row r="83" customFormat="false" ht="15" hidden="false" customHeight="false" outlineLevel="0" collapsed="false">
      <c r="A83" s="6" t="s">
        <v>158</v>
      </c>
      <c r="B83" s="19" t="n">
        <v>100</v>
      </c>
      <c r="C83" s="6" t="s">
        <v>83</v>
      </c>
      <c r="D83" s="6" t="s">
        <v>12</v>
      </c>
      <c r="E83" s="2" t="s">
        <v>159</v>
      </c>
    </row>
    <row r="85" customFormat="false" ht="15" hidden="false" customHeight="false" outlineLevel="0" collapsed="false">
      <c r="A85" s="4" t="s">
        <v>160</v>
      </c>
      <c r="B85" s="5"/>
      <c r="C85" s="5"/>
      <c r="D85" s="5"/>
      <c r="E85" s="5"/>
    </row>
    <row r="86" customFormat="false" ht="15" hidden="false" customHeight="false" outlineLevel="0" collapsed="false">
      <c r="A86" s="6" t="s">
        <v>161</v>
      </c>
      <c r="B86" s="19" t="n">
        <v>1</v>
      </c>
      <c r="C86" s="6" t="s">
        <v>15</v>
      </c>
      <c r="D86" s="6" t="s">
        <v>16</v>
      </c>
      <c r="E86" s="2" t="s">
        <v>162</v>
      </c>
    </row>
    <row r="87" customFormat="false" ht="15" hidden="false" customHeight="false" outlineLevel="0" collapsed="false">
      <c r="A87" s="6" t="s">
        <v>163</v>
      </c>
      <c r="B87" s="13" t="n">
        <v>922.34</v>
      </c>
      <c r="C87" s="6" t="s">
        <v>15</v>
      </c>
      <c r="D87" s="6" t="s">
        <v>16</v>
      </c>
      <c r="E87" s="2" t="s">
        <v>164</v>
      </c>
    </row>
    <row r="88" customFormat="false" ht="15" hidden="false" customHeight="false" outlineLevel="0" collapsed="false">
      <c r="A88" s="6" t="s">
        <v>165</v>
      </c>
      <c r="B88" s="26" t="n">
        <f aca="false">$B$87/5.163</f>
        <v>178.644199109045</v>
      </c>
      <c r="C88" s="6" t="s">
        <v>15</v>
      </c>
      <c r="D88" s="6" t="s">
        <v>16</v>
      </c>
      <c r="E88" s="2" t="s">
        <v>166</v>
      </c>
    </row>
    <row r="89" customFormat="false" ht="15" hidden="false" customHeight="false" outlineLevel="0" collapsed="false">
      <c r="A89" s="6" t="s">
        <v>167</v>
      </c>
      <c r="B89" s="26" t="n">
        <f aca="false">$B$87/17.4986</f>
        <v>52.7093596059113</v>
      </c>
      <c r="C89" s="6" t="s">
        <v>15</v>
      </c>
      <c r="D89" s="6" t="s">
        <v>16</v>
      </c>
      <c r="E89" s="2" t="s">
        <v>168</v>
      </c>
    </row>
    <row r="90" customFormat="false" ht="15" hidden="false" customHeight="false" outlineLevel="0" collapsed="false">
      <c r="A90" s="6" t="s">
        <v>169</v>
      </c>
      <c r="B90" s="27" t="n">
        <f aca="false">$B$87/1482</f>
        <v>0.622361673414305</v>
      </c>
      <c r="C90" s="6" t="s">
        <v>15</v>
      </c>
      <c r="D90" s="6" t="s">
        <v>16</v>
      </c>
      <c r="E90" s="2" t="s">
        <v>170</v>
      </c>
    </row>
    <row r="92" customFormat="false" ht="15" hidden="false" customHeight="false" outlineLevel="0" collapsed="false">
      <c r="A92" s="4" t="s">
        <v>171</v>
      </c>
      <c r="B92" s="5"/>
      <c r="C92" s="5"/>
      <c r="D92" s="5"/>
      <c r="E92" s="5"/>
    </row>
    <row r="93" customFormat="false" ht="15" hidden="false" customHeight="false" outlineLevel="0" collapsed="false">
      <c r="A93" s="6" t="s">
        <v>172</v>
      </c>
      <c r="B93" s="10" t="n">
        <v>0.0308</v>
      </c>
      <c r="C93" s="6" t="s">
        <v>34</v>
      </c>
      <c r="D93" s="6" t="s">
        <v>95</v>
      </c>
      <c r="E93" s="2" t="s">
        <v>173</v>
      </c>
    </row>
    <row r="94" customFormat="false" ht="15" hidden="false" customHeight="false" outlineLevel="0" collapsed="false">
      <c r="A94" s="6" t="s">
        <v>174</v>
      </c>
      <c r="B94" s="15" t="n">
        <v>0.79</v>
      </c>
      <c r="C94" s="6" t="s">
        <v>34</v>
      </c>
      <c r="D94" s="6" t="s">
        <v>16</v>
      </c>
      <c r="E94" s="2" t="s">
        <v>27</v>
      </c>
    </row>
    <row r="95" customFormat="false" ht="15" hidden="false" customHeight="false" outlineLevel="0" collapsed="false">
      <c r="A95" s="6" t="s">
        <v>175</v>
      </c>
      <c r="B95" s="15" t="n">
        <v>0.4</v>
      </c>
      <c r="C95" s="6" t="s">
        <v>34</v>
      </c>
      <c r="D95" s="6" t="s">
        <v>16</v>
      </c>
      <c r="E95" s="2" t="s">
        <v>176</v>
      </c>
    </row>
    <row r="96" customFormat="false" ht="15" hidden="false" customHeight="false" outlineLevel="0" collapsed="false">
      <c r="A96" s="6" t="s">
        <v>177</v>
      </c>
      <c r="B96" s="8" t="n">
        <v>147724.8</v>
      </c>
      <c r="C96" s="6" t="s">
        <v>22</v>
      </c>
      <c r="D96" s="6" t="s">
        <v>126</v>
      </c>
      <c r="E96" s="2" t="s">
        <v>178</v>
      </c>
    </row>
    <row r="97" customFormat="false" ht="15" hidden="false" customHeight="false" outlineLevel="0" collapsed="false">
      <c r="A97" s="6" t="s">
        <v>179</v>
      </c>
      <c r="B97" s="8" t="n">
        <v>87617</v>
      </c>
      <c r="C97" s="6" t="s">
        <v>22</v>
      </c>
      <c r="D97" s="6" t="s">
        <v>16</v>
      </c>
      <c r="E97" s="2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6" min="3" style="0" width="13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4" t="s">
        <v>183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35.05" hidden="false" customHeight="false" outlineLevel="0" collapsed="false">
      <c r="A5" s="28" t="s">
        <v>184</v>
      </c>
      <c r="B5" s="28" t="s">
        <v>185</v>
      </c>
      <c r="C5" s="28" t="s">
        <v>186</v>
      </c>
      <c r="D5" s="28" t="s">
        <v>187</v>
      </c>
      <c r="E5" s="28" t="s">
        <v>188</v>
      </c>
      <c r="F5" s="28" t="s">
        <v>189</v>
      </c>
      <c r="G5" s="28" t="s">
        <v>190</v>
      </c>
      <c r="H5" s="28" t="s">
        <v>191</v>
      </c>
      <c r="I5" s="28" t="s">
        <v>192</v>
      </c>
      <c r="J5" s="28" t="s">
        <v>193</v>
      </c>
      <c r="K5" s="29" t="s">
        <v>194</v>
      </c>
    </row>
    <row r="6" customFormat="false" ht="15" hidden="false" customHeight="false" outlineLevel="0" collapsed="false">
      <c r="A6" s="6" t="s">
        <v>195</v>
      </c>
      <c r="B6" s="30" t="s">
        <v>196</v>
      </c>
      <c r="C6" s="6" t="s">
        <v>197</v>
      </c>
      <c r="D6" s="31" t="n">
        <v>1.25</v>
      </c>
      <c r="E6" s="8" t="n">
        <f aca="false">153323+1547183.9</f>
        <v>1700506.9</v>
      </c>
      <c r="F6" s="8" t="n">
        <v>3828031</v>
      </c>
      <c r="G6" s="15" t="n">
        <v>0.27</v>
      </c>
      <c r="H6" s="32" t="n">
        <f aca="false">D6/(1+(1-G6)*E6/F6)</f>
        <v>0.943906137051591</v>
      </c>
      <c r="I6" s="33" t="n">
        <f aca="false">IF(COUNTIF(Datos_BBG!$B$4:$B$43,B6)&gt;0,1,0)</f>
        <v>1</v>
      </c>
      <c r="J6" s="2" t="s">
        <v>198</v>
      </c>
      <c r="K6" s="32" t="n">
        <f aca="false">IF(I6=1,H6,"")</f>
        <v>0.943906137051591</v>
      </c>
    </row>
    <row r="7" customFormat="false" ht="15" hidden="false" customHeight="false" outlineLevel="0" collapsed="false">
      <c r="A7" s="6" t="s">
        <v>199</v>
      </c>
      <c r="B7" s="30" t="s">
        <v>200</v>
      </c>
      <c r="C7" s="6" t="s">
        <v>197</v>
      </c>
      <c r="D7" s="31" t="n">
        <v>1.075</v>
      </c>
      <c r="E7" s="8" t="n">
        <f aca="false">2632.1+759521.6</f>
        <v>762153.7</v>
      </c>
      <c r="F7" s="8" t="n">
        <v>3942858</v>
      </c>
      <c r="G7" s="15" t="n">
        <v>0.27</v>
      </c>
      <c r="H7" s="32" t="n">
        <f aca="false">D7/(1+(1-G7)*E7/F7)</f>
        <v>0.942066122568686</v>
      </c>
      <c r="I7" s="33" t="n">
        <f aca="false">IF(COUNTIF(Datos_BBG!$B$4:$B$43,B7)&gt;0,1,0)</f>
        <v>1</v>
      </c>
      <c r="K7" s="32" t="n">
        <f aca="false">IF(I7=1,H7,"")</f>
        <v>0.942066122568686</v>
      </c>
    </row>
    <row r="8" customFormat="false" ht="15" hidden="false" customHeight="false" outlineLevel="0" collapsed="false">
      <c r="A8" s="6" t="s">
        <v>201</v>
      </c>
      <c r="B8" s="30" t="s">
        <v>202</v>
      </c>
      <c r="C8" s="6" t="s">
        <v>203</v>
      </c>
      <c r="D8" s="31" t="n">
        <v>1.164</v>
      </c>
      <c r="E8" s="8" t="n">
        <f aca="false">53136.3+907054.7</f>
        <v>960191</v>
      </c>
      <c r="F8" s="8" t="n">
        <v>2712166.2</v>
      </c>
      <c r="G8" s="15" t="n">
        <v>0.34</v>
      </c>
      <c r="H8" s="32" t="n">
        <f aca="false">D8/(1+(1-G8)*E8/F8)</f>
        <v>0.943533506604902</v>
      </c>
      <c r="I8" s="33" t="n">
        <f aca="false">IF(COUNTIF(Datos_BBG!$B$4:$B$43,B8)&gt;0,1,0)</f>
        <v>1</v>
      </c>
      <c r="K8" s="32" t="n">
        <f aca="false">IF(I8=1,H8,"")</f>
        <v>0.943533506604902</v>
      </c>
    </row>
    <row r="9" customFormat="false" ht="15" hidden="false" customHeight="false" outlineLevel="0" collapsed="false">
      <c r="A9" s="6" t="s">
        <v>204</v>
      </c>
      <c r="B9" s="30" t="s">
        <v>205</v>
      </c>
      <c r="C9" s="6" t="s">
        <v>203</v>
      </c>
      <c r="D9" s="31" t="n">
        <v>0.908</v>
      </c>
      <c r="E9" s="8" t="n">
        <f aca="false">63046.9+584349.7</f>
        <v>647396.6</v>
      </c>
      <c r="F9" s="8" t="n">
        <v>1421560.1</v>
      </c>
      <c r="G9" s="15" t="n">
        <v>0.34</v>
      </c>
      <c r="H9" s="32" t="n">
        <f aca="false">D9/(1+(1-G9)*E9/F9)</f>
        <v>0.698154126385161</v>
      </c>
      <c r="I9" s="33" t="n">
        <f aca="false">IF(COUNTIF(Datos_BBG!$B$4:$B$43,B9)&gt;0,1,0)</f>
        <v>1</v>
      </c>
      <c r="K9" s="32" t="n">
        <f aca="false">IF(I9=1,H9,"")</f>
        <v>0.698154126385161</v>
      </c>
    </row>
    <row r="10" customFormat="false" ht="15" hidden="false" customHeight="false" outlineLevel="0" collapsed="false">
      <c r="A10" s="6" t="s">
        <v>206</v>
      </c>
      <c r="B10" s="30" t="s">
        <v>207</v>
      </c>
      <c r="C10" s="6" t="s">
        <v>208</v>
      </c>
      <c r="D10" s="31" t="n">
        <v>0.025</v>
      </c>
      <c r="E10" s="8" t="n">
        <f aca="false">13931.3+190036.2</f>
        <v>203967.5</v>
      </c>
      <c r="F10" s="8" t="n">
        <v>489349.7</v>
      </c>
      <c r="G10" s="15" t="n">
        <v>0.3</v>
      </c>
      <c r="H10" s="32" t="n">
        <f aca="false">D10/(1+(1-G10)*E10/F10)</f>
        <v>0.0193532999977299</v>
      </c>
      <c r="I10" s="33" t="n">
        <f aca="false">IF(COUNTIF(Datos_BBG!$B$4:$B$43,B10)&gt;0,1,0)</f>
        <v>0</v>
      </c>
      <c r="J10" s="2" t="s">
        <v>209</v>
      </c>
      <c r="K10" s="32" t="str">
        <f aca="false">IF(I10=1,H10,"")</f>
        <v/>
      </c>
    </row>
    <row r="11" customFormat="false" ht="15" hidden="false" customHeight="false" outlineLevel="0" collapsed="false">
      <c r="A11" s="6" t="s">
        <v>210</v>
      </c>
      <c r="B11" s="30" t="s">
        <v>211</v>
      </c>
      <c r="C11" s="6" t="s">
        <v>212</v>
      </c>
      <c r="D11" s="31" t="n">
        <v>0.427</v>
      </c>
      <c r="E11" s="8" t="n">
        <f aca="false">109097.3+515949.2</f>
        <v>625046.5</v>
      </c>
      <c r="F11" s="8" t="n">
        <v>1218777.1</v>
      </c>
      <c r="G11" s="15" t="n">
        <v>0.35</v>
      </c>
      <c r="H11" s="32" t="n">
        <f aca="false">D11/(1+(1-G11)*E11/F11)</f>
        <v>0.320245823758863</v>
      </c>
      <c r="I11" s="33" t="n">
        <f aca="false">IF(COUNTIF(Datos_BBG!$B$4:$B$43,B11)&gt;0,1,0)</f>
        <v>1</v>
      </c>
      <c r="J11" s="2" t="s">
        <v>213</v>
      </c>
      <c r="K11" s="32" t="n">
        <f aca="false">IF(I11=1,H11,"")</f>
        <v>0.320245823758863</v>
      </c>
    </row>
    <row r="12" customFormat="false" ht="15" hidden="false" customHeight="false" outlineLevel="0" collapsed="false">
      <c r="A12" s="6" t="s">
        <v>214</v>
      </c>
      <c r="B12" s="30" t="s">
        <v>215</v>
      </c>
      <c r="C12" s="6" t="s">
        <v>203</v>
      </c>
      <c r="D12" s="31" t="n">
        <v>1.219</v>
      </c>
      <c r="E12" s="8" t="n">
        <f aca="false">118753.6+72724.7</f>
        <v>191478.3</v>
      </c>
      <c r="F12" s="8" t="n">
        <v>2959844.9</v>
      </c>
      <c r="G12" s="15" t="n">
        <v>0.34</v>
      </c>
      <c r="H12" s="32" t="n">
        <f aca="false">D12/(1+(1-G12)*E12/F12)</f>
        <v>1.16908394650073</v>
      </c>
      <c r="I12" s="33" t="n">
        <f aca="false">IF(COUNTIF(Datos_BBG!$B$4:$B$43,B12)&gt;0,1,0)</f>
        <v>1</v>
      </c>
      <c r="K12" s="32" t="n">
        <f aca="false">IF(I12=1,H12,"")</f>
        <v>1.16908394650073</v>
      </c>
    </row>
    <row r="13" customFormat="false" ht="15" hidden="false" customHeight="false" outlineLevel="0" collapsed="false">
      <c r="A13" s="34" t="s">
        <v>216</v>
      </c>
      <c r="H13" s="32" t="n">
        <f aca="false">MEDIAN(K6:K12)</f>
        <v>0.942799814586794</v>
      </c>
      <c r="I13" s="35" t="n">
        <f aca="false">COUNT(K6:K12)</f>
        <v>6</v>
      </c>
      <c r="J13" s="2" t="s">
        <v>217</v>
      </c>
    </row>
    <row r="15" customFormat="false" ht="15" hidden="false" customHeight="false" outlineLevel="0" collapsed="false">
      <c r="A15" s="4" t="s">
        <v>218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6" t="s">
        <v>219</v>
      </c>
      <c r="B16" s="9" t="n">
        <f aca="false">Supuestos!$B$37</f>
        <v>1579315.2</v>
      </c>
    </row>
    <row r="17" customFormat="false" ht="15" hidden="false" customHeight="false" outlineLevel="0" collapsed="false">
      <c r="A17" s="6" t="s">
        <v>189</v>
      </c>
      <c r="B17" s="9" t="n">
        <f aca="false">Supuestos!$B$38</f>
        <v>7905900</v>
      </c>
    </row>
    <row r="18" customFormat="false" ht="15" hidden="false" customHeight="false" outlineLevel="0" collapsed="false">
      <c r="A18" s="6" t="s">
        <v>220</v>
      </c>
      <c r="B18" s="23" t="n">
        <f aca="false">B16/B17</f>
        <v>0.199764125526506</v>
      </c>
    </row>
    <row r="19" customFormat="false" ht="15" hidden="false" customHeight="false" outlineLevel="0" collapsed="false">
      <c r="A19" s="6" t="s">
        <v>221</v>
      </c>
      <c r="B19" s="9" t="n">
        <f aca="false">Supuestos!$B$39*Supuestos!$B$14+Supuestos!$B$13</f>
        <v>2254893.5</v>
      </c>
      <c r="C19" s="2" t="s">
        <v>222</v>
      </c>
    </row>
    <row r="20" customFormat="false" ht="15" hidden="false" customHeight="false" outlineLevel="0" collapsed="false">
      <c r="A20" s="6" t="s">
        <v>223</v>
      </c>
      <c r="B20" s="23" t="n">
        <f aca="false">B19/B17</f>
        <v>0.285216547135683</v>
      </c>
    </row>
    <row r="21" customFormat="false" ht="15" hidden="false" customHeight="false" outlineLevel="0" collapsed="false">
      <c r="A21" s="6" t="s">
        <v>224</v>
      </c>
      <c r="B21" s="36" t="n">
        <f aca="false">IF(Supuestos!$B$40=1,B20,B18)</f>
        <v>0.285216547135683</v>
      </c>
    </row>
    <row r="22" customFormat="false" ht="15" hidden="false" customHeight="false" outlineLevel="0" collapsed="false">
      <c r="A22" s="6" t="s">
        <v>225</v>
      </c>
      <c r="B22" s="23" t="n">
        <f aca="false">B21/(1+B21)</f>
        <v>0.221921004496352</v>
      </c>
    </row>
    <row r="23" customFormat="false" ht="15" hidden="false" customHeight="false" outlineLevel="0" collapsed="false">
      <c r="A23" s="6" t="s">
        <v>226</v>
      </c>
      <c r="B23" s="23" t="n">
        <f aca="false">1-B22</f>
        <v>0.778078995503649</v>
      </c>
    </row>
    <row r="25" customFormat="false" ht="15" hidden="false" customHeight="false" outlineLevel="0" collapsed="false">
      <c r="A25" s="4" t="s">
        <v>227</v>
      </c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A26" s="6" t="s">
        <v>228</v>
      </c>
      <c r="B26" s="37" t="n">
        <f aca="false">IF(Supuestos!$B$20=1,Supuestos!$B$19,Supuestos!$B$18)</f>
        <v>0.049778</v>
      </c>
    </row>
    <row r="27" customFormat="false" ht="15" hidden="false" customHeight="false" outlineLevel="0" collapsed="false">
      <c r="A27" s="6" t="s">
        <v>229</v>
      </c>
      <c r="B27" s="32" t="n">
        <f aca="false">WACC!$H$13</f>
        <v>0.942799814586794</v>
      </c>
    </row>
    <row r="28" customFormat="false" ht="15" hidden="false" customHeight="false" outlineLevel="0" collapsed="false">
      <c r="A28" s="6" t="s">
        <v>230</v>
      </c>
      <c r="B28" s="38" t="n">
        <f aca="false">B27*(1+(1-Supuestos!$B$36)*B21)</f>
        <v>1.13909835324912</v>
      </c>
    </row>
    <row r="29" customFormat="false" ht="15" hidden="false" customHeight="false" outlineLevel="0" collapsed="false">
      <c r="A29" s="6" t="s">
        <v>231</v>
      </c>
      <c r="B29" s="37" t="n">
        <f aca="false">Supuestos!$B$23</f>
        <v>0.0414</v>
      </c>
    </row>
    <row r="30" customFormat="false" ht="15" hidden="false" customHeight="false" outlineLevel="0" collapsed="false">
      <c r="A30" s="6" t="s">
        <v>232</v>
      </c>
      <c r="B30" s="36" t="n">
        <f aca="false">Supuestos!$B$28/Supuestos!$B$27</f>
        <v>0.717644053958688</v>
      </c>
    </row>
    <row r="31" customFormat="false" ht="15" hidden="false" customHeight="false" outlineLevel="0" collapsed="false">
      <c r="A31" s="6" t="s">
        <v>233</v>
      </c>
      <c r="B31" s="9" t="n">
        <f aca="false">Supuestos!$B$29/1000*Supuestos!$B$31/Supuestos!$B$32</f>
        <v>125262.080510264</v>
      </c>
    </row>
    <row r="32" customFormat="false" ht="15" hidden="false" customHeight="false" outlineLevel="0" collapsed="false">
      <c r="A32" s="6" t="s">
        <v>234</v>
      </c>
      <c r="B32" s="9" t="n">
        <f aca="false">Supuestos!$B$30*Supuestos!$B$31/Supuestos!$B$33</f>
        <v>74355.8046539537</v>
      </c>
    </row>
    <row r="33" customFormat="false" ht="15" hidden="false" customHeight="false" outlineLevel="0" collapsed="false">
      <c r="A33" s="6" t="s">
        <v>235</v>
      </c>
      <c r="B33" s="23" t="n">
        <f aca="false">(1-B30)*B31/(B31+B32)</f>
        <v>0.17718098364023</v>
      </c>
      <c r="C33" s="2" t="s">
        <v>236</v>
      </c>
    </row>
    <row r="34" customFormat="false" ht="15" hidden="false" customHeight="false" outlineLevel="0" collapsed="false">
      <c r="A34" s="6" t="s">
        <v>237</v>
      </c>
      <c r="B34" s="23" t="n">
        <f aca="false">(1-B30)*B32/(B31+B32)</f>
        <v>0.105174962401082</v>
      </c>
    </row>
    <row r="35" customFormat="false" ht="15" hidden="false" customHeight="false" outlineLevel="0" collapsed="false">
      <c r="A35" s="6" t="s">
        <v>238</v>
      </c>
      <c r="B35" s="37" t="n">
        <f aca="false">B30*Supuestos!$B$24+B33*Supuestos!$B$25+B34*Supuestos!$B$26</f>
        <v>0.014101277016434</v>
      </c>
    </row>
    <row r="36" customFormat="false" ht="15" hidden="false" customHeight="false" outlineLevel="0" collapsed="false">
      <c r="A36" s="34" t="s">
        <v>239</v>
      </c>
      <c r="B36" s="39" t="n">
        <f aca="false">IF(AND(Supuestos!$B$20=2,Supuestos!$B$22=1),(1+B26+B28*B29+B35)*(1+Supuestos!$B$35)/(1+Supuestos!$B$21)-1,B26+B28*B29+B35)</f>
        <v>0.119262901170031</v>
      </c>
      <c r="C36" s="2" t="s">
        <v>240</v>
      </c>
    </row>
    <row r="37" customFormat="false" ht="15" hidden="false" customHeight="false" outlineLevel="0" collapsed="false">
      <c r="A37" s="6" t="s">
        <v>241</v>
      </c>
      <c r="B37" s="37" t="n">
        <f aca="false">Supuestos!$B$19+B27*(1+(1-Supuestos!$B$36)*B18)*B29+B35</f>
        <v>0.113125127698424</v>
      </c>
      <c r="C37" s="2" t="s">
        <v>242</v>
      </c>
    </row>
    <row r="39" customFormat="false" ht="15" hidden="false" customHeight="false" outlineLevel="0" collapsed="false">
      <c r="A39" s="4" t="s">
        <v>243</v>
      </c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A40" s="6" t="s">
        <v>244</v>
      </c>
      <c r="B40" s="37" t="n">
        <f aca="false">Supuestos!$B$34</f>
        <v>0.036</v>
      </c>
    </row>
    <row r="41" customFormat="false" ht="15" hidden="false" customHeight="false" outlineLevel="0" collapsed="false">
      <c r="A41" s="6" t="s">
        <v>245</v>
      </c>
      <c r="B41" s="37" t="n">
        <f aca="false">(1+B40)*(1+Supuestos!$B$35)-1</f>
        <v>0.06708</v>
      </c>
    </row>
    <row r="42" customFormat="false" ht="15" hidden="false" customHeight="false" outlineLevel="0" collapsed="false">
      <c r="A42" s="6" t="s">
        <v>246</v>
      </c>
      <c r="B42" s="37" t="n">
        <f aca="false">B41*(1-Supuestos!$B$36)</f>
        <v>0.0489684</v>
      </c>
    </row>
    <row r="43" customFormat="false" ht="15" hidden="false" customHeight="false" outlineLevel="0" collapsed="false">
      <c r="A43" s="34" t="s">
        <v>247</v>
      </c>
      <c r="B43" s="40" t="n">
        <f aca="false">B23*B36+B22*B42</f>
        <v>0.103663074859808</v>
      </c>
    </row>
    <row r="44" customFormat="false" ht="15" hidden="false" customHeight="false" outlineLevel="0" collapsed="false">
      <c r="A44" s="6" t="s">
        <v>248</v>
      </c>
      <c r="B44" s="37" t="n">
        <f aca="false">(1+B43)/(1+Supuestos!$B$35)-1</f>
        <v>0.0715175484075801</v>
      </c>
    </row>
    <row r="45" customFormat="false" ht="15" hidden="false" customHeight="false" outlineLevel="0" collapsed="false">
      <c r="A45" s="6" t="s">
        <v>249</v>
      </c>
      <c r="B45" s="10" t="n">
        <v>0.100283578563326</v>
      </c>
      <c r="C45" s="2" t="s">
        <v>250</v>
      </c>
    </row>
    <row r="46" customFormat="false" ht="15" hidden="false" customHeight="false" outlineLevel="0" collapsed="false">
      <c r="A46" s="6" t="s">
        <v>251</v>
      </c>
      <c r="B46" s="10" t="n">
        <v>0.0555</v>
      </c>
      <c r="C46" s="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"/>
    <col collapsed="false" customWidth="true" hidden="false" outlineLevel="0" max="8" min="3" style="0" width="12"/>
    <col collapsed="false" customWidth="true" hidden="false" outlineLevel="0" max="10" min="10" style="0" width="70"/>
  </cols>
  <sheetData>
    <row r="1" customFormat="false" ht="16.1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15" hidden="false" customHeight="false" outlineLevel="0" collapsed="false">
      <c r="A4" s="34" t="s">
        <v>22</v>
      </c>
      <c r="B4" s="34" t="s">
        <v>6</v>
      </c>
      <c r="C4" s="41" t="s">
        <v>255</v>
      </c>
      <c r="D4" s="41" t="s">
        <v>256</v>
      </c>
      <c r="E4" s="41" t="s">
        <v>257</v>
      </c>
      <c r="F4" s="41" t="s">
        <v>258</v>
      </c>
      <c r="G4" s="41" t="s">
        <v>259</v>
      </c>
      <c r="H4" s="41" t="s">
        <v>260</v>
      </c>
      <c r="J4" s="34" t="s">
        <v>261</v>
      </c>
    </row>
    <row r="5" customFormat="false" ht="15" hidden="false" customHeight="false" outlineLevel="0" collapsed="false">
      <c r="A5" s="6" t="s">
        <v>262</v>
      </c>
      <c r="B5" s="6" t="s">
        <v>126</v>
      </c>
      <c r="C5" s="8" t="n">
        <v>703998.935029744</v>
      </c>
      <c r="D5" s="8" t="n">
        <v>767179.42311749</v>
      </c>
      <c r="E5" s="8" t="n">
        <v>820506.702514564</v>
      </c>
      <c r="F5" s="8" t="n">
        <v>866951.611344049</v>
      </c>
      <c r="G5" s="8" t="n">
        <v>904202.830579077</v>
      </c>
      <c r="H5" s="8" t="n">
        <v>939524.474707485</v>
      </c>
      <c r="J5" s="2" t="s">
        <v>263</v>
      </c>
    </row>
    <row r="6" customFormat="false" ht="15" hidden="false" customHeight="false" outlineLevel="0" collapsed="false">
      <c r="A6" s="6" t="s">
        <v>264</v>
      </c>
      <c r="B6" s="6" t="s">
        <v>95</v>
      </c>
      <c r="C6" s="9" t="n">
        <f aca="false">C5-Supuestos!$B$43</f>
        <v>364468.935029744</v>
      </c>
      <c r="D6" s="16" t="n">
        <f aca="false">D5</f>
        <v>767179.42311749</v>
      </c>
      <c r="E6" s="16" t="n">
        <f aca="false">E5</f>
        <v>820506.702514564</v>
      </c>
      <c r="F6" s="16" t="n">
        <f aca="false">F5</f>
        <v>866951.611344049</v>
      </c>
      <c r="G6" s="16" t="n">
        <f aca="false">G5</f>
        <v>904202.830579077</v>
      </c>
      <c r="H6" s="16" t="n">
        <f aca="false">H5</f>
        <v>939524.474707485</v>
      </c>
      <c r="J6" s="2" t="s">
        <v>265</v>
      </c>
    </row>
    <row r="7" customFormat="false" ht="15" hidden="false" customHeight="false" outlineLevel="0" collapsed="false">
      <c r="A7" s="6" t="s">
        <v>266</v>
      </c>
      <c r="B7" s="6" t="s">
        <v>126</v>
      </c>
      <c r="C7" s="8" t="n">
        <v>561315.405027496</v>
      </c>
      <c r="D7" s="8" t="n">
        <v>611360.360246719</v>
      </c>
      <c r="E7" s="8" t="n">
        <v>654236.225583637</v>
      </c>
      <c r="F7" s="8" t="n">
        <v>691459.842668882</v>
      </c>
      <c r="G7" s="8" t="n">
        <v>721124.371895624</v>
      </c>
      <c r="H7" s="8" t="n">
        <v>749208.579202132</v>
      </c>
      <c r="J7" s="2" t="s">
        <v>267</v>
      </c>
    </row>
    <row r="8" customFormat="false" ht="15" hidden="false" customHeight="false" outlineLevel="0" collapsed="false">
      <c r="A8" s="6" t="s">
        <v>268</v>
      </c>
      <c r="B8" s="6" t="s">
        <v>95</v>
      </c>
      <c r="C8" s="9" t="n">
        <f aca="false">C7-Supuestos!$B$44</f>
        <v>290741.405027495</v>
      </c>
      <c r="D8" s="16" t="n">
        <f aca="false">D7</f>
        <v>611360.360246719</v>
      </c>
      <c r="E8" s="16" t="n">
        <f aca="false">E7</f>
        <v>654236.225583637</v>
      </c>
      <c r="F8" s="16" t="n">
        <f aca="false">F7</f>
        <v>691459.842668882</v>
      </c>
      <c r="G8" s="16" t="n">
        <f aca="false">G7</f>
        <v>721124.371895624</v>
      </c>
      <c r="H8" s="16" t="n">
        <f aca="false">H7</f>
        <v>749208.579202132</v>
      </c>
      <c r="J8" s="2" t="s">
        <v>269</v>
      </c>
    </row>
    <row r="9" customFormat="false" ht="15" hidden="false" customHeight="false" outlineLevel="0" collapsed="false">
      <c r="A9" s="6" t="s">
        <v>270</v>
      </c>
      <c r="B9" s="6" t="s">
        <v>95</v>
      </c>
      <c r="C9" s="23" t="n">
        <f aca="false">C8/C6</f>
        <v>0.797712444282167</v>
      </c>
      <c r="D9" s="23" t="n">
        <f aca="false">D8/D6</f>
        <v>0.796893584244493</v>
      </c>
      <c r="E9" s="23" t="n">
        <f aca="false">E8/E6</f>
        <v>0.797356345266448</v>
      </c>
      <c r="F9" s="23" t="n">
        <f aca="false">F8/F6</f>
        <v>0.797576051098055</v>
      </c>
      <c r="G9" s="23" t="n">
        <f aca="false">G8/G6</f>
        <v>0.797525010437974</v>
      </c>
      <c r="H9" s="23" t="n">
        <f aca="false">H8/H6</f>
        <v>0.79743380760293</v>
      </c>
    </row>
    <row r="10" customFormat="false" ht="15" hidden="false" customHeight="false" outlineLevel="0" collapsed="false">
      <c r="A10" s="6" t="s">
        <v>271</v>
      </c>
      <c r="B10" s="6" t="s">
        <v>95</v>
      </c>
      <c r="C10" s="9" t="n">
        <f aca="false">Supuestos!$B$46*C6</f>
        <v>2564.55679016342</v>
      </c>
      <c r="D10" s="9" t="n">
        <f aca="false">Supuestos!$B$46*D6</f>
        <v>5398.19723913933</v>
      </c>
      <c r="E10" s="9" t="n">
        <f aca="false">Supuestos!$B$46*E6</f>
        <v>5773.43041633054</v>
      </c>
      <c r="F10" s="9" t="n">
        <f aca="false">Supuestos!$B$46*F6</f>
        <v>6100.23633820549</v>
      </c>
      <c r="G10" s="9" t="n">
        <f aca="false">Supuestos!$B$46*G6</f>
        <v>6362.35159152128</v>
      </c>
      <c r="H10" s="9" t="n">
        <f aca="false">Supuestos!$B$46*H6</f>
        <v>6610.88954244939</v>
      </c>
      <c r="J10" s="2" t="s">
        <v>272</v>
      </c>
    </row>
    <row r="11" customFormat="false" ht="15" hidden="false" customHeight="false" outlineLevel="0" collapsed="false">
      <c r="A11" s="6" t="s">
        <v>273</v>
      </c>
      <c r="B11" s="6" t="s">
        <v>126</v>
      </c>
      <c r="C11" s="15" t="n">
        <v>0.168</v>
      </c>
      <c r="D11" s="15" t="n">
        <v>0.19</v>
      </c>
      <c r="E11" s="15" t="n">
        <v>0.215</v>
      </c>
      <c r="F11" s="15" t="n">
        <v>0.24</v>
      </c>
      <c r="G11" s="15" t="n">
        <v>0.27</v>
      </c>
      <c r="H11" s="15" t="n">
        <v>0.27</v>
      </c>
      <c r="J11" s="2" t="s">
        <v>274</v>
      </c>
    </row>
    <row r="12" customFormat="false" ht="15" hidden="false" customHeight="false" outlineLevel="0" collapsed="false">
      <c r="A12" s="6" t="s">
        <v>275</v>
      </c>
      <c r="B12" s="6" t="s">
        <v>126</v>
      </c>
      <c r="C12" s="21" t="n">
        <v>113.64</v>
      </c>
      <c r="D12" s="21" t="n">
        <v>215.08</v>
      </c>
      <c r="E12" s="21" t="n">
        <v>116.28</v>
      </c>
      <c r="F12" s="21" t="n">
        <v>0</v>
      </c>
      <c r="G12" s="21" t="n">
        <v>0</v>
      </c>
      <c r="H12" s="21" t="n">
        <v>0</v>
      </c>
      <c r="J12" s="2" t="s">
        <v>276</v>
      </c>
    </row>
    <row r="13" customFormat="false" ht="15" hidden="false" customHeight="false" outlineLevel="0" collapsed="false">
      <c r="A13" s="6" t="s">
        <v>277</v>
      </c>
      <c r="B13" s="6" t="s">
        <v>126</v>
      </c>
      <c r="C13" s="13" t="n">
        <v>929.55</v>
      </c>
      <c r="D13" s="13" t="n">
        <v>922.75</v>
      </c>
      <c r="E13" s="13" t="n">
        <v>914.75</v>
      </c>
      <c r="F13" s="13" t="n">
        <v>921</v>
      </c>
      <c r="G13" s="13" t="n">
        <v>921</v>
      </c>
      <c r="H13" s="13" t="n">
        <v>921</v>
      </c>
      <c r="J13" s="2" t="s">
        <v>278</v>
      </c>
    </row>
    <row r="14" customFormat="false" ht="15" hidden="false" customHeight="false" outlineLevel="0" collapsed="false">
      <c r="A14" s="6" t="s">
        <v>279</v>
      </c>
      <c r="B14" s="6" t="s">
        <v>95</v>
      </c>
      <c r="C14" s="16" t="n">
        <f aca="false">C12*C13</f>
        <v>105634.062</v>
      </c>
      <c r="D14" s="16" t="n">
        <f aca="false">D12*D13</f>
        <v>198465.07</v>
      </c>
      <c r="E14" s="16" t="n">
        <f aca="false">E12*E13</f>
        <v>106367.13</v>
      </c>
      <c r="F14" s="16" t="n">
        <f aca="false">F12*F13</f>
        <v>0</v>
      </c>
      <c r="G14" s="16" t="n">
        <f aca="false">G12*G13</f>
        <v>0</v>
      </c>
      <c r="H14" s="16" t="n">
        <f aca="false">H12*H13</f>
        <v>0</v>
      </c>
    </row>
    <row r="15" customFormat="false" ht="15" hidden="false" customHeight="false" outlineLevel="0" collapsed="false">
      <c r="A15" s="6" t="s">
        <v>280</v>
      </c>
      <c r="B15" s="6" t="s">
        <v>95</v>
      </c>
      <c r="C15" s="9" t="n">
        <f aca="false">Supuestos!$B$47*C5/2</f>
        <v>19359.970713318</v>
      </c>
      <c r="D15" s="9" t="n">
        <f aca="false">Supuestos!$B$47*D6</f>
        <v>42194.8682714619</v>
      </c>
      <c r="E15" s="9" t="n">
        <f aca="false">Supuestos!$B$47*E6</f>
        <v>45127.868638301</v>
      </c>
      <c r="F15" s="9" t="n">
        <f aca="false">Supuestos!$B$47*F6</f>
        <v>47682.3386239227</v>
      </c>
      <c r="G15" s="9" t="n">
        <f aca="false">Supuestos!$B$47*G6</f>
        <v>49731.1556818492</v>
      </c>
      <c r="H15" s="9" t="n">
        <f aca="false">Supuestos!$B$47*H6</f>
        <v>51673.8461089117</v>
      </c>
      <c r="J15" s="2" t="s">
        <v>281</v>
      </c>
    </row>
    <row r="16" customFormat="false" ht="15" hidden="false" customHeight="false" outlineLevel="0" collapsed="false">
      <c r="A16" s="6" t="s">
        <v>282</v>
      </c>
      <c r="B16" s="6" t="s">
        <v>95</v>
      </c>
      <c r="C16" s="16" t="n">
        <f aca="false">C14+C15</f>
        <v>124994.032713318</v>
      </c>
      <c r="D16" s="16" t="n">
        <f aca="false">D14+D15</f>
        <v>240659.938271462</v>
      </c>
      <c r="E16" s="16" t="n">
        <f aca="false">E14+E15</f>
        <v>151494.998638301</v>
      </c>
      <c r="F16" s="16" t="n">
        <f aca="false">F14+F15</f>
        <v>47682.3386239227</v>
      </c>
      <c r="G16" s="16" t="n">
        <f aca="false">G14+G15</f>
        <v>49731.1556818492</v>
      </c>
      <c r="H16" s="16" t="n">
        <f aca="false">H14+H15</f>
        <v>51673.8461089117</v>
      </c>
      <c r="J16" s="2" t="s">
        <v>283</v>
      </c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6" t="s">
        <v>284</v>
      </c>
      <c r="B18" s="6" t="s">
        <v>126</v>
      </c>
      <c r="C18" s="8" t="n">
        <v>341079.527633496</v>
      </c>
      <c r="D18" s="8" t="n">
        <v>360468.329813633</v>
      </c>
      <c r="E18" s="8" t="n">
        <v>378194.728030019</v>
      </c>
      <c r="F18" s="8" t="n">
        <v>395002.181224915</v>
      </c>
      <c r="G18" s="8" t="n">
        <v>411161.928135082</v>
      </c>
      <c r="H18" s="8" t="n">
        <v>426868.383248847</v>
      </c>
      <c r="J18" s="2" t="s">
        <v>285</v>
      </c>
    </row>
    <row r="19" customFormat="false" ht="15" hidden="false" customHeight="false" outlineLevel="0" collapsed="false">
      <c r="A19" s="6" t="s">
        <v>286</v>
      </c>
      <c r="B19" s="6" t="s">
        <v>126</v>
      </c>
      <c r="C19" s="21" t="n">
        <v>792.938651402972</v>
      </c>
      <c r="D19" s="21" t="n">
        <v>832.959437268296</v>
      </c>
      <c r="E19" s="21" t="n">
        <v>869.391018038939</v>
      </c>
      <c r="F19" s="21" t="n">
        <v>896.707723054584</v>
      </c>
      <c r="G19" s="21" t="n">
        <v>921.729449489864</v>
      </c>
      <c r="H19" s="21" t="n">
        <v>945.045139018229</v>
      </c>
      <c r="J19" s="2" t="s">
        <v>287</v>
      </c>
    </row>
    <row r="20" customFormat="false" ht="15" hidden="false" customHeight="false" outlineLevel="0" collapsed="false">
      <c r="A20" s="6" t="s">
        <v>288</v>
      </c>
      <c r="B20" s="6" t="s">
        <v>126</v>
      </c>
      <c r="C20" s="13" t="n">
        <v>267.997219654847</v>
      </c>
      <c r="D20" s="13" t="n">
        <v>275.852105122017</v>
      </c>
      <c r="E20" s="13" t="n">
        <v>279.343822843823</v>
      </c>
      <c r="F20" s="13" t="n">
        <v>284.773755656109</v>
      </c>
      <c r="G20" s="13" t="n">
        <v>287.565655221365</v>
      </c>
      <c r="H20" s="13" t="n">
        <v>290.384926350986</v>
      </c>
      <c r="J20" s="2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"/>
    <col collapsed="false" customWidth="true" hidden="false" outlineLevel="0" max="8" min="3" style="0" width="12"/>
    <col collapsed="false" customWidth="true" hidden="false" outlineLevel="0" max="10" min="10" style="0" width="60"/>
  </cols>
  <sheetData>
    <row r="1" customFormat="false" ht="16.1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34" t="s">
        <v>292</v>
      </c>
      <c r="C4" s="41" t="s">
        <v>255</v>
      </c>
      <c r="D4" s="41" t="s">
        <v>256</v>
      </c>
      <c r="E4" s="41" t="s">
        <v>257</v>
      </c>
      <c r="F4" s="41" t="s">
        <v>258</v>
      </c>
      <c r="G4" s="41" t="s">
        <v>259</v>
      </c>
      <c r="H4" s="41" t="s">
        <v>260</v>
      </c>
    </row>
    <row r="5" customFormat="false" ht="15" hidden="false" customHeight="false" outlineLevel="0" collapsed="false">
      <c r="A5" s="6" t="s">
        <v>293</v>
      </c>
      <c r="C5" s="35" t="n">
        <v>2026</v>
      </c>
      <c r="D5" s="35" t="n">
        <v>2027</v>
      </c>
      <c r="E5" s="35" t="n">
        <v>2028</v>
      </c>
      <c r="F5" s="35" t="n">
        <v>2029</v>
      </c>
      <c r="G5" s="35" t="n">
        <v>2030</v>
      </c>
      <c r="H5" s="35" t="n">
        <v>2031</v>
      </c>
    </row>
    <row r="6" customFormat="false" ht="15" hidden="false" customHeight="false" outlineLevel="0" collapsed="false">
      <c r="A6" s="6" t="s">
        <v>294</v>
      </c>
      <c r="C6" s="38" t="n">
        <f aca="false">(1+Supuestos!$B$35)^(C5-2026)</f>
        <v>1</v>
      </c>
      <c r="D6" s="38" t="n">
        <f aca="false">(1+Supuestos!$B$35)^(D5-2026)</f>
        <v>1.03</v>
      </c>
      <c r="E6" s="38" t="n">
        <f aca="false">(1+Supuestos!$B$35)^(E5-2026)</f>
        <v>1.0609</v>
      </c>
      <c r="F6" s="38" t="n">
        <f aca="false">(1+Supuestos!$B$35)^(F5-2026)</f>
        <v>1.092727</v>
      </c>
      <c r="G6" s="38" t="n">
        <f aca="false">(1+Supuestos!$B$35)^(G5-2026)</f>
        <v>1.12550881</v>
      </c>
      <c r="H6" s="38" t="n">
        <f aca="false">(1+Supuestos!$B$35)^(H5-2026)</f>
        <v>1.1592740743</v>
      </c>
    </row>
    <row r="7" customFormat="false" ht="15" hidden="false" customHeight="false" outlineLevel="0" collapsed="false">
      <c r="A7" s="6" t="s">
        <v>295</v>
      </c>
      <c r="C7" s="38" t="n">
        <f aca="false">Supuestos!$B$60*Supuestos!$B$61*C6/1000000</f>
        <v>3.31819741480611</v>
      </c>
      <c r="D7" s="38" t="n">
        <f aca="false">Supuestos!$B$60*Supuestos!$B$61*D6/1000000</f>
        <v>3.41774333725029</v>
      </c>
      <c r="E7" s="38" t="n">
        <f aca="false">Supuestos!$B$60*Supuestos!$B$61*E6/1000000</f>
        <v>3.5202756373678</v>
      </c>
      <c r="F7" s="38" t="n">
        <f aca="false">Supuestos!$B$60*Supuestos!$B$61*F6/1000000</f>
        <v>3.62588390648884</v>
      </c>
      <c r="G7" s="38" t="n">
        <f aca="false">Supuestos!$B$60*Supuestos!$B$61*G6/1000000</f>
        <v>3.7346604236835</v>
      </c>
      <c r="H7" s="38" t="n">
        <f aca="false">Supuestos!$B$60*Supuestos!$B$61*H6/1000000</f>
        <v>3.84670023639401</v>
      </c>
      <c r="M7" s="2" t="s">
        <v>296</v>
      </c>
    </row>
    <row r="8" customFormat="false" ht="15" hidden="false" customHeight="false" outlineLevel="0" collapsed="false">
      <c r="A8" s="6" t="s">
        <v>297</v>
      </c>
      <c r="C8" s="9" t="n">
        <f aca="false">Supuestos!$B$64*Forecast_Base!C18+(1-Supuestos!$B$64)*Forecast_Base!C19*Forecast_Base!C20</f>
        <v>283080.830038545</v>
      </c>
      <c r="D8" s="9" t="n">
        <f aca="false">Supuestos!$B$64*Forecast_Base!D18+(1-Supuestos!$B$64)*Forecast_Base!D19*Forecast_Base!D20</f>
        <v>301513.074127656</v>
      </c>
      <c r="E8" s="9" t="n">
        <f aca="false">Supuestos!$B$64*Forecast_Base!E18+(1-Supuestos!$B$64)*Forecast_Base!E19*Forecast_Base!E20</f>
        <v>317145.956512027</v>
      </c>
      <c r="F8" s="9" t="n">
        <f aca="false">Supuestos!$B$64*Forecast_Base!F18+(1-Supuestos!$B$64)*Forecast_Base!F19*Forecast_Base!F20</f>
        <v>332010.271601397</v>
      </c>
      <c r="G8" s="9" t="n">
        <f aca="false">Supuestos!$B$64*Forecast_Base!G18+(1-Supuestos!$B$64)*Forecast_Base!G19*Forecast_Base!G20</f>
        <v>345255.589540837</v>
      </c>
      <c r="H8" s="9" t="n">
        <f aca="false">Supuestos!$B$64*Forecast_Base!H18+(1-Supuestos!$B$64)*Forecast_Base!H19*Forecast_Base!H20</f>
        <v>358103.332119156</v>
      </c>
      <c r="M8" s="2" t="s">
        <v>298</v>
      </c>
    </row>
    <row r="9" customFormat="false" ht="15" hidden="false" customHeight="false" outlineLevel="0" collapsed="false">
      <c r="A9" s="6" t="s">
        <v>299</v>
      </c>
      <c r="C9" s="36" t="n">
        <f aca="false">Supuestos!$B$64*Supuestos!$B$65+(1-Supuestos!$B$64)*Supuestos!$B$66</f>
        <v>0.809021827000808</v>
      </c>
      <c r="D9" s="36" t="n">
        <f aca="false">Supuestos!$B$64*Supuestos!$B$65+(1-Supuestos!$B$64)*Supuestos!$B$66</f>
        <v>0.809021827000808</v>
      </c>
      <c r="E9" s="36" t="n">
        <f aca="false">Supuestos!$B$64*Supuestos!$B$65+(1-Supuestos!$B$64)*Supuestos!$B$66</f>
        <v>0.809021827000808</v>
      </c>
      <c r="F9" s="36" t="n">
        <f aca="false">Supuestos!$B$64*Supuestos!$B$65+(1-Supuestos!$B$64)*Supuestos!$B$66</f>
        <v>0.809021827000808</v>
      </c>
      <c r="G9" s="36" t="n">
        <f aca="false">Supuestos!$B$64*Supuestos!$B$65+(1-Supuestos!$B$64)*Supuestos!$B$66</f>
        <v>0.809021827000808</v>
      </c>
      <c r="H9" s="36" t="n">
        <f aca="false">Supuestos!$B$64*Supuestos!$B$65+(1-Supuestos!$B$64)*Supuestos!$B$66</f>
        <v>0.809021827000808</v>
      </c>
    </row>
    <row r="11" customFormat="false" ht="15" hidden="false" customHeight="false" outlineLevel="0" collapsed="false">
      <c r="A11" s="4" t="s">
        <v>300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34" t="s">
        <v>301</v>
      </c>
      <c r="B12" s="34" t="s">
        <v>105</v>
      </c>
    </row>
    <row r="13" customFormat="false" ht="15" hidden="false" customHeight="false" outlineLevel="0" collapsed="false">
      <c r="A13" s="42" t="n">
        <v>2029</v>
      </c>
      <c r="B13" s="9" t="n">
        <f aca="false">IF(AND(Supuestos!$B$51=1,A13&gt;=Supuestos!$B$56),Supuestos!$B$55,0)</f>
        <v>27075.3333333333</v>
      </c>
      <c r="J13" s="2" t="s">
        <v>302</v>
      </c>
    </row>
    <row r="14" customFormat="false" ht="15" hidden="false" customHeight="false" outlineLevel="0" collapsed="false">
      <c r="A14" s="42" t="n">
        <v>2030</v>
      </c>
      <c r="B14" s="9" t="n">
        <f aca="false">IF(AND(Supuestos!$B$51=1,A14&gt;=Supuestos!$B$56),Supuestos!$B$55,0)</f>
        <v>27075.3333333333</v>
      </c>
    </row>
    <row r="15" customFormat="false" ht="15" hidden="false" customHeight="false" outlineLevel="0" collapsed="false">
      <c r="A15" s="42" t="n">
        <v>2031</v>
      </c>
      <c r="B15" s="9" t="n">
        <f aca="false">IF(AND(Supuestos!$B$51=1,A15&gt;=Supuestos!$B$56),Supuestos!$B$55,0)</f>
        <v>27075.3333333333</v>
      </c>
    </row>
    <row r="16" customFormat="false" ht="15" hidden="false" customHeight="false" outlineLevel="0" collapsed="false">
      <c r="A16" s="42" t="n">
        <v>2032</v>
      </c>
      <c r="B16" s="9" t="n">
        <f aca="false">IF(AND(Supuestos!$B$51=1,A16&gt;=Supuestos!$B$56),Supuestos!$B$55,0)</f>
        <v>27075.3333333333</v>
      </c>
    </row>
    <row r="17" customFormat="false" ht="15" hidden="false" customHeight="false" outlineLevel="0" collapsed="false">
      <c r="A17" s="42" t="n">
        <v>2033</v>
      </c>
      <c r="B17" s="9" t="n">
        <f aca="false">IF(AND(Supuestos!$B$51=1,A17&gt;=Supuestos!$B$56),Supuestos!$B$55,0)</f>
        <v>27075.3333333333</v>
      </c>
    </row>
    <row r="23" customFormat="false" ht="15" hidden="false" customHeight="false" outlineLevel="0" collapsed="false">
      <c r="A23" s="4" t="s">
        <v>303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42" t="n">
        <v>2029</v>
      </c>
      <c r="C24" s="16" t="n">
        <f aca="false">$B$13*C$7*(IF(C$5=$A$13-2,Supuestos!$B$57,0)+IF(C$5=$A$13-1,1-Supuestos!$B$57,0))</f>
        <v>0</v>
      </c>
      <c r="D24" s="16" t="n">
        <f aca="false">$B$13*D$7*(IF(D$5=$A$13-2,Supuestos!$B$57,0)+IF(D$5=$A$13-1,1-Supuestos!$B$57,0))</f>
        <v>46268.2700519154</v>
      </c>
      <c r="E24" s="16" t="n">
        <f aca="false">$B$13*E$7*(IF(E$5=$A$13-2,Supuestos!$B$57,0)+IF(E$5=$A$13-1,1-Supuestos!$B$57,0))</f>
        <v>47656.3181534729</v>
      </c>
      <c r="F24" s="16" t="n">
        <f aca="false">$B$13*F$7*(IF(F$5=$A$13-2,Supuestos!$B$57,0)+IF(F$5=$A$13-1,1-Supuestos!$B$57,0))</f>
        <v>0</v>
      </c>
      <c r="G24" s="16" t="n">
        <f aca="false">$B$13*G$7*(IF(G$5=$A$13-2,Supuestos!$B$57,0)+IF(G$5=$A$13-1,1-Supuestos!$B$57,0))</f>
        <v>0</v>
      </c>
      <c r="H24" s="16" t="n">
        <f aca="false">$B$13*H$7*(IF(H$5=$A$13-2,Supuestos!$B$57,0)+IF(H$5=$A$13-1,1-Supuestos!$B$57,0))</f>
        <v>0</v>
      </c>
    </row>
    <row r="25" customFormat="false" ht="15" hidden="false" customHeight="false" outlineLevel="0" collapsed="false">
      <c r="A25" s="42" t="n">
        <v>2030</v>
      </c>
      <c r="C25" s="16" t="n">
        <f aca="false">$B$14*C$7*(IF(C$5=$A$14-2,Supuestos!$B$57,0)+IF(C$5=$A$14-1,1-Supuestos!$B$57,0))</f>
        <v>0</v>
      </c>
      <c r="D25" s="16" t="n">
        <f aca="false">$B$14*D$7*(IF(D$5=$A$14-2,Supuestos!$B$57,0)+IF(D$5=$A$14-1,1-Supuestos!$B$57,0))</f>
        <v>0</v>
      </c>
      <c r="E25" s="16" t="n">
        <f aca="false">$B$14*E$7*(IF(E$5=$A$14-2,Supuestos!$B$57,0)+IF(E$5=$A$14-1,1-Supuestos!$B$57,0))</f>
        <v>47656.3181534729</v>
      </c>
      <c r="F25" s="16" t="n">
        <f aca="false">$B$14*F$7*(IF(F$5=$A$14-2,Supuestos!$B$57,0)+IF(F$5=$A$14-1,1-Supuestos!$B$57,0))</f>
        <v>49086.007698077</v>
      </c>
      <c r="G25" s="16" t="n">
        <f aca="false">$B$14*G$7*(IF(G$5=$A$14-2,Supuestos!$B$57,0)+IF(G$5=$A$14-1,1-Supuestos!$B$57,0))</f>
        <v>0</v>
      </c>
      <c r="H25" s="16" t="n">
        <f aca="false">$B$14*H$7*(IF(H$5=$A$14-2,Supuestos!$B$57,0)+IF(H$5=$A$14-1,1-Supuestos!$B$57,0))</f>
        <v>0</v>
      </c>
    </row>
    <row r="26" customFormat="false" ht="15" hidden="false" customHeight="false" outlineLevel="0" collapsed="false">
      <c r="A26" s="42" t="n">
        <v>2031</v>
      </c>
      <c r="C26" s="16" t="n">
        <f aca="false">$B$15*C$7*(IF(C$5=$A$15-2,Supuestos!$B$57,0)+IF(C$5=$A$15-1,1-Supuestos!$B$57,0))</f>
        <v>0</v>
      </c>
      <c r="D26" s="16" t="n">
        <f aca="false">$B$15*D$7*(IF(D$5=$A$15-2,Supuestos!$B$57,0)+IF(D$5=$A$15-1,1-Supuestos!$B$57,0))</f>
        <v>0</v>
      </c>
      <c r="E26" s="16" t="n">
        <f aca="false">$B$15*E$7*(IF(E$5=$A$15-2,Supuestos!$B$57,0)+IF(E$5=$A$15-1,1-Supuestos!$B$57,0))</f>
        <v>0</v>
      </c>
      <c r="F26" s="16" t="n">
        <f aca="false">$B$15*F$7*(IF(F$5=$A$15-2,Supuestos!$B$57,0)+IF(F$5=$A$15-1,1-Supuestos!$B$57,0))</f>
        <v>49086.007698077</v>
      </c>
      <c r="G26" s="16" t="n">
        <f aca="false">$B$15*G$7*(IF(G$5=$A$15-2,Supuestos!$B$57,0)+IF(G$5=$A$15-1,1-Supuestos!$B$57,0))</f>
        <v>50558.5879290194</v>
      </c>
      <c r="H26" s="16" t="n">
        <f aca="false">$B$15*H$7*(IF(H$5=$A$15-2,Supuestos!$B$57,0)+IF(H$5=$A$15-1,1-Supuestos!$B$57,0))</f>
        <v>0</v>
      </c>
    </row>
    <row r="27" customFormat="false" ht="15" hidden="false" customHeight="false" outlineLevel="0" collapsed="false">
      <c r="A27" s="42" t="n">
        <v>2032</v>
      </c>
      <c r="C27" s="16" t="n">
        <f aca="false">$B$16*C$7*(IF(C$5=$A$16-2,Supuestos!$B$57,0)+IF(C$5=$A$16-1,1-Supuestos!$B$57,0))</f>
        <v>0</v>
      </c>
      <c r="D27" s="16" t="n">
        <f aca="false">$B$16*D$7*(IF(D$5=$A$16-2,Supuestos!$B$57,0)+IF(D$5=$A$16-1,1-Supuestos!$B$57,0))</f>
        <v>0</v>
      </c>
      <c r="E27" s="16" t="n">
        <f aca="false">$B$16*E$7*(IF(E$5=$A$16-2,Supuestos!$B$57,0)+IF(E$5=$A$16-1,1-Supuestos!$B$57,0))</f>
        <v>0</v>
      </c>
      <c r="F27" s="16" t="n">
        <f aca="false">$B$16*F$7*(IF(F$5=$A$16-2,Supuestos!$B$57,0)+IF(F$5=$A$16-1,1-Supuestos!$B$57,0))</f>
        <v>0</v>
      </c>
      <c r="G27" s="16" t="n">
        <f aca="false">$B$16*G$7*(IF(G$5=$A$16-2,Supuestos!$B$57,0)+IF(G$5=$A$16-1,1-Supuestos!$B$57,0))</f>
        <v>50558.5879290194</v>
      </c>
      <c r="H27" s="16" t="n">
        <f aca="false">$B$16*H$7*(IF(H$5=$A$16-2,Supuestos!$B$57,0)+IF(H$5=$A$16-1,1-Supuestos!$B$57,0))</f>
        <v>52075.3455668899</v>
      </c>
    </row>
    <row r="28" customFormat="false" ht="15" hidden="false" customHeight="false" outlineLevel="0" collapsed="false">
      <c r="A28" s="42" t="n">
        <v>2033</v>
      </c>
      <c r="C28" s="16" t="n">
        <f aca="false">$B$17*C$7*(IF(C$5=$A$17-2,Supuestos!$B$57,0)+IF(C$5=$A$17-1,1-Supuestos!$B$57,0))</f>
        <v>0</v>
      </c>
      <c r="D28" s="16" t="n">
        <f aca="false">$B$17*D$7*(IF(D$5=$A$17-2,Supuestos!$B$57,0)+IF(D$5=$A$17-1,1-Supuestos!$B$57,0))</f>
        <v>0</v>
      </c>
      <c r="E28" s="16" t="n">
        <f aca="false">$B$17*E$7*(IF(E$5=$A$17-2,Supuestos!$B$57,0)+IF(E$5=$A$17-1,1-Supuestos!$B$57,0))</f>
        <v>0</v>
      </c>
      <c r="F28" s="16" t="n">
        <f aca="false">$B$17*F$7*(IF(F$5=$A$17-2,Supuestos!$B$57,0)+IF(F$5=$A$17-1,1-Supuestos!$B$57,0))</f>
        <v>0</v>
      </c>
      <c r="G28" s="16" t="n">
        <f aca="false">$B$17*G$7*(IF(G$5=$A$17-2,Supuestos!$B$57,0)+IF(G$5=$A$17-1,1-Supuestos!$B$57,0))</f>
        <v>0</v>
      </c>
      <c r="H28" s="16" t="n">
        <f aca="false">$B$17*H$7*(IF(H$5=$A$17-2,Supuestos!$B$57,0)+IF(H$5=$A$17-1,1-Supuestos!$B$57,0))</f>
        <v>52075.3455668899</v>
      </c>
    </row>
    <row r="29" customFormat="false" ht="15" hidden="false" customHeight="false" outlineLevel="0" collapsed="false">
      <c r="A29" s="34" t="s">
        <v>304</v>
      </c>
      <c r="C29" s="43" t="n">
        <f aca="false">SUM(C24:C28)</f>
        <v>0</v>
      </c>
      <c r="D29" s="43" t="n">
        <f aca="false">SUM(D24:D28)</f>
        <v>46268.2700519154</v>
      </c>
      <c r="E29" s="43" t="n">
        <f aca="false">SUM(E24:E28)</f>
        <v>95312.6363069457</v>
      </c>
      <c r="F29" s="43" t="n">
        <f aca="false">SUM(F24:F28)</f>
        <v>98172.0153961541</v>
      </c>
      <c r="G29" s="43" t="n">
        <f aca="false">SUM(G24:G28)</f>
        <v>101117.175858039</v>
      </c>
      <c r="H29" s="43" t="n">
        <f aca="false">SUM(H24:H28)</f>
        <v>104150.69113378</v>
      </c>
    </row>
    <row r="31" customFormat="false" ht="15" hidden="false" customHeight="false" outlineLevel="0" collapsed="false">
      <c r="A31" s="4" t="s">
        <v>305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A32" s="42" t="n">
        <v>2029</v>
      </c>
      <c r="C32" s="16" t="n">
        <f aca="false">$B$13*C$8/1000000*$B$45*IF(C$5&lt;$A$13,0,IF(C$5=$A$13,Supuestos!$B$67,IF(C$5=$A$13+1,Supuestos!$B$68,Supuestos!$B$69)))</f>
        <v>0</v>
      </c>
      <c r="D32" s="16" t="n">
        <f aca="false">$B$13*D$8/1000000*$B$45*IF(D$5&lt;$A$13,0,IF(D$5=$A$13,Supuestos!$B$67,IF(D$5=$A$13+1,Supuestos!$B$68,Supuestos!$B$69)))</f>
        <v>0</v>
      </c>
      <c r="E32" s="16" t="n">
        <f aca="false">$B$13*E$8/1000000*$B$45*IF(E$5&lt;$A$13,0,IF(E$5=$A$13,Supuestos!$B$67,IF(E$5=$A$13+1,Supuestos!$B$68,Supuestos!$B$69)))</f>
        <v>0</v>
      </c>
      <c r="F32" s="16" t="n">
        <f aca="false">$B$13*F$8/1000000*$B$45*IF(F$5&lt;$A$13,0,IF(F$5=$A$13,Supuestos!$B$67,IF(F$5=$A$13+1,Supuestos!$B$68,Supuestos!$B$69)))</f>
        <v>3146.25107079443</v>
      </c>
      <c r="G32" s="16" t="n">
        <f aca="false">$B$13*G$8/1000000*$B$45*IF(G$5&lt;$A$13,0,IF(G$5=$A$13,Supuestos!$B$67,IF(G$5=$A$13+1,Supuestos!$B$68,Supuestos!$B$69)))</f>
        <v>8413.1191548132</v>
      </c>
      <c r="H32" s="16" t="n">
        <f aca="false">$B$13*H$8/1000000*$B$45*IF(H$5&lt;$A$13,0,IF(H$5=$A$13,Supuestos!$B$67,IF(H$5=$A$13+1,Supuestos!$B$68,Supuestos!$B$69)))</f>
        <v>9695.76708490352</v>
      </c>
    </row>
    <row r="33" customFormat="false" ht="15" hidden="false" customHeight="false" outlineLevel="0" collapsed="false">
      <c r="A33" s="42" t="n">
        <v>2030</v>
      </c>
      <c r="C33" s="16" t="n">
        <f aca="false">$B$14*C$8/1000000*$B$45*IF(C$5&lt;$A$14,0,IF(C$5=$A$14,Supuestos!$B$67,IF(C$5=$A$14+1,Supuestos!$B$68,Supuestos!$B$69)))</f>
        <v>0</v>
      </c>
      <c r="D33" s="16" t="n">
        <f aca="false">$B$14*D$8/1000000*$B$45*IF(D$5&lt;$A$14,0,IF(D$5=$A$14,Supuestos!$B$67,IF(D$5=$A$14+1,Supuestos!$B$68,Supuestos!$B$69)))</f>
        <v>0</v>
      </c>
      <c r="E33" s="16" t="n">
        <f aca="false">$B$14*E$8/1000000*$B$45*IF(E$5&lt;$A$14,0,IF(E$5=$A$14,Supuestos!$B$67,IF(E$5=$A$14+1,Supuestos!$B$68,Supuestos!$B$69)))</f>
        <v>0</v>
      </c>
      <c r="F33" s="16" t="n">
        <f aca="false">$B$14*F$8/1000000*$B$45*IF(F$5&lt;$A$14,0,IF(F$5=$A$14,Supuestos!$B$67,IF(F$5=$A$14+1,Supuestos!$B$68,Supuestos!$B$69)))</f>
        <v>0</v>
      </c>
      <c r="G33" s="16" t="n">
        <f aca="false">$B$14*G$8/1000000*$B$45*IF(G$5&lt;$A$14,0,IF(G$5=$A$14,Supuestos!$B$67,IF(G$5=$A$14+1,Supuestos!$B$68,Supuestos!$B$69)))</f>
        <v>3271.76856020513</v>
      </c>
      <c r="H33" s="16" t="n">
        <f aca="false">$B$14*H$8/1000000*$B$45*IF(H$5&lt;$A$14,0,IF(H$5=$A$14,Supuestos!$B$67,IF(H$5=$A$14+1,Supuestos!$B$68,Supuestos!$B$69)))</f>
        <v>8726.19037641316</v>
      </c>
    </row>
    <row r="34" customFormat="false" ht="15" hidden="false" customHeight="false" outlineLevel="0" collapsed="false">
      <c r="A34" s="42" t="n">
        <v>2031</v>
      </c>
      <c r="C34" s="16" t="n">
        <f aca="false">$B$15*C$8/1000000*$B$45*IF(C$5&lt;$A$15,0,IF(C$5=$A$15,Supuestos!$B$67,IF(C$5=$A$15+1,Supuestos!$B$68,Supuestos!$B$69)))</f>
        <v>0</v>
      </c>
      <c r="D34" s="16" t="n">
        <f aca="false">$B$15*D$8/1000000*$B$45*IF(D$5&lt;$A$15,0,IF(D$5=$A$15,Supuestos!$B$67,IF(D$5=$A$15+1,Supuestos!$B$68,Supuestos!$B$69)))</f>
        <v>0</v>
      </c>
      <c r="E34" s="16" t="n">
        <f aca="false">$B$15*E$8/1000000*$B$45*IF(E$5&lt;$A$15,0,IF(E$5=$A$15,Supuestos!$B$67,IF(E$5=$A$15+1,Supuestos!$B$68,Supuestos!$B$69)))</f>
        <v>0</v>
      </c>
      <c r="F34" s="16" t="n">
        <f aca="false">$B$15*F$8/1000000*$B$45*IF(F$5&lt;$A$15,0,IF(F$5=$A$15,Supuestos!$B$67,IF(F$5=$A$15+1,Supuestos!$B$68,Supuestos!$B$69)))</f>
        <v>0</v>
      </c>
      <c r="G34" s="16" t="n">
        <f aca="false">$B$15*G$8/1000000*$B$45*IF(G$5&lt;$A$15,0,IF(G$5=$A$15,Supuestos!$B$67,IF(G$5=$A$15+1,Supuestos!$B$68,Supuestos!$B$69)))</f>
        <v>0</v>
      </c>
      <c r="H34" s="16" t="n">
        <f aca="false">$B$15*H$8/1000000*$B$45*IF(H$5&lt;$A$15,0,IF(H$5=$A$15,Supuestos!$B$67,IF(H$5=$A$15+1,Supuestos!$B$68,Supuestos!$B$69)))</f>
        <v>3393.51847971623</v>
      </c>
    </row>
    <row r="35" customFormat="false" ht="15" hidden="false" customHeight="false" outlineLevel="0" collapsed="false">
      <c r="A35" s="42" t="n">
        <v>2032</v>
      </c>
      <c r="C35" s="16" t="n">
        <f aca="false">$B$16*C$8/1000000*$B$45*IF(C$5&lt;$A$16,0,IF(C$5=$A$16,Supuestos!$B$67,IF(C$5=$A$16+1,Supuestos!$B$68,Supuestos!$B$69)))</f>
        <v>0</v>
      </c>
      <c r="D35" s="16" t="n">
        <f aca="false">$B$16*D$8/1000000*$B$45*IF(D$5&lt;$A$16,0,IF(D$5=$A$16,Supuestos!$B$67,IF(D$5=$A$16+1,Supuestos!$B$68,Supuestos!$B$69)))</f>
        <v>0</v>
      </c>
      <c r="E35" s="16" t="n">
        <f aca="false">$B$16*E$8/1000000*$B$45*IF(E$5&lt;$A$16,0,IF(E$5=$A$16,Supuestos!$B$67,IF(E$5=$A$16+1,Supuestos!$B$68,Supuestos!$B$69)))</f>
        <v>0</v>
      </c>
      <c r="F35" s="16" t="n">
        <f aca="false">$B$16*F$8/1000000*$B$45*IF(F$5&lt;$A$16,0,IF(F$5=$A$16,Supuestos!$B$67,IF(F$5=$A$16+1,Supuestos!$B$68,Supuestos!$B$69)))</f>
        <v>0</v>
      </c>
      <c r="G35" s="16" t="n">
        <f aca="false">$B$16*G$8/1000000*$B$45*IF(G$5&lt;$A$16,0,IF(G$5=$A$16,Supuestos!$B$67,IF(G$5=$A$16+1,Supuestos!$B$68,Supuestos!$B$69)))</f>
        <v>0</v>
      </c>
      <c r="H35" s="16" t="n">
        <f aca="false">$B$16*H$8/1000000*$B$45*IF(H$5&lt;$A$16,0,IF(H$5=$A$16,Supuestos!$B$67,IF(H$5=$A$16+1,Supuestos!$B$68,Supuestos!$B$69)))</f>
        <v>0</v>
      </c>
    </row>
    <row r="36" customFormat="false" ht="15" hidden="false" customHeight="false" outlineLevel="0" collapsed="false">
      <c r="A36" s="42" t="n">
        <v>2033</v>
      </c>
      <c r="C36" s="16" t="n">
        <f aca="false">$B$17*C$8/1000000*$B$45*IF(C$5&lt;$A$17,0,IF(C$5=$A$17,Supuestos!$B$67,IF(C$5=$A$17+1,Supuestos!$B$68,Supuestos!$B$69)))</f>
        <v>0</v>
      </c>
      <c r="D36" s="16" t="n">
        <f aca="false">$B$17*D$8/1000000*$B$45*IF(D$5&lt;$A$17,0,IF(D$5=$A$17,Supuestos!$B$67,IF(D$5=$A$17+1,Supuestos!$B$68,Supuestos!$B$69)))</f>
        <v>0</v>
      </c>
      <c r="E36" s="16" t="n">
        <f aca="false">$B$17*E$8/1000000*$B$45*IF(E$5&lt;$A$17,0,IF(E$5=$A$17,Supuestos!$B$67,IF(E$5=$A$17+1,Supuestos!$B$68,Supuestos!$B$69)))</f>
        <v>0</v>
      </c>
      <c r="F36" s="16" t="n">
        <f aca="false">$B$17*F$8/1000000*$B$45*IF(F$5&lt;$A$17,0,IF(F$5=$A$17,Supuestos!$B$67,IF(F$5=$A$17+1,Supuestos!$B$68,Supuestos!$B$69)))</f>
        <v>0</v>
      </c>
      <c r="G36" s="16" t="n">
        <f aca="false">$B$17*G$8/1000000*$B$45*IF(G$5&lt;$A$17,0,IF(G$5=$A$17,Supuestos!$B$67,IF(G$5=$A$17+1,Supuestos!$B$68,Supuestos!$B$69)))</f>
        <v>0</v>
      </c>
      <c r="H36" s="16" t="n">
        <f aca="false">$B$17*H$8/1000000*$B$45*IF(H$5&lt;$A$17,0,IF(H$5=$A$17,Supuestos!$B$67,IF(H$5=$A$17+1,Supuestos!$B$68,Supuestos!$B$69)))</f>
        <v>0</v>
      </c>
    </row>
    <row r="37" customFormat="false" ht="15" hidden="false" customHeight="false" outlineLevel="0" collapsed="false">
      <c r="A37" s="34" t="s">
        <v>304</v>
      </c>
      <c r="C37" s="43" t="n">
        <f aca="false">SUM(C32:C36)</f>
        <v>0</v>
      </c>
      <c r="D37" s="43" t="n">
        <f aca="false">SUM(D32:D36)</f>
        <v>0</v>
      </c>
      <c r="E37" s="43" t="n">
        <f aca="false">SUM(E32:E36)</f>
        <v>0</v>
      </c>
      <c r="F37" s="43" t="n">
        <f aca="false">SUM(F32:F36)</f>
        <v>3146.25107079443</v>
      </c>
      <c r="G37" s="43" t="n">
        <f aca="false">SUM(G32:G36)</f>
        <v>11684.8877150183</v>
      </c>
      <c r="H37" s="43" t="n">
        <f aca="false">SUM(H32:H36)</f>
        <v>21815.4759410329</v>
      </c>
    </row>
    <row r="39" customFormat="false" ht="15" hidden="false" customHeight="false" outlineLevel="0" collapsed="false">
      <c r="A39" s="34" t="s">
        <v>306</v>
      </c>
      <c r="C39" s="16" t="n">
        <f aca="false">C37*C9</f>
        <v>0</v>
      </c>
      <c r="D39" s="16" t="n">
        <f aca="false">D37*D9</f>
        <v>0</v>
      </c>
      <c r="E39" s="16" t="n">
        <f aca="false">E37*E9</f>
        <v>0</v>
      </c>
      <c r="F39" s="16" t="n">
        <f aca="false">F37*F9</f>
        <v>2545.38578949736</v>
      </c>
      <c r="G39" s="16" t="n">
        <f aca="false">G37*G9</f>
        <v>9453.32920750343</v>
      </c>
      <c r="H39" s="16" t="n">
        <f aca="false">H37*H9</f>
        <v>17649.1962027066</v>
      </c>
    </row>
    <row r="41" customFormat="false" ht="15" hidden="false" customHeight="false" outlineLevel="0" collapsed="false">
      <c r="A41" s="4" t="s">
        <v>307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6" t="s">
        <v>308</v>
      </c>
      <c r="B42" s="25" t="n">
        <f aca="false">C8*C9/1000000/C7</f>
        <v>0.0690189707474264</v>
      </c>
      <c r="J42" s="2" t="s">
        <v>309</v>
      </c>
    </row>
    <row r="43" customFormat="false" ht="15" hidden="false" customHeight="false" outlineLevel="0" collapsed="false">
      <c r="A43" s="6" t="s">
        <v>310</v>
      </c>
      <c r="B43" s="39" t="n">
        <f aca="false">IF(ISNUMBER(Supuestos!$B$70),Supuestos!$B$70,B42)</f>
        <v>0.0690189707474264</v>
      </c>
    </row>
    <row r="44" customFormat="false" ht="15" hidden="false" customHeight="false" outlineLevel="0" collapsed="false">
      <c r="A44" s="6" t="s">
        <v>311</v>
      </c>
      <c r="B44" s="37" t="n">
        <f aca="false">B43*(1-Supuestos!$B$48)</f>
        <v>0.0503838486456213</v>
      </c>
      <c r="J44" s="2" t="s">
        <v>312</v>
      </c>
    </row>
    <row r="45" customFormat="false" ht="15" hidden="false" customHeight="false" outlineLevel="0" collapsed="false">
      <c r="A45" s="6" t="s">
        <v>313</v>
      </c>
      <c r="B45" s="32" t="n">
        <f aca="false">B43/B42</f>
        <v>1</v>
      </c>
      <c r="J45" s="2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3"/>
    <col collapsed="false" customWidth="true" hidden="false" outlineLevel="0" max="6" min="6" style="0" width="70"/>
    <col collapsed="false" customWidth="true" hidden="false" outlineLevel="0" max="10" min="7" style="0" width="13"/>
  </cols>
  <sheetData>
    <row r="1" customFormat="false" ht="16.15" hidden="false" customHeight="false" outlineLevel="0" collapsed="false">
      <c r="A1" s="1" t="s">
        <v>315</v>
      </c>
    </row>
    <row r="3" customFormat="false" ht="15" hidden="false" customHeight="false" outlineLevel="0" collapsed="false">
      <c r="A3" s="4" t="s">
        <v>316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34"/>
      <c r="B4" s="34" t="s">
        <v>317</v>
      </c>
      <c r="C4" s="34" t="s">
        <v>318</v>
      </c>
      <c r="D4" s="34" t="s">
        <v>319</v>
      </c>
      <c r="E4" s="34" t="s">
        <v>320</v>
      </c>
      <c r="F4" s="34" t="s">
        <v>321</v>
      </c>
    </row>
    <row r="5" customFormat="false" ht="15" hidden="false" customHeight="false" outlineLevel="0" collapsed="false">
      <c r="A5" s="6" t="s">
        <v>322</v>
      </c>
      <c r="B5" s="8" t="n">
        <v>109044.234</v>
      </c>
      <c r="C5" s="8" t="n">
        <v>111058.299</v>
      </c>
      <c r="D5" s="8" t="n">
        <v>122369.806</v>
      </c>
      <c r="E5" s="8" t="n">
        <v>96333.76</v>
      </c>
      <c r="F5" s="2" t="s">
        <v>323</v>
      </c>
    </row>
    <row r="6" customFormat="false" ht="15" hidden="false" customHeight="false" outlineLevel="0" collapsed="false">
      <c r="A6" s="6" t="s">
        <v>324</v>
      </c>
      <c r="B6" s="8" t="n">
        <v>45909.292</v>
      </c>
      <c r="C6" s="8" t="n">
        <v>19565.384</v>
      </c>
      <c r="D6" s="8" t="n">
        <v>13695.594</v>
      </c>
      <c r="E6" s="8" t="n">
        <v>9043.354</v>
      </c>
      <c r="F6" s="2" t="s">
        <v>325</v>
      </c>
    </row>
    <row r="7" customFormat="false" ht="15" hidden="false" customHeight="false" outlineLevel="0" collapsed="false">
      <c r="A7" s="6" t="s">
        <v>326</v>
      </c>
      <c r="B7" s="8" t="n">
        <v>115756.871</v>
      </c>
      <c r="C7" s="8" t="n">
        <v>95843.191</v>
      </c>
      <c r="D7" s="8" t="n">
        <v>122277.679</v>
      </c>
      <c r="E7" s="8" t="n">
        <v>169311.262</v>
      </c>
      <c r="F7" s="2" t="s">
        <v>327</v>
      </c>
    </row>
    <row r="8" customFormat="false" ht="15" hidden="false" customHeight="false" outlineLevel="0" collapsed="false">
      <c r="A8" s="6" t="s">
        <v>328</v>
      </c>
      <c r="B8" s="8" t="n">
        <f aca="false">0.3*197540</f>
        <v>59262</v>
      </c>
      <c r="C8" s="8" t="n">
        <f aca="false">0.3*238305</f>
        <v>71491.5</v>
      </c>
      <c r="D8" s="8" t="n">
        <f aca="false">0.3*369312</f>
        <v>110793.6</v>
      </c>
      <c r="F8" s="2" t="s">
        <v>329</v>
      </c>
    </row>
    <row r="9" customFormat="false" ht="15" hidden="false" customHeight="false" outlineLevel="0" collapsed="false">
      <c r="A9" s="6" t="s">
        <v>330</v>
      </c>
      <c r="B9" s="16" t="n">
        <f aca="false">B7-B8</f>
        <v>56494.871</v>
      </c>
      <c r="C9" s="16" t="n">
        <f aca="false">C7-C8</f>
        <v>24351.691</v>
      </c>
      <c r="D9" s="16" t="n">
        <f aca="false">D7-D8</f>
        <v>11484.079</v>
      </c>
    </row>
    <row r="10" customFormat="false" ht="15" hidden="false" customHeight="false" outlineLevel="0" collapsed="false">
      <c r="A10" s="6" t="s">
        <v>331</v>
      </c>
      <c r="B10" s="8" t="n">
        <v>34486.698</v>
      </c>
      <c r="C10" s="8" t="n">
        <v>2641.613</v>
      </c>
      <c r="D10" s="8" t="n">
        <v>2296.174</v>
      </c>
      <c r="E10" s="8" t="n">
        <v>2306.468</v>
      </c>
    </row>
    <row r="11" customFormat="false" ht="15" hidden="false" customHeight="false" outlineLevel="0" collapsed="false">
      <c r="A11" s="6" t="s">
        <v>332</v>
      </c>
      <c r="B11" s="8" t="n">
        <v>10367.061</v>
      </c>
      <c r="C11" s="8" t="n">
        <v>23176.757</v>
      </c>
      <c r="D11" s="8" t="n">
        <v>20246.646</v>
      </c>
      <c r="E11" s="8" t="n">
        <v>14591.09</v>
      </c>
      <c r="F11" s="2" t="s">
        <v>333</v>
      </c>
    </row>
    <row r="12" customFormat="false" ht="15" hidden="false" customHeight="false" outlineLevel="0" collapsed="false">
      <c r="A12" s="6" t="s">
        <v>334</v>
      </c>
      <c r="B12" s="8" t="n">
        <v>419904</v>
      </c>
      <c r="C12" s="8" t="n">
        <v>494605</v>
      </c>
      <c r="D12" s="8" t="n">
        <v>653911</v>
      </c>
      <c r="F12" s="2" t="s">
        <v>335</v>
      </c>
    </row>
    <row r="13" customFormat="false" ht="15" hidden="false" customHeight="false" outlineLevel="0" collapsed="false">
      <c r="A13" s="2" t="s">
        <v>336</v>
      </c>
    </row>
    <row r="14" customFormat="false" ht="15" hidden="false" customHeight="false" outlineLevel="0" collapsed="false">
      <c r="A14" s="4" t="s">
        <v>337</v>
      </c>
      <c r="B14" s="5"/>
      <c r="C14" s="5"/>
      <c r="D14" s="5"/>
      <c r="E14" s="5"/>
      <c r="F14" s="5"/>
    </row>
    <row r="15" customFormat="false" ht="15" hidden="false" customHeight="false" outlineLevel="0" collapsed="false">
      <c r="A15" s="34" t="s">
        <v>338</v>
      </c>
      <c r="B15" s="16" t="n">
        <f aca="false">B5+B6-B9-B10-B11</f>
        <v>53604.896</v>
      </c>
      <c r="C15" s="16" t="n">
        <f aca="false">C5+C6-C9-C10-C11</f>
        <v>80453.622</v>
      </c>
      <c r="D15" s="16" t="n">
        <f aca="false">D5+D6-D9-D10-D11</f>
        <v>102038.501</v>
      </c>
    </row>
    <row r="16" customFormat="false" ht="15" hidden="false" customHeight="false" outlineLevel="0" collapsed="false">
      <c r="A16" s="6" t="s">
        <v>339</v>
      </c>
      <c r="B16" s="23" t="n">
        <f aca="false">B15/B12</f>
        <v>0.127659884163999</v>
      </c>
      <c r="C16" s="23" t="n">
        <f aca="false">C15/C12</f>
        <v>0.162662370982906</v>
      </c>
      <c r="D16" s="23" t="n">
        <f aca="false">D15/D12</f>
        <v>0.156043408047884</v>
      </c>
    </row>
    <row r="17" customFormat="false" ht="15" hidden="false" customHeight="false" outlineLevel="0" collapsed="false">
      <c r="A17" s="6" t="s">
        <v>340</v>
      </c>
      <c r="D17" s="23" t="n">
        <f aca="false">(D15-B15)/(D12-B12)</f>
        <v>0.206975026388099</v>
      </c>
      <c r="F17" s="2" t="s">
        <v>341</v>
      </c>
    </row>
    <row r="18" customFormat="false" ht="15" hidden="false" customHeight="false" outlineLevel="0" collapsed="false">
      <c r="A18" s="34" t="s">
        <v>342</v>
      </c>
      <c r="D18" s="44" t="n">
        <f aca="false">D16</f>
        <v>0.156043408047884</v>
      </c>
      <c r="F18" s="2" t="s">
        <v>343</v>
      </c>
    </row>
    <row r="20" customFormat="false" ht="15" hidden="false" customHeight="false" outlineLevel="0" collapsed="false">
      <c r="A20" s="4" t="s">
        <v>344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6" t="s">
        <v>345</v>
      </c>
    </row>
    <row r="22" customFormat="false" ht="15" hidden="false" customHeight="false" outlineLevel="0" collapsed="false">
      <c r="A22" s="6" t="s">
        <v>346</v>
      </c>
    </row>
    <row r="23" customFormat="false" ht="15" hidden="false" customHeight="false" outlineLevel="0" collapsed="false">
      <c r="A23" s="6" t="s">
        <v>347</v>
      </c>
    </row>
    <row r="24" customFormat="false" ht="15" hidden="false" customHeight="false" outlineLevel="0" collapsed="false">
      <c r="A24" s="6" t="s">
        <v>348</v>
      </c>
    </row>
    <row r="25" customFormat="false" ht="15" hidden="false" customHeight="false" outlineLevel="0" collapsed="false">
      <c r="A25" s="6" t="s">
        <v>349</v>
      </c>
    </row>
    <row r="26" customFormat="false" ht="15" hidden="false" customHeight="false" outlineLevel="0" collapsed="false">
      <c r="A26" s="6" t="s">
        <v>350</v>
      </c>
    </row>
    <row r="29" customFormat="false" ht="15" hidden="false" customHeight="false" outlineLevel="0" collapsed="false">
      <c r="A29" s="4" t="s">
        <v>351</v>
      </c>
      <c r="B29" s="5"/>
      <c r="C29" s="5"/>
      <c r="D29" s="5"/>
      <c r="E29" s="5"/>
      <c r="F29" s="5"/>
    </row>
    <row r="30" customFormat="false" ht="15" hidden="false" customHeight="false" outlineLevel="0" collapsed="false">
      <c r="A30" s="34"/>
      <c r="B30" s="34" t="s">
        <v>352</v>
      </c>
      <c r="C30" s="34" t="s">
        <v>353</v>
      </c>
      <c r="D30" s="34" t="s">
        <v>354</v>
      </c>
    </row>
    <row r="31" customFormat="false" ht="15" hidden="false" customHeight="false" outlineLevel="0" collapsed="false">
      <c r="A31" s="6" t="s">
        <v>355</v>
      </c>
      <c r="B31" s="8" t="n">
        <v>380637</v>
      </c>
      <c r="C31" s="8" t="n">
        <v>526228</v>
      </c>
      <c r="D31" s="8" t="n">
        <v>270574</v>
      </c>
      <c r="F31" s="2" t="s">
        <v>356</v>
      </c>
    </row>
    <row r="32" customFormat="false" ht="15" hidden="false" customHeight="false" outlineLevel="0" collapsed="false">
      <c r="A32" s="6" t="s">
        <v>357</v>
      </c>
      <c r="B32" s="8" t="n">
        <v>300822</v>
      </c>
      <c r="C32" s="8" t="n">
        <v>441135</v>
      </c>
      <c r="D32" s="8" t="n">
        <v>258193</v>
      </c>
    </row>
    <row r="33" customFormat="false" ht="15" hidden="false" customHeight="false" outlineLevel="0" collapsed="false">
      <c r="A33" s="6" t="s">
        <v>358</v>
      </c>
      <c r="B33" s="16" t="n">
        <f aca="false">B31-B32</f>
        <v>79815</v>
      </c>
      <c r="C33" s="16" t="n">
        <f aca="false">C31-C32</f>
        <v>85093</v>
      </c>
      <c r="D33" s="16" t="n">
        <f aca="false">D31-D32</f>
        <v>12381</v>
      </c>
    </row>
    <row r="36" customFormat="false" ht="15" hidden="false" customHeight="false" outlineLevel="0" collapsed="false">
      <c r="A36" s="4" t="s">
        <v>359</v>
      </c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34"/>
      <c r="B37" s="41" t="s">
        <v>360</v>
      </c>
      <c r="C37" s="41" t="s">
        <v>361</v>
      </c>
      <c r="D37" s="41" t="s">
        <v>362</v>
      </c>
      <c r="E37" s="41" t="s">
        <v>363</v>
      </c>
      <c r="F37" s="41" t="s">
        <v>256</v>
      </c>
      <c r="G37" s="41" t="s">
        <v>257</v>
      </c>
      <c r="H37" s="41" t="s">
        <v>258</v>
      </c>
      <c r="I37" s="41" t="s">
        <v>259</v>
      </c>
      <c r="J37" s="41" t="s">
        <v>260</v>
      </c>
    </row>
    <row r="38" customFormat="false" ht="15" hidden="false" customHeight="false" outlineLevel="0" collapsed="false">
      <c r="A38" s="6" t="s">
        <v>364</v>
      </c>
      <c r="B38" s="16" t="n">
        <f aca="false">B12</f>
        <v>419904</v>
      </c>
      <c r="C38" s="16" t="n">
        <f aca="false">C12</f>
        <v>494605</v>
      </c>
      <c r="D38" s="16" t="n">
        <f aca="false">D12</f>
        <v>653911</v>
      </c>
      <c r="E38" s="9" t="n">
        <f aca="false">Forecast_Base!C5+DCF!C6</f>
        <v>703998.935029744</v>
      </c>
      <c r="F38" s="9" t="n">
        <f aca="false">DCF!D7</f>
        <v>767179.42311749</v>
      </c>
      <c r="G38" s="9" t="n">
        <f aca="false">DCF!E7</f>
        <v>820506.702514564</v>
      </c>
      <c r="H38" s="9" t="n">
        <f aca="false">DCF!F7</f>
        <v>870097.862414843</v>
      </c>
      <c r="I38" s="9" t="n">
        <f aca="false">DCF!G7</f>
        <v>915887.718294095</v>
      </c>
      <c r="J38" s="9" t="n">
        <f aca="false">DCF!H7</f>
        <v>961339.950648518</v>
      </c>
    </row>
    <row r="39" customFormat="false" ht="15" hidden="false" customHeight="false" outlineLevel="0" collapsed="false">
      <c r="A39" s="34" t="s">
        <v>338</v>
      </c>
      <c r="B39" s="16" t="n">
        <f aca="false">B15</f>
        <v>53604.896</v>
      </c>
      <c r="C39" s="16" t="n">
        <f aca="false">C15</f>
        <v>80453.622</v>
      </c>
      <c r="D39" s="16" t="n">
        <f aca="false">D15</f>
        <v>102038.501</v>
      </c>
      <c r="E39" s="9" t="n">
        <f aca="false">Supuestos!$B$74*E38</f>
        <v>109854.393084122</v>
      </c>
      <c r="F39" s="9" t="n">
        <f aca="false">Supuestos!$B$74*F38</f>
        <v>119713.291767463</v>
      </c>
      <c r="G39" s="9" t="n">
        <f aca="false">Supuestos!$B$74*G38</f>
        <v>128034.662186504</v>
      </c>
      <c r="H39" s="9" t="n">
        <f aca="false">Supuestos!$B$74*H38</f>
        <v>135773.035786391</v>
      </c>
      <c r="I39" s="9" t="n">
        <f aca="false">Supuestos!$B$74*I38</f>
        <v>142918.240951811</v>
      </c>
      <c r="J39" s="9" t="n">
        <f aca="false">Supuestos!$B$74*J38</f>
        <v>150010.762191779</v>
      </c>
    </row>
    <row r="40" customFormat="false" ht="15" hidden="false" customHeight="false" outlineLevel="0" collapsed="false">
      <c r="A40" s="6" t="s">
        <v>365</v>
      </c>
      <c r="B40" s="23" t="n">
        <f aca="false">B39/B38</f>
        <v>0.127659884163999</v>
      </c>
      <c r="C40" s="23" t="n">
        <f aca="false">C39/C38</f>
        <v>0.162662370982906</v>
      </c>
      <c r="D40" s="23" t="n">
        <f aca="false">D39/D38</f>
        <v>0.156043408047884</v>
      </c>
      <c r="E40" s="23" t="n">
        <f aca="false">E39/E38</f>
        <v>0.156043408047884</v>
      </c>
      <c r="F40" s="23" t="n">
        <f aca="false">F39/F38</f>
        <v>0.156043408047884</v>
      </c>
      <c r="G40" s="23" t="n">
        <f aca="false">G39/G38</f>
        <v>0.156043408047884</v>
      </c>
      <c r="H40" s="23" t="n">
        <f aca="false">H39/H38</f>
        <v>0.156043408047884</v>
      </c>
      <c r="I40" s="23" t="n">
        <f aca="false">I39/I38</f>
        <v>0.156043408047884</v>
      </c>
      <c r="J40" s="23" t="n">
        <f aca="false">J39/J38</f>
        <v>0.156043408047884</v>
      </c>
    </row>
    <row r="41" customFormat="false" ht="15" hidden="false" customHeight="false" outlineLevel="0" collapsed="false">
      <c r="A41" s="34" t="s">
        <v>366</v>
      </c>
      <c r="C41" s="16" t="n">
        <f aca="false">C39-B39</f>
        <v>26848.726</v>
      </c>
      <c r="D41" s="16" t="n">
        <f aca="false">D39-C39</f>
        <v>21584.879</v>
      </c>
      <c r="E41" s="16" t="n">
        <f aca="false">E39-D39</f>
        <v>7815.89208412224</v>
      </c>
      <c r="F41" s="16" t="n">
        <f aca="false">F39-E39</f>
        <v>9858.89868334062</v>
      </c>
      <c r="G41" s="16" t="n">
        <f aca="false">G39-F39</f>
        <v>8321.37041904111</v>
      </c>
      <c r="H41" s="16" t="n">
        <f aca="false">H39-G39</f>
        <v>7738.37359988721</v>
      </c>
      <c r="I41" s="16" t="n">
        <f aca="false">I39-H39</f>
        <v>7145.20516541993</v>
      </c>
      <c r="J41" s="16" t="n">
        <f aca="false">J39-I39</f>
        <v>7092.52123996834</v>
      </c>
    </row>
    <row r="42" customFormat="false" ht="15" hidden="false" customHeight="false" outlineLevel="0" collapsed="false">
      <c r="A42" s="6" t="s">
        <v>367</v>
      </c>
      <c r="C42" s="16" t="n">
        <f aca="false">C38-B38</f>
        <v>74701</v>
      </c>
      <c r="D42" s="16" t="n">
        <f aca="false">D38-C38</f>
        <v>159306</v>
      </c>
      <c r="E42" s="16" t="n">
        <f aca="false">E38-D38</f>
        <v>50087.9350297439</v>
      </c>
      <c r="F42" s="16" t="n">
        <f aca="false">F38-E38</f>
        <v>63180.488087746</v>
      </c>
      <c r="G42" s="16" t="n">
        <f aca="false">G38-F38</f>
        <v>53327.2793970738</v>
      </c>
      <c r="H42" s="16" t="n">
        <f aca="false">H38-G38</f>
        <v>49591.1599002797</v>
      </c>
      <c r="I42" s="16" t="n">
        <f aca="false">I38-H38</f>
        <v>45789.855879252</v>
      </c>
      <c r="J42" s="16" t="n">
        <f aca="false">J38-I38</f>
        <v>45452.2323544221</v>
      </c>
    </row>
    <row r="43" customFormat="false" ht="15" hidden="false" customHeight="false" outlineLevel="0" collapsed="false">
      <c r="A43" s="6" t="s">
        <v>368</v>
      </c>
      <c r="C43" s="23" t="n">
        <f aca="false">C41/C42</f>
        <v>0.359415884660178</v>
      </c>
      <c r="D43" s="23" t="n">
        <f aca="false">D41/D42</f>
        <v>0.135493195485418</v>
      </c>
      <c r="E43" s="23" t="n">
        <f aca="false">E41/E42</f>
        <v>0.156043408047884</v>
      </c>
      <c r="F43" s="23" t="n">
        <f aca="false">F41/F42</f>
        <v>0.156043408047884</v>
      </c>
      <c r="G43" s="23" t="n">
        <f aca="false">G41/G42</f>
        <v>0.156043408047884</v>
      </c>
      <c r="H43" s="23" t="n">
        <f aca="false">H41/H42</f>
        <v>0.156043408047884</v>
      </c>
      <c r="I43" s="23" t="n">
        <f aca="false">I41/I42</f>
        <v>0.156043408047884</v>
      </c>
      <c r="J43" s="23" t="n">
        <f aca="false">J41/J42</f>
        <v>0.156043408047884</v>
      </c>
    </row>
    <row r="44" customFormat="false" ht="15" hidden="false" customHeight="false" outlineLevel="0" collapsed="false">
      <c r="A44" s="6" t="s">
        <v>369</v>
      </c>
      <c r="E44" s="9" t="n">
        <f aca="false">-DCF!C21</f>
        <v>3907.94604206112</v>
      </c>
      <c r="F44" s="9" t="n">
        <f aca="false">-DCF!D21</f>
        <v>9858.89868334063</v>
      </c>
      <c r="G44" s="9" t="n">
        <f aca="false">-DCF!E21</f>
        <v>8321.37041904111</v>
      </c>
      <c r="H44" s="9" t="n">
        <f aca="false">-DCF!F21</f>
        <v>7738.37359988722</v>
      </c>
      <c r="I44" s="9" t="n">
        <f aca="false">-DCF!G21</f>
        <v>7145.20516541992</v>
      </c>
      <c r="J44" s="9" t="n">
        <f aca="false">-DCF!H21</f>
        <v>7092.52123996833</v>
      </c>
    </row>
    <row r="45" customFormat="false" ht="15" hidden="false" customHeight="false" outlineLevel="0" collapsed="false">
      <c r="A45" s="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8" min="3" style="0" width="12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16.1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15" hidden="false" customHeight="false" outlineLevel="0" collapsed="false">
      <c r="A4" s="34" t="s">
        <v>22</v>
      </c>
      <c r="C4" s="41" t="s">
        <v>255</v>
      </c>
      <c r="D4" s="41" t="s">
        <v>256</v>
      </c>
      <c r="E4" s="41" t="s">
        <v>257</v>
      </c>
      <c r="F4" s="41" t="s">
        <v>258</v>
      </c>
      <c r="G4" s="41" t="s">
        <v>259</v>
      </c>
      <c r="H4" s="41" t="s">
        <v>260</v>
      </c>
      <c r="I4" s="34" t="s">
        <v>373</v>
      </c>
    </row>
    <row r="5" customFormat="false" ht="15" hidden="false" customHeight="false" outlineLevel="0" collapsed="false">
      <c r="A5" s="6" t="s">
        <v>374</v>
      </c>
      <c r="C5" s="9" t="n">
        <f aca="false">Forecast_Base!C6</f>
        <v>364468.935029744</v>
      </c>
      <c r="D5" s="9" t="n">
        <f aca="false">Forecast_Base!D6</f>
        <v>767179.42311749</v>
      </c>
      <c r="E5" s="9" t="n">
        <f aca="false">Forecast_Base!E6</f>
        <v>820506.702514564</v>
      </c>
      <c r="F5" s="9" t="n">
        <f aca="false">Forecast_Base!F6</f>
        <v>866951.611344049</v>
      </c>
      <c r="G5" s="9" t="n">
        <f aca="false">Forecast_Base!G6</f>
        <v>904202.830579077</v>
      </c>
      <c r="H5" s="9" t="n">
        <f aca="false">Forecast_Base!H6</f>
        <v>939524.474707485</v>
      </c>
    </row>
    <row r="6" customFormat="false" ht="15" hidden="false" customHeight="false" outlineLevel="0" collapsed="false">
      <c r="A6" s="6" t="s">
        <v>375</v>
      </c>
      <c r="C6" s="9" t="n">
        <f aca="false">Expansion!C37</f>
        <v>0</v>
      </c>
      <c r="D6" s="9" t="n">
        <f aca="false">Expansion!D37</f>
        <v>0</v>
      </c>
      <c r="E6" s="9" t="n">
        <f aca="false">Expansion!E37</f>
        <v>0</v>
      </c>
      <c r="F6" s="9" t="n">
        <f aca="false">Expansion!F37</f>
        <v>3146.25107079443</v>
      </c>
      <c r="G6" s="9" t="n">
        <f aca="false">Expansion!G37</f>
        <v>11684.8877150183</v>
      </c>
      <c r="H6" s="9" t="n">
        <f aca="false">Expansion!H37</f>
        <v>21815.4759410329</v>
      </c>
    </row>
    <row r="7" customFormat="false" ht="15" hidden="false" customHeight="false" outlineLevel="0" collapsed="false">
      <c r="A7" s="34" t="s">
        <v>376</v>
      </c>
      <c r="C7" s="16" t="n">
        <f aca="false">C5+C6</f>
        <v>364468.935029744</v>
      </c>
      <c r="D7" s="16" t="n">
        <f aca="false">D5+D6</f>
        <v>767179.42311749</v>
      </c>
      <c r="E7" s="16" t="n">
        <f aca="false">E5+E6</f>
        <v>820506.702514564</v>
      </c>
      <c r="F7" s="16" t="n">
        <f aca="false">F5+F6</f>
        <v>870097.862414843</v>
      </c>
      <c r="G7" s="16" t="n">
        <f aca="false">G5+G6</f>
        <v>915887.718294095</v>
      </c>
      <c r="H7" s="16" t="n">
        <f aca="false">H5+H6</f>
        <v>961339.950648518</v>
      </c>
      <c r="I7" s="16" t="n">
        <f aca="false">I29*(1+Supuestos!$B$77)</f>
        <v>1007656.76933851</v>
      </c>
    </row>
    <row r="8" customFormat="false" ht="15" hidden="false" customHeight="false" outlineLevel="0" collapsed="false">
      <c r="A8" s="6" t="s">
        <v>377</v>
      </c>
      <c r="C8" s="36" t="n">
        <f aca="false">(Forecast_Base!C5+C6)/Supuestos!$B$45-1</f>
        <v>0.0765974804365486</v>
      </c>
      <c r="D8" s="36" t="n">
        <f aca="false">D7/(Forecast_Base!C5+C6)-1</f>
        <v>0.0897451472495148</v>
      </c>
      <c r="E8" s="23" t="n">
        <f aca="false">E7/D7-1</f>
        <v>0.0695108312216906</v>
      </c>
      <c r="F8" s="23" t="n">
        <f aca="false">F7/E7-1</f>
        <v>0.0604396767854549</v>
      </c>
      <c r="G8" s="23" t="n">
        <f aca="false">G7/F7-1</f>
        <v>0.0526260985771971</v>
      </c>
      <c r="H8" s="23" t="n">
        <f aca="false">H7/G7-1</f>
        <v>0.0496264241200657</v>
      </c>
    </row>
    <row r="9" customFormat="false" ht="15" hidden="false" customHeight="false" outlineLevel="0" collapsed="false">
      <c r="A9" s="6" t="s">
        <v>378</v>
      </c>
      <c r="C9" s="9" t="n">
        <f aca="false">Forecast_Base!C8</f>
        <v>290741.405027495</v>
      </c>
      <c r="D9" s="9" t="n">
        <f aca="false">Forecast_Base!D8</f>
        <v>611360.360246719</v>
      </c>
      <c r="E9" s="9" t="n">
        <f aca="false">Forecast_Base!E8</f>
        <v>654236.225583637</v>
      </c>
      <c r="F9" s="9" t="n">
        <f aca="false">Forecast_Base!F8</f>
        <v>691459.842668882</v>
      </c>
      <c r="G9" s="9" t="n">
        <f aca="false">Forecast_Base!G8</f>
        <v>721124.371895624</v>
      </c>
      <c r="H9" s="9" t="n">
        <f aca="false">Forecast_Base!H8</f>
        <v>749208.579202132</v>
      </c>
    </row>
    <row r="10" customFormat="false" ht="15" hidden="false" customHeight="false" outlineLevel="0" collapsed="false">
      <c r="A10" s="6" t="s">
        <v>379</v>
      </c>
      <c r="C10" s="9" t="n">
        <f aca="false">Expansion!C39</f>
        <v>0</v>
      </c>
      <c r="D10" s="9" t="n">
        <f aca="false">Expansion!D39</f>
        <v>0</v>
      </c>
      <c r="E10" s="9" t="n">
        <f aca="false">Expansion!E39</f>
        <v>0</v>
      </c>
      <c r="F10" s="9" t="n">
        <f aca="false">Expansion!F39</f>
        <v>2545.38578949736</v>
      </c>
      <c r="G10" s="9" t="n">
        <f aca="false">Expansion!G39</f>
        <v>9453.32920750343</v>
      </c>
      <c r="H10" s="9" t="n">
        <f aca="false">Expansion!H39</f>
        <v>17649.1962027066</v>
      </c>
    </row>
    <row r="11" customFormat="false" ht="15" hidden="false" customHeight="false" outlineLevel="0" collapsed="false">
      <c r="A11" s="34" t="s">
        <v>380</v>
      </c>
      <c r="C11" s="16" t="n">
        <f aca="false">C9+C10</f>
        <v>290741.405027495</v>
      </c>
      <c r="D11" s="16" t="n">
        <f aca="false">D9+D10</f>
        <v>611360.360246719</v>
      </c>
      <c r="E11" s="16" t="n">
        <f aca="false">E9+E10</f>
        <v>654236.225583637</v>
      </c>
      <c r="F11" s="16" t="n">
        <f aca="false">F9+F10</f>
        <v>694005.22845838</v>
      </c>
      <c r="G11" s="16" t="n">
        <f aca="false">G9+G10</f>
        <v>730577.701103127</v>
      </c>
      <c r="H11" s="16" t="n">
        <f aca="false">H9+H10</f>
        <v>766857.775404839</v>
      </c>
      <c r="I11" s="16" t="n">
        <f aca="false">I30*(1+Supuestos!$B$77)</f>
        <v>804002.475847153</v>
      </c>
    </row>
    <row r="12" customFormat="false" ht="15" hidden="false" customHeight="false" outlineLevel="0" collapsed="false">
      <c r="A12" s="6" t="s">
        <v>270</v>
      </c>
      <c r="C12" s="23" t="n">
        <f aca="false">C11/C7</f>
        <v>0.797712444282167</v>
      </c>
      <c r="D12" s="23" t="n">
        <f aca="false">D11/D7</f>
        <v>0.796893584244493</v>
      </c>
      <c r="E12" s="23" t="n">
        <f aca="false">E11/E7</f>
        <v>0.797356345266448</v>
      </c>
      <c r="F12" s="23" t="n">
        <f aca="false">F11/F7</f>
        <v>0.797617438723799</v>
      </c>
      <c r="G12" s="23" t="n">
        <f aca="false">G11/G7</f>
        <v>0.797671686725835</v>
      </c>
      <c r="H12" s="23" t="n">
        <f aca="false">H11/H7</f>
        <v>0.797696771976988</v>
      </c>
      <c r="I12" s="23" t="n">
        <f aca="false">I11/I7</f>
        <v>0.797893191721373</v>
      </c>
    </row>
    <row r="13" customFormat="false" ht="15" hidden="false" customHeight="false" outlineLevel="0" collapsed="false">
      <c r="A13" s="6" t="s">
        <v>381</v>
      </c>
      <c r="C13" s="9" t="n">
        <f aca="false">Supuestos!$B$46*C7</f>
        <v>2564.55679016342</v>
      </c>
      <c r="D13" s="9" t="n">
        <f aca="false">Supuestos!$B$46*D7</f>
        <v>5398.19723913933</v>
      </c>
      <c r="E13" s="9" t="n">
        <f aca="false">Supuestos!$B$46*E7</f>
        <v>5773.43041633054</v>
      </c>
      <c r="F13" s="9" t="n">
        <f aca="false">Supuestos!$B$46*F7</f>
        <v>6122.37468463687</v>
      </c>
      <c r="G13" s="9" t="n">
        <f aca="false">Supuestos!$B$46*G7</f>
        <v>6444.5713783171</v>
      </c>
      <c r="H13" s="9" t="n">
        <f aca="false">Supuestos!$B$46*H7</f>
        <v>6764.3924108095</v>
      </c>
      <c r="I13" s="9" t="n">
        <f aca="false">Supuestos!$B$46*I7</f>
        <v>7090.29703656451</v>
      </c>
    </row>
    <row r="14" customFormat="false" ht="15" hidden="false" customHeight="false" outlineLevel="0" collapsed="false">
      <c r="A14" s="6" t="s">
        <v>382</v>
      </c>
      <c r="C14" s="16" t="n">
        <f aca="false">C11-C13</f>
        <v>288176.848237332</v>
      </c>
      <c r="D14" s="16" t="n">
        <f aca="false">D11-D13</f>
        <v>605962.163007579</v>
      </c>
      <c r="E14" s="16" t="n">
        <f aca="false">E11-E13</f>
        <v>648462.795167306</v>
      </c>
      <c r="F14" s="16" t="n">
        <f aca="false">F11-F13</f>
        <v>687882.853773743</v>
      </c>
      <c r="G14" s="16" t="n">
        <f aca="false">G11-G13</f>
        <v>724133.12972481</v>
      </c>
      <c r="H14" s="16" t="n">
        <f aca="false">H11-H13</f>
        <v>760093.38299403</v>
      </c>
      <c r="I14" s="16" t="n">
        <f aca="false">I11-I13</f>
        <v>796912.178810588</v>
      </c>
    </row>
    <row r="15" customFormat="false" ht="15" hidden="false" customHeight="false" outlineLevel="0" collapsed="false">
      <c r="A15" s="6" t="s">
        <v>383</v>
      </c>
      <c r="C15" s="36" t="n">
        <f aca="false">Forecast_Base!C11</f>
        <v>0.168</v>
      </c>
      <c r="D15" s="36" t="n">
        <f aca="false">Forecast_Base!D11</f>
        <v>0.19</v>
      </c>
      <c r="E15" s="36" t="n">
        <f aca="false">Forecast_Base!E11</f>
        <v>0.215</v>
      </c>
      <c r="F15" s="36" t="n">
        <f aca="false">Forecast_Base!F11</f>
        <v>0.24</v>
      </c>
      <c r="G15" s="36" t="n">
        <f aca="false">Forecast_Base!G11</f>
        <v>0.27</v>
      </c>
      <c r="H15" s="36" t="n">
        <f aca="false">Forecast_Base!H11</f>
        <v>0.27</v>
      </c>
      <c r="I15" s="36" t="n">
        <f aca="false">Supuestos!$B$48</f>
        <v>0.27</v>
      </c>
    </row>
    <row r="16" customFormat="false" ht="15" hidden="false" customHeight="false" outlineLevel="0" collapsed="false">
      <c r="A16" s="6" t="s">
        <v>384</v>
      </c>
      <c r="C16" s="16" t="n">
        <f aca="false">-C14*C15</f>
        <v>-48413.7105038718</v>
      </c>
      <c r="D16" s="16" t="n">
        <f aca="false">-D14*D15</f>
        <v>-115132.81097144</v>
      </c>
      <c r="E16" s="16" t="n">
        <f aca="false">-E14*E15</f>
        <v>-139419.500960971</v>
      </c>
      <c r="F16" s="16" t="n">
        <f aca="false">-F14*F15</f>
        <v>-165091.884905698</v>
      </c>
      <c r="G16" s="16" t="n">
        <f aca="false">-G14*G15</f>
        <v>-195515.945025699</v>
      </c>
      <c r="H16" s="16" t="n">
        <f aca="false">-H14*H15</f>
        <v>-205225.213408388</v>
      </c>
      <c r="I16" s="16" t="n">
        <f aca="false">-I14*I15</f>
        <v>-215166.288278859</v>
      </c>
    </row>
    <row r="17" customFormat="false" ht="15" hidden="false" customHeight="false" outlineLevel="0" collapsed="false">
      <c r="A17" s="34" t="s">
        <v>385</v>
      </c>
      <c r="C17" s="16" t="n">
        <f aca="false">C14+C16</f>
        <v>239763.13773346</v>
      </c>
      <c r="D17" s="16" t="n">
        <f aca="false">D14+D16</f>
        <v>490829.352036139</v>
      </c>
      <c r="E17" s="16" t="n">
        <f aca="false">E14+E16</f>
        <v>509043.294206335</v>
      </c>
      <c r="F17" s="16" t="n">
        <f aca="false">F14+F16</f>
        <v>522790.968868044</v>
      </c>
      <c r="G17" s="16" t="n">
        <f aca="false">G14+G16</f>
        <v>528617.184699111</v>
      </c>
      <c r="H17" s="16" t="n">
        <f aca="false">H14+H16</f>
        <v>554868.169585642</v>
      </c>
      <c r="I17" s="16" t="n">
        <f aca="false">I14+I16</f>
        <v>581745.890531729</v>
      </c>
    </row>
    <row r="18" customFormat="false" ht="15" hidden="false" customHeight="false" outlineLevel="0" collapsed="false">
      <c r="A18" s="6" t="s">
        <v>386</v>
      </c>
      <c r="C18" s="16" t="n">
        <f aca="false">C13</f>
        <v>2564.55679016342</v>
      </c>
      <c r="D18" s="16" t="n">
        <f aca="false">D13</f>
        <v>5398.19723913933</v>
      </c>
      <c r="E18" s="16" t="n">
        <f aca="false">E13</f>
        <v>5773.43041633054</v>
      </c>
      <c r="F18" s="16" t="n">
        <f aca="false">F13</f>
        <v>6122.37468463687</v>
      </c>
      <c r="G18" s="16" t="n">
        <f aca="false">G13</f>
        <v>6444.5713783171</v>
      </c>
      <c r="H18" s="16" t="n">
        <f aca="false">H13</f>
        <v>6764.3924108095</v>
      </c>
      <c r="I18" s="16" t="n">
        <f aca="false">I13</f>
        <v>7090.29703656451</v>
      </c>
    </row>
    <row r="19" customFormat="false" ht="15" hidden="false" customHeight="false" outlineLevel="0" collapsed="false">
      <c r="A19" s="6" t="s">
        <v>387</v>
      </c>
      <c r="C19" s="9" t="n">
        <f aca="false">-Forecast_Base!C16</f>
        <v>-124994.032713318</v>
      </c>
      <c r="D19" s="9" t="n">
        <f aca="false">-Forecast_Base!D16</f>
        <v>-240659.938271462</v>
      </c>
      <c r="E19" s="9" t="n">
        <f aca="false">-Forecast_Base!E16</f>
        <v>-151494.998638301</v>
      </c>
      <c r="F19" s="9" t="n">
        <f aca="false">-Forecast_Base!F16</f>
        <v>-47682.3386239227</v>
      </c>
      <c r="G19" s="9" t="n">
        <f aca="false">-Forecast_Base!G16</f>
        <v>-49731.1556818492</v>
      </c>
      <c r="H19" s="9" t="n">
        <f aca="false">-Forecast_Base!H16</f>
        <v>-51673.8461089117</v>
      </c>
      <c r="I19" s="9" t="n">
        <f aca="false">-Supuestos!$B$47*I7</f>
        <v>-55421.1223136181</v>
      </c>
      <c r="J19" s="2" t="s">
        <v>388</v>
      </c>
    </row>
    <row r="20" customFormat="false" ht="15" hidden="false" customHeight="false" outlineLevel="0" collapsed="false">
      <c r="A20" s="6" t="s">
        <v>389</v>
      </c>
      <c r="C20" s="9" t="n">
        <f aca="false">-Expansion!C29</f>
        <v>-0</v>
      </c>
      <c r="D20" s="9" t="n">
        <f aca="false">-Expansion!D29</f>
        <v>-46268.2700519154</v>
      </c>
      <c r="E20" s="9" t="n">
        <f aca="false">-Expansion!E29</f>
        <v>-95312.6363069457</v>
      </c>
      <c r="F20" s="9" t="n">
        <f aca="false">-Expansion!F29</f>
        <v>-98172.0153961541</v>
      </c>
      <c r="G20" s="9" t="n">
        <f aca="false">-Expansion!G29</f>
        <v>-101117.175858039</v>
      </c>
      <c r="H20" s="9" t="n">
        <f aca="false">-Expansion!H29</f>
        <v>-104150.69113378</v>
      </c>
      <c r="I20" s="9" t="n">
        <f aca="false">-Supuestos!$B$78/Expansion!$B$44*I17</f>
        <v>-0</v>
      </c>
      <c r="J20" s="2" t="s">
        <v>390</v>
      </c>
    </row>
    <row r="21" customFormat="false" ht="15" hidden="false" customHeight="false" outlineLevel="0" collapsed="false">
      <c r="A21" s="6" t="s">
        <v>391</v>
      </c>
      <c r="C21" s="9" t="n">
        <f aca="false">-Supuestos!$B$73*Supuestos!$B$74*(Forecast_Base!C5+C6-Supuestos!$B$45)/2</f>
        <v>-3907.94604206112</v>
      </c>
      <c r="D21" s="9" t="n">
        <f aca="false">-Supuestos!$B$73*Supuestos!$B$74*(D7-Forecast_Base!C5-C6)</f>
        <v>-9858.89868334063</v>
      </c>
      <c r="E21" s="9" t="n">
        <f aca="false">-Supuestos!$B$73*Supuestos!$B$74*(E7-D7)</f>
        <v>-8321.37041904111</v>
      </c>
      <c r="F21" s="9" t="n">
        <f aca="false">-Supuestos!$B$73*Supuestos!$B$74*(F7-E7)</f>
        <v>-7738.37359988722</v>
      </c>
      <c r="G21" s="9" t="n">
        <f aca="false">-Supuestos!$B$73*Supuestos!$B$74*(G7-F7)</f>
        <v>-7145.20516541992</v>
      </c>
      <c r="H21" s="9" t="n">
        <f aca="false">-Supuestos!$B$73*Supuestos!$B$74*(H7-G7)</f>
        <v>-7092.52123996833</v>
      </c>
      <c r="I21" s="9" t="n">
        <f aca="false">-Supuestos!$B$73*Supuestos!$B$74*I29*Supuestos!$B$77</f>
        <v>-4579.75329408064</v>
      </c>
      <c r="J21" s="2" t="s">
        <v>392</v>
      </c>
    </row>
    <row r="22" customFormat="false" ht="15" hidden="false" customHeight="false" outlineLevel="0" collapsed="false">
      <c r="A22" s="34" t="s">
        <v>393</v>
      </c>
      <c r="C22" s="43" t="n">
        <f aca="false">C17+C18+C19+C20+C21</f>
        <v>113425.715768245</v>
      </c>
      <c r="D22" s="43" t="n">
        <f aca="false">D17+D18+D19+D20+D21</f>
        <v>199440.442268561</v>
      </c>
      <c r="E22" s="43" t="n">
        <f aca="false">E17+E18+E19+E20+E21</f>
        <v>259687.719258378</v>
      </c>
      <c r="F22" s="43" t="n">
        <f aca="false">F17+F18+F19+F20+F21</f>
        <v>375320.615932717</v>
      </c>
      <c r="G22" s="43" t="n">
        <f aca="false">G17+G18+G19+G20+G21</f>
        <v>377068.219372121</v>
      </c>
      <c r="H22" s="43" t="n">
        <f aca="false">H17+H18+H19+H20+H21</f>
        <v>398715.503513791</v>
      </c>
      <c r="I22" s="45" t="n">
        <f aca="false">I17+I18+I19+I20+I21</f>
        <v>528835.311960595</v>
      </c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6" t="s">
        <v>394</v>
      </c>
      <c r="C24" s="14" t="n">
        <v>0.25</v>
      </c>
      <c r="D24" s="14" t="n">
        <v>1</v>
      </c>
      <c r="E24" s="14" t="n">
        <v>2</v>
      </c>
      <c r="F24" s="14" t="n">
        <v>3</v>
      </c>
      <c r="G24" s="14" t="n">
        <v>4</v>
      </c>
      <c r="H24" s="14" t="n">
        <v>5</v>
      </c>
      <c r="J24" s="2" t="s">
        <v>395</v>
      </c>
    </row>
    <row r="25" customFormat="false" ht="15" hidden="false" customHeight="false" outlineLevel="0" collapsed="false">
      <c r="A25" s="6" t="s">
        <v>396</v>
      </c>
      <c r="C25" s="46" t="n">
        <f aca="false">1/(1+WACC!$B$43)^C24</f>
        <v>0.975642862732601</v>
      </c>
      <c r="D25" s="46" t="n">
        <f aca="false">1/(1+WACC!$B$43)^D24</f>
        <v>0.906073622266492</v>
      </c>
      <c r="E25" s="46" t="n">
        <f aca="false">1/(1+WACC!$B$43)^E24</f>
        <v>0.820969408967121</v>
      </c>
      <c r="F25" s="46" t="n">
        <f aca="false">1/(1+WACC!$B$43)^F24</f>
        <v>0.74385872615282</v>
      </c>
      <c r="G25" s="46" t="n">
        <f aca="false">1/(1+WACC!$B$43)^G24</f>
        <v>0.673990770459824</v>
      </c>
      <c r="H25" s="46" t="n">
        <f aca="false">1/(1+WACC!$B$43)^H24</f>
        <v>0.610685258764717</v>
      </c>
    </row>
    <row r="26" customFormat="false" ht="15" hidden="false" customHeight="false" outlineLevel="0" collapsed="false">
      <c r="A26" s="6" t="s">
        <v>397</v>
      </c>
      <c r="C26" s="16" t="n">
        <f aca="false">C22*C25</f>
        <v>110662.990039625</v>
      </c>
      <c r="D26" s="16" t="n">
        <f aca="false">D22*D25</f>
        <v>180707.723952706</v>
      </c>
      <c r="E26" s="16" t="n">
        <f aca="false">E22*E25</f>
        <v>213195.67339557</v>
      </c>
      <c r="F26" s="16" t="n">
        <f aca="false">F22*F25</f>
        <v>279185.515266603</v>
      </c>
      <c r="G26" s="16" t="n">
        <f aca="false">G22*G25</f>
        <v>254140.49969053</v>
      </c>
      <c r="H26" s="16" t="n">
        <f aca="false">H22*H25</f>
        <v>243489.680436824</v>
      </c>
    </row>
    <row r="28" customFormat="false" ht="15" hidden="false" customHeight="false" outlineLevel="0" collapsed="false">
      <c r="A28" s="34" t="s">
        <v>398</v>
      </c>
    </row>
    <row r="29" customFormat="false" ht="15" hidden="false" customHeight="false" outlineLevel="0" collapsed="false">
      <c r="A29" s="6" t="s">
        <v>399</v>
      </c>
      <c r="I29" s="9" t="n">
        <f aca="false">H5+SUMIF(Expansion!$A$13:$A$17,"&lt;="&amp;2032,Expansion!$B$13:$B$17)*Expansion!H$8*Expansion!$B$45/1000000</f>
        <v>978307.543047099</v>
      </c>
      <c r="J29" s="2" t="s">
        <v>400</v>
      </c>
    </row>
    <row r="30" customFormat="false" ht="15" hidden="false" customHeight="false" outlineLevel="0" collapsed="false">
      <c r="A30" s="6" t="s">
        <v>401</v>
      </c>
      <c r="I30" s="9" t="n">
        <f aca="false">H9+SUMIF(Expansion!$A$13:$A$17,"&lt;="&amp;2032,Expansion!$B$13:$B$17)*Expansion!H$8*Expansion!$B$45/1000000*Expansion!H$9</f>
        <v>780584.928006944</v>
      </c>
    </row>
    <row r="31" customFormat="false" ht="15" hidden="false" customHeight="false" outlineLevel="0" collapsed="false">
      <c r="A31" s="6" t="s">
        <v>402</v>
      </c>
      <c r="I31" s="9" t="n">
        <f aca="false">I30-Supuestos!$B$46*I29</f>
        <v>773701.144476299</v>
      </c>
    </row>
    <row r="33" customFormat="false" ht="15" hidden="false" customHeight="false" outlineLevel="0" collapsed="false">
      <c r="A33" s="4" t="s">
        <v>403</v>
      </c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false" outlineLevel="0" collapsed="false">
      <c r="A34" s="6" t="s">
        <v>247</v>
      </c>
      <c r="B34" s="37" t="n">
        <f aca="false">WACC!$B$43</f>
        <v>0.103663074859808</v>
      </c>
    </row>
    <row r="35" customFormat="false" ht="15" hidden="false" customHeight="false" outlineLevel="0" collapsed="false">
      <c r="A35" s="6" t="s">
        <v>149</v>
      </c>
      <c r="B35" s="37" t="n">
        <f aca="false">Supuestos!$B$77</f>
        <v>0.03</v>
      </c>
    </row>
    <row r="36" customFormat="false" ht="15" hidden="false" customHeight="false" outlineLevel="0" collapsed="false">
      <c r="A36" s="6" t="s">
        <v>404</v>
      </c>
      <c r="B36" s="36" t="n">
        <f aca="false">Supuestos!$B$78/Expansion!$B$44</f>
        <v>0</v>
      </c>
    </row>
    <row r="37" customFormat="false" ht="15" hidden="false" customHeight="false" outlineLevel="0" collapsed="false">
      <c r="A37" s="6" t="s">
        <v>405</v>
      </c>
      <c r="B37" s="16" t="n">
        <f aca="false">I22/(B34-B35)</f>
        <v>7179109.92674487</v>
      </c>
    </row>
    <row r="38" customFormat="false" ht="15" hidden="false" customHeight="false" outlineLevel="0" collapsed="false">
      <c r="A38" s="6" t="s">
        <v>406</v>
      </c>
      <c r="B38" s="16" t="n">
        <f aca="false">B37/(1+B34)^5.5</f>
        <v>4173205.62170073</v>
      </c>
    </row>
    <row r="39" customFormat="false" ht="15" hidden="false" customHeight="false" outlineLevel="0" collapsed="false">
      <c r="A39" s="6" t="s">
        <v>407</v>
      </c>
      <c r="B39" s="16" t="n">
        <f aca="false">SUM(C26:H26)</f>
        <v>1281382.08278186</v>
      </c>
    </row>
    <row r="40" customFormat="false" ht="15" hidden="false" customHeight="false" outlineLevel="0" collapsed="false">
      <c r="A40" s="34" t="s">
        <v>408</v>
      </c>
      <c r="B40" s="16" t="n">
        <f aca="false">B38+B39</f>
        <v>5454587.70448258</v>
      </c>
    </row>
    <row r="41" customFormat="false" ht="15" hidden="false" customHeight="false" outlineLevel="0" collapsed="false">
      <c r="A41" s="6" t="s">
        <v>409</v>
      </c>
      <c r="B41" s="9" t="n">
        <f aca="false">-Supuestos!$B$11</f>
        <v>-1285740</v>
      </c>
    </row>
    <row r="42" customFormat="false" ht="15" hidden="false" customHeight="false" outlineLevel="0" collapsed="false">
      <c r="A42" s="6" t="s">
        <v>410</v>
      </c>
      <c r="B42" s="9" t="n">
        <f aca="false">-Supuestos!$B$12</f>
        <v>-50841</v>
      </c>
    </row>
    <row r="43" customFormat="false" ht="15" hidden="false" customHeight="false" outlineLevel="0" collapsed="false">
      <c r="A43" s="6" t="s">
        <v>411</v>
      </c>
      <c r="B43" s="16" t="n">
        <f aca="false">B40+B41+B42</f>
        <v>4118006.70448258</v>
      </c>
    </row>
    <row r="44" customFormat="false" ht="15" hidden="false" customHeight="false" outlineLevel="0" collapsed="false">
      <c r="A44" s="6" t="s">
        <v>412</v>
      </c>
      <c r="B44" s="9" t="n">
        <f aca="false">Supuestos!$B$10</f>
        <v>2190</v>
      </c>
    </row>
    <row r="45" customFormat="false" ht="15" hidden="false" customHeight="false" outlineLevel="0" collapsed="false">
      <c r="A45" s="34" t="s">
        <v>413</v>
      </c>
      <c r="B45" s="47" t="n">
        <f aca="false">B43/B44</f>
        <v>1880.36835821122</v>
      </c>
    </row>
    <row r="46" customFormat="false" ht="15" hidden="false" customHeight="false" outlineLevel="0" collapsed="false">
      <c r="A46" s="6" t="s">
        <v>414</v>
      </c>
      <c r="B46" s="9" t="n">
        <f aca="false">Supuestos!$B$9</f>
        <v>3555</v>
      </c>
    </row>
    <row r="47" customFormat="false" ht="15" hidden="false" customHeight="false" outlineLevel="0" collapsed="false">
      <c r="A47" s="6" t="s">
        <v>415</v>
      </c>
      <c r="B47" s="23" t="n">
        <f aca="false">B45/B46-1</f>
        <v>-0.471063752964494</v>
      </c>
    </row>
    <row r="49" customFormat="false" ht="15" hidden="false" customHeight="false" outlineLevel="0" collapsed="false">
      <c r="A49" s="4" t="s">
        <v>416</v>
      </c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A50" s="6" t="s">
        <v>417</v>
      </c>
      <c r="B50" s="23" t="n">
        <f aca="false">B38/B40</f>
        <v>0.765081771124733</v>
      </c>
      <c r="C50" s="2" t="s">
        <v>418</v>
      </c>
    </row>
    <row r="51" customFormat="false" ht="15" hidden="false" customHeight="false" outlineLevel="0" collapsed="false">
      <c r="A51" s="6" t="s">
        <v>419</v>
      </c>
      <c r="B51" s="48" t="n">
        <f aca="false">B40/Supuestos!$B$14</f>
        <v>10.0096116132797</v>
      </c>
      <c r="C51" s="2" t="s">
        <v>420</v>
      </c>
    </row>
    <row r="52" customFormat="false" ht="15" hidden="false" customHeight="false" outlineLevel="0" collapsed="false">
      <c r="A52" s="6" t="s">
        <v>421</v>
      </c>
      <c r="B52" s="36" t="n">
        <f aca="false">Supuestos!$B$14/B40</f>
        <v>0.0999039761616029</v>
      </c>
      <c r="C52" s="2" t="s">
        <v>422</v>
      </c>
    </row>
    <row r="53" customFormat="false" ht="15" hidden="false" customHeight="false" outlineLevel="0" collapsed="false">
      <c r="A53" s="6" t="s">
        <v>423</v>
      </c>
      <c r="B53" s="23" t="n">
        <f aca="false">I11/B37</f>
        <v>0.111991943855316</v>
      </c>
      <c r="C53" s="2"/>
    </row>
    <row r="54" customFormat="false" ht="15" hidden="false" customHeight="false" outlineLevel="0" collapsed="false">
      <c r="A54" s="6" t="s">
        <v>248</v>
      </c>
      <c r="B54" s="37" t="n">
        <f aca="false">WACC!B44</f>
        <v>0.0715175484075801</v>
      </c>
      <c r="C54" s="2" t="s">
        <v>424</v>
      </c>
    </row>
    <row r="55" customFormat="false" ht="15" hidden="false" customHeight="false" outlineLevel="0" collapsed="false">
      <c r="A55" s="6" t="s">
        <v>425</v>
      </c>
      <c r="B55" s="37" t="n">
        <f aca="false">Expansion!B44</f>
        <v>0.0503838486456213</v>
      </c>
      <c r="C55" s="2" t="s">
        <v>426</v>
      </c>
    </row>
    <row r="56" customFormat="false" ht="15" hidden="false" customHeight="false" outlineLevel="0" collapsed="false">
      <c r="A56" s="6" t="s">
        <v>427</v>
      </c>
      <c r="B56" s="48" t="n">
        <f aca="false">MAX(Deuda!C12:H12)</f>
        <v>2.17398005726808</v>
      </c>
      <c r="C56" s="2" t="s">
        <v>428</v>
      </c>
    </row>
    <row r="59" customFormat="false" ht="15" hidden="false" customHeight="false" outlineLevel="0" collapsed="false">
      <c r="A59" s="4" t="s">
        <v>429</v>
      </c>
      <c r="B59" s="5"/>
      <c r="C59" s="5"/>
      <c r="D59" s="5"/>
      <c r="E59" s="5"/>
      <c r="F59" s="5"/>
      <c r="G59" s="5"/>
      <c r="H59" s="5"/>
      <c r="I59" s="5"/>
      <c r="J59" s="5"/>
    </row>
    <row r="60" customFormat="false" ht="15" hidden="false" customHeight="false" outlineLevel="0" collapsed="false">
      <c r="A60" s="34" t="s">
        <v>430</v>
      </c>
      <c r="C60" s="15" t="n">
        <v>0.03</v>
      </c>
      <c r="D60" s="15" t="n">
        <v>0.035</v>
      </c>
      <c r="E60" s="15" t="n">
        <v>0.04</v>
      </c>
      <c r="F60" s="15" t="n">
        <v>0.045</v>
      </c>
      <c r="H60" s="2" t="s">
        <v>431</v>
      </c>
    </row>
    <row r="61" customFormat="false" ht="15" hidden="false" customHeight="false" outlineLevel="0" collapsed="false">
      <c r="B61" s="37" t="n">
        <f aca="false">WACC!$B$43+-0.01</f>
        <v>0.0936630748598076</v>
      </c>
      <c r="C61" s="16" t="n">
        <f aca="false">(SUMPRODUCT($C$22:$H$22,1/(1+$B61)^$C$24:$H$24)+($I$31*(1+C$60)*(1-Supuestos!$B$48)+Supuestos!$B$46*$I$29*(1+C$60)-Supuestos!$B$47*$I$29*(1+C$60)-Supuestos!$B$73*Supuestos!$B$74*$I$29*C$60-((1+C$60)/(1+Supuestos!$B$35)-1)/Expansion!$B$44*$I$31*(1+C$60)*(1-Supuestos!$B$48))/($B61-C$60)/(1+$B61)^5.5-Supuestos!$B$11-Supuestos!$B$12)/Supuestos!$B$10</f>
        <v>2308.54586894979</v>
      </c>
      <c r="D61" s="16" t="n">
        <f aca="false">(SUMPRODUCT($C$22:$H$22,1/(1+$B61)^$C$24:$H$24)+($I$31*(1+D$60)*(1-Supuestos!$B$48)+Supuestos!$B$46*$I$29*(1+D$60)-Supuestos!$B$47*$I$29*(1+D$60)-Supuestos!$B$73*Supuestos!$B$74*$I$29*D$60-((1+D$60)/(1+Supuestos!$B$35)-1)/Expansion!$B$44*$I$31*(1+D$60)*(1-Supuestos!$B$48))/($B61-D$60)/(1+$B61)^5.5-Supuestos!$B$11-Supuestos!$B$12)/Supuestos!$B$10</f>
        <v>2246.88603761986</v>
      </c>
      <c r="E61" s="16" t="n">
        <f aca="false">(SUMPRODUCT($C$22:$H$22,1/(1+$B61)^$C$24:$H$24)+($I$31*(1+E$60)*(1-Supuestos!$B$48)+Supuestos!$B$46*$I$29*(1+E$60)-Supuestos!$B$47*$I$29*(1+E$60)-Supuestos!$B$73*Supuestos!$B$74*$I$29*E$60-((1+E$60)/(1+Supuestos!$B$35)-1)/Expansion!$B$44*$I$31*(1+E$60)*(1-Supuestos!$B$48))/($B61-E$60)/(1+$B61)^5.5-Supuestos!$B$11-Supuestos!$B$12)/Supuestos!$B$10</f>
        <v>2170.90621071668</v>
      </c>
      <c r="F61" s="16" t="n">
        <f aca="false">(SUMPRODUCT($C$22:$H$22,1/(1+$B61)^$C$24:$H$24)+($I$31*(1+F$60)*(1-Supuestos!$B$48)+Supuestos!$B$46*$I$29*(1+F$60)-Supuestos!$B$47*$I$29*(1+F$60)-Supuestos!$B$73*Supuestos!$B$74*$I$29*F$60-((1+F$60)/(1+Supuestos!$B$35)-1)/Expansion!$B$44*$I$31*(1+F$60)*(1-Supuestos!$B$48))/($B61-F$60)/(1+$B61)^5.5-Supuestos!$B$11-Supuestos!$B$12)/Supuestos!$B$10</f>
        <v>2076.19236520085</v>
      </c>
    </row>
    <row r="62" customFormat="false" ht="15" hidden="false" customHeight="false" outlineLevel="0" collapsed="false">
      <c r="B62" s="37" t="n">
        <f aca="false">WACC!$B$43+-0.005</f>
        <v>0.0986630748598076</v>
      </c>
      <c r="C62" s="16" t="n">
        <f aca="false">(SUMPRODUCT($C$22:$H$22,1/(1+$B62)^$C$24:$H$24)+($I$31*(1+C$60)*(1-Supuestos!$B$48)+Supuestos!$B$46*$I$29*(1+C$60)-Supuestos!$B$47*$I$29*(1+C$60)-Supuestos!$B$73*Supuestos!$B$74*$I$29*C$60-((1+C$60)/(1+Supuestos!$B$35)-1)/Expansion!$B$44*$I$31*(1+C$60)*(1-Supuestos!$B$48))/($B62-C$60)/(1+$B62)^5.5-Supuestos!$B$11-Supuestos!$B$12)/Supuestos!$B$10</f>
        <v>2078.57779668755</v>
      </c>
      <c r="D62" s="16" t="n">
        <f aca="false">(SUMPRODUCT($C$22:$H$22,1/(1+$B62)^$C$24:$H$24)+($I$31*(1+D$60)*(1-Supuestos!$B$48)+Supuestos!$B$46*$I$29*(1+D$60)-Supuestos!$B$47*$I$29*(1+D$60)-Supuestos!$B$73*Supuestos!$B$74*$I$29*D$60-((1+D$60)/(1+Supuestos!$B$35)-1)/Expansion!$B$44*$I$31*(1+D$60)*(1-Supuestos!$B$48))/($B62-D$60)/(1+$B62)^5.5-Supuestos!$B$11-Supuestos!$B$12)/Supuestos!$B$10</f>
        <v>2010.23936452899</v>
      </c>
      <c r="E62" s="16" t="n">
        <f aca="false">(SUMPRODUCT($C$22:$H$22,1/(1+$B62)^$C$24:$H$24)+($I$31*(1+E$60)*(1-Supuestos!$B$48)+Supuestos!$B$46*$I$29*(1+E$60)-Supuestos!$B$47*$I$29*(1+E$60)-Supuestos!$B$73*Supuestos!$B$74*$I$29*E$60-((1+E$60)/(1+Supuestos!$B$35)-1)/Expansion!$B$44*$I$31*(1+E$60)*(1-Supuestos!$B$48))/($B62-E$60)/(1+$B62)^5.5-Supuestos!$B$11-Supuestos!$B$12)/Supuestos!$B$10</f>
        <v>1927.72713252388</v>
      </c>
      <c r="F62" s="16" t="n">
        <f aca="false">(SUMPRODUCT($C$22:$H$22,1/(1+$B62)^$C$24:$H$24)+($I$31*(1+F$60)*(1-Supuestos!$B$48)+Supuestos!$B$46*$I$29*(1+F$60)-Supuestos!$B$47*$I$29*(1+F$60)-Supuestos!$B$73*Supuestos!$B$74*$I$29*F$60-((1+F$60)/(1+Supuestos!$B$35)-1)/Expansion!$B$44*$I$31*(1+F$60)*(1-Supuestos!$B$48))/($B62-F$60)/(1+$B62)^5.5-Supuestos!$B$11-Supuestos!$B$12)/Supuestos!$B$10</f>
        <v>1827.07921443564</v>
      </c>
    </row>
    <row r="63" customFormat="false" ht="15" hidden="false" customHeight="false" outlineLevel="0" collapsed="false">
      <c r="B63" s="37" t="n">
        <f aca="false">WACC!$B$43+0</f>
        <v>0.103663074859808</v>
      </c>
      <c r="C63" s="16" t="n">
        <f aca="false">(SUMPRODUCT($C$22:$H$22,1/(1+$B63)^$C$24:$H$24)+($I$31*(1+C$60)*(1-Supuestos!$B$48)+Supuestos!$B$46*$I$29*(1+C$60)-Supuestos!$B$47*$I$29*(1+C$60)-Supuestos!$B$73*Supuestos!$B$74*$I$29*C$60-((1+C$60)/(1+Supuestos!$B$35)-1)/Expansion!$B$44*$I$31*(1+C$60)*(1-Supuestos!$B$48))/($B63-C$60)/(1+$B63)^5.5-Supuestos!$B$11-Supuestos!$B$12)/Supuestos!$B$10</f>
        <v>1880.36835821122</v>
      </c>
      <c r="D63" s="16" t="n">
        <f aca="false">(SUMPRODUCT($C$22:$H$22,1/(1+$B63)^$C$24:$H$24)+($I$31*(1+D$60)*(1-Supuestos!$B$48)+Supuestos!$B$46*$I$29*(1+D$60)-Supuestos!$B$47*$I$29*(1+D$60)-Supuestos!$B$73*Supuestos!$B$74*$I$29*D$60-((1+D$60)/(1+Supuestos!$B$35)-1)/Expansion!$B$44*$I$31*(1+D$60)*(1-Supuestos!$B$48))/($B63-D$60)/(1+$B63)^5.5-Supuestos!$B$11-Supuestos!$B$12)/Supuestos!$B$10</f>
        <v>1808.46447046688</v>
      </c>
      <c r="E63" s="16" t="n">
        <f aca="false">(SUMPRODUCT($C$22:$H$22,1/(1+$B63)^$C$24:$H$24)+($I$31*(1+E$60)*(1-Supuestos!$B$48)+Supuestos!$B$46*$I$29*(1+E$60)-Supuestos!$B$47*$I$29*(1+E$60)-Supuestos!$B$73*Supuestos!$B$74*$I$29*E$60-((1+E$60)/(1+Supuestos!$B$35)-1)/Expansion!$B$44*$I$31*(1+E$60)*(1-Supuestos!$B$48))/($B63-E$60)/(1+$B63)^5.5-Supuestos!$B$11-Supuestos!$B$12)/Supuestos!$B$10</f>
        <v>1722.9972953027</v>
      </c>
      <c r="F63" s="16" t="n">
        <f aca="false">(SUMPRODUCT($C$22:$H$22,1/(1+$B63)^$C$24:$H$24)+($I$31*(1+F$60)*(1-Supuestos!$B$48)+Supuestos!$B$46*$I$29*(1+F$60)-Supuestos!$B$47*$I$29*(1+F$60)-Supuestos!$B$73*Supuestos!$B$74*$I$29*F$60-((1+F$60)/(1+Supuestos!$B$35)-1)/Expansion!$B$44*$I$31*(1+F$60)*(1-Supuestos!$B$48))/($B63-F$60)/(1+$B63)^5.5-Supuestos!$B$11-Supuestos!$B$12)/Supuestos!$B$10</f>
        <v>1620.4987343999</v>
      </c>
    </row>
    <row r="64" customFormat="false" ht="15" hidden="false" customHeight="false" outlineLevel="0" collapsed="false">
      <c r="B64" s="37" t="n">
        <f aca="false">WACC!$B$43+0.005</f>
        <v>0.108663074859808</v>
      </c>
      <c r="C64" s="16" t="n">
        <f aca="false">(SUMPRODUCT($C$22:$H$22,1/(1+$B64)^$C$24:$H$24)+($I$31*(1+C$60)*(1-Supuestos!$B$48)+Supuestos!$B$46*$I$29*(1+C$60)-Supuestos!$B$47*$I$29*(1+C$60)-Supuestos!$B$73*Supuestos!$B$74*$I$29*C$60-((1+C$60)/(1+Supuestos!$B$35)-1)/Expansion!$B$44*$I$31*(1+C$60)*(1-Supuestos!$B$48))/($B64-C$60)/(1+$B64)^5.5-Supuestos!$B$11-Supuestos!$B$12)/Supuestos!$B$10</f>
        <v>1707.84370653859</v>
      </c>
      <c r="D64" s="16" t="n">
        <f aca="false">(SUMPRODUCT($C$22:$H$22,1/(1+$B64)^$C$24:$H$24)+($I$31*(1+D$60)*(1-Supuestos!$B$48)+Supuestos!$B$46*$I$29*(1+D$60)-Supuestos!$B$47*$I$29*(1+D$60)-Supuestos!$B$73*Supuestos!$B$74*$I$29*D$60-((1+D$60)/(1+Supuestos!$B$35)-1)/Expansion!$B$44*$I$31*(1+D$60)*(1-Supuestos!$B$48))/($B64-D$60)/(1+$B64)^5.5-Supuestos!$B$11-Supuestos!$B$12)/Supuestos!$B$10</f>
        <v>1634.44660558817</v>
      </c>
      <c r="E64" s="16" t="n">
        <f aca="false">(SUMPRODUCT($C$22:$H$22,1/(1+$B64)^$C$24:$H$24)+($I$31*(1+E$60)*(1-Supuestos!$B$48)+Supuestos!$B$46*$I$29*(1+E$60)-Supuestos!$B$47*$I$29*(1+E$60)-Supuestos!$B$73*Supuestos!$B$74*$I$29*E$60-((1+E$60)/(1+Supuestos!$B$35)-1)/Expansion!$B$44*$I$31*(1+E$60)*(1-Supuestos!$B$48))/($B64-E$60)/(1+$B64)^5.5-Supuestos!$B$11-Supuestos!$B$12)/Supuestos!$B$10</f>
        <v>1548.30807038556</v>
      </c>
      <c r="F64" s="16" t="n">
        <f aca="false">(SUMPRODUCT($C$22:$H$22,1/(1+$B64)^$C$24:$H$24)+($I$31*(1+F$60)*(1-Supuestos!$B$48)+Supuestos!$B$46*$I$29*(1+F$60)-Supuestos!$B$47*$I$29*(1+F$60)-Supuestos!$B$73*Supuestos!$B$74*$I$29*F$60-((1+F$60)/(1+Supuestos!$B$35)-1)/Expansion!$B$44*$I$31*(1+F$60)*(1-Supuestos!$B$48))/($B64-F$60)/(1+$B64)^5.5-Supuestos!$B$11-Supuestos!$B$12)/Supuestos!$B$10</f>
        <v>1446.42602297264</v>
      </c>
    </row>
    <row r="65" customFormat="false" ht="15" hidden="false" customHeight="false" outlineLevel="0" collapsed="false">
      <c r="B65" s="37" t="n">
        <f aca="false">WACC!$B$43+0.01</f>
        <v>0.113663074859808</v>
      </c>
      <c r="C65" s="16" t="n">
        <f aca="false">(SUMPRODUCT($C$22:$H$22,1/(1+$B65)^$C$24:$H$24)+($I$31*(1+C$60)*(1-Supuestos!$B$48)+Supuestos!$B$46*$I$29*(1+C$60)-Supuestos!$B$47*$I$29*(1+C$60)-Supuestos!$B$73*Supuestos!$B$74*$I$29*C$60-((1+C$60)/(1+Supuestos!$B$35)-1)/Expansion!$B$44*$I$31*(1+C$60)*(1-Supuestos!$B$48))/($B65-C$60)/(1+$B65)^5.5-Supuestos!$B$11-Supuestos!$B$12)/Supuestos!$B$10</f>
        <v>1556.38264895773</v>
      </c>
      <c r="D65" s="16" t="n">
        <f aca="false">(SUMPRODUCT($C$22:$H$22,1/(1+$B65)^$C$24:$H$24)+($I$31*(1+D$60)*(1-Supuestos!$B$48)+Supuestos!$B$46*$I$29*(1+D$60)-Supuestos!$B$47*$I$29*(1+D$60)-Supuestos!$B$73*Supuestos!$B$74*$I$29*D$60-((1+D$60)/(1+Supuestos!$B$35)-1)/Expansion!$B$44*$I$31*(1+D$60)*(1-Supuestos!$B$48))/($B65-D$60)/(1+$B65)^5.5-Supuestos!$B$11-Supuestos!$B$12)/Supuestos!$B$10</f>
        <v>1482.88047084925</v>
      </c>
      <c r="E65" s="16" t="n">
        <f aca="false">(SUMPRODUCT($C$22:$H$22,1/(1+$B65)^$C$24:$H$24)+($I$31*(1+E$60)*(1-Supuestos!$B$48)+Supuestos!$B$46*$I$29*(1+E$60)-Supuestos!$B$47*$I$29*(1+E$60)-Supuestos!$B$73*Supuestos!$B$74*$I$29*E$60-((1+E$60)/(1+Supuestos!$B$35)-1)/Expansion!$B$44*$I$31*(1+E$60)*(1-Supuestos!$B$48))/($B65-E$60)/(1+$B65)^5.5-Supuestos!$B$11-Supuestos!$B$12)/Supuestos!$B$10</f>
        <v>1397.53419543953</v>
      </c>
      <c r="F65" s="16" t="n">
        <f aca="false">(SUMPRODUCT($C$22:$H$22,1/(1+$B65)^$C$24:$H$24)+($I$31*(1+F$60)*(1-Supuestos!$B$48)+Supuestos!$B$46*$I$29*(1+F$60)-Supuestos!$B$47*$I$29*(1+F$60)-Supuestos!$B$73*Supuestos!$B$74*$I$29*F$60-((1+F$60)/(1+Supuestos!$B$35)-1)/Expansion!$B$44*$I$31*(1+F$60)*(1-Supuestos!$B$48))/($B65-F$60)/(1+$B65)^5.5-Supuestos!$B$11-Supuestos!$B$12)/Supuestos!$B$10</f>
        <v>1297.75638457666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10" style="0" width="60"/>
  </cols>
  <sheetData>
    <row r="1" customFormat="false" ht="16.15" hidden="false" customHeight="false" outlineLevel="0" collapsed="false">
      <c r="A1" s="1" t="s">
        <v>432</v>
      </c>
    </row>
    <row r="2" customFormat="false" ht="15" hidden="false" customHeight="false" outlineLevel="0" collapsed="false">
      <c r="A2" s="2" t="s">
        <v>433</v>
      </c>
    </row>
    <row r="4" customFormat="false" ht="15" hidden="false" customHeight="false" outlineLevel="0" collapsed="false">
      <c r="A4" s="34" t="s">
        <v>22</v>
      </c>
      <c r="C4" s="41" t="s">
        <v>255</v>
      </c>
      <c r="D4" s="41" t="s">
        <v>256</v>
      </c>
      <c r="E4" s="41" t="s">
        <v>257</v>
      </c>
      <c r="F4" s="41" t="s">
        <v>258</v>
      </c>
      <c r="G4" s="41" t="s">
        <v>259</v>
      </c>
      <c r="H4" s="41" t="s">
        <v>260</v>
      </c>
    </row>
    <row r="5" customFormat="false" ht="15" hidden="false" customHeight="false" outlineLevel="0" collapsed="false">
      <c r="A5" s="6" t="s">
        <v>434</v>
      </c>
      <c r="C5" s="9" t="n">
        <f aca="false">Supuestos!$B$11</f>
        <v>1285740</v>
      </c>
      <c r="D5" s="16" t="n">
        <f aca="false">C10</f>
        <v>1264132.03270376</v>
      </c>
      <c r="E5" s="16" t="n">
        <f aca="false">D10</f>
        <v>1278204.61211509</v>
      </c>
      <c r="F5" s="16" t="n">
        <f aca="false">E10</f>
        <v>1253196.53194471</v>
      </c>
      <c r="G5" s="16" t="n">
        <f aca="false">F10</f>
        <v>1117862.52090457</v>
      </c>
      <c r="H5" s="16" t="n">
        <f aca="false">G10</f>
        <v>979785.020758508</v>
      </c>
    </row>
    <row r="6" customFormat="false" ht="15" hidden="false" customHeight="false" outlineLevel="0" collapsed="false">
      <c r="A6" s="6" t="s">
        <v>435</v>
      </c>
      <c r="C6" s="9" t="n">
        <f aca="false">-DCF!C22</f>
        <v>-113425.715768245</v>
      </c>
      <c r="D6" s="9" t="n">
        <f aca="false">-DCF!D22</f>
        <v>-199440.442268561</v>
      </c>
      <c r="E6" s="9" t="n">
        <f aca="false">-DCF!E22</f>
        <v>-259687.719258378</v>
      </c>
      <c r="F6" s="9" t="n">
        <f aca="false">-DCF!F22</f>
        <v>-375320.615932717</v>
      </c>
      <c r="G6" s="9" t="n">
        <f aca="false">-DCF!G22</f>
        <v>-377068.219372121</v>
      </c>
      <c r="H6" s="9" t="n">
        <f aca="false">-DCF!H22</f>
        <v>-398715.503513791</v>
      </c>
    </row>
    <row r="7" customFormat="false" ht="15" hidden="false" customHeight="false" outlineLevel="0" collapsed="false">
      <c r="A7" s="6" t="s">
        <v>436</v>
      </c>
      <c r="C7" s="9" t="n">
        <f aca="false">Supuestos!$B$93*C5*0.5*(1-DCF!C15)</f>
        <v>16473.929472</v>
      </c>
      <c r="D7" s="9" t="n">
        <f aca="false">Supuestos!$B$93*D5*1*(1-DCF!D15)</f>
        <v>31537.5659518933</v>
      </c>
      <c r="E7" s="9" t="n">
        <f aca="false">Supuestos!$B$93*E5*1*(1-DCF!E15)</f>
        <v>30904.4311117187</v>
      </c>
      <c r="F7" s="9" t="n">
        <f aca="false">Supuestos!$B$93*F5*1*(1-DCF!F15)</f>
        <v>29334.8244197617</v>
      </c>
      <c r="G7" s="9" t="n">
        <f aca="false">Supuestos!$B$93*G5*1*(1-DCF!G15)</f>
        <v>25134.0209200183</v>
      </c>
      <c r="H7" s="9" t="n">
        <f aca="false">Supuestos!$B$93*H5*1*(1-DCF!H15)</f>
        <v>22029.4864067343</v>
      </c>
    </row>
    <row r="8" customFormat="false" ht="15" hidden="false" customHeight="false" outlineLevel="0" collapsed="false">
      <c r="A8" s="6" t="s">
        <v>437</v>
      </c>
      <c r="C8" s="9" t="n">
        <f aca="false">Supuestos!$B$94*Supuestos!$B$35*C5*0.5</f>
        <v>15236.019</v>
      </c>
      <c r="D8" s="9" t="n">
        <f aca="false">Supuestos!$B$94*Supuestos!$B$35*D5*1</f>
        <v>29959.929175079</v>
      </c>
      <c r="E8" s="9" t="n">
        <f aca="false">Supuestos!$B$94*Supuestos!$B$35*E5*1</f>
        <v>30293.4493071277</v>
      </c>
      <c r="F8" s="9" t="n">
        <f aca="false">Supuestos!$B$94*Supuestos!$B$35*F5*1</f>
        <v>29700.7578070896</v>
      </c>
      <c r="G8" s="9" t="n">
        <f aca="false">Supuestos!$B$94*Supuestos!$B$35*G5*1</f>
        <v>26493.3417454382</v>
      </c>
      <c r="H8" s="9" t="n">
        <f aca="false">Supuestos!$B$94*Supuestos!$B$35*H5*1</f>
        <v>23220.9049919766</v>
      </c>
    </row>
    <row r="9" customFormat="false" ht="15" hidden="false" customHeight="false" outlineLevel="0" collapsed="false">
      <c r="A9" s="6" t="s">
        <v>438</v>
      </c>
      <c r="C9" s="9" t="n">
        <f aca="false">Supuestos!$B$96-Supuestos!$B$97</f>
        <v>60107.8</v>
      </c>
      <c r="D9" s="9" t="n">
        <f aca="false">Supuestos!$B$95*C13</f>
        <v>152015.526552925</v>
      </c>
      <c r="E9" s="9" t="n">
        <f aca="false">Supuestos!$B$95*D13</f>
        <v>173481.758669148</v>
      </c>
      <c r="F9" s="9" t="n">
        <f aca="false">Supuestos!$B$95*E13</f>
        <v>180951.022665723</v>
      </c>
      <c r="G9" s="9" t="n">
        <f aca="false">Supuestos!$B$95*F13</f>
        <v>187363.356560607</v>
      </c>
      <c r="H9" s="9" t="n">
        <f aca="false">Supuestos!$B$95*G13</f>
        <v>192677.743655931</v>
      </c>
      <c r="J9" s="2" t="s">
        <v>439</v>
      </c>
    </row>
    <row r="10" customFormat="false" ht="15" hidden="false" customHeight="false" outlineLevel="0" collapsed="false">
      <c r="A10" s="34" t="s">
        <v>440</v>
      </c>
      <c r="C10" s="45" t="n">
        <f aca="false">SUM(C5:C9)</f>
        <v>1264132.03270376</v>
      </c>
      <c r="D10" s="45" t="n">
        <f aca="false">SUM(D5:D9)</f>
        <v>1278204.61211509</v>
      </c>
      <c r="E10" s="45" t="n">
        <f aca="false">SUM(E5:E9)</f>
        <v>1253196.53194471</v>
      </c>
      <c r="F10" s="45" t="n">
        <f aca="false">SUM(F5:F9)</f>
        <v>1117862.52090457</v>
      </c>
      <c r="G10" s="45" t="n">
        <f aca="false">SUM(G5:G9)</f>
        <v>979785.020758508</v>
      </c>
      <c r="H10" s="45" t="n">
        <f aca="false">SUM(H5:H9)</f>
        <v>818997.652299359</v>
      </c>
    </row>
    <row r="11" customFormat="false" ht="15" hidden="false" customHeight="false" outlineLevel="0" collapsed="false">
      <c r="A11" s="6" t="s">
        <v>441</v>
      </c>
      <c r="C11" s="9" t="n">
        <f aca="false">DCF!C11*2</f>
        <v>581482.810054991</v>
      </c>
      <c r="D11" s="9" t="n">
        <f aca="false">DCF!D11*1</f>
        <v>611360.360246719</v>
      </c>
      <c r="E11" s="9" t="n">
        <f aca="false">DCF!E11*1</f>
        <v>654236.225583637</v>
      </c>
      <c r="F11" s="9" t="n">
        <f aca="false">DCF!F11*1</f>
        <v>694005.22845838</v>
      </c>
      <c r="G11" s="9" t="n">
        <f aca="false">DCF!G11*1</f>
        <v>730577.701103127</v>
      </c>
      <c r="H11" s="9" t="n">
        <f aca="false">DCF!H11*1</f>
        <v>766857.775404839</v>
      </c>
    </row>
    <row r="12" customFormat="false" ht="15" hidden="false" customHeight="false" outlineLevel="0" collapsed="false">
      <c r="A12" s="34" t="s">
        <v>442</v>
      </c>
      <c r="C12" s="49" t="n">
        <f aca="false">C10/C11</f>
        <v>2.17398005726808</v>
      </c>
      <c r="D12" s="49" t="n">
        <f aca="false">D10/D11</f>
        <v>2.09075480719631</v>
      </c>
      <c r="E12" s="49" t="n">
        <f aca="false">E10/E11</f>
        <v>1.91551076345053</v>
      </c>
      <c r="F12" s="49" t="n">
        <f aca="false">F10/F11</f>
        <v>1.61074077696463</v>
      </c>
      <c r="G12" s="49" t="n">
        <f aca="false">G10/G11</f>
        <v>1.34110994529274</v>
      </c>
      <c r="H12" s="49" t="n">
        <f aca="false">H10/H11</f>
        <v>1.06799158666285</v>
      </c>
    </row>
    <row r="13" customFormat="false" ht="15" hidden="false" customHeight="false" outlineLevel="0" collapsed="false">
      <c r="A13" s="6" t="s">
        <v>443</v>
      </c>
      <c r="C13" s="8" t="n">
        <v>380038.816382312</v>
      </c>
      <c r="D13" s="9" t="n">
        <f aca="false">DCF!D11-Supuestos!$B$93*D5-DCF!D15*(DCF!D11-Supuestos!$B$93*D5)-D8</f>
        <v>433704.39667287</v>
      </c>
      <c r="E13" s="9" t="n">
        <f aca="false">DCF!E11-Supuestos!$B$93*E5-DCF!E15*(DCF!E11-Supuestos!$B$93*E5)-E8</f>
        <v>452377.556664309</v>
      </c>
      <c r="F13" s="9" t="n">
        <f aca="false">DCF!F11-Supuestos!$B$93*F5-DCF!F15*(DCF!F11-Supuestos!$B$93*F5)-F8</f>
        <v>468408.391401517</v>
      </c>
      <c r="G13" s="9" t="n">
        <f aca="false">DCF!G11-Supuestos!$B$93*G5-DCF!G15*(DCF!G11-Supuestos!$B$93*G5)-G8</f>
        <v>481694.359139826</v>
      </c>
      <c r="H13" s="9" t="n">
        <f aca="false">DCF!H11-Supuestos!$B$93*H5-DCF!H15*(DCF!H11-Supuestos!$B$93*H5)-H8</f>
        <v>514555.784646822</v>
      </c>
      <c r="J13" s="2" t="s">
        <v>444</v>
      </c>
    </row>
    <row r="14" customFormat="false" ht="15" hidden="false" customHeight="false" outlineLevel="0" collapsed="false">
      <c r="A14" s="6" t="s">
        <v>445</v>
      </c>
      <c r="C14" s="9" t="n">
        <f aca="false">Supuestos!$B$39*C11-C10</f>
        <v>771057.802488713</v>
      </c>
      <c r="D14" s="9" t="n">
        <f aca="false">Supuestos!$B$39*D11-D10</f>
        <v>861556.648748424</v>
      </c>
      <c r="E14" s="9" t="n">
        <f aca="false">Supuestos!$B$39*E11-E10</f>
        <v>1036630.25759802</v>
      </c>
      <c r="F14" s="9" t="n">
        <f aca="false">Supuestos!$B$39*F11-F10</f>
        <v>1311155.77869976</v>
      </c>
      <c r="G14" s="9" t="n">
        <f aca="false">Supuestos!$B$39*G11-G10</f>
        <v>1577236.93310244</v>
      </c>
      <c r="H14" s="9" t="n">
        <f aca="false">Supuestos!$B$39*H11-H10</f>
        <v>1865004.56161758</v>
      </c>
      <c r="J14" s="2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22" min="4" style="0" width="11"/>
    <col collapsed="false" customWidth="true" hidden="false" outlineLevel="0" max="37" min="23" style="0" width="9"/>
  </cols>
  <sheetData>
    <row r="1" customFormat="false" ht="16.15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3" customFormat="false" ht="15" hidden="false" customHeight="false" outlineLevel="0" collapsed="false">
      <c r="W3" s="2" t="s">
        <v>449</v>
      </c>
    </row>
    <row r="4" customFormat="false" ht="23.85" hidden="false" customHeight="false" outlineLevel="0" collapsed="false">
      <c r="A4" s="50" t="s">
        <v>184</v>
      </c>
      <c r="B4" s="50" t="s">
        <v>450</v>
      </c>
      <c r="C4" s="50" t="s">
        <v>186</v>
      </c>
      <c r="D4" s="50" t="s">
        <v>451</v>
      </c>
      <c r="E4" s="50" t="s">
        <v>452</v>
      </c>
      <c r="F4" s="50" t="s">
        <v>189</v>
      </c>
      <c r="G4" s="50" t="s">
        <v>453</v>
      </c>
      <c r="H4" s="50" t="s">
        <v>454</v>
      </c>
      <c r="I4" s="50" t="s">
        <v>455</v>
      </c>
      <c r="J4" s="50" t="s">
        <v>456</v>
      </c>
      <c r="K4" s="50" t="s">
        <v>457</v>
      </c>
      <c r="L4" s="50" t="s">
        <v>458</v>
      </c>
      <c r="M4" s="50" t="s">
        <v>459</v>
      </c>
      <c r="N4" s="50" t="s">
        <v>460</v>
      </c>
      <c r="O4" s="50" t="s">
        <v>461</v>
      </c>
      <c r="P4" s="50" t="s">
        <v>462</v>
      </c>
      <c r="Q4" s="50" t="s">
        <v>463</v>
      </c>
      <c r="R4" s="50" t="s">
        <v>464</v>
      </c>
      <c r="S4" s="50" t="s">
        <v>465</v>
      </c>
      <c r="T4" s="50" t="s">
        <v>466</v>
      </c>
      <c r="W4" s="2" t="s">
        <v>467</v>
      </c>
      <c r="X4" s="2" t="s">
        <v>468</v>
      </c>
      <c r="Y4" s="2" t="s">
        <v>469</v>
      </c>
      <c r="Z4" s="2" t="s">
        <v>470</v>
      </c>
      <c r="AA4" s="2" t="s">
        <v>471</v>
      </c>
      <c r="AB4" s="2" t="s">
        <v>472</v>
      </c>
      <c r="AC4" s="2" t="s">
        <v>473</v>
      </c>
      <c r="AD4" s="2" t="s">
        <v>474</v>
      </c>
      <c r="AE4" s="2" t="s">
        <v>475</v>
      </c>
      <c r="AF4" s="2" t="s">
        <v>476</v>
      </c>
      <c r="AG4" s="2" t="s">
        <v>477</v>
      </c>
      <c r="AH4" s="2" t="s">
        <v>478</v>
      </c>
      <c r="AI4" s="2" t="s">
        <v>479</v>
      </c>
      <c r="AJ4" s="2" t="s">
        <v>480</v>
      </c>
      <c r="AK4" s="2" t="s">
        <v>481</v>
      </c>
    </row>
    <row r="5" customFormat="false" ht="15" hidden="false" customHeight="false" outlineLevel="0" collapsed="false">
      <c r="A5" s="51" t="str">
        <f aca="false">Datos_BBG!A8</f>
        <v>Mallplaza</v>
      </c>
      <c r="B5" s="52" t="str">
        <f aca="false">Datos_BBG!B8</f>
        <v>MALLPLAZ CI</v>
      </c>
      <c r="C5" s="52" t="str">
        <f aca="false">Datos_BBG!D8</f>
        <v>Chile</v>
      </c>
      <c r="D5" s="6" t="s">
        <v>482</v>
      </c>
      <c r="E5" s="6" t="s">
        <v>162</v>
      </c>
      <c r="F5" s="9" t="n">
        <f aca="false">Datos_BBG!O8*Datos_BBG!S8</f>
        <v>7785450</v>
      </c>
      <c r="G5" s="9" t="n">
        <f aca="false">Datos_BBG!M8*Datos_BBG!S8</f>
        <v>1311568.558</v>
      </c>
      <c r="H5" s="9" t="n">
        <f aca="false">Datos_BBG!N8*Datos_BBG!S8</f>
        <v>50841.428</v>
      </c>
      <c r="I5" s="16" t="n">
        <f aca="false">F5+G5+H5</f>
        <v>9147859.986</v>
      </c>
      <c r="J5" s="9" t="n">
        <f aca="false">Datos_BBG!G8*Datos_BBG!S8</f>
        <v>677333.306</v>
      </c>
      <c r="K5" s="9" t="n">
        <f aca="false">Datos_BBG!H8*Datos_BBG!S8</f>
        <v>544935</v>
      </c>
      <c r="L5" s="9" t="n">
        <f aca="false">Datos_BBG!J8*Datos_BBG!S8</f>
        <v>540372.726</v>
      </c>
      <c r="M5" s="9" t="n">
        <f aca="false">Datos_BBG!K8*Datos_BBG!S8</f>
        <v>1258052.743</v>
      </c>
      <c r="N5" s="9" t="n">
        <f aca="false">Datos_BBG!L8*Datos_BBG!S8</f>
        <v>4820897.848</v>
      </c>
      <c r="O5" s="9" t="n">
        <f aca="false">Datos_BBG!H47*Datos_BBG!S47</f>
        <v>617130.3379</v>
      </c>
      <c r="P5" s="49" t="n">
        <f aca="false">IF(OR(K5&lt;=0),"NM",IF(I5/K5&gt;Supuestos!$B$83,"NM",I5/K5))</f>
        <v>16.7870663216714</v>
      </c>
      <c r="Q5" s="49" t="n">
        <f aca="false">IF(OR(O5&lt;=0),"NM",IF(I5/O5&gt;Supuestos!$B$83,"NM",I5/O5))</f>
        <v>14.8232219746784</v>
      </c>
      <c r="R5" s="49" t="n">
        <f aca="false">IF(OR(L5&lt;=0),"NM",IF(I5/L5&gt;Supuestos!$B$83,"NM",I5/L5))</f>
        <v>16.9287966358243</v>
      </c>
      <c r="S5" s="49" t="n">
        <f aca="false">IF(OR(M5&lt;=0,Datos_BBG!Q8=1),"NM",IF(F5/M5&gt;Supuestos!$B$83,"NM",F5/M5))</f>
        <v>6.18849252809109</v>
      </c>
      <c r="T5" s="49" t="n">
        <f aca="false">IF(OR(N5&lt;=0),"NM",IF(F5/N5&gt;Supuestos!$B$83,"NM",F5/N5))</f>
        <v>1.61493776584166</v>
      </c>
    </row>
    <row r="6" customFormat="false" ht="15" hidden="false" customHeight="false" outlineLevel="0" collapsed="false">
      <c r="A6" s="52" t="str">
        <f aca="false">Datos_BBG!A13</f>
        <v>Parque Arauco</v>
      </c>
      <c r="B6" s="52" t="str">
        <f aca="false">Datos_BBG!B13</f>
        <v>PARAUCO CI</v>
      </c>
      <c r="C6" s="52" t="str">
        <f aca="false">Datos_BBG!D13</f>
        <v>Chile</v>
      </c>
      <c r="D6" s="33" t="n">
        <f aca="false">IF(COUNTIF(WACC!$B$6:$B$12,B6)&gt;0,1,0)</f>
        <v>1</v>
      </c>
      <c r="E6" s="35" t="n">
        <f aca="false">IF(C6="Chile",1,0)</f>
        <v>1</v>
      </c>
      <c r="F6" s="9" t="n">
        <f aca="false">Datos_BBG!O13*Datos_BBG!S13</f>
        <v>3440408.419</v>
      </c>
      <c r="G6" s="9" t="n">
        <f aca="false">Datos_BBG!M13*Datos_BBG!S13</f>
        <v>1602287.611</v>
      </c>
      <c r="H6" s="9" t="n">
        <f aca="false">Datos_BBG!N13*Datos_BBG!S13</f>
        <v>386791.135</v>
      </c>
      <c r="I6" s="16" t="n">
        <f aca="false">F6+G6+H6</f>
        <v>5429487.165</v>
      </c>
      <c r="J6" s="9" t="n">
        <f aca="false">Datos_BBG!G13*Datos_BBG!S13</f>
        <v>416366.832</v>
      </c>
      <c r="K6" s="9" t="n">
        <f aca="false">Datos_BBG!H13*Datos_BBG!S13</f>
        <v>294411</v>
      </c>
      <c r="L6" s="9" t="n">
        <f aca="false">Datos_BBG!J13*Datos_BBG!S13</f>
        <v>289515.61</v>
      </c>
      <c r="M6" s="9" t="n">
        <f aca="false">Datos_BBG!K13*Datos_BBG!S13</f>
        <v>154352.778</v>
      </c>
      <c r="N6" s="9" t="n">
        <f aca="false">Datos_BBG!L13*Datos_BBG!S13</f>
        <v>1961393.215</v>
      </c>
      <c r="O6" s="9" t="n">
        <f aca="false">Datos_BBG!H48*Datos_BBG!S48</f>
        <v>342581.9503</v>
      </c>
      <c r="P6" s="49" t="n">
        <f aca="false">IF(OR(K6&lt;=0),"NM",IF(I6/K6&gt;Supuestos!$B$83,"NM",I6/K6))</f>
        <v>18.441862447395</v>
      </c>
      <c r="Q6" s="49" t="n">
        <f aca="false">IF(OR(O6&lt;=0),"NM",IF(I6/O6&gt;Supuestos!$B$83,"NM",I6/O6))</f>
        <v>15.8487251305721</v>
      </c>
      <c r="R6" s="49" t="n">
        <f aca="false">IF(OR(L6&lt;=0),"NM",IF(I6/L6&gt;Supuestos!$B$83,"NM",I6/L6))</f>
        <v>18.7536940236141</v>
      </c>
      <c r="S6" s="49" t="n">
        <f aca="false">IF(OR(M6&lt;=0,Datos_BBG!Q13=1),"NM",IF(F6/M6&gt;Supuestos!$B$83,"NM",F6/M6))</f>
        <v>22.2892549365066</v>
      </c>
      <c r="T6" s="49" t="n">
        <f aca="false">IF(OR(N6&lt;=0),"NM",IF(F6/N6&gt;Supuestos!$B$83,"NM",F6/N6))</f>
        <v>1.75406358739749</v>
      </c>
      <c r="W6" s="49" t="n">
        <f aca="false">IF(AND(D6=1,ISNUMBER(P6)),P6,"")</f>
        <v>18.441862447395</v>
      </c>
      <c r="X6" s="49" t="n">
        <f aca="false">IF(AND(D6=1,E6=1,ISNUMBER(P6)),P6,"")</f>
        <v>18.441862447395</v>
      </c>
      <c r="Y6" s="49" t="n">
        <f aca="false">IF(AND(D6=1,ISNUMBER(Q6)),Q6,"")</f>
        <v>15.8487251305721</v>
      </c>
      <c r="Z6" s="49" t="n">
        <f aca="false">IF(AND(D6=1,E6=1,ISNUMBER(Q6)),Q6,"")</f>
        <v>15.8487251305721</v>
      </c>
      <c r="AA6" s="49" t="n">
        <f aca="false">IF(AND(D6=1,ISNUMBER(R6)),R6,"")</f>
        <v>18.7536940236141</v>
      </c>
      <c r="AB6" s="49" t="n">
        <f aca="false">IF(AND(D6=1,E6=1,ISNUMBER(R6)),R6,"")</f>
        <v>18.7536940236141</v>
      </c>
      <c r="AC6" s="49" t="n">
        <f aca="false">IF(AND(D6=1,ISNUMBER(S6)),S6,"")</f>
        <v>22.2892549365066</v>
      </c>
      <c r="AD6" s="49" t="n">
        <f aca="false">IF(AND(D6=1,E6=1,ISNUMBER(S6)),S6,"")</f>
        <v>22.2892549365066</v>
      </c>
      <c r="AE6" s="49" t="n">
        <f aca="false">IF(AND(D6=1,ISNUMBER(T6)),T6,"")</f>
        <v>1.75406358739749</v>
      </c>
      <c r="AF6" s="49" t="n">
        <f aca="false">IF(AND(D6=1,E6=1,ISNUMBER(T6)),T6,"")</f>
        <v>1.75406358739749</v>
      </c>
      <c r="AG6" s="49" t="str">
        <f aca="false">IF(AND(D6=1,E6=0,ISNUMBER(P6)),P6,"")</f>
        <v/>
      </c>
      <c r="AH6" s="49" t="str">
        <f aca="false">IF(AND(D6=1,E6=0,ISNUMBER(Q6)),Q6,"")</f>
        <v/>
      </c>
      <c r="AI6" s="49" t="str">
        <f aca="false">IF(AND(D6=1,E6=0,ISNUMBER(R6)),R6,"")</f>
        <v/>
      </c>
      <c r="AJ6" s="49" t="str">
        <f aca="false">IF(AND(D6=1,E6=0,ISNUMBER(S6)),S6,"")</f>
        <v/>
      </c>
      <c r="AK6" s="49" t="str">
        <f aca="false">IF(AND(D6=1,E6=0,ISNUMBER(T6)),T6,"")</f>
        <v/>
      </c>
    </row>
    <row r="7" customFormat="false" ht="15" hidden="false" customHeight="false" outlineLevel="0" collapsed="false">
      <c r="A7" s="52" t="str">
        <f aca="false">Datos_BBG!A18</f>
        <v>Cencosud Shopping</v>
      </c>
      <c r="B7" s="52" t="str">
        <f aca="false">Datos_BBG!B18</f>
        <v>CENCOMAL CI</v>
      </c>
      <c r="C7" s="52" t="str">
        <f aca="false">Datos_BBG!D18</f>
        <v>Chile</v>
      </c>
      <c r="D7" s="33" t="n">
        <f aca="false">IF(COUNTIF(WACC!$B$6:$B$12,B7)&gt;0,1,0)</f>
        <v>1</v>
      </c>
      <c r="E7" s="35" t="n">
        <f aca="false">IF(C7="Chile",1,0)</f>
        <v>1</v>
      </c>
      <c r="F7" s="9" t="n">
        <f aca="false">Datos_BBG!O18*Datos_BBG!S18</f>
        <v>3710182.595</v>
      </c>
      <c r="G7" s="9" t="n">
        <f aca="false">Datos_BBG!M18*Datos_BBG!S18</f>
        <v>852533.941</v>
      </c>
      <c r="H7" s="9" t="n">
        <f aca="false">Datos_BBG!N18*Datos_BBG!S18</f>
        <v>6464.021</v>
      </c>
      <c r="I7" s="16" t="n">
        <f aca="false">F7+G7+H7</f>
        <v>4569180.557</v>
      </c>
      <c r="J7" s="9" t="n">
        <f aca="false">Datos_BBG!G18*Datos_BBG!S18</f>
        <v>390677.946</v>
      </c>
      <c r="K7" s="9" t="n">
        <f aca="false">Datos_BBG!H18*Datos_BBG!S18</f>
        <v>350561.254</v>
      </c>
      <c r="L7" s="9" t="n">
        <f aca="false">Datos_BBG!J18*Datos_BBG!S18</f>
        <v>349975.943</v>
      </c>
      <c r="M7" s="9" t="n">
        <f aca="false">Datos_BBG!K18*Datos_BBG!S18</f>
        <v>353938.282</v>
      </c>
      <c r="N7" s="9" t="n">
        <f aca="false">Datos_BBG!L18*Datos_BBG!S18</f>
        <v>3136456.799</v>
      </c>
      <c r="O7" s="9" t="n">
        <f aca="false">Datos_BBG!H49*Datos_BBG!S49</f>
        <v>392093.8</v>
      </c>
      <c r="P7" s="49" t="n">
        <f aca="false">IF(OR(K7&lt;=0),"NM",IF(I7/K7&gt;Supuestos!$B$83,"NM",I7/K7))</f>
        <v>13.0339006517817</v>
      </c>
      <c r="Q7" s="49" t="n">
        <f aca="false">IF(OR(O7&lt;=0),"NM",IF(I7/O7&gt;Supuestos!$B$83,"NM",I7/O7))</f>
        <v>11.653284385012</v>
      </c>
      <c r="R7" s="49" t="n">
        <f aca="false">IF(OR(L7&lt;=0),"NM",IF(I7/L7&gt;Supuestos!$B$83,"NM",I7/L7))</f>
        <v>13.0556989655715</v>
      </c>
      <c r="S7" s="49" t="n">
        <f aca="false">IF(OR(M7&lt;=0,Datos_BBG!Q18=1),"NM",IF(F7/M7&gt;Supuestos!$B$83,"NM",F7/M7))</f>
        <v>10.4825693734932</v>
      </c>
      <c r="T7" s="49" t="n">
        <f aca="false">IF(OR(N7&lt;=0),"NM",IF(F7/N7&gt;Supuestos!$B$83,"NM",F7/N7))</f>
        <v>1.18292163188185</v>
      </c>
      <c r="W7" s="49" t="n">
        <f aca="false">IF(AND(D7=1,ISNUMBER(P7)),P7,"")</f>
        <v>13.0339006517817</v>
      </c>
      <c r="X7" s="49" t="n">
        <f aca="false">IF(AND(D7=1,E7=1,ISNUMBER(P7)),P7,"")</f>
        <v>13.0339006517817</v>
      </c>
      <c r="Y7" s="49" t="n">
        <f aca="false">IF(AND(D7=1,ISNUMBER(Q7)),Q7,"")</f>
        <v>11.653284385012</v>
      </c>
      <c r="Z7" s="49" t="n">
        <f aca="false">IF(AND(D7=1,E7=1,ISNUMBER(Q7)),Q7,"")</f>
        <v>11.653284385012</v>
      </c>
      <c r="AA7" s="49" t="n">
        <f aca="false">IF(AND(D7=1,ISNUMBER(R7)),R7,"")</f>
        <v>13.0556989655715</v>
      </c>
      <c r="AB7" s="49" t="n">
        <f aca="false">IF(AND(D7=1,E7=1,ISNUMBER(R7)),R7,"")</f>
        <v>13.0556989655715</v>
      </c>
      <c r="AC7" s="49" t="n">
        <f aca="false">IF(AND(D7=1,ISNUMBER(S7)),S7,"")</f>
        <v>10.4825693734932</v>
      </c>
      <c r="AD7" s="49" t="n">
        <f aca="false">IF(AND(D7=1,E7=1,ISNUMBER(S7)),S7,"")</f>
        <v>10.4825693734932</v>
      </c>
      <c r="AE7" s="49" t="n">
        <f aca="false">IF(AND(D7=1,ISNUMBER(T7)),T7,"")</f>
        <v>1.18292163188185</v>
      </c>
      <c r="AF7" s="49" t="n">
        <f aca="false">IF(AND(D7=1,E7=1,ISNUMBER(T7)),T7,"")</f>
        <v>1.18292163188185</v>
      </c>
      <c r="AG7" s="49" t="str">
        <f aca="false">IF(AND(D7=1,E7=0,ISNUMBER(P7)),P7,"")</f>
        <v/>
      </c>
      <c r="AH7" s="49" t="str">
        <f aca="false">IF(AND(D7=1,E7=0,ISNUMBER(Q7)),Q7,"")</f>
        <v/>
      </c>
      <c r="AI7" s="49" t="str">
        <f aca="false">IF(AND(D7=1,E7=0,ISNUMBER(R7)),R7,"")</f>
        <v/>
      </c>
      <c r="AJ7" s="49" t="str">
        <f aca="false">IF(AND(D7=1,E7=0,ISNUMBER(S7)),S7,"")</f>
        <v/>
      </c>
      <c r="AK7" s="49" t="str">
        <f aca="false">IF(AND(D7=1,E7=0,ISNUMBER(T7)),T7,"")</f>
        <v/>
      </c>
    </row>
    <row r="8" customFormat="false" ht="15" hidden="false" customHeight="false" outlineLevel="0" collapsed="false">
      <c r="A8" s="52" t="str">
        <f aca="false">Datos_BBG!A23</f>
        <v>Multiplan</v>
      </c>
      <c r="B8" s="52" t="str">
        <f aca="false">Datos_BBG!B23</f>
        <v>MULT3 BZ</v>
      </c>
      <c r="C8" s="52" t="str">
        <f aca="false">Datos_BBG!D23</f>
        <v>Brasil</v>
      </c>
      <c r="D8" s="33" t="n">
        <f aca="false">IF(COUNTIF(WACC!$B$6:$B$12,B8)&gt;0,1,0)</f>
        <v>1</v>
      </c>
      <c r="E8" s="35" t="n">
        <f aca="false">IF(C8="Chile",1,0)</f>
        <v>0</v>
      </c>
      <c r="F8" s="9" t="n">
        <f aca="false">Datos_BBG!O23*Datos_BBG!S23</f>
        <v>2907890.34768236</v>
      </c>
      <c r="G8" s="9" t="n">
        <f aca="false">Datos_BBG!M23*Datos_BBG!S23</f>
        <v>888983.197853961</v>
      </c>
      <c r="H8" s="9" t="n">
        <f aca="false">Datos_BBG!N23*Datos_BBG!S23</f>
        <v>33.0491768351734</v>
      </c>
      <c r="I8" s="16" t="n">
        <f aca="false">F8+G8+H8</f>
        <v>3796906.59471315</v>
      </c>
      <c r="J8" s="9" t="n">
        <f aca="false">Datos_BBG!G23*Datos_BBG!S23</f>
        <v>570440.404048034</v>
      </c>
      <c r="K8" s="9" t="n">
        <f aca="false">Datos_BBG!H23*Datos_BBG!S23</f>
        <v>421296.078826264</v>
      </c>
      <c r="L8" s="9" t="n">
        <f aca="false">Datos_BBG!J23*Datos_BBG!S23</f>
        <v>397146.062769708</v>
      </c>
      <c r="M8" s="9" t="n">
        <f aca="false">Datos_BBG!K23*Datos_BBG!S23</f>
        <v>247648.3793221</v>
      </c>
      <c r="N8" s="9" t="n">
        <f aca="false">Datos_BBG!L23*Datos_BBG!S23</f>
        <v>1206875.90541933</v>
      </c>
      <c r="O8" s="9" t="n">
        <f aca="false">Datos_BBG!H50*Datos_BBG!S50</f>
        <v>376773.259642812</v>
      </c>
      <c r="P8" s="49" t="n">
        <f aca="false">IF(OR(K8&lt;=0),"NM",IF(I8/K8&gt;Supuestos!$B$83,"NM",I8/K8))</f>
        <v>9.0124422835631</v>
      </c>
      <c r="Q8" s="49" t="n">
        <f aca="false">IF(OR(O8&lt;=0),"NM",IF(I8/O8&gt;Supuestos!$B$83,"NM",I8/O8))</f>
        <v>10.0774311805267</v>
      </c>
      <c r="R8" s="49" t="n">
        <f aca="false">IF(OR(L8&lt;=0),"NM",IF(I8/L8&gt;Supuestos!$B$83,"NM",I8/L8))</f>
        <v>9.56047900420671</v>
      </c>
      <c r="S8" s="49" t="n">
        <f aca="false">IF(OR(M8&lt;=0,Datos_BBG!Q23=1),"NM",IF(F8/M8&gt;Supuestos!$B$83,"NM",F8/M8))</f>
        <v>11.7420124276293</v>
      </c>
      <c r="T8" s="49" t="n">
        <f aca="false">IF(OR(N8&lt;=0),"NM",IF(F8/N8&gt;Supuestos!$B$83,"NM",F8/N8))</f>
        <v>2.40943607758248</v>
      </c>
      <c r="W8" s="49" t="n">
        <f aca="false">IF(AND(D8=1,ISNUMBER(P8)),P8,"")</f>
        <v>9.0124422835631</v>
      </c>
      <c r="X8" s="49" t="str">
        <f aca="false">IF(AND(D8=1,E8=1,ISNUMBER(P8)),P8,"")</f>
        <v/>
      </c>
      <c r="Y8" s="49" t="n">
        <f aca="false">IF(AND(D8=1,ISNUMBER(Q8)),Q8,"")</f>
        <v>10.0774311805267</v>
      </c>
      <c r="Z8" s="49" t="str">
        <f aca="false">IF(AND(D8=1,E8=1,ISNUMBER(Q8)),Q8,"")</f>
        <v/>
      </c>
      <c r="AA8" s="49" t="n">
        <f aca="false">IF(AND(D8=1,ISNUMBER(R8)),R8,"")</f>
        <v>9.56047900420671</v>
      </c>
      <c r="AB8" s="49" t="str">
        <f aca="false">IF(AND(D8=1,E8=1,ISNUMBER(R8)),R8,"")</f>
        <v/>
      </c>
      <c r="AC8" s="49" t="n">
        <f aca="false">IF(AND(D8=1,ISNUMBER(S8)),S8,"")</f>
        <v>11.7420124276293</v>
      </c>
      <c r="AD8" s="49" t="str">
        <f aca="false">IF(AND(D8=1,E8=1,ISNUMBER(S8)),S8,"")</f>
        <v/>
      </c>
      <c r="AE8" s="49" t="n">
        <f aca="false">IF(AND(D8=1,ISNUMBER(T8)),T8,"")</f>
        <v>2.40943607758248</v>
      </c>
      <c r="AF8" s="49" t="str">
        <f aca="false">IF(AND(D8=1,E8=1,ISNUMBER(T8)),T8,"")</f>
        <v/>
      </c>
      <c r="AG8" s="49" t="n">
        <f aca="false">IF(AND(D8=1,E8=0,ISNUMBER(P8)),P8,"")</f>
        <v>9.0124422835631</v>
      </c>
      <c r="AH8" s="49" t="n">
        <f aca="false">IF(AND(D8=1,E8=0,ISNUMBER(Q8)),Q8,"")</f>
        <v>10.0774311805267</v>
      </c>
      <c r="AI8" s="49" t="n">
        <f aca="false">IF(AND(D8=1,E8=0,ISNUMBER(R8)),R8,"")</f>
        <v>9.56047900420671</v>
      </c>
      <c r="AJ8" s="49" t="n">
        <f aca="false">IF(AND(D8=1,E8=0,ISNUMBER(S8)),S8,"")</f>
        <v>11.7420124276293</v>
      </c>
      <c r="AK8" s="49" t="n">
        <f aca="false">IF(AND(D8=1,E8=0,ISNUMBER(T8)),T8,"")</f>
        <v>2.40943607758248</v>
      </c>
    </row>
    <row r="9" customFormat="false" ht="15" hidden="false" customHeight="false" outlineLevel="0" collapsed="false">
      <c r="A9" s="52" t="str">
        <f aca="false">Datos_BBG!A28</f>
        <v>Allos</v>
      </c>
      <c r="B9" s="52" t="str">
        <f aca="false">Datos_BBG!B28</f>
        <v>ALOS3 BZ</v>
      </c>
      <c r="C9" s="52" t="str">
        <f aca="false">Datos_BBG!D28</f>
        <v>Brasil</v>
      </c>
      <c r="D9" s="33" t="n">
        <f aca="false">IF(COUNTIF(WACC!$B$6:$B$12,B9)&gt;0,1,0)</f>
        <v>1</v>
      </c>
      <c r="E9" s="35" t="n">
        <f aca="false">IF(C9="Chile",1,0)</f>
        <v>0</v>
      </c>
      <c r="F9" s="9" t="n">
        <f aca="false">Datos_BBG!O28*Datos_BBG!S28</f>
        <v>2656187.53107496</v>
      </c>
      <c r="G9" s="9" t="n">
        <f aca="false">Datos_BBG!M28*Datos_BBG!S28</f>
        <v>1221640.66983149</v>
      </c>
      <c r="H9" s="9" t="n">
        <f aca="false">Datos_BBG!N28*Datos_BBG!S28</f>
        <v>17188.9661940732</v>
      </c>
      <c r="I9" s="16" t="n">
        <f aca="false">F9+G9+H9</f>
        <v>3895017.16710052</v>
      </c>
      <c r="J9" s="9" t="n">
        <f aca="false">Datos_BBG!G28*Datos_BBG!S28</f>
        <v>524937.582804571</v>
      </c>
      <c r="K9" s="9" t="n">
        <f aca="false">Datos_BBG!H28*Datos_BBG!S28</f>
        <v>388838.750222739</v>
      </c>
      <c r="L9" s="9" t="n">
        <f aca="false">Datos_BBG!J28*Datos_BBG!S28</f>
        <v>276308.446829363</v>
      </c>
      <c r="M9" s="9" t="n">
        <f aca="false">Datos_BBG!K28*Datos_BBG!S28</f>
        <v>166950.149835367</v>
      </c>
      <c r="N9" s="9" t="n">
        <f aca="false">Datos_BBG!L28*Datos_BBG!S28</f>
        <v>2296067.80094519</v>
      </c>
      <c r="O9" s="9" t="n">
        <f aca="false">Datos_BBG!H51*Datos_BBG!S51</f>
        <v>413640.609664195</v>
      </c>
      <c r="P9" s="49" t="n">
        <f aca="false">IF(OR(K9&lt;=0),"NM",IF(I9/K9&gt;Supuestos!$B$83,"NM",I9/K9))</f>
        <v>10.0170499078843</v>
      </c>
      <c r="Q9" s="49" t="n">
        <f aca="false">IF(OR(O9&lt;=0),"NM",IF(I9/O9&gt;Supuestos!$B$83,"NM",I9/O9))</f>
        <v>9.41642835857583</v>
      </c>
      <c r="R9" s="49" t="n">
        <f aca="false">IF(OR(L9&lt;=0),"NM",IF(I9/L9&gt;Supuestos!$B$83,"NM",I9/L9))</f>
        <v>14.0966271997683</v>
      </c>
      <c r="S9" s="49" t="n">
        <f aca="false">IF(OR(M9&lt;=0,Datos_BBG!Q28=1),"NM",IF(F9/M9&gt;Supuestos!$B$83,"NM",F9/M9))</f>
        <v>15.9100637746913</v>
      </c>
      <c r="T9" s="49" t="n">
        <f aca="false">IF(OR(N9&lt;=0),"NM",IF(F9/N9&gt;Supuestos!$B$83,"NM",F9/N9))</f>
        <v>1.15684194080921</v>
      </c>
      <c r="W9" s="49" t="n">
        <f aca="false">IF(AND(D9=1,ISNUMBER(P9)),P9,"")</f>
        <v>10.0170499078843</v>
      </c>
      <c r="X9" s="49" t="str">
        <f aca="false">IF(AND(D9=1,E9=1,ISNUMBER(P9)),P9,"")</f>
        <v/>
      </c>
      <c r="Y9" s="49" t="n">
        <f aca="false">IF(AND(D9=1,ISNUMBER(Q9)),Q9,"")</f>
        <v>9.41642835857583</v>
      </c>
      <c r="Z9" s="49" t="str">
        <f aca="false">IF(AND(D9=1,E9=1,ISNUMBER(Q9)),Q9,"")</f>
        <v/>
      </c>
      <c r="AA9" s="49" t="n">
        <f aca="false">IF(AND(D9=1,ISNUMBER(R9)),R9,"")</f>
        <v>14.0966271997683</v>
      </c>
      <c r="AB9" s="49" t="str">
        <f aca="false">IF(AND(D9=1,E9=1,ISNUMBER(R9)),R9,"")</f>
        <v/>
      </c>
      <c r="AC9" s="49" t="n">
        <f aca="false">IF(AND(D9=1,ISNUMBER(S9)),S9,"")</f>
        <v>15.9100637746913</v>
      </c>
      <c r="AD9" s="49" t="str">
        <f aca="false">IF(AND(D9=1,E9=1,ISNUMBER(S9)),S9,"")</f>
        <v/>
      </c>
      <c r="AE9" s="49" t="n">
        <f aca="false">IF(AND(D9=1,ISNUMBER(T9)),T9,"")</f>
        <v>1.15684194080921</v>
      </c>
      <c r="AF9" s="49" t="str">
        <f aca="false">IF(AND(D9=1,E9=1,ISNUMBER(T9)),T9,"")</f>
        <v/>
      </c>
      <c r="AG9" s="49" t="n">
        <f aca="false">IF(AND(D9=1,E9=0,ISNUMBER(P9)),P9,"")</f>
        <v>10.0170499078843</v>
      </c>
      <c r="AH9" s="49" t="n">
        <f aca="false">IF(AND(D9=1,E9=0,ISNUMBER(Q9)),Q9,"")</f>
        <v>9.41642835857583</v>
      </c>
      <c r="AI9" s="49" t="n">
        <f aca="false">IF(AND(D9=1,E9=0,ISNUMBER(R9)),R9,"")</f>
        <v>14.0966271997683</v>
      </c>
      <c r="AJ9" s="49" t="n">
        <f aca="false">IF(AND(D9=1,E9=0,ISNUMBER(S9)),S9,"")</f>
        <v>15.9100637746913</v>
      </c>
      <c r="AK9" s="49" t="n">
        <f aca="false">IF(AND(D9=1,E9=0,ISNUMBER(T9)),T9,"")</f>
        <v>1.15684194080921</v>
      </c>
    </row>
    <row r="10" customFormat="false" ht="15" hidden="false" customHeight="false" outlineLevel="0" collapsed="false">
      <c r="A10" s="52" t="str">
        <f aca="false">Datos_BBG!A33</f>
        <v>Iguatemi</v>
      </c>
      <c r="B10" s="52" t="str">
        <f aca="false">Datos_BBG!B33</f>
        <v>IGTI11 BZ</v>
      </c>
      <c r="C10" s="52" t="str">
        <f aca="false">Datos_BBG!D33</f>
        <v>Brasil</v>
      </c>
      <c r="D10" s="33" t="n">
        <f aca="false">IF(COUNTIF(WACC!$B$6:$B$12,B10)&gt;0,1,0)</f>
        <v>1</v>
      </c>
      <c r="E10" s="35" t="n">
        <f aca="false">IF(C10="Chile",1,0)</f>
        <v>0</v>
      </c>
      <c r="F10" s="9" t="n">
        <f aca="false">Datos_BBG!O33*Datos_BBG!S33</f>
        <v>1381189.73341313</v>
      </c>
      <c r="G10" s="9" t="n">
        <f aca="false">Datos_BBG!M33*Datos_BBG!S33</f>
        <v>382047.948282007</v>
      </c>
      <c r="H10" s="9" t="n">
        <f aca="false">Datos_BBG!N33*Datos_BBG!S33</f>
        <v>38.9444354057718</v>
      </c>
      <c r="I10" s="16" t="n">
        <f aca="false">F10+G10+H10</f>
        <v>1763276.62613054</v>
      </c>
      <c r="J10" s="9" t="n">
        <f aca="false">Datos_BBG!G33*Datos_BBG!S33</f>
        <v>272862.757516948</v>
      </c>
      <c r="K10" s="9" t="n">
        <f aca="false">Datos_BBG!H33*Datos_BBG!S33</f>
        <v>201422.94229324</v>
      </c>
      <c r="L10" s="9" t="n">
        <f aca="false">Datos_BBG!J33*Datos_BBG!S33</f>
        <v>178237.783556072</v>
      </c>
      <c r="M10" s="9" t="n">
        <f aca="false">Datos_BBG!K33*Datos_BBG!S33</f>
        <v>114077.004869262</v>
      </c>
      <c r="N10" s="9" t="n">
        <f aca="false">Datos_BBG!L33*Datos_BBG!S33</f>
        <v>881991.063900833</v>
      </c>
      <c r="O10" s="9" t="n">
        <f aca="false">Datos_BBG!H52*Datos_BBG!S52</f>
        <v>238273.430267314</v>
      </c>
      <c r="P10" s="49" t="n">
        <f aca="false">IF(OR(K10&lt;=0),"NM",IF(I10/K10&gt;Supuestos!$B$83,"NM",I10/K10))</f>
        <v>8.75410023334625</v>
      </c>
      <c r="Q10" s="49" t="n">
        <f aca="false">IF(OR(O10&lt;=0),"NM",IF(I10/O10&gt;Supuestos!$B$83,"NM",I10/O10))</f>
        <v>7.40022344980875</v>
      </c>
      <c r="R10" s="49" t="n">
        <f aca="false">IF(OR(L10&lt;=0),"NM",IF(I10/L10&gt;Supuestos!$B$83,"NM",I10/L10))</f>
        <v>9.89283299506377</v>
      </c>
      <c r="S10" s="49" t="n">
        <f aca="false">IF(OR(M10&lt;=0,Datos_BBG!Q33=1),"NM",IF(F10/M10&gt;Supuestos!$B$83,"NM",F10/M10))</f>
        <v>12.1075210117591</v>
      </c>
      <c r="T10" s="49" t="n">
        <f aca="false">IF(OR(N10&lt;=0),"NM",IF(F10/N10&gt;Supuestos!$B$83,"NM",F10/N10))</f>
        <v>1.56599062047688</v>
      </c>
      <c r="W10" s="49" t="n">
        <f aca="false">IF(AND(D10=1,ISNUMBER(P10)),P10,"")</f>
        <v>8.75410023334625</v>
      </c>
      <c r="X10" s="49" t="str">
        <f aca="false">IF(AND(D10=1,E10=1,ISNUMBER(P10)),P10,"")</f>
        <v/>
      </c>
      <c r="Y10" s="49" t="n">
        <f aca="false">IF(AND(D10=1,ISNUMBER(Q10)),Q10,"")</f>
        <v>7.40022344980875</v>
      </c>
      <c r="Z10" s="49" t="str">
        <f aca="false">IF(AND(D10=1,E10=1,ISNUMBER(Q10)),Q10,"")</f>
        <v/>
      </c>
      <c r="AA10" s="49" t="n">
        <f aca="false">IF(AND(D10=1,ISNUMBER(R10)),R10,"")</f>
        <v>9.89283299506377</v>
      </c>
      <c r="AB10" s="49" t="str">
        <f aca="false">IF(AND(D10=1,E10=1,ISNUMBER(R10)),R10,"")</f>
        <v/>
      </c>
      <c r="AC10" s="49" t="n">
        <f aca="false">IF(AND(D10=1,ISNUMBER(S10)),S10,"")</f>
        <v>12.1075210117591</v>
      </c>
      <c r="AD10" s="49" t="str">
        <f aca="false">IF(AND(D10=1,E10=1,ISNUMBER(S10)),S10,"")</f>
        <v/>
      </c>
      <c r="AE10" s="49" t="n">
        <f aca="false">IF(AND(D10=1,ISNUMBER(T10)),T10,"")</f>
        <v>1.56599062047688</v>
      </c>
      <c r="AF10" s="49" t="str">
        <f aca="false">IF(AND(D10=1,E10=1,ISNUMBER(T10)),T10,"")</f>
        <v/>
      </c>
      <c r="AG10" s="49" t="n">
        <f aca="false">IF(AND(D10=1,E10=0,ISNUMBER(P10)),P10,"")</f>
        <v>8.75410023334625</v>
      </c>
      <c r="AH10" s="49" t="n">
        <f aca="false">IF(AND(D10=1,E10=0,ISNUMBER(Q10)),Q10,"")</f>
        <v>7.40022344980875</v>
      </c>
      <c r="AI10" s="49" t="n">
        <f aca="false">IF(AND(D10=1,E10=0,ISNUMBER(R10)),R10,"")</f>
        <v>9.89283299506377</v>
      </c>
      <c r="AJ10" s="49" t="n">
        <f aca="false">IF(AND(D10=1,E10=0,ISNUMBER(S10)),S10,"")</f>
        <v>12.1075210117591</v>
      </c>
      <c r="AK10" s="49" t="n">
        <f aca="false">IF(AND(D10=1,E10=0,ISNUMBER(T10)),T10,"")</f>
        <v>1.56599062047688</v>
      </c>
    </row>
    <row r="11" customFormat="false" ht="15" hidden="false" customHeight="false" outlineLevel="0" collapsed="false">
      <c r="A11" s="52" t="str">
        <f aca="false">Datos_BBG!A38</f>
        <v>IRSA</v>
      </c>
      <c r="B11" s="52" t="str">
        <f aca="false">Datos_BBG!B38</f>
        <v>IRSA AR</v>
      </c>
      <c r="C11" s="52" t="str">
        <f aca="false">Datos_BBG!D38</f>
        <v>Argentina</v>
      </c>
      <c r="D11" s="33" t="n">
        <f aca="false">IF(COUNTIF(WACC!$B$6:$B$12,B11)&gt;0,1,0)</f>
        <v>1</v>
      </c>
      <c r="E11" s="35" t="n">
        <f aca="false">IF(C11="Chile",1,0)</f>
        <v>0</v>
      </c>
      <c r="F11" s="9" t="n">
        <f aca="false">Datos_BBG!O38*Datos_BBG!S38</f>
        <v>1140416.45830563</v>
      </c>
      <c r="G11" s="9" t="n">
        <f aca="false">Datos_BBG!M38*Datos_BBG!S38</f>
        <v>561235.176936572</v>
      </c>
      <c r="H11" s="9" t="n">
        <f aca="false">Datos_BBG!N38*Datos_BBG!S38</f>
        <v>87538.9035357625</v>
      </c>
      <c r="I11" s="16" t="n">
        <f aca="false">F11+G11+H11</f>
        <v>1789190.53877796</v>
      </c>
      <c r="J11" s="9" t="n">
        <f aca="false">Datos_BBG!G38*Datos_BBG!S38</f>
        <v>409298.643967611</v>
      </c>
      <c r="K11" s="9" t="n">
        <f aca="false">Datos_BBG!H38*Datos_BBG!S38</f>
        <v>145686.203093304</v>
      </c>
      <c r="L11" s="9" t="n">
        <f aca="false">Datos_BBG!J38*Datos_BBG!S38</f>
        <v>135134.942757649</v>
      </c>
      <c r="M11" s="9" t="n">
        <f aca="false">Datos_BBG!K38*Datos_BBG!S38</f>
        <v>244905.542105263</v>
      </c>
      <c r="N11" s="9" t="n">
        <f aca="false">Datos_BBG!L38*Datos_BBG!S38</f>
        <v>1418831.51441296</v>
      </c>
      <c r="O11" s="9" t="n">
        <f aca="false">Datos_BBG!H53*Datos_BBG!S53</f>
        <v>286774.755708795</v>
      </c>
      <c r="P11" s="49" t="n">
        <f aca="false">IF(OR(K11&lt;=0),"NM",IF(I11/K11&gt;Supuestos!$B$83,"NM",I11/K11))</f>
        <v>12.2811254654779</v>
      </c>
      <c r="Q11" s="49" t="n">
        <f aca="false">IF(OR(O11&lt;=0),"NM",IF(I11/O11&gt;Supuestos!$B$83,"NM",I11/O11))</f>
        <v>6.23900989595749</v>
      </c>
      <c r="R11" s="49" t="n">
        <f aca="false">IF(OR(L11&lt;=0),"NM",IF(I11/L11&gt;Supuestos!$B$83,"NM",I11/L11))</f>
        <v>13.2400288353746</v>
      </c>
      <c r="S11" s="49" t="n">
        <f aca="false">IF(OR(M11&lt;=0,Datos_BBG!Q38=1),"NM",IF(F11/M11&gt;Supuestos!$B$83,"NM",F11/M11))</f>
        <v>4.65655635434932</v>
      </c>
      <c r="T11" s="49" t="n">
        <f aca="false">IF(OR(N11&lt;=0),"NM",IF(F11/N11&gt;Supuestos!$B$83,"NM",F11/N11))</f>
        <v>0.803771587197566</v>
      </c>
      <c r="W11" s="49" t="n">
        <f aca="false">IF(AND(D11=1,ISNUMBER(P11)),P11,"")</f>
        <v>12.2811254654779</v>
      </c>
      <c r="X11" s="49" t="str">
        <f aca="false">IF(AND(D11=1,E11=1,ISNUMBER(P11)),P11,"")</f>
        <v/>
      </c>
      <c r="Y11" s="49" t="n">
        <f aca="false">IF(AND(D11=1,ISNUMBER(Q11)),Q11,"")</f>
        <v>6.23900989595749</v>
      </c>
      <c r="Z11" s="49" t="str">
        <f aca="false">IF(AND(D11=1,E11=1,ISNUMBER(Q11)),Q11,"")</f>
        <v/>
      </c>
      <c r="AA11" s="49" t="n">
        <f aca="false">IF(AND(D11=1,ISNUMBER(R11)),R11,"")</f>
        <v>13.2400288353746</v>
      </c>
      <c r="AB11" s="49" t="str">
        <f aca="false">IF(AND(D11=1,E11=1,ISNUMBER(R11)),R11,"")</f>
        <v/>
      </c>
      <c r="AC11" s="49" t="n">
        <f aca="false">IF(AND(D11=1,ISNUMBER(S11)),S11,"")</f>
        <v>4.65655635434932</v>
      </c>
      <c r="AD11" s="49" t="str">
        <f aca="false">IF(AND(D11=1,E11=1,ISNUMBER(S11)),S11,"")</f>
        <v/>
      </c>
      <c r="AE11" s="49" t="n">
        <f aca="false">IF(AND(D11=1,ISNUMBER(T11)),T11,"")</f>
        <v>0.803771587197566</v>
      </c>
      <c r="AF11" s="49" t="str">
        <f aca="false">IF(AND(D11=1,E11=1,ISNUMBER(T11)),T11,"")</f>
        <v/>
      </c>
      <c r="AG11" s="49" t="n">
        <f aca="false">IF(AND(D11=1,E11=0,ISNUMBER(P11)),P11,"")</f>
        <v>12.2811254654779</v>
      </c>
      <c r="AH11" s="49" t="n">
        <f aca="false">IF(AND(D11=1,E11=0,ISNUMBER(Q11)),Q11,"")</f>
        <v>6.23900989595749</v>
      </c>
      <c r="AI11" s="49" t="n">
        <f aca="false">IF(AND(D11=1,E11=0,ISNUMBER(R11)),R11,"")</f>
        <v>13.2400288353746</v>
      </c>
      <c r="AJ11" s="49" t="n">
        <f aca="false">IF(AND(D11=1,E11=0,ISNUMBER(S11)),S11,"")</f>
        <v>4.65655635434932</v>
      </c>
      <c r="AK11" s="49" t="n">
        <f aca="false">IF(AND(D11=1,E11=0,ISNUMBER(T11)),T11,"")</f>
        <v>0.803771587197566</v>
      </c>
    </row>
    <row r="12" customFormat="false" ht="15" hidden="false" customHeight="false" outlineLevel="0" collapsed="false">
      <c r="A12" s="52" t="str">
        <f aca="false">Datos_BBG!A43</f>
        <v>Fibra Danhos</v>
      </c>
      <c r="B12" s="52" t="str">
        <f aca="false">Datos_BBG!B43</f>
        <v>DANHOS13 MM</v>
      </c>
      <c r="C12" s="52" t="str">
        <f aca="false">Datos_BBG!D43</f>
        <v>México</v>
      </c>
      <c r="D12" s="33" t="n">
        <f aca="false">IF(COUNTIF(WACC!$B$6:$B$12,B12)&gt;0,1,0)</f>
        <v>0</v>
      </c>
      <c r="E12" s="35" t="n">
        <f aca="false">IF(C12="Chile",1,0)</f>
        <v>0</v>
      </c>
      <c r="F12" s="9" t="n">
        <f aca="false">Datos_BBG!O43*Datos_BBG!S43</f>
        <v>2383999.42133005</v>
      </c>
      <c r="G12" s="9" t="n">
        <f aca="false">Datos_BBG!M43*Datos_BBG!S43</f>
        <v>618003.431527094</v>
      </c>
      <c r="H12" s="9" t="n">
        <f aca="false">Datos_BBG!N43*Datos_BBG!S43</f>
        <v>155940.903940887</v>
      </c>
      <c r="I12" s="16" t="n">
        <f aca="false">F12+G12+H12</f>
        <v>3157943.75679803</v>
      </c>
      <c r="J12" s="9" t="n">
        <f aca="false">Datos_BBG!G43*Datos_BBG!S43</f>
        <v>417411.607746798</v>
      </c>
      <c r="K12" s="9" t="n">
        <f aca="false">Datos_BBG!H43*Datos_BBG!S43</f>
        <v>277625.057532512</v>
      </c>
      <c r="L12" s="9" t="n">
        <f aca="false">Datos_BBG!J43*Datos_BBG!S43</f>
        <v>276925.518730542</v>
      </c>
      <c r="M12" s="9" t="n">
        <f aca="false">Datos_BBG!K43*Datos_BBG!S43</f>
        <v>301542.114937931</v>
      </c>
      <c r="N12" s="9" t="n">
        <f aca="false">Datos_BBG!L43*Datos_BBG!S43</f>
        <v>3445417.07783251</v>
      </c>
      <c r="O12" s="9" t="n">
        <f aca="false">Datos_BBG!H54*Datos_BBG!S54</f>
        <v>313368.815924631</v>
      </c>
      <c r="P12" s="49" t="n">
        <f aca="false">IF(OR(K12&lt;=0),"NM",IF(I12/K12&gt;Supuestos!$B$83,"NM",I12/K12))</f>
        <v>11.3748513367826</v>
      </c>
      <c r="Q12" s="49" t="n">
        <f aca="false">IF(OR(O12&lt;=0),"NM",IF(I12/O12&gt;Supuestos!$B$83,"NM",I12/O12))</f>
        <v>10.0774027162855</v>
      </c>
      <c r="R12" s="49" t="n">
        <f aca="false">IF(OR(L12&lt;=0),"NM",IF(I12/L12&gt;Supuestos!$B$83,"NM",I12/L12))</f>
        <v>11.40358523575</v>
      </c>
      <c r="S12" s="49" t="n">
        <f aca="false">IF(OR(M12&lt;=0,Datos_BBG!Q43=1),"NM",IF(F12/M12&gt;Supuestos!$B$83,"NM",F12/M12))</f>
        <v>7.90602474158798</v>
      </c>
      <c r="T12" s="49" t="n">
        <f aca="false">IF(OR(N12&lt;=0),"NM",IF(F12/N12&gt;Supuestos!$B$83,"NM",F12/N12))</f>
        <v>0.691933477856274</v>
      </c>
      <c r="W12" s="49" t="str">
        <f aca="false">IF(AND(D12=1,ISNUMBER(P12)),P12,"")</f>
        <v/>
      </c>
      <c r="X12" s="49" t="str">
        <f aca="false">IF(AND(D12=1,E12=1,ISNUMBER(P12)),P12,"")</f>
        <v/>
      </c>
      <c r="Y12" s="49" t="str">
        <f aca="false">IF(AND(D12=1,ISNUMBER(Q12)),Q12,"")</f>
        <v/>
      </c>
      <c r="Z12" s="49" t="str">
        <f aca="false">IF(AND(D12=1,E12=1,ISNUMBER(Q12)),Q12,"")</f>
        <v/>
      </c>
      <c r="AA12" s="49" t="str">
        <f aca="false">IF(AND(D12=1,ISNUMBER(R12)),R12,"")</f>
        <v/>
      </c>
      <c r="AB12" s="49" t="str">
        <f aca="false">IF(AND(D12=1,E12=1,ISNUMBER(R12)),R12,"")</f>
        <v/>
      </c>
      <c r="AC12" s="49" t="str">
        <f aca="false">IF(AND(D12=1,ISNUMBER(S12)),S12,"")</f>
        <v/>
      </c>
      <c r="AD12" s="49" t="str">
        <f aca="false">IF(AND(D12=1,E12=1,ISNUMBER(S12)),S12,"")</f>
        <v/>
      </c>
      <c r="AE12" s="49" t="str">
        <f aca="false">IF(AND(D12=1,ISNUMBER(T12)),T12,"")</f>
        <v/>
      </c>
      <c r="AF12" s="49" t="str">
        <f aca="false">IF(AND(D12=1,E12=1,ISNUMBER(T12)),T12,"")</f>
        <v/>
      </c>
      <c r="AG12" s="49" t="str">
        <f aca="false">IF(AND(D12=1,E12=0,ISNUMBER(P12)),P12,"")</f>
        <v/>
      </c>
      <c r="AH12" s="49" t="str">
        <f aca="false">IF(AND(D12=1,E12=0,ISNUMBER(Q12)),Q12,"")</f>
        <v/>
      </c>
      <c r="AI12" s="49" t="str">
        <f aca="false">IF(AND(D12=1,E12=0,ISNUMBER(R12)),R12,"")</f>
        <v/>
      </c>
      <c r="AJ12" s="49" t="str">
        <f aca="false">IF(AND(D12=1,E12=0,ISNUMBER(S12)),S12,"")</f>
        <v/>
      </c>
      <c r="AK12" s="49" t="str">
        <f aca="false">IF(AND(D12=1,E12=0,ISNUMBER(T12)),T12,"")</f>
        <v/>
      </c>
    </row>
    <row r="14" customFormat="false" ht="15" hidden="false" customHeight="false" outlineLevel="0" collapsed="false">
      <c r="A14" s="4" t="s">
        <v>483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6" t="s">
        <v>484</v>
      </c>
      <c r="P15" s="49" t="n">
        <f aca="false">IFERROR(MEDIAN(W6:W12),"NM")</f>
        <v>11.1490876866811</v>
      </c>
      <c r="Q15" s="49" t="n">
        <f aca="false">IFERROR(MEDIAN(Y6:Y12),"NM")</f>
        <v>9.74692976955125</v>
      </c>
      <c r="R15" s="49" t="n">
        <f aca="false">IFERROR(MEDIAN(AA6:AA12),"NM")</f>
        <v>13.147863900473</v>
      </c>
      <c r="S15" s="49" t="n">
        <f aca="false">IFERROR(MEDIAN(AC6:AC12),"NM")</f>
        <v>11.9247667196942</v>
      </c>
      <c r="T15" s="49" t="n">
        <f aca="false">IFERROR(MEDIAN(AE6:AE12),"NM")</f>
        <v>1.37445612617937</v>
      </c>
    </row>
    <row r="16" customFormat="false" ht="15" hidden="false" customHeight="false" outlineLevel="0" collapsed="false">
      <c r="A16" s="6" t="s">
        <v>485</v>
      </c>
      <c r="P16" s="49" t="n">
        <f aca="false">IFERROR(MEDIAN(X6:X12),"NM")</f>
        <v>15.7378815495883</v>
      </c>
      <c r="Q16" s="49" t="n">
        <f aca="false">IFERROR(MEDIAN(Z6:Z12),"NM")</f>
        <v>13.751004757792</v>
      </c>
      <c r="R16" s="49" t="n">
        <f aca="false">IFERROR(MEDIAN(AB6:AB12),"NM")</f>
        <v>15.9046964945928</v>
      </c>
      <c r="S16" s="49" t="n">
        <f aca="false">IFERROR(MEDIAN(AD6:AD12),"NM")</f>
        <v>16.3859121549999</v>
      </c>
      <c r="T16" s="49" t="n">
        <f aca="false">IFERROR(MEDIAN(AF6:AF12),"NM")</f>
        <v>1.46849260963967</v>
      </c>
    </row>
    <row r="17" customFormat="false" ht="15" hidden="false" customHeight="false" outlineLevel="0" collapsed="false">
      <c r="A17" s="6" t="s">
        <v>486</v>
      </c>
      <c r="P17" s="49" t="n">
        <f aca="false">IFERROR(MEDIAN(AG6:AG12),"NM")</f>
        <v>9.51474609572369</v>
      </c>
      <c r="Q17" s="49" t="n">
        <f aca="false">IFERROR(MEDIAN(AH6:AH12),"NM")</f>
        <v>8.40832590419229</v>
      </c>
      <c r="R17" s="49" t="n">
        <f aca="false">IFERROR(MEDIAN(AI6:AI12),"NM")</f>
        <v>11.5664309152192</v>
      </c>
      <c r="S17" s="49" t="n">
        <f aca="false">IFERROR(MEDIAN(AJ6:AJ12),"NM")</f>
        <v>11.9247667196942</v>
      </c>
      <c r="T17" s="49" t="n">
        <f aca="false">IFERROR(MEDIAN(AK6:AK12),"NM")</f>
        <v>1.36141628064305</v>
      </c>
    </row>
    <row r="18" customFormat="false" ht="15" hidden="false" customHeight="false" outlineLevel="0" collapsed="false">
      <c r="A18" s="34" t="s">
        <v>487</v>
      </c>
      <c r="P18" s="53" t="n">
        <f aca="false">IFERROR(Supuestos!$B$82*P16+(1-Supuestos!$B$82)*P15,"NM")</f>
        <v>14.3612433907162</v>
      </c>
      <c r="Q18" s="53" t="n">
        <f aca="false">IFERROR(Supuestos!$B$82*Q16+(1-Supuestos!$B$82)*Q15,"NM")</f>
        <v>12.5497822613198</v>
      </c>
      <c r="R18" s="53" t="n">
        <f aca="false">IFERROR(Supuestos!$B$82*R16+(1-Supuestos!$B$82)*R15,"NM")</f>
        <v>15.0776467163569</v>
      </c>
      <c r="S18" s="53" t="n">
        <f aca="false">IFERROR(Supuestos!$B$82*S16+(1-Supuestos!$B$82)*S15,"NM")</f>
        <v>15.0475685244082</v>
      </c>
      <c r="T18" s="53" t="n">
        <f aca="false">IFERROR(Supuestos!$B$82*T16+(1-Supuestos!$B$82)*T15,"NM")</f>
        <v>1.44028166460158</v>
      </c>
    </row>
    <row r="19" customFormat="false" ht="15" hidden="false" customHeight="false" outlineLevel="0" collapsed="false">
      <c r="A19" s="6" t="s">
        <v>488</v>
      </c>
      <c r="P19" s="35" t="n">
        <f aca="false">COUNT(W6:W12)</f>
        <v>6</v>
      </c>
      <c r="Q19" s="35" t="n">
        <f aca="false">COUNT(Y6:Y12)</f>
        <v>6</v>
      </c>
      <c r="R19" s="35" t="n">
        <f aca="false">COUNT(AA6:AA12)</f>
        <v>6</v>
      </c>
      <c r="S19" s="35" t="n">
        <f aca="false">COUNT(AC6:AC12)</f>
        <v>6</v>
      </c>
      <c r="T19" s="35" t="n">
        <f aca="false">COUNT(AE6:AE12)</f>
        <v>6</v>
      </c>
    </row>
    <row r="20" customFormat="false" ht="15" hidden="false" customHeight="false" outlineLevel="0" collapsed="false">
      <c r="A20" s="6" t="s">
        <v>489</v>
      </c>
      <c r="P20" s="23" t="n">
        <f aca="false">IFERROR(P5/P18-1,"NM")</f>
        <v>0.16891454764449</v>
      </c>
      <c r="Q20" s="23" t="n">
        <f aca="false">IFERROR(Q5/Q18-1,"NM")</f>
        <v>0.181153717731478</v>
      </c>
      <c r="R20" s="23" t="n">
        <f aca="false">IFERROR(R5/R18-1,"NM")</f>
        <v>0.122774459057938</v>
      </c>
      <c r="S20" s="23" t="n">
        <f aca="false">IFERROR(S5/S18-1,"NM")</f>
        <v>-0.588738039766828</v>
      </c>
      <c r="T20" s="23" t="n">
        <f aca="false">IFERROR(T5/T18-1,"NM")</f>
        <v>0.121265239662964</v>
      </c>
    </row>
    <row r="22" customFormat="false" ht="15" hidden="false" customHeight="false" outlineLevel="0" collapsed="false">
      <c r="A22" s="2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5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491</v>
      </c>
    </row>
    <row r="3" customFormat="false" ht="15" hidden="false" customHeight="false" outlineLevel="0" collapsed="false">
      <c r="A3" s="4" t="s">
        <v>492</v>
      </c>
      <c r="B3" s="5"/>
      <c r="C3" s="5"/>
      <c r="D3" s="5"/>
      <c r="E3" s="5"/>
    </row>
    <row r="4" customFormat="false" ht="15" hidden="false" customHeight="false" outlineLevel="0" collapsed="false">
      <c r="A4" s="34" t="s">
        <v>493</v>
      </c>
      <c r="B4" s="34" t="s">
        <v>494</v>
      </c>
      <c r="C4" s="34" t="s">
        <v>495</v>
      </c>
      <c r="D4" s="34" t="s">
        <v>496</v>
      </c>
    </row>
    <row r="5" customFormat="false" ht="15" hidden="false" customHeight="false" outlineLevel="0" collapsed="false">
      <c r="A5" s="6" t="s">
        <v>497</v>
      </c>
      <c r="B5" s="48" t="n">
        <f aca="false">Comparables!P18</f>
        <v>14.3612433907162</v>
      </c>
      <c r="C5" s="9" t="n">
        <f aca="false">Comparables!K5</f>
        <v>544935</v>
      </c>
      <c r="D5" s="9" t="n">
        <f aca="false">IFERROR((B5*C5-Supuestos!$B$15-Supuestos!$B$12)/Supuestos!$B$10,"NM")</f>
        <v>2951.3856662648</v>
      </c>
      <c r="E5" s="2" t="s">
        <v>498</v>
      </c>
    </row>
    <row r="6" customFormat="false" ht="15" hidden="false" customHeight="false" outlineLevel="0" collapsed="false">
      <c r="A6" s="6" t="s">
        <v>463</v>
      </c>
      <c r="B6" s="48" t="n">
        <f aca="false">Comparables!Q18</f>
        <v>12.5497822613198</v>
      </c>
      <c r="C6" s="9" t="n">
        <f aca="false">Comparables!O5</f>
        <v>617130.3379</v>
      </c>
      <c r="D6" s="9" t="n">
        <f aca="false">IFERROR((B6*C6-Supuestos!$B$15-Supuestos!$B$12)/Supuestos!$B$10,"NM")</f>
        <v>2914.35699063913</v>
      </c>
    </row>
    <row r="7" customFormat="false" ht="15" hidden="false" customHeight="false" outlineLevel="0" collapsed="false">
      <c r="A7" s="6" t="s">
        <v>464</v>
      </c>
      <c r="B7" s="48" t="n">
        <f aca="false">Comparables!R18</f>
        <v>15.0776467163569</v>
      </c>
      <c r="C7" s="9" t="n">
        <f aca="false">Comparables!L5</f>
        <v>540372.726</v>
      </c>
      <c r="D7" s="9" t="n">
        <f aca="false">IFERROR((B7*C7-Supuestos!$B$15-Supuestos!$B$12)/Supuestos!$B$10,"NM")</f>
        <v>3098.23721451265</v>
      </c>
    </row>
    <row r="8" customFormat="false" ht="15" hidden="false" customHeight="false" outlineLevel="0" collapsed="false">
      <c r="A8" s="6" t="s">
        <v>499</v>
      </c>
      <c r="B8" s="48" t="n">
        <f aca="false">Comparables!S18</f>
        <v>15.0475685244082</v>
      </c>
      <c r="C8" s="9" t="n">
        <f aca="false">Comparables!M5</f>
        <v>1258052.743</v>
      </c>
      <c r="D8" s="9" t="n">
        <f aca="false">IFERROR(B8*C8/Supuestos!$B$10,"NM")</f>
        <v>8644.12550575898</v>
      </c>
    </row>
    <row r="9" customFormat="false" ht="15" hidden="false" customHeight="false" outlineLevel="0" collapsed="false">
      <c r="A9" s="6" t="s">
        <v>500</v>
      </c>
      <c r="B9" s="48" t="n">
        <f aca="false">Comparables!T18</f>
        <v>1.44028166460158</v>
      </c>
      <c r="C9" s="9" t="n">
        <f aca="false">Comparables!N5</f>
        <v>4820897.848</v>
      </c>
      <c r="D9" s="9" t="n">
        <f aca="false">IFERROR(B9*C9/Supuestos!$B$10,"NM")</f>
        <v>3170.52546912859</v>
      </c>
    </row>
    <row r="11" customFormat="false" ht="15" hidden="false" customHeight="false" outlineLevel="0" collapsed="false">
      <c r="A11" s="4" t="s">
        <v>501</v>
      </c>
      <c r="B11" s="5"/>
      <c r="C11" s="5"/>
      <c r="D11" s="5"/>
      <c r="E11" s="5"/>
    </row>
    <row r="12" customFormat="false" ht="15" hidden="false" customHeight="false" outlineLevel="0" collapsed="false">
      <c r="A12" s="6" t="s">
        <v>502</v>
      </c>
      <c r="B12" s="9" t="n">
        <f aca="false">DCF!B45</f>
        <v>1880.36835821122</v>
      </c>
    </row>
    <row r="13" customFormat="false" ht="15" hidden="false" customHeight="false" outlineLevel="0" collapsed="false">
      <c r="A13" s="6" t="s">
        <v>503</v>
      </c>
      <c r="B13" s="16" t="n">
        <f aca="false">D5</f>
        <v>2951.3856662648</v>
      </c>
    </row>
    <row r="14" customFormat="false" ht="15" hidden="false" customHeight="false" outlineLevel="0" collapsed="false">
      <c r="A14" s="6" t="s">
        <v>504</v>
      </c>
      <c r="B14" s="36" t="n">
        <f aca="false">Supuestos!$B$81</f>
        <v>0.8</v>
      </c>
    </row>
    <row r="15" customFormat="false" ht="15" hidden="false" customHeight="false" outlineLevel="0" collapsed="false">
      <c r="A15" s="34" t="s">
        <v>505</v>
      </c>
      <c r="B15" s="47" t="n">
        <f aca="false">B14*B12+(1-B14)*B13</f>
        <v>2094.57181982194</v>
      </c>
    </row>
    <row r="16" customFormat="false" ht="15" hidden="false" customHeight="false" outlineLevel="0" collapsed="false">
      <c r="A16" s="6" t="s">
        <v>414</v>
      </c>
      <c r="B16" s="9" t="n">
        <f aca="false">Supuestos!$B$9</f>
        <v>3555</v>
      </c>
    </row>
    <row r="17" customFormat="false" ht="15" hidden="false" customHeight="false" outlineLevel="0" collapsed="false">
      <c r="A17" s="34" t="s">
        <v>415</v>
      </c>
      <c r="B17" s="23" t="n">
        <f aca="false">B15/B16-1</f>
        <v>-0.410809614677373</v>
      </c>
    </row>
    <row r="19" customFormat="false" ht="15" hidden="false" customHeight="false" outlineLevel="0" collapsed="false">
      <c r="A19" s="4" t="s">
        <v>506</v>
      </c>
      <c r="B19" s="5"/>
      <c r="C19" s="5"/>
      <c r="D19" s="5"/>
      <c r="E19" s="5"/>
    </row>
    <row r="20" customFormat="false" ht="15" hidden="false" customHeight="false" outlineLevel="0" collapsed="false">
      <c r="A20" s="6" t="s">
        <v>507</v>
      </c>
      <c r="B20" s="36" t="n">
        <f aca="false">DCF!B52</f>
        <v>0.0999039761616029</v>
      </c>
    </row>
    <row r="21" customFormat="false" ht="15" hidden="false" customHeight="false" outlineLevel="0" collapsed="false">
      <c r="A21" s="6" t="s">
        <v>508</v>
      </c>
      <c r="B21" s="36" t="n">
        <f aca="false">Supuestos!$B$14/Comparables!I5</f>
        <v>0.0595696699374472</v>
      </c>
    </row>
    <row r="22" customFormat="false" ht="15" hidden="false" customHeight="false" outlineLevel="0" collapsed="false">
      <c r="A22" s="6" t="s">
        <v>509</v>
      </c>
      <c r="B22" s="36" t="n">
        <f aca="false">1/Comparables!P16</f>
        <v>0.0635409535170989</v>
      </c>
    </row>
    <row r="23" customFormat="false" ht="15" hidden="false" customHeight="false" outlineLevel="0" collapsed="false">
      <c r="A23" s="6" t="s">
        <v>510</v>
      </c>
      <c r="B23" s="37" t="n">
        <f aca="false">WACC!$B$43</f>
        <v>0.103663074859808</v>
      </c>
      <c r="C23" s="37" t="n">
        <f aca="false">WACC!B44</f>
        <v>0.0715175484075801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60"/>
    <col collapsed="false" customWidth="true" hidden="false" outlineLevel="0" max="19" min="19" style="0" width="10"/>
    <col collapsed="false" customWidth="true" hidden="false" outlineLevel="0" max="20" min="20" style="0" width="13"/>
  </cols>
  <sheetData>
    <row r="1" customFormat="false" ht="15" hidden="false" customHeight="true" outlineLevel="0" collapsed="false">
      <c r="A1" s="54" t="s">
        <v>511</v>
      </c>
    </row>
    <row r="3" customFormat="false" ht="42" hidden="false" customHeight="true" outlineLevel="0" collapsed="false">
      <c r="A3" s="55" t="s">
        <v>184</v>
      </c>
      <c r="B3" s="55" t="s">
        <v>185</v>
      </c>
      <c r="C3" s="55" t="s">
        <v>512</v>
      </c>
      <c r="D3" s="55" t="s">
        <v>186</v>
      </c>
      <c r="E3" s="55" t="s">
        <v>513</v>
      </c>
      <c r="F3" s="55" t="s">
        <v>514</v>
      </c>
      <c r="G3" s="55" t="s">
        <v>515</v>
      </c>
      <c r="H3" s="55" t="s">
        <v>355</v>
      </c>
      <c r="I3" s="55" t="s">
        <v>271</v>
      </c>
      <c r="J3" s="55" t="s">
        <v>382</v>
      </c>
      <c r="K3" s="55" t="s">
        <v>516</v>
      </c>
      <c r="L3" s="55" t="s">
        <v>517</v>
      </c>
      <c r="M3" s="55" t="s">
        <v>518</v>
      </c>
      <c r="N3" s="55" t="s">
        <v>454</v>
      </c>
      <c r="O3" s="55" t="s">
        <v>519</v>
      </c>
      <c r="P3" s="55" t="s">
        <v>520</v>
      </c>
      <c r="Q3" s="55" t="s">
        <v>521</v>
      </c>
      <c r="R3" s="55" t="s">
        <v>522</v>
      </c>
      <c r="S3" s="55" t="s">
        <v>523</v>
      </c>
      <c r="T3" s="55" t="s">
        <v>524</v>
      </c>
    </row>
    <row r="4" customFormat="false" ht="15" hidden="false" customHeight="true" outlineLevel="0" collapsed="false">
      <c r="A4" s="56" t="s">
        <v>525</v>
      </c>
      <c r="B4" s="56" t="s">
        <v>526</v>
      </c>
      <c r="C4" s="56" t="s">
        <v>482</v>
      </c>
      <c r="D4" s="56" t="s">
        <v>197</v>
      </c>
      <c r="E4" s="56" t="s">
        <v>15</v>
      </c>
      <c r="F4" s="56" t="s">
        <v>527</v>
      </c>
      <c r="G4" s="57" t="n">
        <v>370898.935</v>
      </c>
      <c r="H4" s="57" t="n">
        <v>282699</v>
      </c>
      <c r="I4" s="57" t="n">
        <v>2165.395</v>
      </c>
      <c r="J4" s="58" t="n">
        <f aca="false">H4-I4</f>
        <v>280533.605</v>
      </c>
      <c r="K4" s="57" t="n">
        <v>157666.755</v>
      </c>
      <c r="L4" s="57" t="n">
        <v>2263298.479</v>
      </c>
      <c r="M4" s="57" t="n">
        <v>1011613.326</v>
      </c>
      <c r="N4" s="57" t="n">
        <v>168378.479</v>
      </c>
      <c r="O4" s="57" t="n">
        <v>2073680</v>
      </c>
      <c r="P4" s="59" t="n">
        <v>1050.647</v>
      </c>
      <c r="Q4" s="60" t="n">
        <v>0</v>
      </c>
      <c r="R4" s="61"/>
      <c r="S4" s="62" t="n">
        <f aca="false">Supuestos!$B$86</f>
        <v>1</v>
      </c>
      <c r="T4" s="63" t="n">
        <f aca="false">O4+M4+N4</f>
        <v>3253671.805</v>
      </c>
    </row>
    <row r="5" customFormat="false" ht="15" hidden="false" customHeight="true" outlineLevel="0" collapsed="false">
      <c r="A5" s="56" t="s">
        <v>525</v>
      </c>
      <c r="B5" s="56" t="s">
        <v>526</v>
      </c>
      <c r="C5" s="56" t="s">
        <v>482</v>
      </c>
      <c r="D5" s="56" t="s">
        <v>197</v>
      </c>
      <c r="E5" s="56" t="s">
        <v>15</v>
      </c>
      <c r="F5" s="56" t="s">
        <v>528</v>
      </c>
      <c r="G5" s="57" t="n">
        <v>419903.778</v>
      </c>
      <c r="H5" s="57" t="n">
        <v>322185</v>
      </c>
      <c r="I5" s="57" t="n">
        <v>2153.51</v>
      </c>
      <c r="J5" s="58" t="n">
        <f aca="false">H5-I5</f>
        <v>320031.49</v>
      </c>
      <c r="K5" s="57" t="n">
        <v>349758.853</v>
      </c>
      <c r="L5" s="57" t="n">
        <v>2601053.165</v>
      </c>
      <c r="M5" s="57" t="n">
        <v>1081082.31</v>
      </c>
      <c r="N5" s="57" t="n">
        <v>31634.353</v>
      </c>
      <c r="O5" s="57" t="n">
        <v>2439612</v>
      </c>
      <c r="P5" s="59" t="n">
        <v>1236.049</v>
      </c>
      <c r="Q5" s="60" t="n">
        <v>0</v>
      </c>
      <c r="R5" s="61"/>
      <c r="S5" s="62" t="n">
        <f aca="false">Supuestos!$B$86</f>
        <v>1</v>
      </c>
      <c r="T5" s="63" t="n">
        <f aca="false">O5+M5+N5</f>
        <v>3552328.663</v>
      </c>
    </row>
    <row r="6" customFormat="false" ht="15" hidden="false" customHeight="true" outlineLevel="0" collapsed="false">
      <c r="A6" s="56" t="s">
        <v>525</v>
      </c>
      <c r="B6" s="56" t="s">
        <v>526</v>
      </c>
      <c r="C6" s="56" t="s">
        <v>482</v>
      </c>
      <c r="D6" s="56" t="s">
        <v>197</v>
      </c>
      <c r="E6" s="56" t="s">
        <v>15</v>
      </c>
      <c r="F6" s="56" t="s">
        <v>352</v>
      </c>
      <c r="G6" s="57" t="n">
        <v>494605.239</v>
      </c>
      <c r="H6" s="57" t="n">
        <v>380637</v>
      </c>
      <c r="I6" s="57" t="n">
        <v>2111.809</v>
      </c>
      <c r="J6" s="58" t="n">
        <f aca="false">H6-I6</f>
        <v>378525.191</v>
      </c>
      <c r="K6" s="57" t="n">
        <v>335933.777</v>
      </c>
      <c r="L6" s="57" t="n">
        <v>3157863.075</v>
      </c>
      <c r="M6" s="57" t="n">
        <v>1458589.137</v>
      </c>
      <c r="N6" s="57" t="n">
        <v>33186.747</v>
      </c>
      <c r="O6" s="57" t="n">
        <v>3569919</v>
      </c>
      <c r="P6" s="59" t="n">
        <v>1630.1</v>
      </c>
      <c r="Q6" s="60" t="n">
        <v>0</v>
      </c>
      <c r="R6" s="61"/>
      <c r="S6" s="62" t="n">
        <f aca="false">Supuestos!$B$86</f>
        <v>1</v>
      </c>
      <c r="T6" s="63" t="n">
        <f aca="false">O6+M6+N6</f>
        <v>5061694.884</v>
      </c>
    </row>
    <row r="7" customFormat="false" ht="15" hidden="false" customHeight="true" outlineLevel="0" collapsed="false">
      <c r="A7" s="56" t="s">
        <v>525</v>
      </c>
      <c r="B7" s="56" t="s">
        <v>526</v>
      </c>
      <c r="C7" s="56" t="s">
        <v>482</v>
      </c>
      <c r="D7" s="56" t="s">
        <v>197</v>
      </c>
      <c r="E7" s="56" t="s">
        <v>15</v>
      </c>
      <c r="F7" s="56" t="s">
        <v>353</v>
      </c>
      <c r="G7" s="57" t="n">
        <v>653911.091</v>
      </c>
      <c r="H7" s="57" t="n">
        <v>526228</v>
      </c>
      <c r="I7" s="57" t="n">
        <v>3609.536</v>
      </c>
      <c r="J7" s="58" t="n">
        <f aca="false">H7-I7</f>
        <v>522618.464</v>
      </c>
      <c r="K7" s="57" t="n">
        <v>1431011.596</v>
      </c>
      <c r="L7" s="57" t="n">
        <v>4482903.946</v>
      </c>
      <c r="M7" s="57" t="n">
        <v>1327147.413</v>
      </c>
      <c r="N7" s="57" t="n">
        <v>41649.187</v>
      </c>
      <c r="O7" s="57" t="n">
        <v>6977559</v>
      </c>
      <c r="P7" s="59" t="n">
        <v>3186.1</v>
      </c>
      <c r="Q7" s="60" t="n">
        <v>0</v>
      </c>
      <c r="R7" s="61" t="s">
        <v>529</v>
      </c>
      <c r="S7" s="62" t="n">
        <f aca="false">Supuestos!$B$86</f>
        <v>1</v>
      </c>
      <c r="T7" s="63" t="n">
        <f aca="false">O7+M7+N7</f>
        <v>8346355.6</v>
      </c>
    </row>
    <row r="8" customFormat="false" ht="15" hidden="false" customHeight="true" outlineLevel="0" collapsed="false">
      <c r="A8" s="56" t="s">
        <v>525</v>
      </c>
      <c r="B8" s="56" t="s">
        <v>526</v>
      </c>
      <c r="C8" s="56" t="s">
        <v>482</v>
      </c>
      <c r="D8" s="56" t="s">
        <v>197</v>
      </c>
      <c r="E8" s="56" t="s">
        <v>15</v>
      </c>
      <c r="F8" s="56" t="s">
        <v>530</v>
      </c>
      <c r="G8" s="57" t="n">
        <v>677333.306</v>
      </c>
      <c r="H8" s="57" t="n">
        <v>544935</v>
      </c>
      <c r="I8" s="57" t="n">
        <v>4562.274</v>
      </c>
      <c r="J8" s="58" t="n">
        <f aca="false">H8-I8</f>
        <v>540372.726</v>
      </c>
      <c r="K8" s="57" t="n">
        <v>1258052.743</v>
      </c>
      <c r="L8" s="57" t="n">
        <v>4820897.848</v>
      </c>
      <c r="M8" s="57" t="n">
        <v>1311568.558</v>
      </c>
      <c r="N8" s="57" t="n">
        <v>50841.428</v>
      </c>
      <c r="O8" s="57" t="n">
        <v>7785450</v>
      </c>
      <c r="P8" s="59" t="n">
        <v>3555</v>
      </c>
      <c r="Q8" s="60" t="n">
        <v>0</v>
      </c>
      <c r="R8" s="61"/>
      <c r="S8" s="62" t="n">
        <f aca="false">Supuestos!$B$86</f>
        <v>1</v>
      </c>
      <c r="T8" s="63" t="n">
        <f aca="false">O8+M8+N8</f>
        <v>9147859.986</v>
      </c>
    </row>
    <row r="9" customFormat="false" ht="15" hidden="false" customHeight="true" outlineLevel="0" collapsed="false">
      <c r="A9" s="64" t="s">
        <v>195</v>
      </c>
      <c r="B9" s="64" t="s">
        <v>196</v>
      </c>
      <c r="C9" s="64" t="s">
        <v>531</v>
      </c>
      <c r="D9" s="64" t="s">
        <v>197</v>
      </c>
      <c r="E9" s="64" t="s">
        <v>15</v>
      </c>
      <c r="F9" s="64" t="s">
        <v>527</v>
      </c>
      <c r="G9" s="57" t="n">
        <v>243119.543</v>
      </c>
      <c r="H9" s="57" t="n">
        <v>170697</v>
      </c>
      <c r="I9" s="57" t="n">
        <v>5128.377</v>
      </c>
      <c r="J9" s="58" t="n">
        <f aca="false">H9-I9</f>
        <v>165568.623</v>
      </c>
      <c r="K9" s="57" t="n">
        <v>101031.635</v>
      </c>
      <c r="L9" s="57" t="n">
        <v>1144928.854</v>
      </c>
      <c r="M9" s="57" t="n">
        <v>989079.049</v>
      </c>
      <c r="N9" s="57" t="n">
        <v>211136.224</v>
      </c>
      <c r="O9" s="57" t="n">
        <v>979894.0127</v>
      </c>
      <c r="P9" s="59" t="n">
        <v>1067.16</v>
      </c>
      <c r="Q9" s="60" t="n">
        <v>0</v>
      </c>
      <c r="R9" s="61"/>
      <c r="S9" s="62" t="n">
        <f aca="false">Supuestos!$B$86</f>
        <v>1</v>
      </c>
      <c r="T9" s="63" t="n">
        <f aca="false">O9+M9+N9</f>
        <v>2180109.2857</v>
      </c>
    </row>
    <row r="10" customFormat="false" ht="15" hidden="false" customHeight="true" outlineLevel="0" collapsed="false">
      <c r="A10" s="64" t="s">
        <v>195</v>
      </c>
      <c r="B10" s="64" t="s">
        <v>196</v>
      </c>
      <c r="C10" s="64" t="s">
        <v>531</v>
      </c>
      <c r="D10" s="64" t="s">
        <v>197</v>
      </c>
      <c r="E10" s="64" t="s">
        <v>15</v>
      </c>
      <c r="F10" s="64" t="s">
        <v>528</v>
      </c>
      <c r="G10" s="57" t="n">
        <v>264312.607</v>
      </c>
      <c r="H10" s="57" t="n">
        <v>188159</v>
      </c>
      <c r="I10" s="57" t="n">
        <v>5280.937</v>
      </c>
      <c r="J10" s="58" t="n">
        <f aca="false">H10-I10</f>
        <v>182878.063</v>
      </c>
      <c r="K10" s="57" t="n">
        <v>112345.334</v>
      </c>
      <c r="L10" s="57" t="n">
        <v>1298911.303</v>
      </c>
      <c r="M10" s="57" t="n">
        <v>1113749.367</v>
      </c>
      <c r="N10" s="57" t="n">
        <v>332049.13</v>
      </c>
      <c r="O10" s="57" t="n">
        <v>1286116.552</v>
      </c>
      <c r="P10" s="59" t="n">
        <v>1400.66</v>
      </c>
      <c r="Q10" s="60" t="n">
        <v>0</v>
      </c>
      <c r="R10" s="61"/>
      <c r="S10" s="62" t="n">
        <f aca="false">Supuestos!$B$86</f>
        <v>1</v>
      </c>
      <c r="T10" s="63" t="n">
        <f aca="false">O10+M10+N10</f>
        <v>2731915.049</v>
      </c>
    </row>
    <row r="11" customFormat="false" ht="15" hidden="false" customHeight="true" outlineLevel="0" collapsed="false">
      <c r="A11" s="64" t="s">
        <v>195</v>
      </c>
      <c r="B11" s="64" t="s">
        <v>196</v>
      </c>
      <c r="C11" s="64" t="s">
        <v>531</v>
      </c>
      <c r="D11" s="64" t="s">
        <v>197</v>
      </c>
      <c r="E11" s="64" t="s">
        <v>15</v>
      </c>
      <c r="F11" s="64" t="s">
        <v>352</v>
      </c>
      <c r="G11" s="57" t="n">
        <v>316775.711</v>
      </c>
      <c r="H11" s="57" t="n">
        <v>227727</v>
      </c>
      <c r="I11" s="57" t="n">
        <v>6518.906</v>
      </c>
      <c r="J11" s="58" t="n">
        <f aca="false">H11-I11</f>
        <v>221208.094</v>
      </c>
      <c r="K11" s="57" t="n">
        <v>120571.308</v>
      </c>
      <c r="L11" s="57" t="n">
        <v>1464457.742</v>
      </c>
      <c r="M11" s="57" t="n">
        <v>1279923.402</v>
      </c>
      <c r="N11" s="57" t="n">
        <v>323589.523</v>
      </c>
      <c r="O11" s="57" t="n">
        <v>1439091.965</v>
      </c>
      <c r="P11" s="59" t="n">
        <v>1567.26</v>
      </c>
      <c r="Q11" s="60" t="n">
        <v>0</v>
      </c>
      <c r="R11" s="61"/>
      <c r="S11" s="62" t="n">
        <f aca="false">Supuestos!$B$86</f>
        <v>1</v>
      </c>
      <c r="T11" s="63" t="n">
        <f aca="false">O11+M11+N11</f>
        <v>3042604.89</v>
      </c>
    </row>
    <row r="12" customFormat="false" ht="15" hidden="false" customHeight="true" outlineLevel="0" collapsed="false">
      <c r="A12" s="64" t="s">
        <v>195</v>
      </c>
      <c r="B12" s="64" t="s">
        <v>196</v>
      </c>
      <c r="C12" s="64" t="s">
        <v>531</v>
      </c>
      <c r="D12" s="64" t="s">
        <v>197</v>
      </c>
      <c r="E12" s="64" t="s">
        <v>15</v>
      </c>
      <c r="F12" s="64" t="s">
        <v>353</v>
      </c>
      <c r="G12" s="57" t="n">
        <v>383792.582</v>
      </c>
      <c r="H12" s="57" t="n">
        <v>272233</v>
      </c>
      <c r="I12" s="57" t="n">
        <v>4739.59</v>
      </c>
      <c r="J12" s="58" t="n">
        <f aca="false">H12-I12</f>
        <v>267493.41</v>
      </c>
      <c r="K12" s="57" t="n">
        <v>149972.703</v>
      </c>
      <c r="L12" s="57" t="n">
        <v>1594521.872</v>
      </c>
      <c r="M12" s="57" t="n">
        <v>1631210.898</v>
      </c>
      <c r="N12" s="57" t="n">
        <v>362360.837</v>
      </c>
      <c r="O12" s="57" t="n">
        <v>2708090.487</v>
      </c>
      <c r="P12" s="59" t="n">
        <v>2949.27</v>
      </c>
      <c r="Q12" s="60" t="n">
        <v>0</v>
      </c>
      <c r="R12" s="61"/>
      <c r="S12" s="62" t="n">
        <f aca="false">Supuestos!$B$86</f>
        <v>1</v>
      </c>
      <c r="T12" s="63" t="n">
        <f aca="false">O12+M12+N12</f>
        <v>4701662.222</v>
      </c>
    </row>
    <row r="13" customFormat="false" ht="15" hidden="false" customHeight="true" outlineLevel="0" collapsed="false">
      <c r="A13" s="64" t="s">
        <v>195</v>
      </c>
      <c r="B13" s="64" t="s">
        <v>196</v>
      </c>
      <c r="C13" s="64" t="s">
        <v>531</v>
      </c>
      <c r="D13" s="64" t="s">
        <v>197</v>
      </c>
      <c r="E13" s="64" t="s">
        <v>15</v>
      </c>
      <c r="F13" s="64" t="s">
        <v>530</v>
      </c>
      <c r="G13" s="57" t="n">
        <v>416366.832</v>
      </c>
      <c r="H13" s="57" t="n">
        <v>294411</v>
      </c>
      <c r="I13" s="57" t="n">
        <v>4895.39</v>
      </c>
      <c r="J13" s="58" t="n">
        <f aca="false">H13-I13</f>
        <v>289515.61</v>
      </c>
      <c r="K13" s="57" t="n">
        <v>154352.778</v>
      </c>
      <c r="L13" s="57" t="n">
        <v>1961393.215</v>
      </c>
      <c r="M13" s="57" t="n">
        <v>1602287.611</v>
      </c>
      <c r="N13" s="57" t="n">
        <v>386791.135</v>
      </c>
      <c r="O13" s="57" t="n">
        <v>3440408.419</v>
      </c>
      <c r="P13" s="59" t="n">
        <v>3505</v>
      </c>
      <c r="Q13" s="60" t="n">
        <v>0</v>
      </c>
      <c r="R13" s="61"/>
      <c r="S13" s="62" t="n">
        <f aca="false">Supuestos!$B$86</f>
        <v>1</v>
      </c>
      <c r="T13" s="63" t="n">
        <f aca="false">O13+M13+N13</f>
        <v>5429487.165</v>
      </c>
    </row>
    <row r="14" customFormat="false" ht="15" hidden="false" customHeight="true" outlineLevel="0" collapsed="false">
      <c r="A14" s="64" t="s">
        <v>199</v>
      </c>
      <c r="B14" s="64" t="s">
        <v>200</v>
      </c>
      <c r="C14" s="64" t="s">
        <v>531</v>
      </c>
      <c r="D14" s="64" t="s">
        <v>197</v>
      </c>
      <c r="E14" s="64" t="s">
        <v>15</v>
      </c>
      <c r="F14" s="64" t="s">
        <v>527</v>
      </c>
      <c r="G14" s="57" t="n">
        <v>286949.855</v>
      </c>
      <c r="H14" s="57" t="n">
        <v>258583.696</v>
      </c>
      <c r="I14" s="57" t="n">
        <v>178.837</v>
      </c>
      <c r="J14" s="58" t="n">
        <f aca="false">H14-I14</f>
        <v>258404.859</v>
      </c>
      <c r="K14" s="57" t="n">
        <v>181875.546</v>
      </c>
      <c r="L14" s="57" t="n">
        <v>2679608.628</v>
      </c>
      <c r="M14" s="57" t="n">
        <v>636796.49</v>
      </c>
      <c r="N14" s="57" t="n">
        <v>4966.978</v>
      </c>
      <c r="O14" s="57" t="n">
        <v>2283766.647</v>
      </c>
      <c r="P14" s="59" t="n">
        <v>1338.8</v>
      </c>
      <c r="Q14" s="60" t="n">
        <v>0</v>
      </c>
      <c r="R14" s="61" t="s">
        <v>532</v>
      </c>
      <c r="S14" s="62" t="n">
        <f aca="false">Supuestos!$B$86</f>
        <v>1</v>
      </c>
      <c r="T14" s="63" t="n">
        <f aca="false">O14+M14+N14</f>
        <v>2925530.115</v>
      </c>
    </row>
    <row r="15" customFormat="false" ht="15" hidden="false" customHeight="true" outlineLevel="0" collapsed="false">
      <c r="A15" s="64" t="s">
        <v>199</v>
      </c>
      <c r="B15" s="64" t="s">
        <v>200</v>
      </c>
      <c r="C15" s="64" t="s">
        <v>531</v>
      </c>
      <c r="D15" s="64" t="s">
        <v>197</v>
      </c>
      <c r="E15" s="64" t="s">
        <v>15</v>
      </c>
      <c r="F15" s="64" t="s">
        <v>528</v>
      </c>
      <c r="G15" s="57" t="n">
        <v>314784.929</v>
      </c>
      <c r="H15" s="57" t="n">
        <v>272791.98</v>
      </c>
      <c r="I15" s="57" t="n">
        <v>213.006</v>
      </c>
      <c r="J15" s="58" t="n">
        <f aca="false">H15-I15</f>
        <v>272578.974</v>
      </c>
      <c r="K15" s="57" t="n">
        <v>187329.711</v>
      </c>
      <c r="L15" s="57" t="n">
        <v>2744754.862</v>
      </c>
      <c r="M15" s="57" t="n">
        <v>650170.984</v>
      </c>
      <c r="N15" s="57" t="n">
        <v>5991.871</v>
      </c>
      <c r="O15" s="57" t="n">
        <v>2405221.82</v>
      </c>
      <c r="P15" s="59" t="n">
        <v>1410</v>
      </c>
      <c r="Q15" s="60" t="n">
        <v>0</v>
      </c>
      <c r="R15" s="61"/>
      <c r="S15" s="62" t="n">
        <f aca="false">Supuestos!$B$86</f>
        <v>1</v>
      </c>
      <c r="T15" s="63" t="n">
        <f aca="false">O15+M15+N15</f>
        <v>3061384.675</v>
      </c>
    </row>
    <row r="16" customFormat="false" ht="15" hidden="false" customHeight="true" outlineLevel="0" collapsed="false">
      <c r="A16" s="64" t="s">
        <v>199</v>
      </c>
      <c r="B16" s="64" t="s">
        <v>200</v>
      </c>
      <c r="C16" s="64" t="s">
        <v>531</v>
      </c>
      <c r="D16" s="64" t="s">
        <v>197</v>
      </c>
      <c r="E16" s="64" t="s">
        <v>15</v>
      </c>
      <c r="F16" s="64" t="s">
        <v>352</v>
      </c>
      <c r="G16" s="57" t="n">
        <v>353183.704</v>
      </c>
      <c r="H16" s="57" t="n">
        <v>320677</v>
      </c>
      <c r="I16" s="57" t="n">
        <v>409.897</v>
      </c>
      <c r="J16" s="58" t="n">
        <f aca="false">H16-I16</f>
        <v>320267.103</v>
      </c>
      <c r="K16" s="57" t="n">
        <v>266953.083</v>
      </c>
      <c r="L16" s="57" t="n">
        <v>2828031.717</v>
      </c>
      <c r="M16" s="57" t="n">
        <v>679855.775</v>
      </c>
      <c r="N16" s="57" t="n">
        <v>6467.54</v>
      </c>
      <c r="O16" s="57" t="n">
        <v>2654273.157</v>
      </c>
      <c r="P16" s="59" t="n">
        <v>1556</v>
      </c>
      <c r="Q16" s="60" t="n">
        <v>0</v>
      </c>
      <c r="R16" s="61"/>
      <c r="S16" s="62" t="n">
        <f aca="false">Supuestos!$B$86</f>
        <v>1</v>
      </c>
      <c r="T16" s="63" t="n">
        <f aca="false">O16+M16+N16</f>
        <v>3340596.472</v>
      </c>
    </row>
    <row r="17" customFormat="false" ht="15" hidden="false" customHeight="true" outlineLevel="0" collapsed="false">
      <c r="A17" s="64" t="s">
        <v>199</v>
      </c>
      <c r="B17" s="64" t="s">
        <v>200</v>
      </c>
      <c r="C17" s="64" t="s">
        <v>531</v>
      </c>
      <c r="D17" s="64" t="s">
        <v>197</v>
      </c>
      <c r="E17" s="64" t="s">
        <v>15</v>
      </c>
      <c r="F17" s="64" t="s">
        <v>353</v>
      </c>
      <c r="G17" s="57" t="n">
        <v>377940.605</v>
      </c>
      <c r="H17" s="57" t="n">
        <v>340557</v>
      </c>
      <c r="I17" s="57" t="n">
        <v>540.654</v>
      </c>
      <c r="J17" s="58" t="n">
        <f aca="false">H17-I17</f>
        <v>340016.346</v>
      </c>
      <c r="K17" s="57" t="n">
        <v>303966.192</v>
      </c>
      <c r="L17" s="57" t="n">
        <v>2989170.608</v>
      </c>
      <c r="M17" s="57" t="n">
        <v>769416.4</v>
      </c>
      <c r="N17" s="57" t="n">
        <v>5505.4</v>
      </c>
      <c r="O17" s="57" t="n">
        <v>3974586.412</v>
      </c>
      <c r="P17" s="59" t="n">
        <v>2330</v>
      </c>
      <c r="Q17" s="60" t="n">
        <v>0</v>
      </c>
      <c r="R17" s="61"/>
      <c r="S17" s="62" t="n">
        <f aca="false">Supuestos!$B$86</f>
        <v>1</v>
      </c>
      <c r="T17" s="63" t="n">
        <f aca="false">O17+M17+N17</f>
        <v>4749508.212</v>
      </c>
    </row>
    <row r="18" customFormat="false" ht="15" hidden="false" customHeight="true" outlineLevel="0" collapsed="false">
      <c r="A18" s="64" t="s">
        <v>199</v>
      </c>
      <c r="B18" s="64" t="s">
        <v>200</v>
      </c>
      <c r="C18" s="64" t="s">
        <v>531</v>
      </c>
      <c r="D18" s="64" t="s">
        <v>197</v>
      </c>
      <c r="E18" s="64" t="s">
        <v>15</v>
      </c>
      <c r="F18" s="64" t="s">
        <v>530</v>
      </c>
      <c r="G18" s="57" t="n">
        <v>390677.946</v>
      </c>
      <c r="H18" s="57" t="n">
        <v>350561.254</v>
      </c>
      <c r="I18" s="57" t="n">
        <v>585.311</v>
      </c>
      <c r="J18" s="58" t="n">
        <f aca="false">H18-I18</f>
        <v>349975.943</v>
      </c>
      <c r="K18" s="57" t="n">
        <v>353938.282</v>
      </c>
      <c r="L18" s="57" t="n">
        <v>3136456.799</v>
      </c>
      <c r="M18" s="57" t="n">
        <v>852533.941</v>
      </c>
      <c r="N18" s="57" t="n">
        <v>6464.021</v>
      </c>
      <c r="O18" s="57" t="n">
        <v>3710182.595</v>
      </c>
      <c r="P18" s="59" t="n">
        <v>2175</v>
      </c>
      <c r="Q18" s="60" t="n">
        <v>0</v>
      </c>
      <c r="R18" s="61" t="s">
        <v>533</v>
      </c>
      <c r="S18" s="62" t="n">
        <f aca="false">Supuestos!$B$86</f>
        <v>1</v>
      </c>
      <c r="T18" s="63" t="n">
        <f aca="false">O18+M18+N18</f>
        <v>4569180.557</v>
      </c>
    </row>
    <row r="19" customFormat="false" ht="15" hidden="false" customHeight="true" outlineLevel="0" collapsed="false">
      <c r="A19" s="64" t="s">
        <v>214</v>
      </c>
      <c r="B19" s="64" t="s">
        <v>215</v>
      </c>
      <c r="C19" s="64" t="s">
        <v>531</v>
      </c>
      <c r="D19" s="64" t="s">
        <v>203</v>
      </c>
      <c r="E19" s="64" t="s">
        <v>534</v>
      </c>
      <c r="F19" s="64" t="s">
        <v>527</v>
      </c>
      <c r="G19" s="57" t="n">
        <v>1797.605</v>
      </c>
      <c r="H19" s="57" t="n">
        <v>1275.254</v>
      </c>
      <c r="I19" s="57" t="n">
        <v>206.751</v>
      </c>
      <c r="J19" s="58" t="n">
        <f aca="false">H19-I19</f>
        <v>1068.503</v>
      </c>
      <c r="K19" s="57" t="n">
        <v>769.255</v>
      </c>
      <c r="L19" s="57" t="n">
        <v>6582.34</v>
      </c>
      <c r="M19" s="57" t="n">
        <v>3086.169</v>
      </c>
      <c r="N19" s="57" t="n">
        <v>0.203</v>
      </c>
      <c r="O19" s="57" t="n">
        <v>13156.6632</v>
      </c>
      <c r="P19" s="59" t="n">
        <v>21.9</v>
      </c>
      <c r="Q19" s="60" t="n">
        <v>0</v>
      </c>
      <c r="R19" s="61"/>
      <c r="S19" s="62" t="n">
        <f aca="false">Supuestos!$B$88</f>
        <v>178.644199109045</v>
      </c>
      <c r="T19" s="63" t="n">
        <f aca="false">O19+M19+N19</f>
        <v>16243.0352</v>
      </c>
    </row>
    <row r="20" customFormat="false" ht="15" hidden="false" customHeight="true" outlineLevel="0" collapsed="false">
      <c r="A20" s="64" t="s">
        <v>214</v>
      </c>
      <c r="B20" s="64" t="s">
        <v>215</v>
      </c>
      <c r="C20" s="64" t="s">
        <v>531</v>
      </c>
      <c r="D20" s="64" t="s">
        <v>203</v>
      </c>
      <c r="E20" s="64" t="s">
        <v>534</v>
      </c>
      <c r="F20" s="64" t="s">
        <v>528</v>
      </c>
      <c r="G20" s="57" t="n">
        <v>2029.569</v>
      </c>
      <c r="H20" s="57" t="n">
        <v>1506.5</v>
      </c>
      <c r="I20" s="57" t="n">
        <v>170.144</v>
      </c>
      <c r="J20" s="58" t="n">
        <f aca="false">H20-I20</f>
        <v>1336.356</v>
      </c>
      <c r="K20" s="57" t="n">
        <v>1020.39</v>
      </c>
      <c r="L20" s="57" t="n">
        <v>6933.916</v>
      </c>
      <c r="M20" s="57" t="n">
        <v>3103.816</v>
      </c>
      <c r="N20" s="57" t="n">
        <v>0.082</v>
      </c>
      <c r="O20" s="57" t="n">
        <v>17073.6241</v>
      </c>
      <c r="P20" s="59" t="n">
        <v>28.42</v>
      </c>
      <c r="Q20" s="60" t="n">
        <v>0</v>
      </c>
      <c r="R20" s="61"/>
      <c r="S20" s="62" t="n">
        <f aca="false">Supuestos!$B$88</f>
        <v>178.644199109045</v>
      </c>
      <c r="T20" s="63" t="n">
        <f aca="false">O20+M20+N20</f>
        <v>20177.5221</v>
      </c>
    </row>
    <row r="21" customFormat="false" ht="15" hidden="false" customHeight="true" outlineLevel="0" collapsed="false">
      <c r="A21" s="64" t="s">
        <v>214</v>
      </c>
      <c r="B21" s="64" t="s">
        <v>215</v>
      </c>
      <c r="C21" s="64" t="s">
        <v>531</v>
      </c>
      <c r="D21" s="64" t="s">
        <v>203</v>
      </c>
      <c r="E21" s="64" t="s">
        <v>534</v>
      </c>
      <c r="F21" s="64" t="s">
        <v>352</v>
      </c>
      <c r="G21" s="57" t="n">
        <v>2544.789</v>
      </c>
      <c r="H21" s="57" t="n">
        <v>1848.038</v>
      </c>
      <c r="I21" s="57" t="n">
        <v>138.508</v>
      </c>
      <c r="J21" s="58" t="n">
        <f aca="false">H21-I21</f>
        <v>1709.53</v>
      </c>
      <c r="K21" s="57" t="n">
        <v>1340.814</v>
      </c>
      <c r="L21" s="57" t="n">
        <v>5645.519</v>
      </c>
      <c r="M21" s="57" t="n">
        <v>5416.57</v>
      </c>
      <c r="N21" s="57" t="n">
        <v>0.25</v>
      </c>
      <c r="O21" s="57" t="n">
        <v>10943.9708</v>
      </c>
      <c r="P21" s="59" t="n">
        <v>21.08</v>
      </c>
      <c r="Q21" s="60" t="n">
        <v>0</v>
      </c>
      <c r="R21" s="61"/>
      <c r="S21" s="62" t="n">
        <f aca="false">Supuestos!$B$88</f>
        <v>178.644199109045</v>
      </c>
      <c r="T21" s="63" t="n">
        <f aca="false">O21+M21+N21</f>
        <v>16360.7908</v>
      </c>
    </row>
    <row r="22" customFormat="false" ht="15" hidden="false" customHeight="true" outlineLevel="0" collapsed="false">
      <c r="A22" s="64" t="s">
        <v>214</v>
      </c>
      <c r="B22" s="64" t="s">
        <v>215</v>
      </c>
      <c r="C22" s="64" t="s">
        <v>531</v>
      </c>
      <c r="D22" s="64" t="s">
        <v>203</v>
      </c>
      <c r="E22" s="64" t="s">
        <v>534</v>
      </c>
      <c r="F22" s="64" t="s">
        <v>353</v>
      </c>
      <c r="G22" s="57" t="n">
        <v>2739.082</v>
      </c>
      <c r="H22" s="57" t="n">
        <v>2003.354</v>
      </c>
      <c r="I22" s="57" t="n">
        <v>137.757</v>
      </c>
      <c r="J22" s="58" t="n">
        <f aca="false">H22-I22</f>
        <v>1865.597</v>
      </c>
      <c r="K22" s="57" t="n">
        <v>1141.12</v>
      </c>
      <c r="L22" s="57" t="n">
        <v>6299.142</v>
      </c>
      <c r="M22" s="57" t="n">
        <v>5248.897</v>
      </c>
      <c r="N22" s="57" t="n">
        <v>0.237</v>
      </c>
      <c r="O22" s="57" t="n">
        <v>13983.7109</v>
      </c>
      <c r="P22" s="59" t="n">
        <v>27.25</v>
      </c>
      <c r="Q22" s="60" t="n">
        <v>0</v>
      </c>
      <c r="R22" s="61"/>
      <c r="S22" s="62" t="n">
        <f aca="false">Supuestos!$B$88</f>
        <v>178.644199109045</v>
      </c>
      <c r="T22" s="63" t="n">
        <f aca="false">O22+M22+N22</f>
        <v>19232.8449</v>
      </c>
    </row>
    <row r="23" customFormat="false" ht="15" hidden="false" customHeight="true" outlineLevel="0" collapsed="false">
      <c r="A23" s="64" t="s">
        <v>214</v>
      </c>
      <c r="B23" s="64" t="s">
        <v>215</v>
      </c>
      <c r="C23" s="64" t="s">
        <v>531</v>
      </c>
      <c r="D23" s="64" t="s">
        <v>203</v>
      </c>
      <c r="E23" s="64" t="s">
        <v>534</v>
      </c>
      <c r="F23" s="64" t="s">
        <v>530</v>
      </c>
      <c r="G23" s="57" t="n">
        <v>3193.165</v>
      </c>
      <c r="H23" s="57" t="n">
        <v>2358.297</v>
      </c>
      <c r="I23" s="57" t="n">
        <v>135.185</v>
      </c>
      <c r="J23" s="58" t="n">
        <f aca="false">H23-I23</f>
        <v>2223.112</v>
      </c>
      <c r="K23" s="57" t="n">
        <v>1386.266</v>
      </c>
      <c r="L23" s="57" t="n">
        <v>6755.752</v>
      </c>
      <c r="M23" s="57" t="n">
        <v>4976.278</v>
      </c>
      <c r="N23" s="57" t="n">
        <v>0.185</v>
      </c>
      <c r="O23" s="57" t="n">
        <v>16277.5526</v>
      </c>
      <c r="P23" s="59" t="n">
        <v>31.72</v>
      </c>
      <c r="Q23" s="60" t="n">
        <v>0</v>
      </c>
      <c r="R23" s="61"/>
      <c r="S23" s="62" t="n">
        <f aca="false">Supuestos!$B$88</f>
        <v>178.644199109045</v>
      </c>
      <c r="T23" s="63" t="n">
        <f aca="false">O23+M23+N23</f>
        <v>21254.0156</v>
      </c>
    </row>
    <row r="24" customFormat="false" ht="15" hidden="false" customHeight="true" outlineLevel="0" collapsed="false">
      <c r="A24" s="64" t="s">
        <v>201</v>
      </c>
      <c r="B24" s="64" t="s">
        <v>202</v>
      </c>
      <c r="C24" s="64" t="s">
        <v>531</v>
      </c>
      <c r="D24" s="64" t="s">
        <v>203</v>
      </c>
      <c r="E24" s="64" t="s">
        <v>534</v>
      </c>
      <c r="F24" s="64" t="s">
        <v>527</v>
      </c>
      <c r="G24" s="57" t="n">
        <v>1111.321</v>
      </c>
      <c r="H24" s="57" t="n">
        <v>816.975</v>
      </c>
      <c r="I24" s="57" t="n">
        <v>202.11</v>
      </c>
      <c r="J24" s="58" t="n">
        <f aca="false">H24-I24</f>
        <v>614.865</v>
      </c>
      <c r="K24" s="57" t="n">
        <v>155.875</v>
      </c>
      <c r="L24" s="57" t="n">
        <v>6805.618</v>
      </c>
      <c r="M24" s="57" t="n">
        <v>2968.103</v>
      </c>
      <c r="N24" s="57" t="n">
        <v>1071.413</v>
      </c>
      <c r="O24" s="57" t="n">
        <v>10077.9772</v>
      </c>
      <c r="P24" s="59" t="n">
        <v>17.01</v>
      </c>
      <c r="Q24" s="60" t="n">
        <v>0</v>
      </c>
      <c r="R24" s="61"/>
      <c r="S24" s="62" t="n">
        <f aca="false">Supuestos!$B$88</f>
        <v>178.644199109045</v>
      </c>
      <c r="T24" s="63" t="n">
        <f aca="false">O24+M24+N24</f>
        <v>14117.4932</v>
      </c>
    </row>
    <row r="25" customFormat="false" ht="21.75" hidden="false" customHeight="true" outlineLevel="0" collapsed="false">
      <c r="A25" s="64" t="s">
        <v>201</v>
      </c>
      <c r="B25" s="64" t="s">
        <v>202</v>
      </c>
      <c r="C25" s="64" t="s">
        <v>531</v>
      </c>
      <c r="D25" s="64" t="s">
        <v>203</v>
      </c>
      <c r="E25" s="64" t="s">
        <v>534</v>
      </c>
      <c r="F25" s="64" t="s">
        <v>528</v>
      </c>
      <c r="G25" s="57" t="n">
        <v>2804</v>
      </c>
      <c r="H25" s="57" t="n">
        <v>1941.141</v>
      </c>
      <c r="I25" s="57" t="n">
        <v>684.466</v>
      </c>
      <c r="J25" s="58" t="n">
        <f aca="false">H25-I25</f>
        <v>1256.675</v>
      </c>
      <c r="K25" s="57" t="n">
        <v>3386.958</v>
      </c>
      <c r="L25" s="57" t="n">
        <v>13997.882</v>
      </c>
      <c r="M25" s="57" t="n">
        <v>5632.802</v>
      </c>
      <c r="N25" s="57" t="n">
        <v>1106.85</v>
      </c>
      <c r="O25" s="57" t="n">
        <v>15238.0249</v>
      </c>
      <c r="P25" s="59" t="n">
        <v>26.55</v>
      </c>
      <c r="Q25" s="60" t="n">
        <v>1</v>
      </c>
      <c r="R25" s="61" t="s">
        <v>535</v>
      </c>
      <c r="S25" s="62" t="n">
        <f aca="false">Supuestos!$B$88</f>
        <v>178.644199109045</v>
      </c>
      <c r="T25" s="63" t="n">
        <f aca="false">O25+M25+N25</f>
        <v>21977.6769</v>
      </c>
    </row>
    <row r="26" customFormat="false" ht="15" hidden="false" customHeight="true" outlineLevel="0" collapsed="false">
      <c r="A26" s="64" t="s">
        <v>201</v>
      </c>
      <c r="B26" s="64" t="s">
        <v>202</v>
      </c>
      <c r="C26" s="64" t="s">
        <v>531</v>
      </c>
      <c r="D26" s="64" t="s">
        <v>203</v>
      </c>
      <c r="E26" s="64" t="s">
        <v>534</v>
      </c>
      <c r="F26" s="64" t="s">
        <v>352</v>
      </c>
      <c r="G26" s="57" t="n">
        <v>2797.254</v>
      </c>
      <c r="H26" s="57" t="n">
        <v>1996.151</v>
      </c>
      <c r="I26" s="57" t="n">
        <v>618.831</v>
      </c>
      <c r="J26" s="58" t="n">
        <f aca="false">H26-I26</f>
        <v>1377.32</v>
      </c>
      <c r="K26" s="57" t="n">
        <v>698.511</v>
      </c>
      <c r="L26" s="57" t="n">
        <v>13364.892</v>
      </c>
      <c r="M26" s="57" t="n">
        <v>6586.625</v>
      </c>
      <c r="N26" s="57" t="n">
        <v>769.628</v>
      </c>
      <c r="O26" s="57" t="n">
        <v>9832.5874</v>
      </c>
      <c r="P26" s="59" t="n">
        <v>18.11</v>
      </c>
      <c r="Q26" s="60" t="n">
        <v>0</v>
      </c>
      <c r="R26" s="61"/>
      <c r="S26" s="62" t="n">
        <f aca="false">Supuestos!$B$88</f>
        <v>178.644199109045</v>
      </c>
      <c r="T26" s="63" t="n">
        <f aca="false">O26+M26+N26</f>
        <v>17188.8404</v>
      </c>
    </row>
    <row r="27" customFormat="false" ht="15" hidden="false" customHeight="true" outlineLevel="0" collapsed="false">
      <c r="A27" s="64" t="s">
        <v>201</v>
      </c>
      <c r="B27" s="64" t="s">
        <v>202</v>
      </c>
      <c r="C27" s="64" t="s">
        <v>531</v>
      </c>
      <c r="D27" s="64" t="s">
        <v>203</v>
      </c>
      <c r="E27" s="64" t="s">
        <v>534</v>
      </c>
      <c r="F27" s="64" t="s">
        <v>353</v>
      </c>
      <c r="G27" s="57" t="n">
        <v>2899.583</v>
      </c>
      <c r="H27" s="57" t="n">
        <v>2067.985</v>
      </c>
      <c r="I27" s="57" t="n">
        <v>634.825</v>
      </c>
      <c r="J27" s="58" t="n">
        <f aca="false">H27-I27</f>
        <v>1433.16</v>
      </c>
      <c r="K27" s="57" t="n">
        <v>834.166</v>
      </c>
      <c r="L27" s="57" t="n">
        <v>13146.445</v>
      </c>
      <c r="M27" s="57" t="n">
        <v>5871.965</v>
      </c>
      <c r="N27" s="57" t="n">
        <v>752.561</v>
      </c>
      <c r="O27" s="57" t="n">
        <v>14303.8972</v>
      </c>
      <c r="P27" s="59" t="n">
        <v>28.37</v>
      </c>
      <c r="Q27" s="60" t="n">
        <v>0</v>
      </c>
      <c r="R27" s="61"/>
      <c r="S27" s="62" t="n">
        <f aca="false">Supuestos!$B$88</f>
        <v>178.644199109045</v>
      </c>
      <c r="T27" s="63" t="n">
        <f aca="false">O27+M27+N27</f>
        <v>20928.4232</v>
      </c>
    </row>
    <row r="28" customFormat="false" ht="15" hidden="false" customHeight="true" outlineLevel="0" collapsed="false">
      <c r="A28" s="64" t="s">
        <v>201</v>
      </c>
      <c r="B28" s="64" t="s">
        <v>202</v>
      </c>
      <c r="C28" s="64" t="s">
        <v>531</v>
      </c>
      <c r="D28" s="64" t="s">
        <v>203</v>
      </c>
      <c r="E28" s="64" t="s">
        <v>534</v>
      </c>
      <c r="F28" s="64" t="s">
        <v>530</v>
      </c>
      <c r="G28" s="57" t="n">
        <v>2938.453</v>
      </c>
      <c r="H28" s="57" t="n">
        <v>2176.61</v>
      </c>
      <c r="I28" s="57" t="n">
        <v>629.913</v>
      </c>
      <c r="J28" s="58" t="n">
        <f aca="false">H28-I28</f>
        <v>1546.697</v>
      </c>
      <c r="K28" s="57" t="n">
        <v>934.54</v>
      </c>
      <c r="L28" s="57" t="n">
        <v>12852.742</v>
      </c>
      <c r="M28" s="57" t="n">
        <v>6838.401</v>
      </c>
      <c r="N28" s="57" t="n">
        <v>96.219</v>
      </c>
      <c r="O28" s="57" t="n">
        <v>14868.591</v>
      </c>
      <c r="P28" s="59" t="n">
        <v>29.49</v>
      </c>
      <c r="Q28" s="60" t="n">
        <v>0</v>
      </c>
      <c r="R28" s="61"/>
      <c r="S28" s="62" t="n">
        <f aca="false">Supuestos!$B$88</f>
        <v>178.644199109045</v>
      </c>
      <c r="T28" s="63" t="n">
        <f aca="false">O28+M28+N28</f>
        <v>21803.211</v>
      </c>
    </row>
    <row r="29" customFormat="false" ht="15" hidden="false" customHeight="true" outlineLevel="0" collapsed="false">
      <c r="A29" s="64" t="s">
        <v>204</v>
      </c>
      <c r="B29" s="64" t="s">
        <v>205</v>
      </c>
      <c r="C29" s="64" t="s">
        <v>531</v>
      </c>
      <c r="D29" s="64" t="s">
        <v>203</v>
      </c>
      <c r="E29" s="64" t="s">
        <v>534</v>
      </c>
      <c r="F29" s="64" t="s">
        <v>527</v>
      </c>
      <c r="G29" s="57" t="n">
        <v>1016.341</v>
      </c>
      <c r="H29" s="57" t="n">
        <v>653.8</v>
      </c>
      <c r="I29" s="57" t="n">
        <v>159.03</v>
      </c>
      <c r="J29" s="58" t="n">
        <f aca="false">H29-I29</f>
        <v>494.77</v>
      </c>
      <c r="K29" s="57" t="n">
        <v>7.568</v>
      </c>
      <c r="L29" s="57" t="n">
        <v>4093.329</v>
      </c>
      <c r="M29" s="57" t="n">
        <v>1193.596</v>
      </c>
      <c r="N29" s="57" t="n">
        <v>14.359</v>
      </c>
      <c r="O29" s="57" t="n">
        <v>5667.3061</v>
      </c>
      <c r="P29" s="59" t="n">
        <v>18.5</v>
      </c>
      <c r="Q29" s="60" t="n">
        <v>0</v>
      </c>
      <c r="R29" s="61"/>
      <c r="S29" s="62" t="n">
        <f aca="false">Supuestos!$B$88</f>
        <v>178.644199109045</v>
      </c>
      <c r="T29" s="63" t="n">
        <f aca="false">O29+M29+N29</f>
        <v>6875.2611</v>
      </c>
    </row>
    <row r="30" customFormat="false" ht="15" hidden="false" customHeight="true" outlineLevel="0" collapsed="false">
      <c r="A30" s="64" t="s">
        <v>204</v>
      </c>
      <c r="B30" s="64" t="s">
        <v>205</v>
      </c>
      <c r="C30" s="64" t="s">
        <v>531</v>
      </c>
      <c r="D30" s="64" t="s">
        <v>203</v>
      </c>
      <c r="E30" s="64" t="s">
        <v>534</v>
      </c>
      <c r="F30" s="64" t="s">
        <v>528</v>
      </c>
      <c r="G30" s="57" t="n">
        <v>1157.163</v>
      </c>
      <c r="H30" s="57" t="n">
        <v>919.704</v>
      </c>
      <c r="I30" s="57" t="n">
        <v>174.376</v>
      </c>
      <c r="J30" s="58" t="n">
        <f aca="false">H30-I30</f>
        <v>745.328</v>
      </c>
      <c r="K30" s="57" t="n">
        <v>304.713</v>
      </c>
      <c r="L30" s="57" t="n">
        <v>4177.323</v>
      </c>
      <c r="M30" s="57" t="n">
        <v>1757.145</v>
      </c>
      <c r="N30" s="57" t="n">
        <v>0.195</v>
      </c>
      <c r="O30" s="57" t="n">
        <v>7059.6783</v>
      </c>
      <c r="P30" s="59" t="n">
        <v>24.38</v>
      </c>
      <c r="Q30" s="60" t="n">
        <v>0</v>
      </c>
      <c r="R30" s="61"/>
      <c r="S30" s="62" t="n">
        <f aca="false">Supuestos!$B$88</f>
        <v>178.644199109045</v>
      </c>
      <c r="T30" s="63" t="n">
        <f aca="false">O30+M30+N30</f>
        <v>8817.0183</v>
      </c>
    </row>
    <row r="31" customFormat="false" ht="15" hidden="false" customHeight="true" outlineLevel="0" collapsed="false">
      <c r="A31" s="64" t="s">
        <v>204</v>
      </c>
      <c r="B31" s="64" t="s">
        <v>205</v>
      </c>
      <c r="C31" s="64" t="s">
        <v>531</v>
      </c>
      <c r="D31" s="64" t="s">
        <v>203</v>
      </c>
      <c r="E31" s="64" t="s">
        <v>534</v>
      </c>
      <c r="F31" s="64" t="s">
        <v>352</v>
      </c>
      <c r="G31" s="57" t="n">
        <v>1236.345</v>
      </c>
      <c r="H31" s="57" t="n">
        <v>914.762</v>
      </c>
      <c r="I31" s="57" t="n">
        <v>190.255</v>
      </c>
      <c r="J31" s="58" t="n">
        <f aca="false">H31-I31</f>
        <v>724.507</v>
      </c>
      <c r="K31" s="57" t="n">
        <v>399.771</v>
      </c>
      <c r="L31" s="57" t="n">
        <v>4309.804</v>
      </c>
      <c r="M31" s="57" t="n">
        <v>1614.844</v>
      </c>
      <c r="N31" s="57" t="n">
        <v>0.216</v>
      </c>
      <c r="O31" s="57" t="n">
        <v>5071.0437</v>
      </c>
      <c r="P31" s="59" t="n">
        <v>17.27</v>
      </c>
      <c r="Q31" s="60" t="n">
        <v>0</v>
      </c>
      <c r="R31" s="61"/>
      <c r="S31" s="62" t="n">
        <f aca="false">Supuestos!$B$88</f>
        <v>178.644199109045</v>
      </c>
      <c r="T31" s="63" t="n">
        <f aca="false">O31+M31+N31</f>
        <v>6686.1037</v>
      </c>
    </row>
    <row r="32" customFormat="false" ht="21.75" hidden="false" customHeight="true" outlineLevel="0" collapsed="false">
      <c r="A32" s="64" t="s">
        <v>204</v>
      </c>
      <c r="B32" s="64" t="s">
        <v>205</v>
      </c>
      <c r="C32" s="64" t="s">
        <v>531</v>
      </c>
      <c r="D32" s="64" t="s">
        <v>203</v>
      </c>
      <c r="E32" s="64" t="s">
        <v>534</v>
      </c>
      <c r="F32" s="64" t="s">
        <v>353</v>
      </c>
      <c r="G32" s="57" t="n">
        <v>1486.833</v>
      </c>
      <c r="H32" s="57" t="n">
        <v>1029.691</v>
      </c>
      <c r="I32" s="57" t="n">
        <v>113.963</v>
      </c>
      <c r="J32" s="58" t="n">
        <f aca="false">H32-I32</f>
        <v>915.728</v>
      </c>
      <c r="K32" s="57" t="n">
        <v>582.46</v>
      </c>
      <c r="L32" s="57" t="n">
        <v>4651.644</v>
      </c>
      <c r="M32" s="57" t="n">
        <v>2210.196</v>
      </c>
      <c r="N32" s="57" t="n">
        <v>0.22</v>
      </c>
      <c r="O32" s="57" t="n">
        <v>7307.0208</v>
      </c>
      <c r="P32" s="59" t="n">
        <v>25.57</v>
      </c>
      <c r="Q32" s="60" t="n">
        <v>0</v>
      </c>
      <c r="R32" s="61" t="s">
        <v>536</v>
      </c>
      <c r="S32" s="62" t="n">
        <f aca="false">Supuestos!$B$88</f>
        <v>178.644199109045</v>
      </c>
      <c r="T32" s="63" t="n">
        <f aca="false">O32+M32+N32</f>
        <v>9517.4368</v>
      </c>
    </row>
    <row r="33" customFormat="false" ht="15" hidden="false" customHeight="true" outlineLevel="0" collapsed="false">
      <c r="A33" s="64" t="s">
        <v>204</v>
      </c>
      <c r="B33" s="64" t="s">
        <v>205</v>
      </c>
      <c r="C33" s="64" t="s">
        <v>531</v>
      </c>
      <c r="D33" s="64" t="s">
        <v>203</v>
      </c>
      <c r="E33" s="64" t="s">
        <v>534</v>
      </c>
      <c r="F33" s="64" t="s">
        <v>530</v>
      </c>
      <c r="G33" s="57" t="n">
        <v>1527.409</v>
      </c>
      <c r="H33" s="57" t="n">
        <v>1127.509</v>
      </c>
      <c r="I33" s="57" t="n">
        <v>129.784</v>
      </c>
      <c r="J33" s="58" t="n">
        <f aca="false">H33-I33</f>
        <v>997.725</v>
      </c>
      <c r="K33" s="57" t="n">
        <v>638.571</v>
      </c>
      <c r="L33" s="57" t="n">
        <v>4937.138</v>
      </c>
      <c r="M33" s="57" t="n">
        <v>2138.597</v>
      </c>
      <c r="N33" s="57" t="n">
        <v>0.218</v>
      </c>
      <c r="O33" s="57" t="n">
        <v>7731.5118</v>
      </c>
      <c r="P33" s="59" t="n">
        <v>27.02</v>
      </c>
      <c r="Q33" s="60" t="n">
        <v>0</v>
      </c>
      <c r="R33" s="61" t="s">
        <v>537</v>
      </c>
      <c r="S33" s="62" t="n">
        <f aca="false">Supuestos!$B$88</f>
        <v>178.644199109045</v>
      </c>
      <c r="T33" s="63" t="n">
        <f aca="false">O33+M33+N33</f>
        <v>9870.3268</v>
      </c>
    </row>
    <row r="34" customFormat="false" ht="15" hidden="false" customHeight="true" outlineLevel="0" collapsed="false">
      <c r="A34" s="64" t="s">
        <v>210</v>
      </c>
      <c r="B34" s="64" t="s">
        <v>211</v>
      </c>
      <c r="C34" s="64" t="s">
        <v>538</v>
      </c>
      <c r="D34" s="64" t="s">
        <v>212</v>
      </c>
      <c r="E34" s="64" t="s">
        <v>539</v>
      </c>
      <c r="F34" s="64" t="s">
        <v>540</v>
      </c>
      <c r="G34" s="57" t="n">
        <v>69299</v>
      </c>
      <c r="H34" s="57" t="n">
        <v>28988</v>
      </c>
      <c r="I34" s="57" t="n">
        <v>2007</v>
      </c>
      <c r="J34" s="58" t="n">
        <f aca="false">H34-I34</f>
        <v>26981</v>
      </c>
      <c r="K34" s="57" t="n">
        <v>74487</v>
      </c>
      <c r="L34" s="57" t="n">
        <v>342457</v>
      </c>
      <c r="M34" s="57" t="n">
        <v>136044</v>
      </c>
      <c r="N34" s="57" t="n">
        <v>23443</v>
      </c>
      <c r="O34" s="57" t="n">
        <v>74930.179</v>
      </c>
      <c r="P34" s="59" t="n">
        <v>97.185</v>
      </c>
      <c r="Q34" s="60" t="n">
        <v>0</v>
      </c>
      <c r="R34" s="61"/>
      <c r="S34" s="62" t="n">
        <f aca="false">Supuestos!$B$90</f>
        <v>0.622361673414305</v>
      </c>
      <c r="T34" s="63" t="n">
        <f aca="false">O34+M34+N34</f>
        <v>234417.179</v>
      </c>
    </row>
    <row r="35" customFormat="false" ht="15" hidden="false" customHeight="true" outlineLevel="0" collapsed="false">
      <c r="A35" s="64" t="s">
        <v>210</v>
      </c>
      <c r="B35" s="64" t="s">
        <v>211</v>
      </c>
      <c r="C35" s="64" t="s">
        <v>538</v>
      </c>
      <c r="D35" s="64" t="s">
        <v>212</v>
      </c>
      <c r="E35" s="64" t="s">
        <v>539</v>
      </c>
      <c r="F35" s="64" t="s">
        <v>541</v>
      </c>
      <c r="G35" s="57" t="n">
        <v>331721</v>
      </c>
      <c r="H35" s="57" t="n">
        <v>92531</v>
      </c>
      <c r="I35" s="57" t="n">
        <v>7056</v>
      </c>
      <c r="J35" s="58" t="n">
        <f aca="false">H35-I35</f>
        <v>85475</v>
      </c>
      <c r="K35" s="57" t="n">
        <v>213076</v>
      </c>
      <c r="L35" s="57" t="n">
        <v>1345130</v>
      </c>
      <c r="M35" s="57" t="n">
        <v>378401</v>
      </c>
      <c r="N35" s="57" t="n">
        <v>82965</v>
      </c>
      <c r="O35" s="57" t="n">
        <v>331336.4595</v>
      </c>
      <c r="P35" s="59" t="n">
        <v>433.728</v>
      </c>
      <c r="Q35" s="60" t="n">
        <v>0</v>
      </c>
      <c r="R35" s="61"/>
      <c r="S35" s="62" t="n">
        <f aca="false">Supuestos!$B$90</f>
        <v>0.622361673414305</v>
      </c>
      <c r="T35" s="63" t="n">
        <f aca="false">O35+M35+N35</f>
        <v>792702.4595</v>
      </c>
    </row>
    <row r="36" customFormat="false" ht="15" hidden="false" customHeight="true" outlineLevel="0" collapsed="false">
      <c r="A36" s="64" t="s">
        <v>210</v>
      </c>
      <c r="B36" s="64" t="s">
        <v>211</v>
      </c>
      <c r="C36" s="64" t="s">
        <v>538</v>
      </c>
      <c r="D36" s="64" t="s">
        <v>212</v>
      </c>
      <c r="E36" s="64" t="s">
        <v>539</v>
      </c>
      <c r="F36" s="64" t="s">
        <v>542</v>
      </c>
      <c r="G36" s="57" t="n">
        <v>458059</v>
      </c>
      <c r="H36" s="57" t="n">
        <v>232057</v>
      </c>
      <c r="I36" s="57" t="n">
        <v>9130</v>
      </c>
      <c r="J36" s="58" t="n">
        <f aca="false">H36-I36</f>
        <v>222927</v>
      </c>
      <c r="K36" s="57" t="n">
        <v>-25621</v>
      </c>
      <c r="L36" s="57" t="n">
        <v>1503846</v>
      </c>
      <c r="M36" s="57" t="n">
        <v>484504</v>
      </c>
      <c r="N36" s="57" t="n">
        <v>102883</v>
      </c>
      <c r="O36" s="57" t="n">
        <v>898977.277</v>
      </c>
      <c r="P36" s="59" t="n">
        <v>1178.315</v>
      </c>
      <c r="Q36" s="60" t="n">
        <v>0</v>
      </c>
      <c r="R36" s="61" t="s">
        <v>543</v>
      </c>
      <c r="S36" s="62" t="n">
        <f aca="false">Supuestos!$B$90</f>
        <v>0.622361673414305</v>
      </c>
      <c r="T36" s="63" t="n">
        <f aca="false">O36+M36+N36</f>
        <v>1486364.277</v>
      </c>
    </row>
    <row r="37" customFormat="false" ht="15" hidden="false" customHeight="true" outlineLevel="0" collapsed="false">
      <c r="A37" s="64" t="s">
        <v>210</v>
      </c>
      <c r="B37" s="64" t="s">
        <v>211</v>
      </c>
      <c r="C37" s="64" t="s">
        <v>538</v>
      </c>
      <c r="D37" s="64" t="s">
        <v>212</v>
      </c>
      <c r="E37" s="64" t="s">
        <v>539</v>
      </c>
      <c r="F37" s="64" t="s">
        <v>544</v>
      </c>
      <c r="G37" s="57" t="n">
        <v>626290</v>
      </c>
      <c r="H37" s="57" t="n">
        <v>252539</v>
      </c>
      <c r="I37" s="57" t="n">
        <v>14034</v>
      </c>
      <c r="J37" s="58" t="n">
        <f aca="false">H37-I37</f>
        <v>238505</v>
      </c>
      <c r="K37" s="57" t="n">
        <v>260661</v>
      </c>
      <c r="L37" s="57" t="n">
        <v>2107122</v>
      </c>
      <c r="M37" s="57" t="n">
        <v>632450</v>
      </c>
      <c r="N37" s="57" t="n">
        <v>125752</v>
      </c>
      <c r="O37" s="57" t="n">
        <v>1260881.973</v>
      </c>
      <c r="P37" s="59" t="n">
        <v>1685</v>
      </c>
      <c r="Q37" s="60" t="n">
        <v>0</v>
      </c>
      <c r="R37" s="61"/>
      <c r="S37" s="62" t="n">
        <f aca="false">Supuestos!$B$90</f>
        <v>0.622361673414305</v>
      </c>
      <c r="T37" s="63" t="n">
        <f aca="false">O37+M37+N37</f>
        <v>2019083.973</v>
      </c>
    </row>
    <row r="38" customFormat="false" ht="21.75" hidden="false" customHeight="true" outlineLevel="0" collapsed="false">
      <c r="A38" s="64" t="s">
        <v>210</v>
      </c>
      <c r="B38" s="64" t="s">
        <v>211</v>
      </c>
      <c r="C38" s="64" t="s">
        <v>538</v>
      </c>
      <c r="D38" s="64" t="s">
        <v>212</v>
      </c>
      <c r="E38" s="64" t="s">
        <v>539</v>
      </c>
      <c r="F38" s="64" t="s">
        <v>530</v>
      </c>
      <c r="G38" s="57" t="n">
        <v>657654</v>
      </c>
      <c r="H38" s="57" t="n">
        <v>234086.077785064</v>
      </c>
      <c r="I38" s="57" t="n">
        <v>16953.5830793859</v>
      </c>
      <c r="J38" s="58" t="n">
        <f aca="false">H38-I38</f>
        <v>217132.494705678</v>
      </c>
      <c r="K38" s="57" t="n">
        <v>393510</v>
      </c>
      <c r="L38" s="57" t="n">
        <v>2279754</v>
      </c>
      <c r="M38" s="57" t="n">
        <v>901783</v>
      </c>
      <c r="N38" s="57" t="n">
        <v>140656</v>
      </c>
      <c r="O38" s="57" t="n">
        <v>1832401.491</v>
      </c>
      <c r="P38" s="59" t="n">
        <v>2260</v>
      </c>
      <c r="Q38" s="60" t="n">
        <v>0</v>
      </c>
      <c r="R38" s="61" t="s">
        <v>545</v>
      </c>
      <c r="S38" s="62" t="n">
        <f aca="false">Supuestos!$B$90</f>
        <v>0.622361673414305</v>
      </c>
      <c r="T38" s="63" t="n">
        <f aca="false">O38+M38+N38</f>
        <v>2874840.491</v>
      </c>
    </row>
    <row r="39" customFormat="false" ht="15" hidden="false" customHeight="true" outlineLevel="0" collapsed="false">
      <c r="A39" s="64" t="s">
        <v>546</v>
      </c>
      <c r="B39" s="64" t="s">
        <v>547</v>
      </c>
      <c r="C39" s="64" t="s">
        <v>538</v>
      </c>
      <c r="D39" s="64" t="s">
        <v>208</v>
      </c>
      <c r="E39" s="64" t="s">
        <v>548</v>
      </c>
      <c r="F39" s="64" t="s">
        <v>527</v>
      </c>
      <c r="G39" s="57" t="n">
        <v>5513.075093</v>
      </c>
      <c r="H39" s="57" t="n">
        <v>3548.488</v>
      </c>
      <c r="I39" s="57" t="n">
        <v>17.399054</v>
      </c>
      <c r="J39" s="58" t="n">
        <f aca="false">H39-I39</f>
        <v>3531.088946</v>
      </c>
      <c r="K39" s="57" t="n">
        <v>2839.273649</v>
      </c>
      <c r="L39" s="57" t="n">
        <v>58859.10501</v>
      </c>
      <c r="M39" s="57" t="n">
        <v>5777.214826</v>
      </c>
      <c r="N39" s="57" t="n">
        <v>2514.053494</v>
      </c>
      <c r="O39" s="57" t="n">
        <v>35837.309</v>
      </c>
      <c r="P39" s="59" t="n">
        <v>23.4</v>
      </c>
      <c r="Q39" s="60" t="n">
        <v>0</v>
      </c>
      <c r="R39" s="61"/>
      <c r="S39" s="62" t="n">
        <f aca="false">Supuestos!$B$89</f>
        <v>52.7093596059113</v>
      </c>
      <c r="T39" s="63" t="n">
        <f aca="false">O39+M39+N39</f>
        <v>44128.57732</v>
      </c>
    </row>
    <row r="40" customFormat="false" ht="15" hidden="false" customHeight="true" outlineLevel="0" collapsed="false">
      <c r="A40" s="64" t="s">
        <v>546</v>
      </c>
      <c r="B40" s="64" t="s">
        <v>547</v>
      </c>
      <c r="C40" s="64" t="s">
        <v>538</v>
      </c>
      <c r="D40" s="64" t="s">
        <v>208</v>
      </c>
      <c r="E40" s="64" t="s">
        <v>548</v>
      </c>
      <c r="F40" s="64" t="s">
        <v>528</v>
      </c>
      <c r="G40" s="57" t="n">
        <v>6188.989063</v>
      </c>
      <c r="H40" s="57" t="n">
        <v>3946.793719</v>
      </c>
      <c r="I40" s="57" t="n">
        <v>16.68704</v>
      </c>
      <c r="J40" s="58" t="n">
        <f aca="false">H40-I40</f>
        <v>3930.106679</v>
      </c>
      <c r="K40" s="57" t="n">
        <v>3309.20402</v>
      </c>
      <c r="L40" s="57" t="n">
        <v>59273.71025</v>
      </c>
      <c r="M40" s="57" t="n">
        <v>7103.915032</v>
      </c>
      <c r="N40" s="57" t="n">
        <v>2779.691784</v>
      </c>
      <c r="O40" s="57" t="n">
        <v>32666.0343</v>
      </c>
      <c r="P40" s="59" t="n">
        <v>20.96</v>
      </c>
      <c r="Q40" s="60" t="n">
        <v>0</v>
      </c>
      <c r="R40" s="61"/>
      <c r="S40" s="62" t="n">
        <f aca="false">Supuestos!$B$89</f>
        <v>52.7093596059113</v>
      </c>
      <c r="T40" s="63" t="n">
        <f aca="false">O40+M40+N40</f>
        <v>42549.641116</v>
      </c>
    </row>
    <row r="41" customFormat="false" ht="15" hidden="false" customHeight="true" outlineLevel="0" collapsed="false">
      <c r="A41" s="64" t="s">
        <v>546</v>
      </c>
      <c r="B41" s="64" t="s">
        <v>547</v>
      </c>
      <c r="C41" s="64" t="s">
        <v>538</v>
      </c>
      <c r="D41" s="64" t="s">
        <v>208</v>
      </c>
      <c r="E41" s="64" t="s">
        <v>548</v>
      </c>
      <c r="F41" s="64" t="s">
        <v>352</v>
      </c>
      <c r="G41" s="57" t="n">
        <v>6774.648773</v>
      </c>
      <c r="H41" s="57" t="n">
        <v>4404.979918</v>
      </c>
      <c r="I41" s="57" t="n">
        <v>12.314015</v>
      </c>
      <c r="J41" s="58" t="n">
        <f aca="false">H41-I41</f>
        <v>4392.665903</v>
      </c>
      <c r="K41" s="57" t="n">
        <v>4201.211086</v>
      </c>
      <c r="L41" s="57" t="n">
        <v>61136.362</v>
      </c>
      <c r="M41" s="57" t="n">
        <v>8959.336</v>
      </c>
      <c r="N41" s="57" t="n">
        <v>2694.196</v>
      </c>
      <c r="O41" s="57" t="n">
        <v>31741.1254</v>
      </c>
      <c r="P41" s="59" t="n">
        <v>20.06</v>
      </c>
      <c r="Q41" s="60" t="n">
        <v>0</v>
      </c>
      <c r="R41" s="61"/>
      <c r="S41" s="62" t="n">
        <f aca="false">Supuestos!$B$89</f>
        <v>52.7093596059113</v>
      </c>
      <c r="T41" s="63" t="n">
        <f aca="false">O41+M41+N41</f>
        <v>43394.6574</v>
      </c>
    </row>
    <row r="42" customFormat="false" ht="15" hidden="false" customHeight="true" outlineLevel="0" collapsed="false">
      <c r="A42" s="64" t="s">
        <v>546</v>
      </c>
      <c r="B42" s="64" t="s">
        <v>547</v>
      </c>
      <c r="C42" s="64" t="s">
        <v>538</v>
      </c>
      <c r="D42" s="64" t="s">
        <v>208</v>
      </c>
      <c r="E42" s="64" t="s">
        <v>548</v>
      </c>
      <c r="F42" s="64" t="s">
        <v>353</v>
      </c>
      <c r="G42" s="57" t="n">
        <v>7576.427586</v>
      </c>
      <c r="H42" s="57" t="n">
        <v>5024.111421</v>
      </c>
      <c r="I42" s="57" t="n">
        <v>13.044624</v>
      </c>
      <c r="J42" s="58" t="n">
        <f aca="false">H42-I42</f>
        <v>5011.066797</v>
      </c>
      <c r="K42" s="57" t="n">
        <v>5033.094732</v>
      </c>
      <c r="L42" s="57" t="n">
        <v>63801.62915</v>
      </c>
      <c r="M42" s="57" t="n">
        <v>10355.72216</v>
      </c>
      <c r="N42" s="57" t="n">
        <v>2856.829912</v>
      </c>
      <c r="O42" s="57" t="n">
        <v>45010.3081</v>
      </c>
      <c r="P42" s="59" t="n">
        <v>28.06</v>
      </c>
      <c r="Q42" s="60" t="n">
        <v>0</v>
      </c>
      <c r="R42" s="61"/>
      <c r="S42" s="62" t="n">
        <f aca="false">Supuestos!$B$89</f>
        <v>52.7093596059113</v>
      </c>
      <c r="T42" s="63" t="n">
        <f aca="false">O42+M42+N42</f>
        <v>58222.860172</v>
      </c>
    </row>
    <row r="43" customFormat="false" ht="15" hidden="false" customHeight="true" outlineLevel="0" collapsed="false">
      <c r="A43" s="64" t="s">
        <v>546</v>
      </c>
      <c r="B43" s="64" t="s">
        <v>547</v>
      </c>
      <c r="C43" s="64" t="s">
        <v>538</v>
      </c>
      <c r="D43" s="64" t="s">
        <v>208</v>
      </c>
      <c r="E43" s="64" t="s">
        <v>548</v>
      </c>
      <c r="F43" s="64" t="s">
        <v>530</v>
      </c>
      <c r="G43" s="57" t="n">
        <v>7919.117418</v>
      </c>
      <c r="H43" s="57" t="n">
        <v>5267.092213</v>
      </c>
      <c r="I43" s="57" t="n">
        <v>13.271624</v>
      </c>
      <c r="J43" s="58" t="n">
        <f aca="false">H43-I43</f>
        <v>5253.820589</v>
      </c>
      <c r="K43" s="57" t="n">
        <v>5720.845732</v>
      </c>
      <c r="L43" s="57" t="n">
        <v>65366.324</v>
      </c>
      <c r="M43" s="57" t="n">
        <v>11724.738</v>
      </c>
      <c r="N43" s="57" t="n">
        <v>2958.505</v>
      </c>
      <c r="O43" s="57" t="n">
        <v>45229.1479</v>
      </c>
      <c r="P43" s="59" t="n">
        <v>27.94</v>
      </c>
      <c r="Q43" s="60" t="n">
        <v>0</v>
      </c>
      <c r="R43" s="61"/>
      <c r="S43" s="62" t="n">
        <f aca="false">Supuestos!$B$89</f>
        <v>52.7093596059113</v>
      </c>
      <c r="T43" s="63" t="n">
        <f aca="false">O43+M43+N43</f>
        <v>59912.3909</v>
      </c>
    </row>
    <row r="45" customFormat="false" ht="15" hidden="false" customHeight="true" outlineLevel="0" collapsed="false">
      <c r="A45" s="54" t="s">
        <v>549</v>
      </c>
    </row>
    <row r="46" customFormat="false" ht="34.5" hidden="false" customHeight="true" outlineLevel="0" collapsed="false">
      <c r="A46" s="55" t="s">
        <v>184</v>
      </c>
      <c r="B46" s="55" t="s">
        <v>185</v>
      </c>
      <c r="C46" s="55" t="s">
        <v>512</v>
      </c>
      <c r="D46" s="55" t="s">
        <v>186</v>
      </c>
      <c r="E46" s="55" t="s">
        <v>513</v>
      </c>
      <c r="F46" s="55" t="s">
        <v>514</v>
      </c>
      <c r="G46" s="55" t="s">
        <v>550</v>
      </c>
      <c r="H46" s="55" t="s">
        <v>461</v>
      </c>
      <c r="I46" s="55" t="s">
        <v>551</v>
      </c>
      <c r="J46" s="55" t="s">
        <v>552</v>
      </c>
      <c r="K46" s="55" t="s">
        <v>553</v>
      </c>
      <c r="L46" s="55"/>
      <c r="M46" s="55"/>
      <c r="N46" s="55"/>
      <c r="O46" s="55"/>
      <c r="P46" s="55"/>
      <c r="Q46" s="55"/>
      <c r="R46" s="55" t="s">
        <v>522</v>
      </c>
      <c r="S46" s="55" t="s">
        <v>523</v>
      </c>
    </row>
    <row r="47" customFormat="false" ht="15" hidden="false" customHeight="true" outlineLevel="0" collapsed="false">
      <c r="A47" s="56" t="s">
        <v>525</v>
      </c>
      <c r="B47" s="56" t="s">
        <v>526</v>
      </c>
      <c r="C47" s="56" t="s">
        <v>482</v>
      </c>
      <c r="D47" s="56" t="s">
        <v>197</v>
      </c>
      <c r="E47" s="56" t="s">
        <v>15</v>
      </c>
      <c r="F47" s="56" t="s">
        <v>554</v>
      </c>
      <c r="G47" s="65" t="n">
        <v>758569.5251</v>
      </c>
      <c r="H47" s="65" t="n">
        <v>617130.3379</v>
      </c>
      <c r="I47" s="65" t="n">
        <v>611889.8174</v>
      </c>
      <c r="J47" s="65" t="n">
        <v>488981.2456</v>
      </c>
      <c r="K47" s="60" t="n">
        <v>13</v>
      </c>
      <c r="R47" s="66"/>
      <c r="S47" s="62" t="n">
        <f aca="false">Supuestos!$B$86</f>
        <v>1</v>
      </c>
    </row>
    <row r="48" customFormat="false" ht="15" hidden="false" customHeight="true" outlineLevel="0" collapsed="false">
      <c r="A48" s="64" t="s">
        <v>195</v>
      </c>
      <c r="B48" s="64" t="s">
        <v>196</v>
      </c>
      <c r="C48" s="64" t="s">
        <v>531</v>
      </c>
      <c r="D48" s="64" t="s">
        <v>197</v>
      </c>
      <c r="E48" s="64" t="s">
        <v>15</v>
      </c>
      <c r="F48" s="64" t="s">
        <v>554</v>
      </c>
      <c r="G48" s="65" t="n">
        <v>475685.589</v>
      </c>
      <c r="H48" s="65" t="n">
        <v>342581.9503</v>
      </c>
      <c r="I48" s="65" t="n">
        <v>347536.9589</v>
      </c>
      <c r="J48" s="65" t="n">
        <v>166719.8491</v>
      </c>
      <c r="K48" s="60" t="n">
        <v>13</v>
      </c>
      <c r="R48" s="66" t="s">
        <v>555</v>
      </c>
      <c r="S48" s="62" t="n">
        <f aca="false">Supuestos!$B$86</f>
        <v>1</v>
      </c>
    </row>
    <row r="49" customFormat="false" ht="15" hidden="false" customHeight="true" outlineLevel="0" collapsed="false">
      <c r="A49" s="64" t="s">
        <v>199</v>
      </c>
      <c r="B49" s="64" t="s">
        <v>200</v>
      </c>
      <c r="C49" s="64" t="s">
        <v>531</v>
      </c>
      <c r="D49" s="64" t="s">
        <v>197</v>
      </c>
      <c r="E49" s="64" t="s">
        <v>15</v>
      </c>
      <c r="F49" s="64" t="s">
        <v>554</v>
      </c>
      <c r="G49" s="65" t="n">
        <v>436396.6493</v>
      </c>
      <c r="H49" s="65" t="n">
        <v>392093.8</v>
      </c>
      <c r="I49" s="65" t="n">
        <v>395608.2021</v>
      </c>
      <c r="J49" s="65" t="n">
        <v>278140.7303</v>
      </c>
      <c r="K49" s="60" t="n">
        <v>11</v>
      </c>
      <c r="R49" s="66" t="s">
        <v>555</v>
      </c>
      <c r="S49" s="62" t="n">
        <f aca="false">Supuestos!$B$86</f>
        <v>1</v>
      </c>
    </row>
    <row r="50" customFormat="false" ht="15" hidden="false" customHeight="true" outlineLevel="0" collapsed="false">
      <c r="A50" s="64" t="s">
        <v>214</v>
      </c>
      <c r="B50" s="64" t="s">
        <v>215</v>
      </c>
      <c r="C50" s="64" t="s">
        <v>531</v>
      </c>
      <c r="D50" s="64" t="s">
        <v>203</v>
      </c>
      <c r="E50" s="64" t="s">
        <v>534</v>
      </c>
      <c r="F50" s="64" t="s">
        <v>554</v>
      </c>
      <c r="G50" s="65" t="n">
        <v>2802.804483</v>
      </c>
      <c r="H50" s="65" t="n">
        <v>2109.070776</v>
      </c>
      <c r="I50" s="65" t="n">
        <v>1967.476961</v>
      </c>
      <c r="J50" s="65" t="n">
        <v>1291.497506</v>
      </c>
      <c r="K50" s="60" t="n">
        <v>15</v>
      </c>
      <c r="R50" s="66"/>
      <c r="S50" s="62" t="n">
        <f aca="false">Supuestos!$B$88</f>
        <v>178.644199109045</v>
      </c>
    </row>
    <row r="51" customFormat="false" ht="15" hidden="false" customHeight="true" outlineLevel="0" collapsed="false">
      <c r="A51" s="64" t="s">
        <v>201</v>
      </c>
      <c r="B51" s="64" t="s">
        <v>202</v>
      </c>
      <c r="C51" s="64" t="s">
        <v>531</v>
      </c>
      <c r="D51" s="64" t="s">
        <v>203</v>
      </c>
      <c r="E51" s="64" t="s">
        <v>534</v>
      </c>
      <c r="F51" s="64" t="s">
        <v>554</v>
      </c>
      <c r="G51" s="65" t="n">
        <v>3116.17637</v>
      </c>
      <c r="H51" s="65" t="n">
        <v>2315.443836</v>
      </c>
      <c r="I51" s="65" t="n">
        <v>1723.195205</v>
      </c>
      <c r="J51" s="65" t="n">
        <v>949.7683602</v>
      </c>
      <c r="K51" s="60" t="n">
        <v>14</v>
      </c>
      <c r="R51" s="66"/>
      <c r="S51" s="62" t="n">
        <f aca="false">Supuestos!$B$88</f>
        <v>178.644199109045</v>
      </c>
    </row>
    <row r="52" customFormat="false" ht="15" hidden="false" customHeight="true" outlineLevel="0" collapsed="false">
      <c r="A52" s="64" t="s">
        <v>204</v>
      </c>
      <c r="B52" s="64" t="s">
        <v>205</v>
      </c>
      <c r="C52" s="64" t="s">
        <v>531</v>
      </c>
      <c r="D52" s="64" t="s">
        <v>203</v>
      </c>
      <c r="E52" s="64" t="s">
        <v>534</v>
      </c>
      <c r="F52" s="64" t="s">
        <v>554</v>
      </c>
      <c r="G52" s="65" t="n">
        <v>1781.472603</v>
      </c>
      <c r="H52" s="65" t="n">
        <v>1333.787671</v>
      </c>
      <c r="I52" s="65" t="n">
        <v>1112.771689</v>
      </c>
      <c r="J52" s="65" t="n">
        <v>649.873092</v>
      </c>
      <c r="K52" s="60" t="n">
        <v>13</v>
      </c>
      <c r="R52" s="66"/>
      <c r="S52" s="62" t="n">
        <f aca="false">Supuestos!$B$88</f>
        <v>178.644199109045</v>
      </c>
    </row>
    <row r="53" customFormat="false" ht="15" hidden="false" customHeight="true" outlineLevel="0" collapsed="false">
      <c r="A53" s="64" t="s">
        <v>210</v>
      </c>
      <c r="B53" s="64" t="s">
        <v>211</v>
      </c>
      <c r="C53" s="64" t="s">
        <v>538</v>
      </c>
      <c r="D53" s="64" t="s">
        <v>212</v>
      </c>
      <c r="E53" s="64" t="s">
        <v>539</v>
      </c>
      <c r="F53" s="64" t="s">
        <v>554</v>
      </c>
      <c r="G53" s="65" t="n">
        <v>708864.6243</v>
      </c>
      <c r="H53" s="65" t="n">
        <v>460784.7301</v>
      </c>
      <c r="I53" s="65" t="n">
        <v>444193.9164</v>
      </c>
      <c r="J53" s="65" t="n">
        <v>199514.5402</v>
      </c>
      <c r="K53" s="60" t="n">
        <v>1</v>
      </c>
      <c r="R53" s="66" t="s">
        <v>556</v>
      </c>
      <c r="S53" s="62" t="n">
        <f aca="false">Supuestos!$B$90</f>
        <v>0.622361673414305</v>
      </c>
    </row>
    <row r="54" customFormat="false" ht="15" hidden="false" customHeight="true" outlineLevel="0" collapsed="false">
      <c r="A54" s="64" t="s">
        <v>546</v>
      </c>
      <c r="B54" s="64" t="s">
        <v>547</v>
      </c>
      <c r="C54" s="64" t="s">
        <v>538</v>
      </c>
      <c r="D54" s="64" t="s">
        <v>208</v>
      </c>
      <c r="E54" s="64" t="s">
        <v>548</v>
      </c>
      <c r="F54" s="64" t="s">
        <v>554</v>
      </c>
      <c r="G54" s="65" t="n">
        <v>8336.520548</v>
      </c>
      <c r="H54" s="65" t="n">
        <v>5945.221461</v>
      </c>
      <c r="I54" s="65" t="n">
        <v>5956.345205</v>
      </c>
      <c r="J54" s="65" t="n">
        <v>5316.659004</v>
      </c>
      <c r="K54" s="60" t="n">
        <v>9</v>
      </c>
      <c r="R54" s="66" t="s">
        <v>555</v>
      </c>
      <c r="S54" s="62" t="n">
        <f aca="false">Supuestos!$B$89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15.75" hidden="false" customHeight="true" outlineLevel="0" collapsed="false">
      <c r="A1" s="67" t="s">
        <v>557</v>
      </c>
    </row>
    <row r="3" customFormat="false" ht="21.75" hidden="false" customHeight="true" outlineLevel="0" collapsed="false">
      <c r="A3" s="68" t="s">
        <v>321</v>
      </c>
      <c r="B3" s="69" t="s">
        <v>558</v>
      </c>
    </row>
    <row r="4" customFormat="false" ht="32.25" hidden="false" customHeight="true" outlineLevel="0" collapsed="false">
      <c r="A4" s="68" t="s">
        <v>559</v>
      </c>
      <c r="B4" s="69" t="s">
        <v>560</v>
      </c>
    </row>
    <row r="5" customFormat="false" ht="23.25" hidden="false" customHeight="true" outlineLevel="0" collapsed="false">
      <c r="A5" s="68" t="s">
        <v>561</v>
      </c>
      <c r="B5" s="69" t="s">
        <v>562</v>
      </c>
    </row>
    <row r="6" customFormat="false" ht="21.75" hidden="false" customHeight="true" outlineLevel="0" collapsed="false">
      <c r="A6" s="68" t="s">
        <v>563</v>
      </c>
      <c r="B6" s="69" t="s">
        <v>564</v>
      </c>
    </row>
    <row r="7" customFormat="false" ht="21.75" hidden="false" customHeight="true" outlineLevel="0" collapsed="false">
      <c r="A7" s="68" t="s">
        <v>530</v>
      </c>
      <c r="B7" s="69" t="s">
        <v>565</v>
      </c>
    </row>
    <row r="8" customFormat="false" ht="21.75" hidden="false" customHeight="true" outlineLevel="0" collapsed="false">
      <c r="A8" s="68" t="s">
        <v>554</v>
      </c>
      <c r="B8" s="69" t="s">
        <v>566</v>
      </c>
    </row>
    <row r="9" customFormat="false" ht="15" hidden="false" customHeight="true" outlineLevel="0" collapsed="false">
      <c r="A9" s="68" t="s">
        <v>513</v>
      </c>
      <c r="B9" s="69" t="s">
        <v>567</v>
      </c>
    </row>
    <row r="10" customFormat="false" ht="15" hidden="false" customHeight="true" outlineLevel="0" collapsed="false">
      <c r="A10" s="68" t="s">
        <v>568</v>
      </c>
      <c r="B10" s="69" t="s">
        <v>569</v>
      </c>
    </row>
    <row r="11" customFormat="false" ht="15" hidden="false" customHeight="true" outlineLevel="0" collapsed="false">
      <c r="A11" s="68" t="s">
        <v>210</v>
      </c>
      <c r="B11" s="69" t="s">
        <v>570</v>
      </c>
    </row>
    <row r="12" customFormat="false" ht="21.75" hidden="false" customHeight="true" outlineLevel="0" collapsed="false">
      <c r="A12" s="68" t="s">
        <v>571</v>
      </c>
      <c r="B12" s="69" t="s">
        <v>572</v>
      </c>
    </row>
    <row r="13" customFormat="false" ht="21.75" hidden="false" customHeight="true" outlineLevel="0" collapsed="false">
      <c r="A13" s="68" t="s">
        <v>573</v>
      </c>
      <c r="B13" s="69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2026-10-07T12:47:12Z</dcterms:created>
  <dc:creator>openpyxl</dc:creator>
  <dc:description/>
  <dc:language>en-US</dc:language>
  <cp:lastModifiedBy>Cristian Felipe Eduardo Vidal Ríos</cp:lastModifiedBy>
  <dcterms:modified xsi:type="dcterms:W3CDTF">2026-10-10T04:25:33Z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