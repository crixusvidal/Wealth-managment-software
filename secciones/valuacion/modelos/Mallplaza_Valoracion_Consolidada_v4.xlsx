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Cambios" sheetId="1" state="visible" r:id="rId3"/>
    <sheet name="Supuestos" sheetId="2" state="visible" r:id="rId4"/>
    <sheet name="WACC" sheetId="3" state="visible" r:id="rId5"/>
    <sheet name="Forecast_Base" sheetId="4" state="visible" r:id="rId6"/>
    <sheet name="Expansion" sheetId="5" state="visible" r:id="rId7"/>
    <sheet name="Capital_Trabajo" sheetId="6" state="visible" r:id="rId8"/>
    <sheet name="DCF" sheetId="7" state="visible" r:id="rId9"/>
    <sheet name="Deuda" sheetId="8" state="visible" r:id="rId10"/>
    <sheet name="APV" sheetId="9" state="visible" r:id="rId11"/>
    <sheet name="Sensibilidad" sheetId="10" state="visible" r:id="rId12"/>
    <sheet name="Comparables" sheetId="11" state="visible" r:id="rId13"/>
    <sheet name="Precio_Objetivo" sheetId="12" state="visible" r:id="rId14"/>
    <sheet name="Datos_BBG" sheetId="13" state="visible" r:id="rId15"/>
    <sheet name="Notas_Fuentes" sheetId="14" state="visible" r:id="rId16"/>
    <sheet name="TIR_Implicita" sheetId="15" state="visible" r:id="rId17"/>
    <sheet name="TIR_Accionista" sheetId="16" state="visible" r:id="rId18"/>
    <sheet name="TIR_Proyecto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<sst xmlns="http://schemas.openxmlformats.org/spreadsheetml/2006/main" count="1422" uniqueCount="858">
  <si>
    <t xml:space="preserve">Mallplaza (Plaza S.A.) — Valorización consolidada v4</t>
  </si>
  <si>
    <t xml:space="preserve">Resumen y cambios respecto de 'Mallplaza Valoracion Consolidada VF.xlsx'. Todas las cifras de esta hoja son vínculos vivos.</t>
  </si>
  <si>
    <t xml:space="preserve">Resultado</t>
  </si>
  <si>
    <t xml:space="preserve">Valor por acción DCF (CLP)</t>
  </si>
  <si>
    <t xml:space="preserve">Valor por acción por múltiplos — EV/EBITDA LTM (CLP)</t>
  </si>
  <si>
    <t xml:space="preserve">Precio objetivo 80% DCF / 20% múltiplos (CLP)</t>
  </si>
  <si>
    <t xml:space="preserve">Precio 30-09-2026 (CLP)</t>
  </si>
  <si>
    <t xml:space="preserve">Upside / (downside) del precio objetivo</t>
  </si>
  <si>
    <t xml:space="preserve">Valor por acción APV — chequeo (CLP)</t>
  </si>
  <si>
    <t xml:space="preserve">WACC nominal: 2S26E → terminal</t>
  </si>
  <si>
    <t xml:space="preserve">DFN/EBITDA: hoy → 2031</t>
  </si>
  <si>
    <t xml:space="preserve">Comparación con el VF</t>
  </si>
  <si>
    <t xml:space="preserve">Valor por acción DCF VF (CLP)</t>
  </si>
  <si>
    <t xml:space="preserve">Diferencia DCF v2 − VF (CLP)</t>
  </si>
  <si>
    <t xml:space="preserve">Precio objetivo VF (CLP)</t>
  </si>
  <si>
    <t xml:space="preserve">Qué cambió en v2</t>
  </si>
  <si>
    <t xml:space="preserve">1. Estructura de capital: parte en la DFN/EBITDA real de jun-26 (2,36x) y converge linealmente a 3,5x al cierre de 2031 (Supuestos C, editable). El valor terminal usa 3,5x.</t>
  </si>
  <si>
    <t xml:space="preserve">2. Deuda: la caja sobrante se registra como distribución adicional a accionistas (recompra o dividendo extra), de modo que la DFN sigue la trayectoria objetivo. En el VF la DFN bajaba a ~1,0x mientras la WACC suponía 3,5x.</t>
  </si>
  <si>
    <t xml:space="preserve">3. WACC por período: el D/E parte en la estructura actual del modelo original (19,98%) y converge a la objetivo (28,52%) en 2031; beta, Ke, Kd y WACC se recalculan cada año y el DCF descuenta con factores acumulados.</t>
  </si>
  <si>
    <t xml:space="preserve">4. Costo de la deuda: +25 pb de Kd real por cada vuelta de DFN/EBITDA sobre 2,36x (supuesto del equipo). Afecta la WACC y el costo financiero.</t>
  </si>
  <si>
    <t xml:space="preserve">5. Reajuste UF tratado como gasto deducible en la hoja Deuda (no cambia el EV).</t>
  </si>
  <si>
    <t xml:space="preserve">6. Nuevas hojas: APV (chequeo de consistencia) y Sensibilidad (WACC vs g con fórmulas vivas; objetivo de deuda vs spread).</t>
  </si>
  <si>
    <t xml:space="preserve">7. Todo el libro queda vinculado: betas y CRP → WACC; Capital_Trabajo → Supuestos; Expansion → DCF; Datos_BBG → Comparables → Precio_Objetivo.</t>
  </si>
  <si>
    <t xml:space="preserve">8. Sin cambios de supuestos: forecast operativo, expansión, capital de trabajo, g terminal, múltiplos y puente a patrimonio.</t>
  </si>
  <si>
    <t xml:space="preserve">Control: Supuestos C, switch = 0 → reproduce exactamente el VF (WACC 10,37% constante; CLP 1.880; precio objetivo CLP 2.095).</t>
  </si>
  <si>
    <t xml:space="preserve">NUEVO · v3: hojas TIR_Implicita (TIR de la firma, tasa única, Buscar objetivo) y TIR_Accionista (TIR de la firma, del accionista y por escenario, nominal y real, fórmulas vivas).</t>
  </si>
  <si>
    <t xml:space="preserve">NUEVO · v3: sin cambios en las demás hojas (valores idénticos a v2). El 7,61% de TIR_Implicita es una tasa única; el 7,60% de la Figura 27 desplaza en paralelo la WACC de cada período.</t>
  </si>
  <si>
    <t xml:space="preserve">NUEVO · v4: pipeline completo con fecha (170.200 m², USD 613 MM): se activan los «Otros proyectos Chile» (46.500 m², apertura 2028, USD 134 MM) en el forecast (Exhibits v7) y Supuestos!B73 = 114.400 m²; cambian Forecast_Base (filas 5, 7 y 12), el mix de la expansión y, por fórmula, DCF, Deuda, TIR y Sensibilidad.</t>
  </si>
  <si>
    <t xml:space="preserve">Supuestos — modelo consolidado de valoración Mallplaza (Plaza S.A.) · v4</t>
  </si>
  <si>
    <t xml:space="preserve">Única hoja de inputs. Azul = dato ingresado · negro = fórmula · verde = vínculo a otra hoja · fondo amarillo = supuesto clave del equipo. MM CLP salvo indicación. Tags: [R] reportado · [P] consenso/forecast · [C] cálculo · [S] supuesto del equipo.</t>
  </si>
  <si>
    <t xml:space="preserve">Concepto</t>
  </si>
  <si>
    <t xml:space="preserve">Valor</t>
  </si>
  <si>
    <t xml:space="preserve">Unidad</t>
  </si>
  <si>
    <t xml:space="preserve">Tag</t>
  </si>
  <si>
    <t xml:space="preserve">Fuente / comentario</t>
  </si>
  <si>
    <t xml:space="preserve">A. General y puente a patrimonio</t>
  </si>
  <si>
    <t xml:space="preserve">Fecha de valorización</t>
  </si>
  <si>
    <t xml:space="preserve">30-06-2026</t>
  </si>
  <si>
    <t xml:space="preserve">fecha</t>
  </si>
  <si>
    <t xml:space="preserve">S</t>
  </si>
  <si>
    <t xml:space="preserve">Coincide con la última DFN y minoritarios reportados (Release 2Q26).</t>
  </si>
  <si>
    <t xml:space="preserve">Precio de referencia</t>
  </si>
  <si>
    <t xml:space="preserve">CLP</t>
  </si>
  <si>
    <t xml:space="preserve">R</t>
  </si>
  <si>
    <t xml:space="preserve">Bloomberg PX_LAST al 30-09-2026 (Datos_BBG).</t>
  </si>
  <si>
    <t xml:space="preserve">Acciones en circulación</t>
  </si>
  <si>
    <t xml:space="preserve">MM</t>
  </si>
  <si>
    <t xml:space="preserve">Bloomberg: market cap / precio (Datos_BBG).</t>
  </si>
  <si>
    <t xml:space="preserve">Deuda financiera neta 30-06-2026 (definición compañía)</t>
  </si>
  <si>
    <t xml:space="preserve">MM CLP</t>
  </si>
  <si>
    <t xml:space="preserve">Release 2Q26 / Análisis Razonado 1S26.</t>
  </si>
  <si>
    <t xml:space="preserve">Participaciones no controladoras (libro) 30-06-2026</t>
  </si>
  <si>
    <t xml:space="preserve">Release 2Q26. Libro como proxy del valor de mercado [S].</t>
  </si>
  <si>
    <t xml:space="preserve">Caja y equivalentes 30-06-2026</t>
  </si>
  <si>
    <t xml:space="preserve">Release 2Q26. Se mantiene constante para pasar de DFN a deuda bruta.</t>
  </si>
  <si>
    <t xml:space="preserve">EBITDA LTM 2T26 (definición compañía)</t>
  </si>
  <si>
    <t xml:space="preserve">Release 2Q26, p. 29.</t>
  </si>
  <si>
    <t xml:space="preserve">Deuda neta Mallplaza para múltiplos (BBG NET_DEBT)</t>
  </si>
  <si>
    <t xml:space="preserve">Misma definición que los pares (Bloomberg), solo para el método de múltiplos.</t>
  </si>
  <si>
    <t xml:space="preserve">B. WACC (fórmulas en hoja WACC)</t>
  </si>
  <si>
    <t xml:space="preserve">Rf — bono del Tesoro de EE.UU.</t>
  </si>
  <si>
    <t xml:space="preserve">%</t>
  </si>
  <si>
    <t xml:space="preserve">Tasa_WACC.xlsm, FFCF!C11.</t>
  </si>
  <si>
    <t xml:space="preserve">Rf — tasa "Chile" del archivo original</t>
  </si>
  <si>
    <t xml:space="preserve">Tasa_WACC.xlsm, FFCF!E11. Si ya incluye riesgo Chile, el CRP se contaría dos veces.</t>
  </si>
  <si>
    <t xml:space="preserve">Rf usada en el Ke (1 = "Chile" · 2 = EE.UU.)</t>
  </si>
  <si>
    <t xml:space="preserve">switch</t>
  </si>
  <si>
    <t xml:space="preserve">Rf = bono de EE.UU.; el CRP se suma aparte (sin doble conteo).</t>
  </si>
  <si>
    <t xml:space="preserve">Inflación de largo plazo EE.UU. (breakeven 10Y, jun-26)</t>
  </si>
  <si>
    <t xml:space="preserve">Bloomberg USGG10YR − USGGT10Y al 30-06-2026.</t>
  </si>
  <si>
    <t xml:space="preserve">Convertir el Ke en USD a CLP con el diferencial de inflación (1 = sí)</t>
  </si>
  <si>
    <t xml:space="preserve">Ke CLP = (1 + Ke USD) × (1 + inflación Chile) / (1 + inflación EE.UU.) − 1.</t>
  </si>
  <si>
    <t xml:space="preserve">Prima por riesgo de mercado (ERP)</t>
  </si>
  <si>
    <t xml:space="preserve">Damodaran (Tasa_WACC.xlsm, FFCF!B73).</t>
  </si>
  <si>
    <t xml:space="preserve">CRP Chile</t>
  </si>
  <si>
    <t xml:space="preserve">Tasa_WACC.xlsm, FFCF!C79.</t>
  </si>
  <si>
    <t xml:space="preserve">CRP Perú</t>
  </si>
  <si>
    <t xml:space="preserve">Tasa_WACC.xlsm, FFCF!C80.</t>
  </si>
  <si>
    <t xml:space="preserve">CRP Colombia</t>
  </si>
  <si>
    <t xml:space="preserve">Tasa_WACC.xlsm, FFCF!C81.</t>
  </si>
  <si>
    <t xml:space="preserve">Ingresos LTM consolidados (ponderador CRP)</t>
  </si>
  <si>
    <t xml:space="preserve">Tasa_WACC.xlsm, FFCF!C83.</t>
  </si>
  <si>
    <t xml:space="preserve">Ingresos LTM Chile</t>
  </si>
  <si>
    <t xml:space="preserve">Tasa_WACC.xlsm, FFCF!C86.</t>
  </si>
  <si>
    <t xml:space="preserve">Ingresos LTM Perú</t>
  </si>
  <si>
    <t xml:space="preserve">miles PEN</t>
  </si>
  <si>
    <t xml:space="preserve">Tasa_WACC.xlsm, FFCF!C90.</t>
  </si>
  <si>
    <t xml:space="preserve">Ingresos LTM Colombia</t>
  </si>
  <si>
    <t xml:space="preserve">MM COP</t>
  </si>
  <si>
    <t xml:space="preserve">Tasa_WACC.xlsm, FFCF!C93.</t>
  </si>
  <si>
    <t xml:space="preserve">USDCLP (ponderador CRP)</t>
  </si>
  <si>
    <t xml:space="preserve">CLP/USD</t>
  </si>
  <si>
    <t xml:space="preserve">Tasa_WACC.xlsm, FFCF!C87.</t>
  </si>
  <si>
    <t xml:space="preserve">USDPEN (ponderador CRP)</t>
  </si>
  <si>
    <t xml:space="preserve">PEN/USD</t>
  </si>
  <si>
    <t xml:space="preserve">Tasa_WACC.xlsm, FFCF!C91.</t>
  </si>
  <si>
    <t xml:space="preserve">USDCOP (ponderador CRP)</t>
  </si>
  <si>
    <t xml:space="preserve">COP/USD</t>
  </si>
  <si>
    <t xml:space="preserve">Tasa_WACC.xlsm, FFCF!C94.</t>
  </si>
  <si>
    <t xml:space="preserve">Kd real — cupón última emisión en UF (nivel de apalancamiento actual)</t>
  </si>
  <si>
    <t xml:space="preserve">Tasa_WACC.xlsm, FFCF!B115. Tasa REAL (UF): se pasa a nominal con la inflación LP.</t>
  </si>
  <si>
    <t xml:space="preserve">Inflación de largo plazo Chile</t>
  </si>
  <si>
    <t xml:space="preserve">Meta BCCh. Se usa para Kd nominal, conversión del Ke y crecimiento terminal real.</t>
  </si>
  <si>
    <t xml:space="preserve">Tasa de impuesto Chile (escudo de la deuda y re-apalancamiento)</t>
  </si>
  <si>
    <t xml:space="preserve">Ley de Impuesto a la Renta. La deuda está emitida en Chile (79% en UF).</t>
  </si>
  <si>
    <t xml:space="preserve">Deuda financiera bruta Mallplaza (estructura actual)</t>
  </si>
  <si>
    <t xml:space="preserve">Tasa_WACC.xlsm, FFCF!G23:G24.</t>
  </si>
  <si>
    <t xml:space="preserve">Market cap Mallplaza (estructura de la WACC)</t>
  </si>
  <si>
    <t xml:space="preserve">Tasa_WACC.xlsm, FFCF!G26.</t>
  </si>
  <si>
    <t xml:space="preserve">C. Política de deuda (v2: estructura actual → objetivo de largo plazo)</t>
  </si>
  <si>
    <t xml:space="preserve">Política de deuda (1 = convergencia al objetivo · 0 = WACC constante del VF)</t>
  </si>
  <si>
    <t xml:space="preserve">Con 0 se reproduce el DCF VF: 3,5x desde hoy, WACC 10,37% constante, CLP 1.880.</t>
  </si>
  <si>
    <t xml:space="preserve">DFN / EBITDA inicial (30-06-2026)</t>
  </si>
  <si>
    <t xml:space="preserve">x</t>
  </si>
  <si>
    <t xml:space="preserve">C</t>
  </si>
  <si>
    <t xml:space="preserve">DFN / EBITDA LTM.</t>
  </si>
  <si>
    <t xml:space="preserve">DFN / EBITDA objetivo de largo plazo</t>
  </si>
  <si>
    <t xml:space="preserve">La compañía usa su capacidad de deuda para crecer. Referencias: 3,78x dic-24 (post Open Plaza Perú); Parque Arauco 5,7x; Cencosud Shopping 2,1x.</t>
  </si>
  <si>
    <t xml:space="preserve">Año en que se alcanza el objetivo (al 31-dic)</t>
  </si>
  <si>
    <t xml:space="preserve">año</t>
  </si>
  <si>
    <t xml:space="preserve">Convergencia lineal desde el nivel inicial; el valor terminal usa el objetivo.</t>
  </si>
  <si>
    <t xml:space="preserve">Horizonte de convergencia</t>
  </si>
  <si>
    <t xml:space="preserve">años</t>
  </si>
  <si>
    <t xml:space="preserve">Años entre el 30-06-2026 y el 31-dic del año objetivo.</t>
  </si>
  <si>
    <t xml:space="preserve">Aumento del Kd real por cada 1,0x de DFN/EBITDA sobre el nivel inicial</t>
  </si>
  <si>
    <t xml:space="preserve">Más deuda → menor clasificación y mayor spread. Calibrar con spreads de bonos corporativos UF por clasificación. Afecta la WACC y el costo financiero de la hoja Deuda.</t>
  </si>
  <si>
    <t xml:space="preserve">Costo financiero neto / DFN de apertura (sin reajuste UF), nivel inicial</t>
  </si>
  <si>
    <t xml:space="preserve">Exhibits v6: 1S26 anualizado.</t>
  </si>
  <si>
    <t xml:space="preserve">Deuda en UF / deuda total</t>
  </si>
  <si>
    <t xml:space="preserve">Release 2Q26.</t>
  </si>
  <si>
    <t xml:space="preserve">Payout sobre utilidad distribuible</t>
  </si>
  <si>
    <t xml:space="preserve">Política de dividendos (EEFF dic-25, Nota 20e).</t>
  </si>
  <si>
    <t xml:space="preserve">Dividendos 2026E totales</t>
  </si>
  <si>
    <t xml:space="preserve">P</t>
  </si>
  <si>
    <t xml:space="preserve">Exhibits v6 (40% × distribuible 2025).</t>
  </si>
  <si>
    <t xml:space="preserve">Dividendos pagados 1S26</t>
  </si>
  <si>
    <t xml:space="preserve">EEFF jun-26, flujos.</t>
  </si>
  <si>
    <t xml:space="preserve">Utilidad distribuible 2026E (año completo)</t>
  </si>
  <si>
    <t xml:space="preserve">Exhibits v6.</t>
  </si>
  <si>
    <t xml:space="preserve">D. Forecast base (motor operativo, Exhibits v6)</t>
  </si>
  <si>
    <t xml:space="preserve">Ingresos 1S26 real</t>
  </si>
  <si>
    <t xml:space="preserve">Release 2Q26, p. 31.</t>
  </si>
  <si>
    <t xml:space="preserve">EBITDA 1S26 real usado para aislar el 2S26</t>
  </si>
  <si>
    <t xml:space="preserve">Release informa 270.573 (p. 8): diferencia de redondeo.</t>
  </si>
  <si>
    <t xml:space="preserve">Ingresos 2025A</t>
  </si>
  <si>
    <t xml:space="preserve">EEFF dic-25.</t>
  </si>
  <si>
    <t xml:space="preserve">D&amp;A / ingresos</t>
  </si>
  <si>
    <t xml:space="preserve">D&amp;A LTM / ingresos LTM (Exhibits v6).</t>
  </si>
  <si>
    <t xml:space="preserve">Capex de mantención + TI / ingresos</t>
  </si>
  <si>
    <t xml:space="preserve">Entre 2024 (~4,8%) y UDM 2T26 (~6,6%).</t>
  </si>
  <si>
    <t xml:space="preserve">Tasa de impuesto operacional de largo plazo</t>
  </si>
  <si>
    <t xml:space="preserve">Trayectoria 16,8% → 27%; 27% desde 2030.</t>
  </si>
  <si>
    <t xml:space="preserve">E. Expansión continua post-pipeline</t>
  </si>
  <si>
    <t xml:space="preserve">Incluir expansión continua (1 = sí)</t>
  </si>
  <si>
    <t xml:space="preserve">La compañía sigue expandiendo GLA después de 2028 a un ritmo parecido al histórico.</t>
  </si>
  <si>
    <t xml:space="preserve">GLA orgánico agregado 2022</t>
  </si>
  <si>
    <t xml:space="preserve">m²</t>
  </si>
  <si>
    <t xml:space="preserve">GLA orgánico agregado 2023</t>
  </si>
  <si>
    <t xml:space="preserve">GLA orgánico agregado 2025</t>
  </si>
  <si>
    <t xml:space="preserve">Release 2Q26, p. 29. Se excluye 2024 (413.628 m², incluye compra de Open Plaza Perú).</t>
  </si>
  <si>
    <t xml:space="preserve">GLA nuevo por año desde la primera apertura</t>
  </si>
  <si>
    <t xml:space="preserve">Promedio 2022, 2023 y 2025. El pipeline 2026–2028 promedia ~41.000 m²/año.</t>
  </si>
  <si>
    <t xml:space="preserve">Primer año de apertura de la expansión genérica</t>
  </si>
  <si>
    <t xml:space="preserve">El pipeline informado termina en 2028 (Release 2Q26, p. 13).</t>
  </si>
  <si>
    <t xml:space="preserve">Capex desembolsado 2 años antes de abrir</t>
  </si>
  <si>
    <t xml:space="preserve">50% en t−2 y 50% en t−1. Ingresos desde el año de apertura.</t>
  </si>
  <si>
    <t xml:space="preserve">Inversión total pipeline en curso</t>
  </si>
  <si>
    <t xml:space="preserve">MMUSD</t>
  </si>
  <si>
    <t xml:space="preserve">Release 2Q26, p. 13.</t>
  </si>
  <si>
    <t xml:space="preserve">m² del pipeline en curso</t>
  </si>
  <si>
    <t xml:space="preserve">Costo por m² de expansión</t>
  </si>
  <si>
    <t xml:space="preserve">USD/m²</t>
  </si>
  <si>
    <t xml:space="preserve">Inversión total / m² del pipeline.</t>
  </si>
  <si>
    <t xml:space="preserve">USDCLP para convertir el costo (2026)</t>
  </si>
  <si>
    <t xml:space="preserve">Forecast v6 (consenso ECFC).</t>
  </si>
  <si>
    <t xml:space="preserve">m² del pipeline en Chile (67.900 + 46.500 de «Otros proyectos Chile», v4)</t>
  </si>
  <si>
    <t xml:space="preserve">Release 2Q26, p. 13: Trébol, Oeste, Norte, La Serena.</t>
  </si>
  <si>
    <t xml:space="preserve">m² del pipeline en Perú</t>
  </si>
  <si>
    <t xml:space="preserve">Release 2Q26, p. 13: Trujillo, Piura, La Marina, Angamos.</t>
  </si>
  <si>
    <t xml:space="preserve">Mix de la expansión en Chile</t>
  </si>
  <si>
    <t xml:space="preserve">Replica el mix país del pipeline actual; el resto va a Perú.</t>
  </si>
  <si>
    <t xml:space="preserve">Margen EBITDA Chile</t>
  </si>
  <si>
    <t xml:space="preserve">Forecast v6.</t>
  </si>
  <si>
    <t xml:space="preserve">Margen EBITDA Perú</t>
  </si>
  <si>
    <t xml:space="preserve">Factor de ingreso: año de apertura</t>
  </si>
  <si>
    <t xml:space="preserve">Apertura a mitad de año × 70% de productividad.</t>
  </si>
  <si>
    <t xml:space="preserve">Factor de ingreso: segundo año</t>
  </si>
  <si>
    <t xml:space="preserve">Factor de ingreso: tercer año en adelante</t>
  </si>
  <si>
    <t xml:space="preserve">Yield on cost (EBITDA maduro / inversión) — dejar vacío para usar el derivado</t>
  </si>
  <si>
    <t xml:space="preserve">Si el equipo tiene la guía de retorno de proyectos, ingresarla aquí.</t>
  </si>
  <si>
    <t xml:space="preserve">F. Capital de trabajo</t>
  </si>
  <si>
    <t xml:space="preserve">Incluir variación de capital de trabajo (1 = sí)</t>
  </si>
  <si>
    <t xml:space="preserve">Ver hoja Capital_Trabajo.</t>
  </si>
  <si>
    <t xml:space="preserve">Capital de trabajo neto / ingresos (dic-25, constante)</t>
  </si>
  <si>
    <t xml:space="preserve">Hoja Capital_Trabajo.</t>
  </si>
  <si>
    <t xml:space="preserve">G. Valor terminal</t>
  </si>
  <si>
    <t xml:space="preserve">Crecimiento terminal nominal (g)</t>
  </si>
  <si>
    <t xml:space="preserve">Igual a la inflación LP (0% real). Con RONIC &lt; WACC real, crecer resta valor.</t>
  </si>
  <si>
    <t xml:space="preserve">Crecimiento terminal real implícito</t>
  </si>
  <si>
    <t xml:space="preserve">Solo el crecimiento real exige reinversión.</t>
  </si>
  <si>
    <t xml:space="preserve">H. Precio objetivo y múltiplos</t>
  </si>
  <si>
    <t xml:space="preserve">Peso del DCF en el precio objetivo</t>
  </si>
  <si>
    <t xml:space="preserve">80% DCF / 20% múltiplos.</t>
  </si>
  <si>
    <t xml:space="preserve">Peso de los comparables chilenos en el múltiplo</t>
  </si>
  <si>
    <t xml:space="preserve">70% mediana Chile + 30% mediana del set común.</t>
  </si>
  <si>
    <t xml:space="preserve">Umbral 'no significativo' (múltiplo mayor a → NM)</t>
  </si>
  <si>
    <t xml:space="preserve">Archivo de comparables.</t>
  </si>
  <si>
    <t xml:space="preserve">I. Tipos de cambio para comparables (30-06-2026)</t>
  </si>
  <si>
    <t xml:space="preserve">USD por USD</t>
  </si>
  <si>
    <t xml:space="preserve">—</t>
  </si>
  <si>
    <t xml:space="preserve">BRL por USD</t>
  </si>
  <si>
    <t xml:space="preserve">BRL</t>
  </si>
  <si>
    <t xml:space="preserve">Cierre 30-jun-2026.</t>
  </si>
  <si>
    <t xml:space="preserve">MXN por USD</t>
  </si>
  <si>
    <t xml:space="preserve">MXN</t>
  </si>
  <si>
    <t xml:space="preserve">Banxico, cierre 30-jun-2026.</t>
  </si>
  <si>
    <t xml:space="preserve">ARS por USD</t>
  </si>
  <si>
    <t xml:space="preserve">ARS</t>
  </si>
  <si>
    <t xml:space="preserve">Oficial mayorista, cierre 30-jun-2026.</t>
  </si>
  <si>
    <t xml:space="preserve">CLP por CLP</t>
  </si>
  <si>
    <t xml:space="preserve">CLP por USD</t>
  </si>
  <si>
    <t xml:space="preserve">Dólar observado BCCh 30-jun-2026.</t>
  </si>
  <si>
    <t xml:space="preserve">CLP por BRL</t>
  </si>
  <si>
    <t xml:space="preserve">CLP por MXN</t>
  </si>
  <si>
    <t xml:space="preserve">CLP por ARS</t>
  </si>
  <si>
    <t xml:space="preserve">J. Referencias de control (modelo VF)</t>
  </si>
  <si>
    <t xml:space="preserve">Valor por acción DCF VF</t>
  </si>
  <si>
    <t xml:space="preserve">DCF VF. El switch de la sección C en 0 debe reproducirlo.</t>
  </si>
  <si>
    <t xml:space="preserve">WACC nominal VF (constante)</t>
  </si>
  <si>
    <t xml:space="preserve">Hoja WACC del VF.</t>
  </si>
  <si>
    <t xml:space="preserve">Precio objetivo VF</t>
  </si>
  <si>
    <t xml:space="preserve">Hoja Precio_Objetivo del VF.</t>
  </si>
  <si>
    <t xml:space="preserve">WACC nominal en CLP por período — misma lógica que Tasa_WACC.xlsm (FFCF) con correcciones</t>
  </si>
  <si>
    <t xml:space="preserve">Correcciones del VF: (1) Kd real UF pasado a nominal; (2) escudo fiscal (1 − t); (3) set de pares = coincidencia betas–comparables. v2: la estructura de capital, la beta y el Kd cambian cada período según la hoja Deuda.</t>
  </si>
  <si>
    <t xml:space="preserve">A. Betas de los pares</t>
  </si>
  <si>
    <t xml:space="preserve">Empresa</t>
  </si>
  <si>
    <t xml:space="preserve">Ticker BBG</t>
  </si>
  <si>
    <t xml:space="preserve">País</t>
  </si>
  <si>
    <t xml:space="preserve">Beta apalancada</t>
  </si>
  <si>
    <t xml:space="preserve">Deuda</t>
  </si>
  <si>
    <t xml:space="preserve">Market cap</t>
  </si>
  <si>
    <t xml:space="preserve">Impuesto</t>
  </si>
  <si>
    <t xml:space="preserve">Beta desapalancada</t>
  </si>
  <si>
    <t xml:space="preserve">En set común (1/0)</t>
  </si>
  <si>
    <t xml:space="preserve">Beta incluida</t>
  </si>
  <si>
    <t xml:space="preserve">Parque Arauco</t>
  </si>
  <si>
    <t xml:space="preserve">PARAUCO CI</t>
  </si>
  <si>
    <t xml:space="preserve">Chile</t>
  </si>
  <si>
    <t xml:space="preserve">Cencosud Shopping</t>
  </si>
  <si>
    <t xml:space="preserve">CENCOMAL CI</t>
  </si>
  <si>
    <t xml:space="preserve">Allos</t>
  </si>
  <si>
    <t xml:space="preserve">ALOS3 BZ</t>
  </si>
  <si>
    <t xml:space="preserve">Brasil</t>
  </si>
  <si>
    <t xml:space="preserve">Iguatemi</t>
  </si>
  <si>
    <t xml:space="preserve">IGTI11 BZ</t>
  </si>
  <si>
    <t xml:space="preserve">Costa Verde</t>
  </si>
  <si>
    <t xml:space="preserve">n/d (no está en comparables)</t>
  </si>
  <si>
    <t xml:space="preserve">México</t>
  </si>
  <si>
    <t xml:space="preserve">IRSA</t>
  </si>
  <si>
    <t xml:space="preserve">IRSA AR</t>
  </si>
  <si>
    <t xml:space="preserve">Argentina</t>
  </si>
  <si>
    <t xml:space="preserve">Multiplan</t>
  </si>
  <si>
    <t xml:space="preserve">MULT3 BZ</t>
  </si>
  <si>
    <t xml:space="preserve">Beta desapalancada: mediana del set común</t>
  </si>
  <si>
    <t xml:space="preserve">B. Riesgo país ponderado por ingresos</t>
  </si>
  <si>
    <t xml:space="preserve">Ponderación Chile (ingresos)</t>
  </si>
  <si>
    <t xml:space="preserve">Ingresos Perú en MM CLP</t>
  </si>
  <si>
    <t xml:space="preserve">Ingresos Colombia en MM CLP</t>
  </si>
  <si>
    <t xml:space="preserve">Ponderación Perú</t>
  </si>
  <si>
    <t xml:space="preserve">Ponderación Colombia</t>
  </si>
  <si>
    <t xml:space="preserve">CRP ponderado Mallplaza</t>
  </si>
  <si>
    <t xml:space="preserve">Rf usada</t>
  </si>
  <si>
    <t xml:space="preserve">C. Estructura de capital original del modelo (extremos de la convergencia)</t>
  </si>
  <si>
    <t xml:space="preserve">Deuda bruta actual / market cap = D/E actual (punto de partida)</t>
  </si>
  <si>
    <t xml:space="preserve">Estructura actual calculada en el modelo original (Tasa_WACC.xlsm, FFCF!G23:G26): 1.579.315 / 7.905.900.</t>
  </si>
  <si>
    <t xml:space="preserve">Deuda objetivo = DFN/EBITDA objetivo × EBITDA LTM + caja</t>
  </si>
  <si>
    <t xml:space="preserve">D/E objetivo (punto de llegada, valor terminal)</t>
  </si>
  <si>
    <t xml:space="preserve">Estructura objetivo calculada en el modelo original (3,5x): 28,52%.</t>
  </si>
  <si>
    <t xml:space="preserve">Control: Ke del archivo original (Rf "Chile", estructura actual, sin conversión)</t>
  </si>
  <si>
    <t xml:space="preserve">Debe dar 11,31% (Tasa_WACC.xlsm, FFCF!B112).</t>
  </si>
  <si>
    <t xml:space="preserve">D. WACC por período (D/E converge linealmente de la estructura actual a la objetivo)</t>
  </si>
  <si>
    <t xml:space="preserve">2S26E</t>
  </si>
  <si>
    <t xml:space="preserve">2027E</t>
  </si>
  <si>
    <t xml:space="preserve">2028E</t>
  </si>
  <si>
    <t xml:space="preserve">2029E</t>
  </si>
  <si>
    <t xml:space="preserve">2030E</t>
  </si>
  <si>
    <t xml:space="preserve">2031E</t>
  </si>
  <si>
    <t xml:space="preserve">Terminal</t>
  </si>
  <si>
    <t xml:space="preserve">DFN / EBITDA (cierre del período)</t>
  </si>
  <si>
    <t xml:space="preserve">Años desde 30-06-2026 al cierre del período</t>
  </si>
  <si>
    <t xml:space="preserve">D/E usado</t>
  </si>
  <si>
    <t xml:space="preserve">Convergencia lineal desde el D/E actual (19,98%) hasta el objetivo (28,52%) en el año objetivo de Supuestos C; el terminal usa el objetivo. Switch 0: objetivo desde hoy (VF).</t>
  </si>
  <si>
    <t xml:space="preserve">D/V</t>
  </si>
  <si>
    <t xml:space="preserve">E/V</t>
  </si>
  <si>
    <t xml:space="preserve">Beta re-apalancada</t>
  </si>
  <si>
    <t xml:space="preserve">Ke antes de conversión = Rf + β × ERP + CRP</t>
  </si>
  <si>
    <t xml:space="preserve">Ke nominal CLP</t>
  </si>
  <si>
    <t xml:space="preserve">Con Rf de EE.UU. el Ke queda en USD y se pasa a CLP por diferencial de inflación.</t>
  </si>
  <si>
    <t xml:space="preserve">Kd real (UF) con spread por apalancamiento</t>
  </si>
  <si>
    <t xml:space="preserve">Kd nominal CLP = (1 + Kd real)(1 + inflación) − 1</t>
  </si>
  <si>
    <t xml:space="preserve">Kd nominal después de impuestos</t>
  </si>
  <si>
    <t xml:space="preserve">WACC nominal CLP</t>
  </si>
  <si>
    <t xml:space="preserve">WACC real implícita</t>
  </si>
  <si>
    <t xml:space="preserve">Referencia: WACC constante del VF</t>
  </si>
  <si>
    <t xml:space="preserve">Con el switch de política de deuda en 0, todas las columnas deben dar este valor.</t>
  </si>
  <si>
    <t xml:space="preserve">Referencia: WACC real tasación Nota 11 Chile jun-26</t>
  </si>
  <si>
    <t xml:space="preserve">Punto medio del rango de la Nota 11 (Exhibits v6, E7).</t>
  </si>
  <si>
    <t xml:space="preserve">Forecast base — motor operativo (Mallplaza_FA_Exhibits_v6.xlsx), 2S26E–2031E</t>
  </si>
  <si>
    <t xml:space="preserve">Cifras del forecast del equipo en azul (Exhibits v7), con el pipeline completo con fecha: 170.200 m² y USD 613 MM (incluye «Otros proyectos Chile», 46.500 m² que abren en 2028). Sin la expansión post-2028 (hoja Expansion).</t>
  </si>
  <si>
    <t xml:space="preserve">Fuente / supuesto</t>
  </si>
  <si>
    <t xml:space="preserve">Ingresos año calendario (2026E = año completo)</t>
  </si>
  <si>
    <t xml:space="preserve">Exhibits v7, Forecast fila «Ingresos ordinarios consolidados» (con Otros proyectos Chile).</t>
  </si>
  <si>
    <t xml:space="preserve">Ingresos del período (2S26E = 2026E − 1S26 real)</t>
  </si>
  <si>
    <t xml:space="preserve">EBITDA año calendario</t>
  </si>
  <si>
    <t xml:space="preserve">Exhibits v7, Forecast bloque E (con Otros proyectos Chile).</t>
  </si>
  <si>
    <t xml:space="preserve">EBITDA del período</t>
  </si>
  <si>
    <t xml:space="preserve">Margen EBITDA</t>
  </si>
  <si>
    <t xml:space="preserve">D&amp;A</t>
  </si>
  <si>
    <t xml:space="preserve">D&amp;A / ingresos LTM × ingresos.</t>
  </si>
  <si>
    <t xml:space="preserve">Tasa de impuesto operacional en caja</t>
  </si>
  <si>
    <t xml:space="preserve">Exhibits v6: impuesto corriente / (EBITDA − costo financiero), 16,8% → 27%.</t>
  </si>
  <si>
    <t xml:space="preserve">Capex de proyectos en curso (MMUSD)</t>
  </si>
  <si>
    <t xml:space="preserve">Release 2Q26, pp. 12–14: remanente por proyecto repartido hasta su apertura.</t>
  </si>
  <si>
    <t xml:space="preserve">USDCLP promedio</t>
  </si>
  <si>
    <t xml:space="preserve">2S26E promedio del semestre; 2027+ consenso ECFC; 2029+ constante.</t>
  </si>
  <si>
    <t xml:space="preserve">Capex de proyectos en curso (MM CLP)</t>
  </si>
  <si>
    <t xml:space="preserve">Capex de mantención + TI</t>
  </si>
  <si>
    <t xml:space="preserve">5,5% de ingresos (2S26E: medio año de 2026E).</t>
  </si>
  <si>
    <t xml:space="preserve">Capex base total</t>
  </si>
  <si>
    <t xml:space="preserve">Sin la expansión post-pipeline (hoja Expansion).</t>
  </si>
  <si>
    <t xml:space="preserve">Ingreso anual por m² Chile (CLP)</t>
  </si>
  <si>
    <t xml:space="preserve">Exhibits v6, Forecast bloque D, Chile. Se aplica al GLA nuevo.</t>
  </si>
  <si>
    <t xml:space="preserve">Ingreso anual por m² Perú (PEN)</t>
  </si>
  <si>
    <t xml:space="preserve">Exhibits v6, Forecast bloque D, Perú.</t>
  </si>
  <si>
    <t xml:space="preserve">CLP por PEN (promedio)</t>
  </si>
  <si>
    <t xml:space="preserve">Exhibits v6, Forecast bloque A.</t>
  </si>
  <si>
    <t xml:space="preserve">Expansión continua post-pipeline — capex con 2 años de construcción y rampa de ingresos</t>
  </si>
  <si>
    <t xml:space="preserve">Cada cohorte abre GLA nuevo al ritmo histórico. El capex se gasta en los 2 años previos a la apertura y los ingresos parten en el año de apertura con la rampa 35% / 90% / 100%. Se apaga con Supuestos E.</t>
  </si>
  <si>
    <t xml:space="preserve">Año del período</t>
  </si>
  <si>
    <t xml:space="preserve">Año (número)</t>
  </si>
  <si>
    <t xml:space="preserve">Índice de costo (IPC Chile, 2026 = 1)</t>
  </si>
  <si>
    <t xml:space="preserve">Costo por m² (MM CLP)</t>
  </si>
  <si>
    <t xml:space="preserve">Costo del pipeline (USD/m²) × USDCLP 2026, indexado a IPC (obras en UF).</t>
  </si>
  <si>
    <t xml:space="preserve">Ingreso por m² de la expansión (CLP, mix Chile/Perú)</t>
  </si>
  <si>
    <t xml:space="preserve">Margen EBITDA de la expansión</t>
  </si>
  <si>
    <t xml:space="preserve">A. m² que abre cada cohorte</t>
  </si>
  <si>
    <t xml:space="preserve">Las cohortes que abren después de 2031 tienen su capex dentro del horizonte: sostienen el valor terminal.</t>
  </si>
  <si>
    <t xml:space="preserve">B. Capex por cohorte (MM CLP)</t>
  </si>
  <si>
    <t xml:space="preserve">Total</t>
  </si>
  <si>
    <t xml:space="preserve">C. Ingresos por cohorte (MM CLP)</t>
  </si>
  <si>
    <t xml:space="preserve">EBITDA de la expansión</t>
  </si>
  <si>
    <t xml:space="preserve">D. Retorno de la expansión (alimenta el valor terminal)</t>
  </si>
  <si>
    <t xml:space="preserve">Yield on cost derivado (EBITDA maduro por m² / costo por m², 2026)</t>
  </si>
  <si>
    <t xml:space="preserve">Misma productividad que el forecast asume para el pipeline actual. El ingreso se indexa a inflación: es un yield real.</t>
  </si>
  <si>
    <t xml:space="preserve">Yield on cost usado</t>
  </si>
  <si>
    <t xml:space="preserve">RONIC real después de impuestos = yield × (1 − t)</t>
  </si>
  <si>
    <t xml:space="preserve">Comparar con la WACC real (hoja WACC): si el RONIC es menor, crecer destruye valor.</t>
  </si>
  <si>
    <t xml:space="preserve">Ajuste de productividad de la expansión = yield usado / derivado</t>
  </si>
  <si>
    <t xml:space="preserve">Multiplica los ingresos de la expansión.</t>
  </si>
  <si>
    <t xml:space="preserve">Capital de trabajo — saldos de los EEFF y supuesto del modelo</t>
  </si>
  <si>
    <t xml:space="preserve">A. Saldos de balance operativos (MM CLP; EEFF consolidados Plaza S.A. y Filiales)</t>
  </si>
  <si>
    <t xml:space="preserve">Cuenta</t>
  </si>
  <si>
    <t xml:space="preserve">dic-23</t>
  </si>
  <si>
    <t xml:space="preserve">dic-24</t>
  </si>
  <si>
    <t xml:space="preserve">dic-25</t>
  </si>
  <si>
    <t xml:space="preserve">mar-26</t>
  </si>
  <si>
    <t xml:space="preserve">Fuente</t>
  </si>
  <si>
    <t xml:space="preserve">(+) Deudores comerciales y otras cuentas por cobrar corrientes</t>
  </si>
  <si>
    <t xml:space="preserve">dic-23: EEFF mar-24, p. 3 · dic-24: EEFF jun-25, p. 3 · dic-25 y mar-26: EEFF mar-26, p. 3 (M$ / 1.000).</t>
  </si>
  <si>
    <t xml:space="preserve">(+) Cuentas por cobrar a entidades relacionadas corrientes</t>
  </si>
  <si>
    <t xml:space="preserve">Arriendos por cobrar a tiendas del grupo controlador: operativo.</t>
  </si>
  <si>
    <t xml:space="preserve">Cuentas por pagar comerciales y otras cuentas por pagar (total)</t>
  </si>
  <si>
    <t xml:space="preserve">Incluye la provisión del dividendo mínimo (Nota 2.25), que es financiamiento y se excluye.</t>
  </si>
  <si>
    <t xml:space="preserve">    menos: dividendo mínimo provisionado estimado (30% × utilidad distribuible)</t>
  </si>
  <si>
    <t xml:space="preserve">Nota 2.25. Supone sin dividendos provisorios.</t>
  </si>
  <si>
    <t xml:space="preserve">(−) Cuentas por pagar comerciales operativas (sin dividendos)</t>
  </si>
  <si>
    <t xml:space="preserve">(−) Cuentas por pagar a entidades relacionadas corrientes</t>
  </si>
  <si>
    <t xml:space="preserve">(−) Otros pasivos no financieros corrientes</t>
  </si>
  <si>
    <t xml:space="preserve">Principalmente arriendos cobrados por anticipado y garantías: operativo.</t>
  </si>
  <si>
    <t xml:space="preserve">Ingresos del año</t>
  </si>
  <si>
    <t xml:space="preserve">Exhibits v6, Inputs.</t>
  </si>
  <si>
    <t xml:space="preserve">Excluidos: caja, deuda financiera y activos/pasivos por impuestos (los impuestos ya están en caja en el NOPAT).</t>
  </si>
  <si>
    <t xml:space="preserve">B. Capital de trabajo neto operativo</t>
  </si>
  <si>
    <t xml:space="preserve">Capital de trabajo neto operativo</t>
  </si>
  <si>
    <t xml:space="preserve">Capital de trabajo neto / ingresos</t>
  </si>
  <si>
    <t xml:space="preserve">Referencia: Δ capital de trabajo neto / Δ ingresos (dic-23 → dic-25)</t>
  </si>
  <si>
    <t xml:space="preserve">Distorsionado: dic-24 ya consolida Perú pero los ingresos 2024 solo traen un mes.</t>
  </si>
  <si>
    <t xml:space="preserve">Supuesto del modelo: capital de trabajo neto / ingresos constante al nivel de dic-25</t>
  </si>
  <si>
    <t xml:space="preserve">Inversión anual = este % × Δ ingresos. Va a Supuestos (sección F).</t>
  </si>
  <si>
    <t xml:space="preserve">C. Lectura</t>
  </si>
  <si>
    <t xml:space="preserve">1. Capital de trabajo neto operativo = deudores + cuentas por cobrar relacionadas − cuentas por pagar comerciales (sin dividendos) − cuentas por pagar relacionadas − otros pasivos no financieros.</t>
  </si>
  <si>
    <t xml:space="preserve">2. La provisión del dividendo mínimo se resta de las cuentas por pagar porque es una obligación con accionistas, no de la operación.</t>
  </si>
  <si>
    <t xml:space="preserve">3. Limitación: las cuentas por pagar comerciales también incluyen proveedores de obras (capex). Sin el desglose de la Nota 14/15 no se pueden separar.</t>
  </si>
  <si>
    <t xml:space="preserve">4. Hay estacionalidad (mar-26: deudores bajan por recaudación, cuentas por pagar suben por el dividendo): se compara cierre contra cierre.</t>
  </si>
  <si>
    <t xml:space="preserve">5. Se usa el nivel de dic-25 porque es el primer cierre con Perú completo tanto en balance como en ingresos.</t>
  </si>
  <si>
    <t xml:space="preserve">D. Referencia: brecha EBITDA − flujo operativo (MM CLP)</t>
  </si>
  <si>
    <t xml:space="preserve">FY2024</t>
  </si>
  <si>
    <t xml:space="preserve">FY2025</t>
  </si>
  <si>
    <t xml:space="preserve">1S26</t>
  </si>
  <si>
    <t xml:space="preserve">EBITDA</t>
  </si>
  <si>
    <t xml:space="preserve">Flujo operativo (EEFF)</t>
  </si>
  <si>
    <t xml:space="preserve">Brecha = impuestos pagados + capital de trabajo + otros</t>
  </si>
  <si>
    <t xml:space="preserve">Exhibits v6 (Inputs, E4_Cash). Mezcla impuestos y capital de trabajo: solo referencial.</t>
  </si>
  <si>
    <t xml:space="preserve">DCF de FCFF — Mallplaza · CLP nominales · valorización 30-06-2026 · WACC por período</t>
  </si>
  <si>
    <t xml:space="preserve">Flujos 2S26E–2031E con la expansión continua; valor terminal con reinversión explícita (solo el crecimiento real exige capex). Convención de mitad de período. Cada período se descuenta con su propia WACC (hoja WACC).</t>
  </si>
  <si>
    <t xml:space="preserve">Terminal (2032E)</t>
  </si>
  <si>
    <t xml:space="preserve">Ingresos base</t>
  </si>
  <si>
    <t xml:space="preserve">Ingresos expansión</t>
  </si>
  <si>
    <t xml:space="preserve">Ingresos totales</t>
  </si>
  <si>
    <t xml:space="preserve">Crecimiento ingresos (año calendario)</t>
  </si>
  <si>
    <t xml:space="preserve">EBITDA base</t>
  </si>
  <si>
    <t xml:space="preserve">EBITDA expansión</t>
  </si>
  <si>
    <t xml:space="preserve">EBITDA total</t>
  </si>
  <si>
    <t xml:space="preserve">(−) D&amp;A</t>
  </si>
  <si>
    <t xml:space="preserve">EBIT</t>
  </si>
  <si>
    <t xml:space="preserve">Tasa de impuesto operacional</t>
  </si>
  <si>
    <t xml:space="preserve">(−) Impuestos operacionales</t>
  </si>
  <si>
    <t xml:space="preserve">NOPAT</t>
  </si>
  <si>
    <t xml:space="preserve">(+) D&amp;A</t>
  </si>
  <si>
    <t xml:space="preserve">(−) Capex base (pipeline + mantención)</t>
  </si>
  <si>
    <t xml:space="preserve">Terminal: mantención 5,5% de ingresos.</t>
  </si>
  <si>
    <t xml:space="preserve">(−) Capex expansión / reinversión terminal</t>
  </si>
  <si>
    <t xml:space="preserve">Terminal: reinversión = g real / RONIC × NOPAT (value driver).</t>
  </si>
  <si>
    <t xml:space="preserve">(−) Inversión en capital de trabajo</t>
  </si>
  <si>
    <t xml:space="preserve">% del Δ ingresos (Supuestos F). 2S26E: medio año.</t>
  </si>
  <si>
    <t xml:space="preserve">FCFF</t>
  </si>
  <si>
    <t xml:space="preserve">Descuento: WACC por período</t>
  </si>
  <si>
    <t xml:space="preserve">WACC nominal del período (hoja WACC)</t>
  </si>
  <si>
    <t xml:space="preserve">Fracción de año del período</t>
  </si>
  <si>
    <t xml:space="preserve">Factor de descuento al cierre del período</t>
  </si>
  <si>
    <t xml:space="preserve">Factor de descuento a mitad del período</t>
  </si>
  <si>
    <t xml:space="preserve">2S26E a 0,25 años; luego la mitad de cada año desde el 30-06-2026.</t>
  </si>
  <si>
    <t xml:space="preserve">Valor presente del FCFF</t>
  </si>
  <si>
    <t xml:space="preserve">Normalización 2031: base + expansión financiada (cohortes cuyo capex cae completo en el horizonte) a madurez</t>
  </si>
  <si>
    <t xml:space="preserve">Último año de apertura con capex completo dentro del horizonte</t>
  </si>
  <si>
    <t xml:space="preserve">El capex de esas cohortes ya está en el FCFF explícito, pero sus ingresos maduran después de 2031: el año terminal los cuenta al 100%. La cohorte siguiente (solo parte del capex dentro) queda en la reinversión terminal.</t>
  </si>
  <si>
    <t xml:space="preserve">m² maduros que se suman al año terminal</t>
  </si>
  <si>
    <t xml:space="preserve">Ingresos 2031 normalizados</t>
  </si>
  <si>
    <t xml:space="preserve">EBITDA 2031 normalizado</t>
  </si>
  <si>
    <t xml:space="preserve">Valor de la empresa → valor por acción</t>
  </si>
  <si>
    <t xml:space="preserve">WACC terminal (estructura objetivo)</t>
  </si>
  <si>
    <t xml:space="preserve">Tasa de reinversión terminal (g real / RONIC)</t>
  </si>
  <si>
    <t xml:space="preserve">Valor terminal al 31-12-2031 = FCFF 2032E / (WACC terminal − g)</t>
  </si>
  <si>
    <t xml:space="preserve">Valor presente del valor terminal</t>
  </si>
  <si>
    <t xml:space="preserve">Suma VP del FCFF explícito</t>
  </si>
  <si>
    <t xml:space="preserve">Enterprise value</t>
  </si>
  <si>
    <t xml:space="preserve">(−) Deuda financiera neta 30-06-2026</t>
  </si>
  <si>
    <t xml:space="preserve">(−) Minoritarios (libro)</t>
  </si>
  <si>
    <t xml:space="preserve">Valor del patrimonio</t>
  </si>
  <si>
    <t xml:space="preserve">Acciones (MM)</t>
  </si>
  <si>
    <t xml:space="preserve">Las distribuciones adicionales de la hoja Deuda no se restan: el patrimonio de hoy es EV − DFN de hoy.</t>
  </si>
  <si>
    <t xml:space="preserve">Upside / (downside)</t>
  </si>
  <si>
    <t xml:space="preserve">Chequeos</t>
  </si>
  <si>
    <t xml:space="preserve">VP del valor terminal / EV</t>
  </si>
  <si>
    <t xml:space="preserve">DCF anterior del equipo: 72%.</t>
  </si>
  <si>
    <t xml:space="preserve">EV / EBITDA LTM implícito</t>
  </si>
  <si>
    <t xml:space="preserve">Comparar con la hoja Comparables.</t>
  </si>
  <si>
    <t xml:space="preserve">Cap rate implícito sobre el EV (EBITDA LTM / EV)</t>
  </si>
  <si>
    <t xml:space="preserve">Mercado ~6,0%; pares Chile ~6,4%; libro (EBITDA LTM / PI) 7,5%; Gran Plaza 9,4%.</t>
  </si>
  <si>
    <t xml:space="preserve">Cap rate implícito del valor terminal (EBITDA 2032E / VT)</t>
  </si>
  <si>
    <t xml:space="preserve">WACC real terminal</t>
  </si>
  <si>
    <t xml:space="preserve">Nota 11 Chile jun-26: 5,55% real.</t>
  </si>
  <si>
    <t xml:space="preserve">RONIC real de la expansión</t>
  </si>
  <si>
    <t xml:space="preserve">Si es menor que la WACC real, la expansión resta valor.</t>
  </si>
  <si>
    <t xml:space="preserve">DFN / EBITDA al cierre de 2031 (hoja Deuda)</t>
  </si>
  <si>
    <t xml:space="preserve">Debe igualar el objetivo de Supuestos C.</t>
  </si>
  <si>
    <t xml:space="preserve">Valor por acción DCF VF (WACC constante 10,37%)</t>
  </si>
  <si>
    <t xml:space="preserve">Diferencia v2 vs VF (CLP)</t>
  </si>
  <si>
    <t xml:space="preserve">Valor por acción APV (hoja APV)</t>
  </si>
  <si>
    <t xml:space="preserve">Diferencia DCF vs APV (% del APV)</t>
  </si>
  <si>
    <t xml:space="preserve">Chequeo de consistencia: deben quedar cerca.</t>
  </si>
  <si>
    <t xml:space="preserve">Deuda — trayectoria desde la estructura actual hasta el objetivo de largo plazo</t>
  </si>
  <si>
    <t xml:space="preserve">DFN(t) = DFN(t−1) − FCFF + costo financiero y reajuste UF (después de impuestos) + dividendos ordinarios + distribución adicional. La distribución adicional (recompra o dividendo extra) cierra la brecha con el DFN/EBITDA objetivo. No entra en el EV (FCFF desapalancado): define la estructura de capital de la WACC.</t>
  </si>
  <si>
    <t xml:space="preserve">EBITDA año calendario (para el ratio)</t>
  </si>
  <si>
    <t xml:space="preserve">2S26E: EBITDA 2026E año completo (LTM al cierre).</t>
  </si>
  <si>
    <t xml:space="preserve">DFN de apertura</t>
  </si>
  <si>
    <t xml:space="preserve">DFN / EBITDA de apertura</t>
  </si>
  <si>
    <t xml:space="preserve">Costo financiero neto / DFN (con spread por apalancamiento)</t>
  </si>
  <si>
    <t xml:space="preserve">3,08% inicial + spread por cada vuelta sobre el nivel inicial.</t>
  </si>
  <si>
    <t xml:space="preserve">(−) FCFF</t>
  </si>
  <si>
    <t xml:space="preserve">Costo financiero neto antes de impuestos</t>
  </si>
  <si>
    <t xml:space="preserve">(+) Costo financiero neto después de impuestos</t>
  </si>
  <si>
    <t xml:space="preserve">Reajuste UF de la deuda antes de impuestos</t>
  </si>
  <si>
    <t xml:space="preserve">(+) Reajuste UF después de impuestos</t>
  </si>
  <si>
    <t xml:space="preserve">v2: el reajuste UF es gasto financiero deducible (el VF lo sumaba sin escudo). Consistente con Kd nominal × (1 − t) en la WACC.</t>
  </si>
  <si>
    <t xml:space="preserve">Utilidad distribuible proxy (FFO − reajuste UF)</t>
  </si>
  <si>
    <t xml:space="preserve">2S26E: distribuible 2026E de Exhibits v6. Proxy sin minoritarios.</t>
  </si>
  <si>
    <t xml:space="preserve">(+) Dividendos ordinarios</t>
  </si>
  <si>
    <t xml:space="preserve">2S26E: dividendos 2026E − pagado 1S26. 2027E+: payout × distribuible del año anterior.</t>
  </si>
  <si>
    <t xml:space="preserve">DFN de cierre antes de distribución adicional</t>
  </si>
  <si>
    <t xml:space="preserve">DFN / EBITDA objetivo del período</t>
  </si>
  <si>
    <t xml:space="preserve">Convergencia lineal hasta el año objetivo (Supuestos C).</t>
  </si>
  <si>
    <t xml:space="preserve">DFN objetivo</t>
  </si>
  <si>
    <t xml:space="preserve">(+) Distribución adicional a accionistas (recompra / dividendo extra)</t>
  </si>
  <si>
    <t xml:space="preserve">Negativo = la compañía tendría que retener caja para no superar el objetivo.</t>
  </si>
  <si>
    <t xml:space="preserve">DFN de cierre</t>
  </si>
  <si>
    <t xml:space="preserve">DFN / EBITDA de cierre</t>
  </si>
  <si>
    <t xml:space="preserve">Deuda financiera bruta de cierre (DFN + caja)</t>
  </si>
  <si>
    <t xml:space="preserve">Caja constante al nivel de jun-26.</t>
  </si>
  <si>
    <t xml:space="preserve">Capacidad de deuda remanente al objetivo de LP (objetivo × EBITDA − DFN)</t>
  </si>
  <si>
    <t xml:space="preserve">Distribuciones adicionales acumuladas</t>
  </si>
  <si>
    <t xml:space="preserve">APV — chequeo de consistencia: valor desapalancado + VP de los escudos fiscales de la deuda proyectada</t>
  </si>
  <si>
    <t xml:space="preserve">Los escudos se descuentan a Ku porque la deuda se reajusta con el tamaño de la empresa (objetivo como múltiplo del EBITDA), el mismo supuesto implícito en una WACC.</t>
  </si>
  <si>
    <t xml:space="preserve">Ku antes de conversión = Rf + βu × ERP + CRP</t>
  </si>
  <si>
    <t xml:space="preserve">Ku nominal CLP</t>
  </si>
  <si>
    <t xml:space="preserve">Factor de descuento a Ku, cierre</t>
  </si>
  <si>
    <t xml:space="preserve">Factor de descuento a Ku, mitad</t>
  </si>
  <si>
    <t xml:space="preserve">VP del FCFF a Ku</t>
  </si>
  <si>
    <t xml:space="preserve">Deuda bruta de apertura</t>
  </si>
  <si>
    <t xml:space="preserve">Kd nominal del período (hoja WACC)</t>
  </si>
  <si>
    <t xml:space="preserve">Escudo fiscal = t × Kd × D</t>
  </si>
  <si>
    <t xml:space="preserve">Terminal: escudo 2032E sobre la deuda de cierre 2031, creciendo con g.</t>
  </si>
  <si>
    <t xml:space="preserve">VP del escudo fiscal a Ku</t>
  </si>
  <si>
    <t xml:space="preserve">Valor desapalancado (FCFF a Ku)</t>
  </si>
  <si>
    <t xml:space="preserve">VP de los escudos fiscales</t>
  </si>
  <si>
    <t xml:space="preserve">Enterprise value APV</t>
  </si>
  <si>
    <t xml:space="preserve">Valor por acción APV (CLP)</t>
  </si>
  <si>
    <t xml:space="preserve">  de lo cual: valor sin deuda (CLP/acción)</t>
  </si>
  <si>
    <t xml:space="preserve">  de lo cual: escudos fiscales (CLP/acción)</t>
  </si>
  <si>
    <t xml:space="preserve">Sensibilidad — valor por acción DCF (CLP)</t>
  </si>
  <si>
    <t xml:space="preserve">Tabla 1: desplazamiento paralelo de la WACC de todos los períodos (filas) vs g nominal terminal (columnas). Fórmulas vivas.</t>
  </si>
  <si>
    <t xml:space="preserve">Δ WACC \ g</t>
  </si>
  <si>
    <t xml:space="preserve">La celda resaltada debe igualar el valor por acción de la hoja DCF.</t>
  </si>
  <si>
    <t xml:space="preserve">Tabla 2 (estática): DFN/EBITDA objetivo (filas) vs spread por vuelta de apalancamiento (columnas). El D/E objetivo se recalcula con cada nivel. Generada cambiando Supuestos C; no se actualiza sola.</t>
  </si>
  <si>
    <t xml:space="preserve">DFN/EBITDA objetivo \ spread</t>
  </si>
  <si>
    <t xml:space="preserve">Actual (2,36x, sin aumento)</t>
  </si>
  <si>
    <t xml:space="preserve">3,0x</t>
  </si>
  <si>
    <t xml:space="preserve">3,5x</t>
  </si>
  <si>
    <t xml:space="preserve">4,0x</t>
  </si>
  <si>
    <t xml:space="preserve">Valores estáticos (no se recalculan). Resaltado = caso base.</t>
  </si>
  <si>
    <t xml:space="preserve">Auxiliar (no editar): FCFF 2032E según g</t>
  </si>
  <si>
    <t xml:space="preserve">FCFF 2032E</t>
  </si>
  <si>
    <t xml:space="preserve">Auxiliar: factores de descuento por Δ (C–H = períodos)</t>
  </si>
  <si>
    <t xml:space="preserve">DF cierre (Δ -1.00%)</t>
  </si>
  <si>
    <t xml:space="preserve">DF mitad (Δ -1.00%)</t>
  </si>
  <si>
    <t xml:space="preserve">VP FCFF (Δ -1.00%)</t>
  </si>
  <si>
    <t xml:space="preserve">DF cierre (Δ -0.50%)</t>
  </si>
  <si>
    <t xml:space="preserve">DF mitad (Δ -0.50%)</t>
  </si>
  <si>
    <t xml:space="preserve">VP FCFF (Δ -0.50%)</t>
  </si>
  <si>
    <t xml:space="preserve">DF cierre (Δ +0.00%)</t>
  </si>
  <si>
    <t xml:space="preserve">DF mitad (Δ +0.00%)</t>
  </si>
  <si>
    <t xml:space="preserve">VP FCFF (Δ +0.00%)</t>
  </si>
  <si>
    <t xml:space="preserve">DF cierre (Δ +0.50%)</t>
  </si>
  <si>
    <t xml:space="preserve">DF mitad (Δ +0.50%)</t>
  </si>
  <si>
    <t xml:space="preserve">VP FCFF (Δ +0.50%)</t>
  </si>
  <si>
    <t xml:space="preserve">DF cierre (Δ +1.00%)</t>
  </si>
  <si>
    <t xml:space="preserve">DF mitad (Δ +1.00%)</t>
  </si>
  <si>
    <t xml:space="preserve">VP FCFF (Δ +1.00%)</t>
  </si>
  <si>
    <t xml:space="preserve">Comparables — múltiplos LTM y NTM con el mismo set de pares que la WACC</t>
  </si>
  <si>
    <t xml:space="preserve">Set común = empresas con beta en la WACC y con datos en Bloomberg. Estadístico principal: 70% mediana Chile + 30% mediana del set común (Supuestos H). MM CLP con TC del 30-06-2026; precio 30-09-2026.</t>
  </si>
  <si>
    <t xml:space="preserve">Columnas auxiliares para las medianas (no editar)</t>
  </si>
  <si>
    <t xml:space="preserve">Ticker</t>
  </si>
  <si>
    <t xml:space="preserve">Set (1/0)</t>
  </si>
  <si>
    <t xml:space="preserve">Chile (1/0)</t>
  </si>
  <si>
    <t xml:space="preserve">Deuda neta</t>
  </si>
  <si>
    <t xml:space="preserve">Minoritarios</t>
  </si>
  <si>
    <t xml:space="preserve">EV</t>
  </si>
  <si>
    <t xml:space="preserve">Ingresos LTM</t>
  </si>
  <si>
    <t xml:space="preserve">EBITDA LTM</t>
  </si>
  <si>
    <t xml:space="preserve">EBIT LTM</t>
  </si>
  <si>
    <t xml:space="preserve">Utilidad LTM</t>
  </si>
  <si>
    <t xml:space="preserve">Patrimonio</t>
  </si>
  <si>
    <t xml:space="preserve">EBITDA NTM</t>
  </si>
  <si>
    <t xml:space="preserve">EV/EBITDA LTM</t>
  </si>
  <si>
    <t xml:space="preserve">EV/EBITDA NTM</t>
  </si>
  <si>
    <t xml:space="preserve">EV/EBIT LTM</t>
  </si>
  <si>
    <t xml:space="preserve">P/E LTM</t>
  </si>
  <si>
    <t xml:space="preserve">P/BV</t>
  </si>
  <si>
    <t xml:space="preserve">EV/EBITDA LTM set</t>
  </si>
  <si>
    <t xml:space="preserve">EV/EBITDA NTM set</t>
  </si>
  <si>
    <t xml:space="preserve">EV/EBIT LTM set</t>
  </si>
  <si>
    <t xml:space="preserve">P/E LTM set</t>
  </si>
  <si>
    <t xml:space="preserve">P/BV set</t>
  </si>
  <si>
    <t xml:space="preserve">EV/EBITDA LTM Chile</t>
  </si>
  <si>
    <t xml:space="preserve">EV/EBITDA NTM Chile</t>
  </si>
  <si>
    <t xml:space="preserve">EV/EBIT LTM Chile</t>
  </si>
  <si>
    <t xml:space="preserve">P/E LTM Chile</t>
  </si>
  <si>
    <t xml:space="preserve">P/BV Chile</t>
  </si>
  <si>
    <t xml:space="preserve">Mallplaza</t>
  </si>
  <si>
    <t xml:space="preserve">Target</t>
  </si>
  <si>
    <t xml:space="preserve">Fibra Danhos</t>
  </si>
  <si>
    <t xml:space="preserve">Estadísticos (excluyen a Mallplaza)</t>
  </si>
  <si>
    <t xml:space="preserve">Mediana set común</t>
  </si>
  <si>
    <t xml:space="preserve">Mediana Chile (set común)</t>
  </si>
  <si>
    <t xml:space="preserve">Múltiplo ponderado (70% Chile / 30% set común)</t>
  </si>
  <si>
    <t xml:space="preserve">N° pares set común</t>
  </si>
  <si>
    <t xml:space="preserve">Mallplaza vs ponderado (prima / (descuento))</t>
  </si>
  <si>
    <t xml:space="preserve">Notas: P/E y P/BV mezclan pares a valor razonable (Chile, IRSA) con pares a costo (Brasil); usar como referencia. EV/EBITDA es el método principal (neutral a la contabilidad de propiedades). IRSA: cifras NIC 29 y NTM de 1 analista. Fibra Danhos queda fuera del set (no tiene beta en la WACC).</t>
  </si>
  <si>
    <t xml:space="preserve">Precio objetivo — 80% DCF / 20% múltiplos (EV/EBITDA ponderado 70% Chile)</t>
  </si>
  <si>
    <t xml:space="preserve">A. Valor por múltiplos (Mallplaza)</t>
  </si>
  <si>
    <t xml:space="preserve">Múltiplo</t>
  </si>
  <si>
    <t xml:space="preserve">Múltiplo ponderado</t>
  </si>
  <si>
    <t xml:space="preserve">Métrica Mallplaza</t>
  </si>
  <si>
    <t xml:space="preserve">Valor por acción (CLP)</t>
  </si>
  <si>
    <t xml:space="preserve">EV/EBITDA LTM (método principal)</t>
  </si>
  <si>
    <t xml:space="preserve">EV implícito − deuda neta BBG − minoritarios, / acciones.</t>
  </si>
  <si>
    <t xml:space="preserve">P/E LTM (referencia: incluye revalorización)</t>
  </si>
  <si>
    <t xml:space="preserve">P/BV (referencia)</t>
  </si>
  <si>
    <t xml:space="preserve">B. Precio objetivo combinado</t>
  </si>
  <si>
    <t xml:space="preserve">Valor DCF (CLP)</t>
  </si>
  <si>
    <t xml:space="preserve">Valor por múltiplos: EV/EBITDA LTM ponderado (CLP)</t>
  </si>
  <si>
    <t xml:space="preserve">Peso DCF</t>
  </si>
  <si>
    <t xml:space="preserve">Precio objetivo (CLP)</t>
  </si>
  <si>
    <t xml:space="preserve">Referencia: precio objetivo VF (CLP)</t>
  </si>
  <si>
    <t xml:space="preserve">C. Lectura rápida</t>
  </si>
  <si>
    <t xml:space="preserve">Cap rate implícito del DCF (EBITDA LTM / EV)</t>
  </si>
  <si>
    <t xml:space="preserve">Cap rate implícito del mercado (EBITDA LTM / EV de mercado)</t>
  </si>
  <si>
    <t xml:space="preserve">Cap rate de los pares chilenos (1 / EV/EBITDA LTM mediana Chile)</t>
  </si>
  <si>
    <t xml:space="preserve">WACC nominal terminal</t>
  </si>
  <si>
    <t xml:space="preserve">Datos Bloomberg en moneda local (millones)</t>
  </si>
  <si>
    <t xml:space="preserve">EBITDA = IS_COMPARABLE_EBITDA (salvo nota) · EBIT = EBITDA − D&amp;A (CF_DEPR_AMORT) · LTM = suma 3T25–2T26 · Balance LTM al 30-jun-2026</t>
  </si>
  <si>
    <t xml:space="preserve">Grupo</t>
  </si>
  <si>
    <t xml:space="preserve">Moneda</t>
  </si>
  <si>
    <t xml:space="preserve">Período</t>
  </si>
  <si>
    <t xml:space="preserve">Revenue</t>
  </si>
  <si>
    <t xml:space="preserve">Net Income (controladora)</t>
  </si>
  <si>
    <t xml:space="preserve">Book Value</t>
  </si>
  <si>
    <t xml:space="preserve">Net Debt (BBG)</t>
  </si>
  <si>
    <t xml:space="preserve">Market Cap</t>
  </si>
  <si>
    <t xml:space="preserve">Precio</t>
  </si>
  <si>
    <t xml:space="preserve">Forzar P/E NM</t>
  </si>
  <si>
    <t xml:space="preserve">Nota</t>
  </si>
  <si>
    <t xml:space="preserve">Factor a CLP</t>
  </si>
  <si>
    <t xml:space="preserve">EV (local)</t>
  </si>
  <si>
    <t xml:space="preserve">MALLPLAZ CI</t>
  </si>
  <si>
    <t xml:space="preserve">FY2022</t>
  </si>
  <si>
    <t xml:space="preserve">FY2023</t>
  </si>
  <si>
    <t xml:space="preserve">Net Income incluye revalorización de propiedades (~1,0 bn).</t>
  </si>
  <si>
    <t xml:space="preserve">LTM</t>
  </si>
  <si>
    <t xml:space="preserve">Core</t>
  </si>
  <si>
    <t xml:space="preserve">EBITDA = EBITDA_ADJUSTED (comparable BBG incluía revalorización).</t>
  </si>
  <si>
    <t xml:space="preserve">Q1-26 EBITDA = EBITDA_ADJUSTED (comparable incluía revalorización).</t>
  </si>
  <si>
    <t xml:space="preserve">Revenue BBG 7.481 incluye ítems no recurrentes de la combinación con brMalls; se usa 2.804 (S&amp;P). P/E NM por ganancia no recurrente.</t>
  </si>
  <si>
    <t xml:space="preserve">EBITDA = EBITDA_ADJUSTED (comparable incluía ganancia por venta de activos).</t>
  </si>
  <si>
    <t xml:space="preserve">Q1-26 EBITDA = EBITDA_ADJUSTED.</t>
  </si>
  <si>
    <t xml:space="preserve">Sensibilidad</t>
  </si>
  <si>
    <t xml:space="preserve">FY2022 (jun)</t>
  </si>
  <si>
    <t xml:space="preserve">FY2023 (jun)</t>
  </si>
  <si>
    <t xml:space="preserve">FY2024 (jun)</t>
  </si>
  <si>
    <t xml:space="preserve">Utilidad negativa → P/E NM.</t>
  </si>
  <si>
    <t xml:space="preserve">FY2025 (jun)</t>
  </si>
  <si>
    <t xml:space="preserve">FY jun-2026. Revenue y NI anuales (TRAIL_12M); EBITDA = Revenue × margen ajustado de los 4 trimestres (cifras NIC 29).</t>
  </si>
  <si>
    <t xml:space="preserve">DANHOS13 MM</t>
  </si>
  <si>
    <t xml:space="preserve">NTM — consenso Bloomberg BEst, 12 meses forward mezclado (BEST_FPERIOD_OVERRIDE = BF), al 07-oct-2026</t>
  </si>
  <si>
    <t xml:space="preserve">Revenue NTM</t>
  </si>
  <si>
    <t xml:space="preserve">EBIT NTM</t>
  </si>
  <si>
    <t xml:space="preserve">Net Income NTM</t>
  </si>
  <si>
    <t xml:space="preserve">Nº analistas</t>
  </si>
  <si>
    <t xml:space="preserve">NTM</t>
  </si>
  <si>
    <t xml:space="preserve">Consenso EBIT &gt; EBITDA (distintos sets de analistas).</t>
  </si>
  <si>
    <t xml:space="preserve">Solo 1 analista: consenso no representativo.</t>
  </si>
  <si>
    <t xml:space="preserve">Metodología, advertencias y fuentes</t>
  </si>
  <si>
    <t xml:space="preserve">Bloomberg Terminal vía Excel Add-in (BDP/BDH), extraído el 07-oct-2026 desde el terminal del laboratorio. Tickers: MALLPLAZ CI, PARAUCO CI, CENCOMAL CI, MULT3 BZ, ALOS3 BZ, IGTI11 BZ, IRSA AR, DANHOS13 MM.</t>
  </si>
  <si>
    <t xml:space="preserve">Campos</t>
  </si>
  <si>
    <t xml:space="preserve">Revenue = SALES_REV_TURN · EBITDA = IS_COMPARABLE_EBITDA (excluye ítems no recurrentes) · D&amp;A = CF_DEPR_AMORT · EBIT = EBITDA − D&amp;A · Net Income = NET_INCOME (controladora) · Book Value = TOT_COMMON_EQY · Deuda neta = NET_DEBT · Minoritarios = MINORITY_NONCONTROLLING_INTEREST · Market Cap = CUR_MKT_CAP histórico (BDH) · Precio = PX_LAST.</t>
  </si>
  <si>
    <t xml:space="preserve">Por qué no el EBITDA 'normal' de Bloomberg</t>
  </si>
  <si>
    <t xml:space="preserve">El campo EBITDA estándar incluye la revalorización de propiedades para las empresas a valor razonable (ej. Mallplaza FY2025: 1,97 bn vs ingresos 0,65 bn). Por eso se usa el EBITDA comparable, y EBIT se reconstruye como EBITDA − D&amp;A.</t>
  </si>
  <si>
    <t xml:space="preserve">Excepciones EBITDA</t>
  </si>
  <si>
    <t xml:space="preserve">Se usó EBITDA_ADJUSTED donde el comparable era inconsistente: Cencosud Shopping FY2022 y 1T26; Iguatemi FY2025 y 1T26; IRSA todos los períodos.</t>
  </si>
  <si>
    <t xml:space="preserve">Suma de 3T25, 4T25, 1T26 y 2T26 (verificada contra TRAIL_12M de Bloomberg: Mallplaza revenue 677.333 = 677.334). Balance al 30-jun-2026. IRSA: FY2026 (jul-25 a jun-26).</t>
  </si>
  <si>
    <t xml:space="preserve">Consenso BEst blended forward 12m. Cobertura: Mallplaza 13, Parque Arauco 13, Cencosud 11, Multiplan 15, Allos 14, Iguatemi 13, Fibra Danhos 9, IRSA 1 analista. La tabla principal es LTM.</t>
  </si>
  <si>
    <t xml:space="preserve">MM CLP con TC fijo del 30-jun-2026 (dólar observado 922,34) y cruces vía USD. Los múltiplos no cambian con el TC.</t>
  </si>
  <si>
    <t xml:space="preserve">Allos FY2023</t>
  </si>
  <si>
    <t xml:space="preserve">Revenue de Bloomberg (7.481) incluye efectos de la combinación con brMalls; se reemplazó por 2.804 (S&amp;P Global). P/E FY2023 NM.</t>
  </si>
  <si>
    <t xml:space="preserve">Ejercicio jul-jun; cifras bajo NIC 29: los múltiplos de cada columna son consistentes, los montos históricos en CLP no son comparables entre años.</t>
  </si>
  <si>
    <t xml:space="preserve">Valor razonable</t>
  </si>
  <si>
    <t xml:space="preserve">Mallplaza, Parque Arauco, Cencosud Shopping, IRSA y Danhos registran revalorizaciones en resultados → P/E bajo y volátil. Priorizar EV/EBITDA.</t>
  </si>
  <si>
    <t xml:space="preserve">v2 — Estructura de capital</t>
  </si>
  <si>
    <t xml:space="preserve">La WACC del VF suponía 3,5x DFN/EBITDA desde hoy y para siempre, mientras los flujos del propio modelo desapalancaban la compañía a ~1,0x en 2031. v2 parte en 2,36x, converge a 3,5x en 2031 y registra la caja sobrante como distribución adicional a accionistas, de modo que la deuda de la WACC existe en el plan.</t>
  </si>
  <si>
    <t xml:space="preserve">v2 — WACC por período</t>
  </si>
  <si>
    <t xml:space="preserve">El D/E converge linealmente desde la estructura actual del modelo original (deuda bruta / market cap = 19,98%) hasta la objetivo (28,52%, 3,5x) en 2031; beta, Ke, Kd y WACC se recalculan cada año. El DCF descuenta con factores acumulados.</t>
  </si>
  <si>
    <t xml:space="preserve">v2 — Costo de la deuda</t>
  </si>
  <si>
    <t xml:space="preserve">+25 pb de Kd real por cada vuelta de DFN/EBITDA sobre el nivel inicial (supuesto del equipo, editable). Afecta la WACC y el costo financiero de la hoja Deuda.</t>
  </si>
  <si>
    <t xml:space="preserve">v2 — Reajuste UF</t>
  </si>
  <si>
    <t xml:space="preserve">Tratado como gasto financiero deducible en la hoja Deuda. No afecta el EV.</t>
  </si>
  <si>
    <t xml:space="preserve">v2 — Chequeos</t>
  </si>
  <si>
    <t xml:space="preserve">Switch de política de deuda = 0 reproduce el VF (CLP 1.880). La hoja APV (valor sin deuda + escudos fiscales) debe quedar cerca del DCF.</t>
  </si>
  <si>
    <t xml:space="preserve">TIR implícita en el precio — Mallplaza</t>
  </si>
  <si>
    <t xml:space="preserve">NUEVO</t>
  </si>
  <si>
    <t xml:space="preserve">Tasa única (nominal CLP) que hace que el DCF dé el precio de mercado. Mismos flujos, valor terminal y puente que la hoja DCF.</t>
  </si>
  <si>
    <t xml:space="preserve">Tasa de descuento única (nominal CLP)</t>
  </si>
  <si>
    <t xml:space="preserve">← Celda que mueve Buscar objetivo</t>
  </si>
  <si>
    <t xml:space="preserve">Equivalente real (UF)</t>
  </si>
  <si>
    <t xml:space="preserve">WACC real terminal del modelo</t>
  </si>
  <si>
    <t xml:space="preserve">Diferencia vs WACC real (pb)</t>
  </si>
  <si>
    <t xml:space="preserve">FCFF (hoja DCF)</t>
  </si>
  <si>
    <t xml:space="preserve">Fracción de año</t>
  </si>
  <si>
    <t xml:space="preserve">Factor al cierre</t>
  </si>
  <si>
    <t xml:space="preserve">Factor a mitad de período</t>
  </si>
  <si>
    <t xml:space="preserve">VP del FCFF</t>
  </si>
  <si>
    <t xml:space="preserve">Suma VP FCFF explícito</t>
  </si>
  <si>
    <t xml:space="preserve">FCFF terminal 2032E (hoja DCF)</t>
  </si>
  <si>
    <t xml:space="preserve">Crecimiento terminal g</t>
  </si>
  <si>
    <t xml:space="preserve">Valor terminal al 31-12-2031</t>
  </si>
  <si>
    <t xml:space="preserve">VP del valor terminal</t>
  </si>
  <si>
    <t xml:space="preserve">(−) DFN 30-06-2026</t>
  </si>
  <si>
    <t xml:space="preserve">(−) Minoritarios</t>
  </si>
  <si>
    <t xml:space="preserve">Precio de mercado 30-09-2026 (CLP)</t>
  </si>
  <si>
    <t xml:space="preserve">Diferencia (debe ser 0)</t>
  </si>
  <si>
    <t xml:space="preserve">Cómo recalcular (si cambian flujos o precio):</t>
  </si>
  <si>
    <t xml:space="preserve">Datos → Análisis de hipótesis → Buscar objetivo · Definir celda: C26 · Con el valor: precio (C27) · Cambiando la celda: C4.</t>
  </si>
  <si>
    <t xml:space="preserve">Chequeo: con C4 = WACC del modelo por período el valor da el valor DCF de la hoja DCF (CLP 1.859); aquí se usa una tasa única para todos los períodos y el terminal.</t>
  </si>
  <si>
    <t xml:space="preserve">Lectura: quien compra a CLP 3.555 obtiene esta rentabilidad si se cumplen nuestros flujos; es la "WACC implícita en el precio" de las Figuras 21 y 27 (7,61% tasa única; 7,60% con la curva de WACC desplazada).</t>
  </si>
  <si>
    <t xml:space="preserve">TIR del accionista y de la firma · nominal CLP y real (UF)</t>
  </si>
  <si>
    <t xml:space="preserve">TIR = retorno de quien compra al precio de mercado si se cumple el modelo (mismos FCFF, distribuciones de la hoja Deuda y valor de salida de la hoja DCF). Se compara con el costo de capital: firma vs WACC; accionista vs Ke.</t>
  </si>
  <si>
    <t xml:space="preserve">Convención: flujos a mitad de período desde el 30-06-26 (igual que la hoja DCF). Real (UF) = (1 + nominal)/(1 + π) − 1, con π = Supuestos!B34. Verde = vínculo a otra hoja · azul = dato pegado · negro = fórmula · amarillo = celda nueva.</t>
  </si>
  <si>
    <t xml:space="preserve">RESUMEN: qué rentabilidad obtiene quien compra y cómo se compara con su costo de capital</t>
  </si>
  <si>
    <t xml:space="preserve">Comprador (precio de compra) · costo de capital de referencia</t>
  </si>
  <si>
    <t xml:space="preserve">TIR nominal CLP</t>
  </si>
  <si>
    <t xml:space="preserve">TIR real (UF)</t>
  </si>
  <si>
    <t xml:space="preserve">Costo de capital nominal</t>
  </si>
  <si>
    <t xml:space="preserve">Costo de capital real</t>
  </si>
  <si>
    <t xml:space="preserve">Brecha nominal (pb)</t>
  </si>
  <si>
    <t xml:space="preserve">Brecha real (pb)</t>
  </si>
  <si>
    <t xml:space="preserve">Qué mide</t>
  </si>
  <si>
    <t xml:space="preserve">Firma: compra a CLP 3.555 (flujos FCFF) · vs WACC terminal</t>
  </si>
  <si>
    <t xml:space="preserve">Tasa que iguala el DCF al precio: la WACC que el mercado aplica hoy</t>
  </si>
  <si>
    <t xml:space="preserve">Accionista: compra a CLP 3.555, sale a nuestro valor 2031 · vs Ke terminal</t>
  </si>
  <si>
    <t xml:space="preserve">Retorno si el mercado converge a nuestro valor en 2031</t>
  </si>
  <si>
    <t xml:space="preserve">Accionista: compra a CLP 3.555, el mercado mantiene la tasa implícita · vs Ke</t>
  </si>
  <si>
    <t xml:space="preserve">Cota superior: no hay re-rating, la tasa del precio se sostiene</t>
  </si>
  <si>
    <t xml:space="preserve">Accionista: compra al precio objetivo (control) · vs Ke terminal</t>
  </si>
  <si>
    <t xml:space="preserve">Al precio objetivo el retorno queda cerca del Ke</t>
  </si>
  <si>
    <t xml:space="preserve">Accionista: compra al valor DCF (control de consistencia) · vs Ke terminal</t>
  </si>
  <si>
    <t xml:space="preserve">Debería ser ≈ Ke; la diferencia mide la inconsistencia WACC–Ke del modelo</t>
  </si>
  <si>
    <t xml:space="preserve">Lectura: brecha = TIR − costo de capital. Negativa = el precio paga menos que el riesgo que se asume (sin margen de seguridad). Firma vs WACC; accionista vs Ke (puntual: terminal).</t>
  </si>
  <si>
    <t xml:space="preserve">Nota: la TIR del accionista excluye los flujos de minoritarios y usa la salida con el valor terminal del DCF; la trayectoria de DFN incluye la distribución adicional (hoja Deuda).</t>
  </si>
  <si>
    <t xml:space="preserve">A. INSUMOS (vínculos vivos a Supuestos, WACC, DCF, Deuda y Precio_Objetivo)</t>
  </si>
  <si>
    <t xml:space="preserve">Nominal CLP</t>
  </si>
  <si>
    <t xml:space="preserve">Real (UF)</t>
  </si>
  <si>
    <t xml:space="preserve">Inflación de largo plazo Chile π (puente de Fisher nominal ↔ real)</t>
  </si>
  <si>
    <t xml:space="preserve">Precio de mercado 30-09-26 (CLP por acción)</t>
  </si>
  <si>
    <t xml:space="preserve">Precio objetivo 80% DCF / 20% múltiplos (CLP por acción)</t>
  </si>
  <si>
    <t xml:space="preserve">Valor DCF por acción (CLP)</t>
  </si>
  <si>
    <t xml:space="preserve">Acciones en circulación (MM)</t>
  </si>
  <si>
    <t xml:space="preserve">Capitalización bursátil a precio de mercado (MM CLP)</t>
  </si>
  <si>
    <t xml:space="preserve">(+) Deuda financiera neta 30-06-26 (MM CLP)</t>
  </si>
  <si>
    <t xml:space="preserve">(+) Minoritarios (libro) (MM CLP)</t>
  </si>
  <si>
    <t xml:space="preserve">Enterprise value de mercado (MM CLP)</t>
  </si>
  <si>
    <t xml:space="preserve">WACC terminal (costo de capital de la firma)</t>
  </si>
  <si>
    <t xml:space="preserve">Ke terminal (costo de capital del accionista)</t>
  </si>
  <si>
    <t xml:space="preserve">Kd después de impuestos terminal</t>
  </si>
  <si>
    <t xml:space="preserve">Ke del primer período (2S26E)</t>
  </si>
  <si>
    <t xml:space="preserve">B. FLUJOS POR PERÍODO (MM CLP nominales; vínculos a DCF y Deuda)</t>
  </si>
  <si>
    <t xml:space="preserve">Terminal 2032E</t>
  </si>
  <si>
    <t xml:space="preserve">Suma</t>
  </si>
  <si>
    <t xml:space="preserve">Años desde el 30-06-26 al cierre del período</t>
  </si>
  <si>
    <t xml:space="preserve">Años desde el 30-06-26 a la mitad del período (momento del flujo)</t>
  </si>
  <si>
    <t xml:space="preserve">FCFF (hoja DCF): flujo de la firma</t>
  </si>
  <si>
    <t xml:space="preserve">Dividendos ordinarios al accionista (hoja Deuda)</t>
  </si>
  <si>
    <t xml:space="preserve">Distribución adicional a accionistas, mantiene la DFN en la trayectoria objetivo (hoja Deuda)</t>
  </si>
  <si>
    <t xml:space="preserve">Distribuciones totales al accionista (nominal CLP)</t>
  </si>
  <si>
    <t xml:space="preserve">Distribuciones totales en CLP reales de jun-26 (deflactadas por π)</t>
  </si>
  <si>
    <t xml:space="preserve">Distribución por acción (CLP nominales)</t>
  </si>
  <si>
    <t xml:space="preserve">C. VALOR DE SALIDA DEL ACCIONISTA AL 31-12-2031 (nominal CLP)</t>
  </si>
  <si>
    <t xml:space="preserve">Valor terminal de la firma con la WACC terminal y g del modelo (hoja DCF)</t>
  </si>
  <si>
    <t xml:space="preserve">(−) DFN al cierre de 2031 (hoja Deuda, ya incluye 3,5x EBITDA)</t>
  </si>
  <si>
    <t xml:space="preserve">(−) Minoritarios (libro, igual que el DCF)</t>
  </si>
  <si>
    <t xml:space="preserve">Valor del patrimonio de salida: nuestro valor (MM CLP)</t>
  </si>
  <si>
    <t xml:space="preserve">   por acción de hoy (CLP, nominal de 2031)</t>
  </si>
  <si>
    <t xml:space="preserve">Valor terminal de la firma si el mercado mantiene la tasa implícita (FCFF 2032E / (TIR firma − g))</t>
  </si>
  <si>
    <t xml:space="preserve">Valor del patrimonio de salida: tasa implícita en el precio (MM CLP)</t>
  </si>
  <si>
    <t xml:space="preserve">D. TIR DE LA FIRMA AL PRECIO DE MERCADO (flujos FCFF; tasa única nominal CLP)</t>
  </si>
  <si>
    <t xml:space="preserve">r tal que VP(FCFF 2S26E–2031E, mitad de período) + VP(FCFF 2032E / (r − g)) = EV de mercado. Resuelta con iteraciones de Newton (sin Buscar objetivo): se recalcula sola.</t>
  </si>
  <si>
    <t xml:space="preserve">Iteración (parte de g + 1 punto)</t>
  </si>
  <si>
    <t xml:space="preserve">r (iteración)</t>
  </si>
  <si>
    <t xml:space="preserve">VP(r)</t>
  </si>
  <si>
    <t xml:space="preserve">VP(r) − EV</t>
  </si>
  <si>
    <t xml:space="preserve">dVP/dr</t>
  </si>
  <si>
    <t xml:space="preserve">r siguiente</t>
  </si>
  <si>
    <t xml:space="preserve">Iteración 0</t>
  </si>
  <si>
    <t xml:space="preserve">Iteración 1</t>
  </si>
  <si>
    <t xml:space="preserve">Iteración 2</t>
  </si>
  <si>
    <t xml:space="preserve">Iteración 3</t>
  </si>
  <si>
    <t xml:space="preserve">Iteración 4</t>
  </si>
  <si>
    <t xml:space="preserve">Iteración 5</t>
  </si>
  <si>
    <t xml:space="preserve">Iteración 6</t>
  </si>
  <si>
    <t xml:space="preserve">Iteración 7</t>
  </si>
  <si>
    <t xml:space="preserve">Iteración 8</t>
  </si>
  <si>
    <t xml:space="preserve">Iteración 9</t>
  </si>
  <si>
    <t xml:space="preserve">Iteración 10</t>
  </si>
  <si>
    <t xml:space="preserve">Iteración 11</t>
  </si>
  <si>
    <t xml:space="preserve">Iteración 12</t>
  </si>
  <si>
    <t xml:space="preserve">Iteración 13</t>
  </si>
  <si>
    <t xml:space="preserve">Iteración 14</t>
  </si>
  <si>
    <t xml:space="preserve">TIR de la firma, nominal CLP (tasa única)</t>
  </si>
  <si>
    <t xml:space="preserve">TIR de la firma, real (UF)</t>
  </si>
  <si>
    <t xml:space="preserve">Chequeo: valor por acción del DCF con esa tasa (CLP); debe igualar el precio de mercado</t>
  </si>
  <si>
    <t xml:space="preserve">Chequeo: diferencia con la hoja TIR_Implicita!C4 (pb); la Figura 27 del informe desplaza toda la curva de WACC (7,60%), aquí es una tasa única (7,61%)</t>
  </si>
  <si>
    <t xml:space="preserve">E. TIR DEL ACCIONISTA (distribuciones + valor de salida; TIR() trimestral anualizada)</t>
  </si>
  <si>
    <t xml:space="preserve">Línea de tiempo trimestral desde el 30-06-26 (t = 0): flujos a mitad de período (trimestres 1, 4, 8, 12, 16, 20) y salida el 31-12-31 (trimestre 22). TIR anual = (1 + TIR trimestral)^4 − 1.</t>
  </si>
  <si>
    <t xml:space="preserve">Precio de compra por acción (CLP)</t>
  </si>
  <si>
    <t xml:space="preserve">Trimestre q (MM CLP nominales; compra = flujo negativo)</t>
  </si>
  <si>
    <t xml:space="preserve">Años</t>
  </si>
  <si>
    <t xml:space="preserve">Distribuciones</t>
  </si>
  <si>
    <t xml:space="preserve">Salida: nuestro valor</t>
  </si>
  <si>
    <t xml:space="preserve">Salida: tasa implícita</t>
  </si>
  <si>
    <t xml:space="preserve">Flujo: compra a precio de mercado</t>
  </si>
  <si>
    <t xml:space="preserve">Flujo: compra a precio objetivo</t>
  </si>
  <si>
    <t xml:space="preserve">Flujo: compra a valor DCF</t>
  </si>
  <si>
    <t xml:space="preserve">Flujo: mercado + salida a tasa implícita</t>
  </si>
  <si>
    <t xml:space="preserve">TIR trimestral (función TIR de Excel)</t>
  </si>
  <si>
    <t xml:space="preserve">TIR del accionista, nominal CLP (anual)</t>
  </si>
  <si>
    <t xml:space="preserve">TIR del accionista, real (UF) (anual)</t>
  </si>
  <si>
    <t xml:space="preserve">Chequeo: VP de los flujos a la TIR trimestral (debe ser 0)</t>
  </si>
  <si>
    <t xml:space="preserve">F. TIR DE LA FIRMA POR ESCENARIO (mismo EV de mercado; FCFF de la réplica del DCF v2)</t>
  </si>
  <si>
    <t xml:space="preserve">Bear/bull: FCFF pegados desde la réplica del DCF (escenarios_dcf.py; azul; no son fórmulas, no hay hoja de escenarios en el modelo). Base: vínculo vivo a DCF. Cada escenario se compara con su propia WACC terminal.</t>
  </si>
  <si>
    <t xml:space="preserve">Escenario (TIR de la firma al precio de mercado)</t>
  </si>
  <si>
    <t xml:space="preserve">TIR nominal</t>
  </si>
  <si>
    <t xml:space="preserve">WACC terminal nominal</t>
  </si>
  <si>
    <t xml:space="preserve">WACC terminal real</t>
  </si>
  <si>
    <t xml:space="preserve">DCF de la réplica (CLP)</t>
  </si>
  <si>
    <t xml:space="preserve">Bear (réplica)</t>
  </si>
  <si>
    <t xml:space="preserve">Base (modelo v4)</t>
  </si>
  <si>
    <t xml:space="preserve">Bull (réplica)</t>
  </si>
  <si>
    <t xml:space="preserve">Escenario · Bear (todo sale mal): WACC +100 pb en todos los períodos y cada palanca operacional en su mínimo histórico (margen 75,8%, ocupación, arriendo y ventas en mismas tiendas, visitas, capex de mantención 6,6%)</t>
  </si>
  <si>
    <t xml:space="preserve">FCFF (MM CLP nominales) 2S26E–2031E y terminal 2032E</t>
  </si>
  <si>
    <t xml:space="preserve">g terminal nominal</t>
  </si>
  <si>
    <t xml:space="preserve">Desplazamiento de la WACC respecto del modelo (pb)</t>
  </si>
  <si>
    <t xml:space="preserve">WACC terminal nominal del escenario</t>
  </si>
  <si>
    <t xml:space="preserve">Iteraciones de Newton (r0 = g + 1 punto; 15 pasos) en la fila siguiente: columnas C a Q</t>
  </si>
  <si>
    <t xml:space="preserve">r_k</t>
  </si>
  <si>
    <t xml:space="preserve">TIR de la firma del escenario, nominal CLP</t>
  </si>
  <si>
    <t xml:space="preserve">Escenario · Base: modelo v4</t>
  </si>
  <si>
    <t xml:space="preserve">Escenario · Bull (todo sale bien): WACC −100 pb, cada palanca operacional en su máximo histórico (margen 81,3%, ocupación, arriendo y ventas en mismas tiendas, visitas, capex de mantención 4,8%) e impuesto de 23%</t>
  </si>
  <si>
    <t xml:space="preserve">TIR del proyecto nuevo (un m² de expansión) — NUEVO</t>
  </si>
  <si>
    <t xml:space="preserve">Flujo por m² de una cohorte (misma mecánica que la hoja Expansion y el valor terminal del DCF), en pesos reales de 2026. TIR nominal = (1 + real)(1 + π) − 1. Todo con fórmulas vivas sobre Supuestos, Expansion, WACC y DCF.</t>
  </si>
  <si>
    <t xml:space="preserve">Inflación de largo plazo π</t>
  </si>
  <si>
    <t xml:space="preserve">Tasa de impuesto de largo plazo</t>
  </si>
  <si>
    <t xml:space="preserve">Mantención + TI / ingresos</t>
  </si>
  <si>
    <t xml:space="preserve">Capital de trabajo / ingresos</t>
  </si>
  <si>
    <t xml:space="preserve">Costo por m² 2026 (CLP, real)</t>
  </si>
  <si>
    <t xml:space="preserve">Capex pagado dos años antes de abrir</t>
  </si>
  <si>
    <t xml:space="preserve">Rampa de ingresos: año de apertura</t>
  </si>
  <si>
    <t xml:space="preserve">Rampa: segundo año</t>
  </si>
  <si>
    <t xml:space="preserve">Rampa: tercer año en adelante</t>
  </si>
  <si>
    <t xml:space="preserve">Brecha vs WACC real / nominal (pb)</t>
  </si>
  <si>
    <t xml:space="preserve">TIR del proyecto (con mantención y capital de trabajo)</t>
  </si>
  <si>
    <t xml:space="preserve">Variante como el RONIC (sin mantención ni capital de trabajo)</t>
  </si>
  <si>
    <t xml:space="preserve">RONIC real de la hoja Expansion (yield × (1 − t))</t>
  </si>
  <si>
    <t xml:space="preserve">Yield on cost de la hoja Expansion (EBITDA maduro / costo)</t>
  </si>
  <si>
    <t xml:space="preserve">Ingreso por m² de la expansión (hoja Expansion)</t>
  </si>
  <si>
    <t xml:space="preserve">Año</t>
  </si>
  <si>
    <t xml:space="preserve">Índice IPC (2026 = 1)</t>
  </si>
  <si>
    <t xml:space="preserve">Ingreso por m² nominal (CLP)</t>
  </si>
  <si>
    <t xml:space="preserve">Ingreso por m² real 2026 (CLP)</t>
  </si>
  <si>
    <t xml:space="preserve">Factor de rampa</t>
  </si>
  <si>
    <t xml:space="preserve">Ingreso real por m²</t>
  </si>
  <si>
    <t xml:space="preserve">Δ capital de trabajo</t>
  </si>
  <si>
    <t xml:space="preserve">Capex</t>
  </si>
  <si>
    <t xml:space="preserve">FCFF real (con mant. y CT)</t>
  </si>
  <si>
    <t xml:space="preserve">FCFF real (como RONIC)</t>
  </si>
  <si>
    <t xml:space="preserve">Iteración (con mant. y CT)</t>
  </si>
  <si>
    <t xml:space="preserve">Mínimo</t>
  </si>
  <si>
    <t xml:space="preserve">Máximo</t>
  </si>
  <si>
    <t xml:space="preserve">Punto medio</t>
  </si>
  <si>
    <t xml:space="preserve">VNA al punto medio</t>
  </si>
  <si>
    <t xml:space="preserve">Iteración (como el RONIC)</t>
  </si>
</sst>
</file>

<file path=xl/styles.xml><?xml version="1.0" encoding="utf-8"?>
<styleSheet xmlns="http://schemas.openxmlformats.org/spreadsheetml/2006/main">
  <numFmts count="26">
    <numFmt numFmtId="164" formatCode="General"/>
    <numFmt numFmtId="165" formatCode="#,##0"/>
    <numFmt numFmtId="166" formatCode="0.00%;\(0.00%\);\-"/>
    <numFmt numFmtId="167" formatCode="0.00\x"/>
    <numFmt numFmtId="168" formatCode="#,##0;\(#,##0\)"/>
    <numFmt numFmtId="169" formatCode="@"/>
    <numFmt numFmtId="170" formatCode="#,##0;\(#,##0\);\-"/>
    <numFmt numFmtId="171" formatCode="0"/>
    <numFmt numFmtId="172" formatCode="#,##0.00"/>
    <numFmt numFmtId="173" formatCode="0.00"/>
    <numFmt numFmtId="174" formatCode="0.0"/>
    <numFmt numFmtId="175" formatCode="#,##0.0"/>
    <numFmt numFmtId="176" formatCode="0.000"/>
    <numFmt numFmtId="177" formatCode="0.0000"/>
    <numFmt numFmtId="178" formatCode="#,##0.0000"/>
    <numFmt numFmtId="179" formatCode="0.000000"/>
    <numFmt numFmtId="180" formatCode="#,##0.00;\(#,##0.00\);\-"/>
    <numFmt numFmtId="181" formatCode="0.00000"/>
    <numFmt numFmtId="182" formatCode="0.0\x"/>
    <numFmt numFmtId="183" formatCode="\+0.00%;\-0.00%;0.00%"/>
    <numFmt numFmtId="184" formatCode="0.00%"/>
    <numFmt numFmtId="185" formatCode="#,##0.000"/>
    <numFmt numFmtId="186" formatCode="#,##0.000000"/>
    <numFmt numFmtId="187" formatCode="0.0000%"/>
    <numFmt numFmtId="188" formatCode="0.000%"/>
    <numFmt numFmtId="189" formatCode="[$$-409]#,##0.00;[RED]\-[$$-409]#,##0.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3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E2EFDA"/>
        <bgColor rgb="FFD9E1F2"/>
      </patternFill>
    </fill>
    <fill>
      <patternFill patternType="solid">
        <fgColor rgb="FFECB100"/>
        <bgColor rgb="FFFFCC00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FFE699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1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2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3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84" fontId="17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1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7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8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8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7" fontId="1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7" fontId="17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1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9" fillId="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8" fontId="1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8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CB1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3" min="2" style="1" width="14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6" t="n">
        <f aca="false">DCF!C49</f>
        <v>1858.65339722932</v>
      </c>
    </row>
    <row r="6" customFormat="false" ht="15" hidden="false" customHeight="true" outlineLevel="0" collapsed="false">
      <c r="A6" s="5" t="s">
        <v>4</v>
      </c>
      <c r="B6" s="7" t="n">
        <f aca="false">Precio_Objetivo!D5</f>
        <v>2951.38547083101</v>
      </c>
    </row>
    <row r="7" customFormat="false" ht="15" hidden="false" customHeight="true" outlineLevel="0" collapsed="false">
      <c r="A7" s="5" t="s">
        <v>5</v>
      </c>
      <c r="B7" s="6" t="n">
        <f aca="false">Precio_Objetivo!B15</f>
        <v>2077.19981194966</v>
      </c>
    </row>
    <row r="8" customFormat="false" ht="15" hidden="false" customHeight="true" outlineLevel="0" collapsed="false">
      <c r="A8" s="5" t="s">
        <v>6</v>
      </c>
      <c r="B8" s="7" t="n">
        <f aca="false">Supuestos!$B$8</f>
        <v>3555</v>
      </c>
    </row>
    <row r="9" customFormat="false" ht="15" hidden="false" customHeight="true" outlineLevel="0" collapsed="false">
      <c r="A9" s="5" t="s">
        <v>7</v>
      </c>
      <c r="B9" s="8" t="n">
        <f aca="false">Precio_Objetivo!B17</f>
        <v>-0.41569625542907</v>
      </c>
    </row>
    <row r="10" customFormat="false" ht="15" hidden="false" customHeight="true" outlineLevel="0" collapsed="false">
      <c r="A10" s="5" t="s">
        <v>8</v>
      </c>
      <c r="B10" s="7" t="n">
        <f aca="false">DCF!C63</f>
        <v>1894.99070297252</v>
      </c>
    </row>
    <row r="11" customFormat="false" ht="15" hidden="false" customHeight="true" outlineLevel="0" collapsed="false">
      <c r="A11" s="5" t="s">
        <v>9</v>
      </c>
      <c r="B11" s="8" t="n">
        <f aca="false">WACC!C43</f>
        <v>0.10536861207682</v>
      </c>
      <c r="C11" s="8" t="n">
        <f aca="false">WACC!I43</f>
        <v>0.104138867416108</v>
      </c>
    </row>
    <row r="12" customFormat="false" ht="15" hidden="false" customHeight="true" outlineLevel="0" collapsed="false">
      <c r="A12" s="5" t="s">
        <v>10</v>
      </c>
      <c r="B12" s="9" t="n">
        <f aca="false">Supuestos!$B$41</f>
        <v>2.3594373640893</v>
      </c>
      <c r="C12" s="9" t="n">
        <f aca="false">Deuda!H22</f>
        <v>3.5</v>
      </c>
    </row>
    <row r="13" customFormat="false" ht="15" hidden="false" customHeight="true" outlineLevel="0" collapsed="false">
      <c r="A13" s="5"/>
    </row>
    <row r="14" customFormat="false" ht="15" hidden="false" customHeight="true" outlineLevel="0" collapsed="false">
      <c r="A14" s="4" t="s">
        <v>11</v>
      </c>
    </row>
    <row r="15" customFormat="false" ht="15" hidden="false" customHeight="true" outlineLevel="0" collapsed="false">
      <c r="A15" s="5" t="s">
        <v>12</v>
      </c>
      <c r="B15" s="7" t="n">
        <f aca="false">Supuestos!$B$108</f>
        <v>1882.65240776306</v>
      </c>
    </row>
    <row r="16" customFormat="false" ht="15" hidden="false" customHeight="true" outlineLevel="0" collapsed="false">
      <c r="A16" s="5" t="s">
        <v>13</v>
      </c>
      <c r="B16" s="10" t="n">
        <f aca="false">DCF!C62</f>
        <v>-23.9990105337406</v>
      </c>
    </row>
    <row r="17" customFormat="false" ht="15" hidden="false" customHeight="true" outlineLevel="0" collapsed="false">
      <c r="A17" s="5" t="s">
        <v>14</v>
      </c>
      <c r="B17" s="7" t="n">
        <f aca="false">Supuestos!$B$110</f>
        <v>2096.39902037665</v>
      </c>
    </row>
    <row r="20" customFormat="false" ht="15" hidden="false" customHeight="true" outlineLevel="0" collapsed="false">
      <c r="A20" s="4" t="s">
        <v>15</v>
      </c>
    </row>
    <row r="21" customFormat="false" ht="15" hidden="false" customHeight="true" outlineLevel="0" collapsed="false">
      <c r="A21" s="5" t="s">
        <v>16</v>
      </c>
    </row>
    <row r="22" customFormat="false" ht="15" hidden="false" customHeight="true" outlineLevel="0" collapsed="false">
      <c r="A22" s="5" t="s">
        <v>17</v>
      </c>
    </row>
    <row r="23" customFormat="false" ht="15" hidden="false" customHeight="true" outlineLevel="0" collapsed="false">
      <c r="A23" s="5" t="s">
        <v>18</v>
      </c>
    </row>
    <row r="24" customFormat="false" ht="15" hidden="false" customHeight="true" outlineLevel="0" collapsed="false">
      <c r="A24" s="5" t="s">
        <v>19</v>
      </c>
    </row>
    <row r="25" customFormat="false" ht="15" hidden="false" customHeight="true" outlineLevel="0" collapsed="false">
      <c r="A25" s="5" t="s">
        <v>20</v>
      </c>
    </row>
    <row r="26" customFormat="false" ht="15" hidden="false" customHeight="true" outlineLevel="0" collapsed="false">
      <c r="A26" s="5" t="s">
        <v>21</v>
      </c>
    </row>
    <row r="27" customFormat="false" ht="15" hidden="false" customHeight="true" outlineLevel="0" collapsed="false">
      <c r="A27" s="5" t="s">
        <v>22</v>
      </c>
    </row>
    <row r="28" customFormat="false" ht="15" hidden="false" customHeight="true" outlineLevel="0" collapsed="false">
      <c r="A28" s="5" t="s">
        <v>23</v>
      </c>
    </row>
    <row r="29" customFormat="false" ht="15" hidden="false" customHeight="true" outlineLevel="0" collapsed="false">
      <c r="A29" s="5" t="s">
        <v>24</v>
      </c>
    </row>
    <row r="31" customFormat="false" ht="15" hidden="false" customHeight="true" outlineLevel="0" collapsed="false">
      <c r="A31" s="11" t="s">
        <v>25</v>
      </c>
    </row>
    <row r="32" customFormat="false" ht="15" hidden="false" customHeight="true" outlineLevel="0" collapsed="false">
      <c r="A32" s="11" t="s">
        <v>26</v>
      </c>
    </row>
    <row r="33" customFormat="false" ht="15" hidden="false" customHeight="true" outlineLevel="0" collapsed="false">
      <c r="A33" s="12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83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70"/>
    <col collapsed="false" customWidth="true" hidden="false" outlineLevel="0" max="2" min="2" style="1" width="14"/>
    <col collapsed="false" customWidth="true" hidden="false" outlineLevel="0" max="3" min="3" style="1" width="10"/>
    <col collapsed="false" customWidth="true" hidden="false" outlineLevel="0" max="4" min="4" style="1" width="6"/>
    <col collapsed="false" customWidth="true" hidden="false" outlineLevel="0" max="5" min="5" style="1" width="110"/>
  </cols>
  <sheetData>
    <row r="1" customFormat="false" ht="15.75" hidden="false" customHeight="true" outlineLevel="0" collapsed="false">
      <c r="A1" s="2" t="s">
        <v>28</v>
      </c>
    </row>
    <row r="2" customFormat="false" ht="15" hidden="false" customHeight="true" outlineLevel="0" collapsed="false">
      <c r="A2" s="3" t="s">
        <v>29</v>
      </c>
    </row>
    <row r="4" customFormat="false" ht="15" hidden="false" customHeight="true" outlineLevel="0" collapsed="false">
      <c r="A4" s="13" t="s">
        <v>30</v>
      </c>
      <c r="B4" s="13" t="s">
        <v>31</v>
      </c>
      <c r="C4" s="13" t="s">
        <v>32</v>
      </c>
      <c r="D4" s="13" t="s">
        <v>33</v>
      </c>
      <c r="E4" s="13" t="s">
        <v>34</v>
      </c>
    </row>
    <row r="6" customFormat="false" ht="15" hidden="false" customHeight="true" outlineLevel="0" collapsed="false">
      <c r="A6" s="4" t="s">
        <v>35</v>
      </c>
    </row>
    <row r="7" customFormat="false" ht="15" hidden="false" customHeight="true" outlineLevel="0" collapsed="false">
      <c r="A7" s="5" t="s">
        <v>36</v>
      </c>
      <c r="B7" s="14" t="s">
        <v>37</v>
      </c>
      <c r="C7" s="5" t="s">
        <v>38</v>
      </c>
      <c r="D7" s="5" t="s">
        <v>39</v>
      </c>
      <c r="E7" s="5" t="s">
        <v>40</v>
      </c>
    </row>
    <row r="8" customFormat="false" ht="15" hidden="false" customHeight="true" outlineLevel="0" collapsed="false">
      <c r="A8" s="5" t="s">
        <v>41</v>
      </c>
      <c r="B8" s="15" t="n">
        <v>3555</v>
      </c>
      <c r="C8" s="5" t="s">
        <v>42</v>
      </c>
      <c r="D8" s="5" t="s">
        <v>43</v>
      </c>
      <c r="E8" s="5" t="s">
        <v>44</v>
      </c>
    </row>
    <row r="9" customFormat="false" ht="15" hidden="false" customHeight="true" outlineLevel="0" collapsed="false">
      <c r="A9" s="5" t="s">
        <v>45</v>
      </c>
      <c r="B9" s="15" t="n">
        <v>2190</v>
      </c>
      <c r="C9" s="5" t="s">
        <v>46</v>
      </c>
      <c r="D9" s="5" t="s">
        <v>43</v>
      </c>
      <c r="E9" s="5" t="s">
        <v>47</v>
      </c>
    </row>
    <row r="10" customFormat="false" ht="15" hidden="false" customHeight="true" outlineLevel="0" collapsed="false">
      <c r="A10" s="5" t="s">
        <v>48</v>
      </c>
      <c r="B10" s="16" t="n">
        <v>1285740</v>
      </c>
      <c r="C10" s="5" t="s">
        <v>49</v>
      </c>
      <c r="D10" s="5" t="s">
        <v>43</v>
      </c>
      <c r="E10" s="5" t="s">
        <v>50</v>
      </c>
    </row>
    <row r="11" customFormat="false" ht="15" hidden="false" customHeight="true" outlineLevel="0" collapsed="false">
      <c r="A11" s="5" t="s">
        <v>51</v>
      </c>
      <c r="B11" s="16" t="n">
        <v>50841</v>
      </c>
      <c r="C11" s="5" t="s">
        <v>49</v>
      </c>
      <c r="D11" s="5" t="s">
        <v>43</v>
      </c>
      <c r="E11" s="5" t="s">
        <v>52</v>
      </c>
    </row>
    <row r="12" customFormat="false" ht="15" hidden="false" customHeight="true" outlineLevel="0" collapsed="false">
      <c r="A12" s="5" t="s">
        <v>53</v>
      </c>
      <c r="B12" s="16" t="n">
        <v>347621</v>
      </c>
      <c r="C12" s="5" t="s">
        <v>49</v>
      </c>
      <c r="D12" s="5" t="s">
        <v>43</v>
      </c>
      <c r="E12" s="5" t="s">
        <v>54</v>
      </c>
    </row>
    <row r="13" customFormat="false" ht="15" hidden="false" customHeight="true" outlineLevel="0" collapsed="false">
      <c r="A13" s="5" t="s">
        <v>55</v>
      </c>
      <c r="B13" s="16" t="n">
        <v>544935</v>
      </c>
      <c r="C13" s="5" t="s">
        <v>49</v>
      </c>
      <c r="D13" s="5" t="s">
        <v>43</v>
      </c>
      <c r="E13" s="5" t="s">
        <v>56</v>
      </c>
    </row>
    <row r="14" customFormat="false" ht="15" hidden="false" customHeight="true" outlineLevel="0" collapsed="false">
      <c r="A14" s="5" t="s">
        <v>57</v>
      </c>
      <c r="B14" s="16" t="n">
        <v>1311568.558</v>
      </c>
      <c r="C14" s="5" t="s">
        <v>49</v>
      </c>
      <c r="D14" s="5" t="s">
        <v>43</v>
      </c>
      <c r="E14" s="5" t="s">
        <v>58</v>
      </c>
    </row>
    <row r="16" customFormat="false" ht="15" hidden="false" customHeight="true" outlineLevel="0" collapsed="false">
      <c r="A16" s="4" t="s">
        <v>59</v>
      </c>
    </row>
    <row r="17" customFormat="false" ht="15" hidden="false" customHeight="true" outlineLevel="0" collapsed="false">
      <c r="A17" s="5" t="s">
        <v>60</v>
      </c>
      <c r="B17" s="17" t="n">
        <v>0.049778</v>
      </c>
      <c r="C17" s="5" t="s">
        <v>61</v>
      </c>
      <c r="D17" s="5" t="s">
        <v>43</v>
      </c>
      <c r="E17" s="5" t="s">
        <v>62</v>
      </c>
    </row>
    <row r="18" customFormat="false" ht="15" hidden="false" customHeight="true" outlineLevel="0" collapsed="false">
      <c r="A18" s="5" t="s">
        <v>63</v>
      </c>
      <c r="B18" s="17" t="n">
        <v>0.0543</v>
      </c>
      <c r="C18" s="5" t="s">
        <v>61</v>
      </c>
      <c r="D18" s="5" t="s">
        <v>43</v>
      </c>
      <c r="E18" s="5" t="s">
        <v>64</v>
      </c>
    </row>
    <row r="19" customFormat="false" ht="15" hidden="false" customHeight="true" outlineLevel="0" collapsed="false">
      <c r="A19" s="5" t="s">
        <v>65</v>
      </c>
      <c r="B19" s="18" t="n">
        <v>2</v>
      </c>
      <c r="C19" s="5" t="s">
        <v>66</v>
      </c>
      <c r="D19" s="5" t="s">
        <v>39</v>
      </c>
      <c r="E19" s="5" t="s">
        <v>67</v>
      </c>
    </row>
    <row r="20" customFormat="false" ht="15" hidden="false" customHeight="true" outlineLevel="0" collapsed="false">
      <c r="A20" s="5" t="s">
        <v>68</v>
      </c>
      <c r="B20" s="17" t="n">
        <v>0.022431</v>
      </c>
      <c r="C20" s="5" t="s">
        <v>61</v>
      </c>
      <c r="D20" s="5" t="s">
        <v>43</v>
      </c>
      <c r="E20" s="5" t="s">
        <v>69</v>
      </c>
    </row>
    <row r="21" customFormat="false" ht="15" hidden="false" customHeight="true" outlineLevel="0" collapsed="false">
      <c r="A21" s="5" t="s">
        <v>70</v>
      </c>
      <c r="B21" s="19" t="n">
        <v>1</v>
      </c>
      <c r="C21" s="5" t="s">
        <v>66</v>
      </c>
      <c r="D21" s="5" t="s">
        <v>39</v>
      </c>
      <c r="E21" s="5" t="s">
        <v>71</v>
      </c>
    </row>
    <row r="22" customFormat="false" ht="15" hidden="false" customHeight="true" outlineLevel="0" collapsed="false">
      <c r="A22" s="5" t="s">
        <v>72</v>
      </c>
      <c r="B22" s="17" t="n">
        <v>0.0414</v>
      </c>
      <c r="C22" s="5" t="s">
        <v>61</v>
      </c>
      <c r="D22" s="5" t="s">
        <v>43</v>
      </c>
      <c r="E22" s="5" t="s">
        <v>73</v>
      </c>
    </row>
    <row r="23" customFormat="false" ht="15" hidden="false" customHeight="true" outlineLevel="0" collapsed="false">
      <c r="A23" s="5" t="s">
        <v>74</v>
      </c>
      <c r="B23" s="17" t="n">
        <v>0.0104</v>
      </c>
      <c r="C23" s="5" t="s">
        <v>61</v>
      </c>
      <c r="D23" s="5" t="s">
        <v>43</v>
      </c>
      <c r="E23" s="5" t="s">
        <v>75</v>
      </c>
    </row>
    <row r="24" customFormat="false" ht="15" hidden="false" customHeight="true" outlineLevel="0" collapsed="false">
      <c r="A24" s="5" t="s">
        <v>76</v>
      </c>
      <c r="B24" s="17" t="n">
        <v>0.0155</v>
      </c>
      <c r="C24" s="5" t="s">
        <v>61</v>
      </c>
      <c r="D24" s="5" t="s">
        <v>43</v>
      </c>
      <c r="E24" s="5" t="s">
        <v>77</v>
      </c>
    </row>
    <row r="25" customFormat="false" ht="15" hidden="false" customHeight="true" outlineLevel="0" collapsed="false">
      <c r="A25" s="5" t="s">
        <v>78</v>
      </c>
      <c r="B25" s="17" t="n">
        <v>0.037</v>
      </c>
      <c r="C25" s="5" t="s">
        <v>61</v>
      </c>
      <c r="D25" s="5" t="s">
        <v>43</v>
      </c>
      <c r="E25" s="5" t="s">
        <v>79</v>
      </c>
    </row>
    <row r="26" customFormat="false" ht="15" hidden="false" customHeight="true" outlineLevel="0" collapsed="false">
      <c r="A26" s="5" t="s">
        <v>80</v>
      </c>
      <c r="B26" s="16" t="n">
        <v>677333</v>
      </c>
      <c r="C26" s="5" t="s">
        <v>49</v>
      </c>
      <c r="D26" s="5" t="s">
        <v>43</v>
      </c>
      <c r="E26" s="5" t="s">
        <v>81</v>
      </c>
    </row>
    <row r="27" customFormat="false" ht="15" hidden="false" customHeight="true" outlineLevel="0" collapsed="false">
      <c r="A27" s="5" t="s">
        <v>82</v>
      </c>
      <c r="B27" s="16" t="n">
        <v>486084</v>
      </c>
      <c r="C27" s="5" t="s">
        <v>49</v>
      </c>
      <c r="D27" s="5" t="s">
        <v>43</v>
      </c>
      <c r="E27" s="5" t="s">
        <v>83</v>
      </c>
    </row>
    <row r="28" customFormat="false" ht="15" hidden="false" customHeight="true" outlineLevel="0" collapsed="false">
      <c r="A28" s="5" t="s">
        <v>84</v>
      </c>
      <c r="B28" s="16" t="n">
        <v>463174</v>
      </c>
      <c r="C28" s="5" t="s">
        <v>85</v>
      </c>
      <c r="D28" s="5" t="s">
        <v>43</v>
      </c>
      <c r="E28" s="5" t="s">
        <v>86</v>
      </c>
    </row>
    <row r="29" customFormat="false" ht="15" hidden="false" customHeight="true" outlineLevel="0" collapsed="false">
      <c r="A29" s="5" t="s">
        <v>87</v>
      </c>
      <c r="B29" s="16" t="n">
        <v>275461</v>
      </c>
      <c r="C29" s="5" t="s">
        <v>88</v>
      </c>
      <c r="D29" s="5" t="s">
        <v>43</v>
      </c>
      <c r="E29" s="5" t="s">
        <v>89</v>
      </c>
    </row>
    <row r="30" customFormat="false" ht="15" hidden="false" customHeight="true" outlineLevel="0" collapsed="false">
      <c r="A30" s="5" t="s">
        <v>90</v>
      </c>
      <c r="B30" s="20" t="n">
        <v>922.21</v>
      </c>
      <c r="C30" s="5" t="s">
        <v>91</v>
      </c>
      <c r="D30" s="5" t="s">
        <v>43</v>
      </c>
      <c r="E30" s="5" t="s">
        <v>92</v>
      </c>
    </row>
    <row r="31" customFormat="false" ht="15" hidden="false" customHeight="true" outlineLevel="0" collapsed="false">
      <c r="A31" s="5" t="s">
        <v>93</v>
      </c>
      <c r="B31" s="21" t="n">
        <v>3.41</v>
      </c>
      <c r="C31" s="5" t="s">
        <v>94</v>
      </c>
      <c r="D31" s="5" t="s">
        <v>43</v>
      </c>
      <c r="E31" s="5" t="s">
        <v>95</v>
      </c>
    </row>
    <row r="32" customFormat="false" ht="15" hidden="false" customHeight="true" outlineLevel="0" collapsed="false">
      <c r="A32" s="5" t="s">
        <v>96</v>
      </c>
      <c r="B32" s="20" t="n">
        <v>3416.45</v>
      </c>
      <c r="C32" s="5" t="s">
        <v>97</v>
      </c>
      <c r="D32" s="5" t="s">
        <v>43</v>
      </c>
      <c r="E32" s="5" t="s">
        <v>98</v>
      </c>
    </row>
    <row r="33" customFormat="false" ht="15" hidden="false" customHeight="true" outlineLevel="0" collapsed="false">
      <c r="A33" s="5" t="s">
        <v>99</v>
      </c>
      <c r="B33" s="17" t="n">
        <v>0.036</v>
      </c>
      <c r="C33" s="5" t="s">
        <v>61</v>
      </c>
      <c r="D33" s="5" t="s">
        <v>43</v>
      </c>
      <c r="E33" s="5" t="s">
        <v>100</v>
      </c>
    </row>
    <row r="34" customFormat="false" ht="15" hidden="false" customHeight="true" outlineLevel="0" collapsed="false">
      <c r="A34" s="5" t="s">
        <v>101</v>
      </c>
      <c r="B34" s="17" t="n">
        <v>0.03</v>
      </c>
      <c r="C34" s="5" t="s">
        <v>61</v>
      </c>
      <c r="D34" s="5" t="s">
        <v>39</v>
      </c>
      <c r="E34" s="5" t="s">
        <v>102</v>
      </c>
    </row>
    <row r="35" customFormat="false" ht="15" hidden="false" customHeight="true" outlineLevel="0" collapsed="false">
      <c r="A35" s="5" t="s">
        <v>103</v>
      </c>
      <c r="B35" s="17" t="n">
        <v>0.27</v>
      </c>
      <c r="C35" s="5" t="s">
        <v>61</v>
      </c>
      <c r="D35" s="5" t="s">
        <v>43</v>
      </c>
      <c r="E35" s="5" t="s">
        <v>104</v>
      </c>
    </row>
    <row r="36" customFormat="false" ht="15" hidden="false" customHeight="true" outlineLevel="0" collapsed="false">
      <c r="A36" s="5" t="s">
        <v>105</v>
      </c>
      <c r="B36" s="16" t="n">
        <v>1579315.2</v>
      </c>
      <c r="C36" s="5" t="s">
        <v>49</v>
      </c>
      <c r="D36" s="5" t="s">
        <v>43</v>
      </c>
      <c r="E36" s="5" t="s">
        <v>106</v>
      </c>
    </row>
    <row r="37" customFormat="false" ht="15" hidden="false" customHeight="true" outlineLevel="0" collapsed="false">
      <c r="A37" s="5" t="s">
        <v>107</v>
      </c>
      <c r="B37" s="16" t="n">
        <v>7905900</v>
      </c>
      <c r="C37" s="5" t="s">
        <v>49</v>
      </c>
      <c r="D37" s="5" t="s">
        <v>43</v>
      </c>
      <c r="E37" s="5" t="s">
        <v>108</v>
      </c>
    </row>
    <row r="39" customFormat="false" ht="15" hidden="false" customHeight="true" outlineLevel="0" collapsed="false">
      <c r="A39" s="4" t="s">
        <v>109</v>
      </c>
    </row>
    <row r="40" customFormat="false" ht="15" hidden="false" customHeight="true" outlineLevel="0" collapsed="false">
      <c r="A40" s="5" t="s">
        <v>110</v>
      </c>
      <c r="B40" s="18" t="n">
        <v>1</v>
      </c>
      <c r="C40" s="5" t="s">
        <v>66</v>
      </c>
      <c r="D40" s="5" t="s">
        <v>39</v>
      </c>
      <c r="E40" s="5" t="s">
        <v>111</v>
      </c>
    </row>
    <row r="41" customFormat="false" ht="15" hidden="false" customHeight="true" outlineLevel="0" collapsed="false">
      <c r="A41" s="5" t="s">
        <v>112</v>
      </c>
      <c r="B41" s="22" t="n">
        <f aca="false">$B$10/$B$13</f>
        <v>2.3594373640893</v>
      </c>
      <c r="C41" s="5" t="s">
        <v>113</v>
      </c>
      <c r="D41" s="5" t="s">
        <v>114</v>
      </c>
      <c r="E41" s="5" t="s">
        <v>115</v>
      </c>
    </row>
    <row r="42" customFormat="false" ht="15" hidden="false" customHeight="true" outlineLevel="0" collapsed="false">
      <c r="A42" s="5" t="s">
        <v>116</v>
      </c>
      <c r="B42" s="23" t="n">
        <v>3.5</v>
      </c>
      <c r="C42" s="5" t="s">
        <v>113</v>
      </c>
      <c r="D42" s="5" t="s">
        <v>39</v>
      </c>
      <c r="E42" s="5" t="s">
        <v>117</v>
      </c>
    </row>
    <row r="43" customFormat="false" ht="15" hidden="false" customHeight="true" outlineLevel="0" collapsed="false">
      <c r="A43" s="5" t="s">
        <v>118</v>
      </c>
      <c r="B43" s="18" t="n">
        <v>2031</v>
      </c>
      <c r="C43" s="5" t="s">
        <v>119</v>
      </c>
      <c r="D43" s="5" t="s">
        <v>39</v>
      </c>
      <c r="E43" s="5" t="s">
        <v>120</v>
      </c>
    </row>
    <row r="44" customFormat="false" ht="15" hidden="false" customHeight="true" outlineLevel="0" collapsed="false">
      <c r="A44" s="5" t="s">
        <v>121</v>
      </c>
      <c r="B44" s="24" t="n">
        <f aca="false">$B$43-2026+0.5</f>
        <v>5.5</v>
      </c>
      <c r="C44" s="5" t="s">
        <v>122</v>
      </c>
      <c r="D44" s="5" t="s">
        <v>114</v>
      </c>
      <c r="E44" s="5" t="s">
        <v>123</v>
      </c>
    </row>
    <row r="45" customFormat="false" ht="15" hidden="false" customHeight="true" outlineLevel="0" collapsed="false">
      <c r="A45" s="5" t="s">
        <v>124</v>
      </c>
      <c r="B45" s="25" t="n">
        <v>0.0025</v>
      </c>
      <c r="C45" s="5" t="s">
        <v>61</v>
      </c>
      <c r="D45" s="5" t="s">
        <v>39</v>
      </c>
      <c r="E45" s="5" t="s">
        <v>125</v>
      </c>
    </row>
    <row r="46" customFormat="false" ht="15" hidden="false" customHeight="true" outlineLevel="0" collapsed="false">
      <c r="A46" s="5" t="s">
        <v>126</v>
      </c>
      <c r="B46" s="17" t="n">
        <v>0.0308</v>
      </c>
      <c r="C46" s="5" t="s">
        <v>61</v>
      </c>
      <c r="D46" s="5" t="s">
        <v>114</v>
      </c>
      <c r="E46" s="5" t="s">
        <v>127</v>
      </c>
    </row>
    <row r="47" customFormat="false" ht="15" hidden="false" customHeight="true" outlineLevel="0" collapsed="false">
      <c r="A47" s="5" t="s">
        <v>128</v>
      </c>
      <c r="B47" s="17" t="n">
        <v>0.79</v>
      </c>
      <c r="C47" s="5" t="s">
        <v>61</v>
      </c>
      <c r="D47" s="5" t="s">
        <v>43</v>
      </c>
      <c r="E47" s="5" t="s">
        <v>129</v>
      </c>
    </row>
    <row r="48" customFormat="false" ht="15" hidden="false" customHeight="true" outlineLevel="0" collapsed="false">
      <c r="A48" s="5" t="s">
        <v>130</v>
      </c>
      <c r="B48" s="17" t="n">
        <v>0.4</v>
      </c>
      <c r="C48" s="5" t="s">
        <v>61</v>
      </c>
      <c r="D48" s="5" t="s">
        <v>43</v>
      </c>
      <c r="E48" s="5" t="s">
        <v>131</v>
      </c>
    </row>
    <row r="49" customFormat="false" ht="15" hidden="false" customHeight="true" outlineLevel="0" collapsed="false">
      <c r="A49" s="5" t="s">
        <v>132</v>
      </c>
      <c r="B49" s="16" t="n">
        <v>147724.8</v>
      </c>
      <c r="C49" s="5" t="s">
        <v>49</v>
      </c>
      <c r="D49" s="5" t="s">
        <v>133</v>
      </c>
      <c r="E49" s="5" t="s">
        <v>134</v>
      </c>
    </row>
    <row r="50" customFormat="false" ht="15" hidden="false" customHeight="true" outlineLevel="0" collapsed="false">
      <c r="A50" s="5" t="s">
        <v>135</v>
      </c>
      <c r="B50" s="16" t="n">
        <v>87617</v>
      </c>
      <c r="C50" s="5" t="s">
        <v>49</v>
      </c>
      <c r="D50" s="5" t="s">
        <v>43</v>
      </c>
      <c r="E50" s="5" t="s">
        <v>136</v>
      </c>
    </row>
    <row r="51" customFormat="false" ht="15" hidden="false" customHeight="true" outlineLevel="0" collapsed="false">
      <c r="A51" s="5" t="s">
        <v>137</v>
      </c>
      <c r="B51" s="16" t="n">
        <v>380038.816382312</v>
      </c>
      <c r="C51" s="5" t="s">
        <v>49</v>
      </c>
      <c r="D51" s="5" t="s">
        <v>133</v>
      </c>
      <c r="E51" s="5" t="s">
        <v>138</v>
      </c>
    </row>
    <row r="53" customFormat="false" ht="15" hidden="false" customHeight="true" outlineLevel="0" collapsed="false">
      <c r="A53" s="4" t="s">
        <v>139</v>
      </c>
    </row>
    <row r="54" customFormat="false" ht="15" hidden="false" customHeight="true" outlineLevel="0" collapsed="false">
      <c r="A54" s="5" t="s">
        <v>140</v>
      </c>
      <c r="B54" s="16" t="n">
        <v>339530</v>
      </c>
      <c r="C54" s="5" t="s">
        <v>49</v>
      </c>
      <c r="D54" s="5" t="s">
        <v>43</v>
      </c>
      <c r="E54" s="5" t="s">
        <v>141</v>
      </c>
    </row>
    <row r="55" customFormat="false" ht="15" hidden="false" customHeight="true" outlineLevel="0" collapsed="false">
      <c r="A55" s="5" t="s">
        <v>142</v>
      </c>
      <c r="B55" s="16" t="n">
        <v>270574</v>
      </c>
      <c r="C55" s="5" t="s">
        <v>49</v>
      </c>
      <c r="D55" s="5" t="s">
        <v>43</v>
      </c>
      <c r="E55" s="5" t="s">
        <v>143</v>
      </c>
    </row>
    <row r="56" customFormat="false" ht="15" hidden="false" customHeight="true" outlineLevel="0" collapsed="false">
      <c r="A56" s="5" t="s">
        <v>144</v>
      </c>
      <c r="B56" s="16" t="n">
        <v>653911</v>
      </c>
      <c r="C56" s="5" t="s">
        <v>49</v>
      </c>
      <c r="D56" s="5" t="s">
        <v>43</v>
      </c>
      <c r="E56" s="5" t="s">
        <v>145</v>
      </c>
    </row>
    <row r="57" customFormat="false" ht="15" hidden="false" customHeight="true" outlineLevel="0" collapsed="false">
      <c r="A57" s="5" t="s">
        <v>146</v>
      </c>
      <c r="B57" s="17" t="n">
        <v>0.00703642078564015</v>
      </c>
      <c r="C57" s="5" t="s">
        <v>61</v>
      </c>
      <c r="D57" s="5" t="s">
        <v>114</v>
      </c>
      <c r="E57" s="5" t="s">
        <v>147</v>
      </c>
    </row>
    <row r="58" customFormat="false" ht="15" hidden="false" customHeight="true" outlineLevel="0" collapsed="false">
      <c r="A58" s="5" t="s">
        <v>148</v>
      </c>
      <c r="B58" s="17" t="n">
        <v>0.055</v>
      </c>
      <c r="C58" s="5" t="s">
        <v>61</v>
      </c>
      <c r="D58" s="5" t="s">
        <v>39</v>
      </c>
      <c r="E58" s="5" t="s">
        <v>149</v>
      </c>
    </row>
    <row r="59" customFormat="false" ht="15" hidden="false" customHeight="true" outlineLevel="0" collapsed="false">
      <c r="A59" s="5" t="s">
        <v>150</v>
      </c>
      <c r="B59" s="17" t="n">
        <v>0.27</v>
      </c>
      <c r="C59" s="5" t="s">
        <v>61</v>
      </c>
      <c r="D59" s="5" t="s">
        <v>39</v>
      </c>
      <c r="E59" s="5" t="s">
        <v>151</v>
      </c>
    </row>
    <row r="61" customFormat="false" ht="15" hidden="false" customHeight="true" outlineLevel="0" collapsed="false">
      <c r="A61" s="4" t="s">
        <v>152</v>
      </c>
    </row>
    <row r="62" customFormat="false" ht="15" hidden="false" customHeight="true" outlineLevel="0" collapsed="false">
      <c r="A62" s="5" t="s">
        <v>153</v>
      </c>
      <c r="B62" s="18" t="n">
        <v>1</v>
      </c>
      <c r="C62" s="5" t="s">
        <v>66</v>
      </c>
      <c r="D62" s="5" t="s">
        <v>39</v>
      </c>
      <c r="E62" s="5" t="s">
        <v>154</v>
      </c>
    </row>
    <row r="63" customFormat="false" ht="15" hidden="false" customHeight="true" outlineLevel="0" collapsed="false">
      <c r="A63" s="5" t="s">
        <v>155</v>
      </c>
      <c r="B63" s="15" t="n">
        <v>30458</v>
      </c>
      <c r="C63" s="5" t="s">
        <v>156</v>
      </c>
      <c r="D63" s="5" t="s">
        <v>43</v>
      </c>
      <c r="E63" s="5" t="s">
        <v>56</v>
      </c>
    </row>
    <row r="64" customFormat="false" ht="15" hidden="false" customHeight="true" outlineLevel="0" collapsed="false">
      <c r="A64" s="5" t="s">
        <v>157</v>
      </c>
      <c r="B64" s="15" t="n">
        <v>38618</v>
      </c>
      <c r="C64" s="5" t="s">
        <v>156</v>
      </c>
      <c r="D64" s="5" t="s">
        <v>43</v>
      </c>
      <c r="E64" s="5" t="s">
        <v>56</v>
      </c>
    </row>
    <row r="65" customFormat="false" ht="15" hidden="false" customHeight="true" outlineLevel="0" collapsed="false">
      <c r="A65" s="5" t="s">
        <v>158</v>
      </c>
      <c r="B65" s="15" t="n">
        <v>12150</v>
      </c>
      <c r="C65" s="5" t="s">
        <v>156</v>
      </c>
      <c r="D65" s="5" t="s">
        <v>43</v>
      </c>
      <c r="E65" s="5" t="s">
        <v>159</v>
      </c>
    </row>
    <row r="66" customFormat="false" ht="15" hidden="false" customHeight="true" outlineLevel="0" collapsed="false">
      <c r="A66" s="5" t="s">
        <v>160</v>
      </c>
      <c r="B66" s="26" t="n">
        <f aca="false">AVERAGE($B$63,$B$64,$B$65)</f>
        <v>27075.3333333333</v>
      </c>
      <c r="C66" s="5" t="s">
        <v>156</v>
      </c>
      <c r="D66" s="5" t="s">
        <v>114</v>
      </c>
      <c r="E66" s="5" t="s">
        <v>161</v>
      </c>
    </row>
    <row r="67" customFormat="false" ht="15" hidden="false" customHeight="true" outlineLevel="0" collapsed="false">
      <c r="A67" s="5" t="s">
        <v>162</v>
      </c>
      <c r="B67" s="19" t="n">
        <v>2029</v>
      </c>
      <c r="C67" s="5" t="s">
        <v>119</v>
      </c>
      <c r="D67" s="5" t="s">
        <v>39</v>
      </c>
      <c r="E67" s="5" t="s">
        <v>163</v>
      </c>
    </row>
    <row r="68" customFormat="false" ht="15" hidden="false" customHeight="true" outlineLevel="0" collapsed="false">
      <c r="A68" s="5" t="s">
        <v>164</v>
      </c>
      <c r="B68" s="17" t="n">
        <v>0.5</v>
      </c>
      <c r="C68" s="5" t="s">
        <v>61</v>
      </c>
      <c r="D68" s="5" t="s">
        <v>39</v>
      </c>
      <c r="E68" s="5" t="s">
        <v>165</v>
      </c>
    </row>
    <row r="69" customFormat="false" ht="15" hidden="false" customHeight="true" outlineLevel="0" collapsed="false">
      <c r="A69" s="5" t="s">
        <v>166</v>
      </c>
      <c r="B69" s="27" t="n">
        <v>613.2</v>
      </c>
      <c r="C69" s="5" t="s">
        <v>167</v>
      </c>
      <c r="D69" s="5" t="s">
        <v>43</v>
      </c>
      <c r="E69" s="5" t="s">
        <v>168</v>
      </c>
    </row>
    <row r="70" customFormat="false" ht="15" hidden="false" customHeight="true" outlineLevel="0" collapsed="false">
      <c r="A70" s="5" t="s">
        <v>169</v>
      </c>
      <c r="B70" s="15" t="n">
        <v>170200</v>
      </c>
      <c r="C70" s="5" t="s">
        <v>156</v>
      </c>
      <c r="D70" s="5" t="s">
        <v>43</v>
      </c>
      <c r="E70" s="5" t="s">
        <v>168</v>
      </c>
    </row>
    <row r="71" customFormat="false" ht="15" hidden="false" customHeight="true" outlineLevel="0" collapsed="false">
      <c r="A71" s="5" t="s">
        <v>170</v>
      </c>
      <c r="B71" s="28" t="n">
        <f aca="false">$B$69*1000000/$B$70</f>
        <v>3602.82021151586</v>
      </c>
      <c r="C71" s="5" t="s">
        <v>171</v>
      </c>
      <c r="D71" s="5" t="s">
        <v>114</v>
      </c>
      <c r="E71" s="5" t="s">
        <v>172</v>
      </c>
    </row>
    <row r="72" customFormat="false" ht="15" hidden="false" customHeight="true" outlineLevel="0" collapsed="false">
      <c r="A72" s="5" t="s">
        <v>173</v>
      </c>
      <c r="B72" s="20" t="n">
        <v>921</v>
      </c>
      <c r="C72" s="5" t="s">
        <v>91</v>
      </c>
      <c r="D72" s="5" t="s">
        <v>133</v>
      </c>
      <c r="E72" s="5" t="s">
        <v>174</v>
      </c>
    </row>
    <row r="73" customFormat="false" ht="15" hidden="false" customHeight="true" outlineLevel="0" collapsed="false">
      <c r="A73" s="5" t="s">
        <v>175</v>
      </c>
      <c r="B73" s="29" t="n">
        <v>114400</v>
      </c>
      <c r="C73" s="5" t="s">
        <v>156</v>
      </c>
      <c r="D73" s="5" t="s">
        <v>43</v>
      </c>
      <c r="E73" s="5" t="s">
        <v>176</v>
      </c>
    </row>
    <row r="74" customFormat="false" ht="15" hidden="false" customHeight="true" outlineLevel="0" collapsed="false">
      <c r="A74" s="5" t="s">
        <v>177</v>
      </c>
      <c r="B74" s="15" t="n">
        <v>55800</v>
      </c>
      <c r="C74" s="5" t="s">
        <v>156</v>
      </c>
      <c r="D74" s="5" t="s">
        <v>43</v>
      </c>
      <c r="E74" s="5" t="s">
        <v>178</v>
      </c>
    </row>
    <row r="75" customFormat="false" ht="15" hidden="false" customHeight="true" outlineLevel="0" collapsed="false">
      <c r="A75" s="5" t="s">
        <v>179</v>
      </c>
      <c r="B75" s="30" t="n">
        <f aca="false">$B$73/($B$73+$B$74)</f>
        <v>0.672150411280846</v>
      </c>
      <c r="C75" s="5" t="s">
        <v>61</v>
      </c>
      <c r="D75" s="5" t="s">
        <v>114</v>
      </c>
      <c r="E75" s="5" t="s">
        <v>180</v>
      </c>
    </row>
    <row r="76" customFormat="false" ht="15" hidden="false" customHeight="true" outlineLevel="0" collapsed="false">
      <c r="A76" s="5" t="s">
        <v>181</v>
      </c>
      <c r="B76" s="17" t="n">
        <v>0.8</v>
      </c>
      <c r="C76" s="5" t="s">
        <v>61</v>
      </c>
      <c r="D76" s="5" t="s">
        <v>39</v>
      </c>
      <c r="E76" s="5" t="s">
        <v>182</v>
      </c>
    </row>
    <row r="77" customFormat="false" ht="15" hidden="false" customHeight="true" outlineLevel="0" collapsed="false">
      <c r="A77" s="5" t="s">
        <v>183</v>
      </c>
      <c r="B77" s="17" t="n">
        <v>0.82</v>
      </c>
      <c r="C77" s="5" t="s">
        <v>61</v>
      </c>
      <c r="D77" s="5" t="s">
        <v>39</v>
      </c>
      <c r="E77" s="5" t="s">
        <v>182</v>
      </c>
    </row>
    <row r="78" customFormat="false" ht="15" hidden="false" customHeight="true" outlineLevel="0" collapsed="false">
      <c r="A78" s="5" t="s">
        <v>184</v>
      </c>
      <c r="B78" s="17" t="n">
        <v>0.35</v>
      </c>
      <c r="C78" s="5" t="s">
        <v>61</v>
      </c>
      <c r="D78" s="5" t="s">
        <v>39</v>
      </c>
      <c r="E78" s="5" t="s">
        <v>185</v>
      </c>
    </row>
    <row r="79" customFormat="false" ht="15" hidden="false" customHeight="true" outlineLevel="0" collapsed="false">
      <c r="A79" s="5" t="s">
        <v>186</v>
      </c>
      <c r="B79" s="17" t="n">
        <v>0.9</v>
      </c>
      <c r="C79" s="5" t="s">
        <v>61</v>
      </c>
      <c r="D79" s="5" t="s">
        <v>39</v>
      </c>
      <c r="E79" s="5" t="s">
        <v>182</v>
      </c>
    </row>
    <row r="80" customFormat="false" ht="15" hidden="false" customHeight="true" outlineLevel="0" collapsed="false">
      <c r="A80" s="5" t="s">
        <v>187</v>
      </c>
      <c r="B80" s="17" t="n">
        <v>1</v>
      </c>
      <c r="C80" s="5" t="s">
        <v>61</v>
      </c>
      <c r="D80" s="5" t="s">
        <v>39</v>
      </c>
      <c r="E80" s="5" t="s">
        <v>182</v>
      </c>
    </row>
    <row r="81" customFormat="false" ht="15" hidden="false" customHeight="true" outlineLevel="0" collapsed="false">
      <c r="A81" s="5" t="s">
        <v>188</v>
      </c>
      <c r="B81" s="17"/>
      <c r="C81" s="5" t="s">
        <v>61</v>
      </c>
      <c r="D81" s="5" t="s">
        <v>39</v>
      </c>
      <c r="E81" s="5" t="s">
        <v>189</v>
      </c>
    </row>
    <row r="83" customFormat="false" ht="15" hidden="false" customHeight="true" outlineLevel="0" collapsed="false">
      <c r="A83" s="4" t="s">
        <v>190</v>
      </c>
    </row>
    <row r="84" customFormat="false" ht="15" hidden="false" customHeight="true" outlineLevel="0" collapsed="false">
      <c r="A84" s="5" t="s">
        <v>191</v>
      </c>
      <c r="B84" s="19" t="n">
        <v>1</v>
      </c>
      <c r="C84" s="5" t="s">
        <v>66</v>
      </c>
      <c r="D84" s="5" t="s">
        <v>39</v>
      </c>
      <c r="E84" s="5" t="s">
        <v>192</v>
      </c>
    </row>
    <row r="85" customFormat="false" ht="15" hidden="false" customHeight="true" outlineLevel="0" collapsed="false">
      <c r="A85" s="5" t="s">
        <v>193</v>
      </c>
      <c r="B85" s="8" t="n">
        <f aca="false">Capital_Trabajo!F20</f>
        <v>0.156043408047884</v>
      </c>
      <c r="C85" s="5" t="s">
        <v>61</v>
      </c>
      <c r="D85" s="5" t="s">
        <v>114</v>
      </c>
      <c r="E85" s="5" t="s">
        <v>194</v>
      </c>
    </row>
    <row r="87" customFormat="false" ht="15" hidden="false" customHeight="true" outlineLevel="0" collapsed="false">
      <c r="A87" s="4" t="s">
        <v>195</v>
      </c>
    </row>
    <row r="88" customFormat="false" ht="15" hidden="false" customHeight="true" outlineLevel="0" collapsed="false">
      <c r="A88" s="5" t="s">
        <v>196</v>
      </c>
      <c r="B88" s="25" t="n">
        <v>0.03</v>
      </c>
      <c r="C88" s="5" t="s">
        <v>61</v>
      </c>
      <c r="D88" s="5" t="s">
        <v>39</v>
      </c>
      <c r="E88" s="5" t="s">
        <v>197</v>
      </c>
    </row>
    <row r="89" customFormat="false" ht="15" hidden="false" customHeight="true" outlineLevel="0" collapsed="false">
      <c r="A89" s="5" t="s">
        <v>198</v>
      </c>
      <c r="B89" s="30" t="n">
        <f aca="false">(1+$B$88)/(1+$B$34)-1</f>
        <v>0</v>
      </c>
      <c r="C89" s="5" t="s">
        <v>61</v>
      </c>
      <c r="D89" s="5" t="s">
        <v>114</v>
      </c>
      <c r="E89" s="5" t="s">
        <v>199</v>
      </c>
    </row>
    <row r="91" customFormat="false" ht="15" hidden="false" customHeight="true" outlineLevel="0" collapsed="false">
      <c r="A91" s="4" t="s">
        <v>200</v>
      </c>
    </row>
    <row r="92" customFormat="false" ht="15" hidden="false" customHeight="true" outlineLevel="0" collapsed="false">
      <c r="A92" s="5" t="s">
        <v>201</v>
      </c>
      <c r="B92" s="25" t="n">
        <v>0.8</v>
      </c>
      <c r="C92" s="5" t="s">
        <v>61</v>
      </c>
      <c r="D92" s="5" t="s">
        <v>39</v>
      </c>
      <c r="E92" s="5" t="s">
        <v>202</v>
      </c>
    </row>
    <row r="93" customFormat="false" ht="15" hidden="false" customHeight="true" outlineLevel="0" collapsed="false">
      <c r="A93" s="5" t="s">
        <v>203</v>
      </c>
      <c r="B93" s="17" t="n">
        <v>0.7</v>
      </c>
      <c r="C93" s="5" t="s">
        <v>61</v>
      </c>
      <c r="D93" s="5" t="s">
        <v>39</v>
      </c>
      <c r="E93" s="5" t="s">
        <v>204</v>
      </c>
    </row>
    <row r="94" customFormat="false" ht="15" hidden="false" customHeight="true" outlineLevel="0" collapsed="false">
      <c r="A94" s="5" t="s">
        <v>205</v>
      </c>
      <c r="B94" s="19" t="n">
        <v>100</v>
      </c>
      <c r="C94" s="5" t="s">
        <v>113</v>
      </c>
      <c r="D94" s="5" t="s">
        <v>39</v>
      </c>
      <c r="E94" s="5" t="s">
        <v>206</v>
      </c>
    </row>
    <row r="96" customFormat="false" ht="15" hidden="false" customHeight="true" outlineLevel="0" collapsed="false">
      <c r="A96" s="4" t="s">
        <v>207</v>
      </c>
    </row>
    <row r="97" customFormat="false" ht="15" hidden="false" customHeight="true" outlineLevel="0" collapsed="false">
      <c r="A97" s="5" t="s">
        <v>208</v>
      </c>
      <c r="B97" s="19" t="n">
        <v>1</v>
      </c>
      <c r="C97" s="5"/>
      <c r="D97" s="5" t="s">
        <v>43</v>
      </c>
      <c r="E97" s="5" t="s">
        <v>209</v>
      </c>
    </row>
    <row r="98" customFormat="false" ht="15" hidden="false" customHeight="true" outlineLevel="0" collapsed="false">
      <c r="A98" s="5" t="s">
        <v>210</v>
      </c>
      <c r="B98" s="31" t="n">
        <v>5.163</v>
      </c>
      <c r="C98" s="5" t="s">
        <v>211</v>
      </c>
      <c r="D98" s="5" t="s">
        <v>43</v>
      </c>
      <c r="E98" s="5" t="s">
        <v>212</v>
      </c>
    </row>
    <row r="99" customFormat="false" ht="15" hidden="false" customHeight="true" outlineLevel="0" collapsed="false">
      <c r="A99" s="5" t="s">
        <v>213</v>
      </c>
      <c r="B99" s="32" t="n">
        <v>17.4986</v>
      </c>
      <c r="C99" s="5" t="s">
        <v>214</v>
      </c>
      <c r="D99" s="5" t="s">
        <v>43</v>
      </c>
      <c r="E99" s="5" t="s">
        <v>215</v>
      </c>
    </row>
    <row r="100" customFormat="false" ht="15" hidden="false" customHeight="true" outlineLevel="0" collapsed="false">
      <c r="A100" s="5" t="s">
        <v>216</v>
      </c>
      <c r="B100" s="15" t="n">
        <v>1482</v>
      </c>
      <c r="C100" s="5" t="s">
        <v>217</v>
      </c>
      <c r="D100" s="5" t="s">
        <v>43</v>
      </c>
      <c r="E100" s="5" t="s">
        <v>218</v>
      </c>
    </row>
    <row r="101" customFormat="false" ht="15" hidden="false" customHeight="true" outlineLevel="0" collapsed="false">
      <c r="A101" s="5" t="s">
        <v>219</v>
      </c>
      <c r="B101" s="19" t="n">
        <v>1</v>
      </c>
      <c r="C101" s="5" t="s">
        <v>42</v>
      </c>
      <c r="D101" s="5" t="s">
        <v>43</v>
      </c>
      <c r="E101" s="5" t="s">
        <v>209</v>
      </c>
    </row>
    <row r="102" customFormat="false" ht="15" hidden="false" customHeight="true" outlineLevel="0" collapsed="false">
      <c r="A102" s="5" t="s">
        <v>220</v>
      </c>
      <c r="B102" s="20" t="n">
        <v>922.34</v>
      </c>
      <c r="C102" s="5" t="s">
        <v>42</v>
      </c>
      <c r="D102" s="5" t="s">
        <v>43</v>
      </c>
      <c r="E102" s="5" t="s">
        <v>221</v>
      </c>
    </row>
    <row r="103" customFormat="false" ht="15" hidden="false" customHeight="true" outlineLevel="0" collapsed="false">
      <c r="A103" s="5" t="s">
        <v>222</v>
      </c>
      <c r="B103" s="33" t="n">
        <f aca="false">$B$102/$B$98</f>
        <v>178.644199109045</v>
      </c>
      <c r="C103" s="5" t="s">
        <v>42</v>
      </c>
      <c r="D103" s="5" t="s">
        <v>114</v>
      </c>
      <c r="E103" s="5"/>
    </row>
    <row r="104" customFormat="false" ht="15" hidden="false" customHeight="true" outlineLevel="0" collapsed="false">
      <c r="A104" s="5" t="s">
        <v>223</v>
      </c>
      <c r="B104" s="33" t="n">
        <f aca="false">$B$102/$B$99</f>
        <v>52.7093596059113</v>
      </c>
      <c r="C104" s="5" t="s">
        <v>42</v>
      </c>
      <c r="D104" s="5" t="s">
        <v>114</v>
      </c>
      <c r="E104" s="5"/>
    </row>
    <row r="105" customFormat="false" ht="15" hidden="false" customHeight="true" outlineLevel="0" collapsed="false">
      <c r="A105" s="5" t="s">
        <v>224</v>
      </c>
      <c r="B105" s="34" t="n">
        <f aca="false">$B$102/$B$100</f>
        <v>0.622361673414305</v>
      </c>
      <c r="C105" s="5" t="s">
        <v>42</v>
      </c>
      <c r="D105" s="5" t="s">
        <v>114</v>
      </c>
      <c r="E105" s="5"/>
    </row>
    <row r="107" customFormat="false" ht="15" hidden="false" customHeight="true" outlineLevel="0" collapsed="false">
      <c r="A107" s="4" t="s">
        <v>225</v>
      </c>
    </row>
    <row r="108" customFormat="false" ht="15" hidden="false" customHeight="true" outlineLevel="0" collapsed="false">
      <c r="A108" s="5" t="s">
        <v>226</v>
      </c>
      <c r="B108" s="15" t="n">
        <v>1882.65240776306</v>
      </c>
      <c r="C108" s="5" t="s">
        <v>42</v>
      </c>
      <c r="D108" s="5" t="s">
        <v>114</v>
      </c>
      <c r="E108" s="5" t="s">
        <v>227</v>
      </c>
    </row>
    <row r="109" customFormat="false" ht="15" hidden="false" customHeight="true" outlineLevel="0" collapsed="false">
      <c r="A109" s="5" t="s">
        <v>228</v>
      </c>
      <c r="B109" s="17" t="n">
        <v>0.103663074859808</v>
      </c>
      <c r="C109" s="5" t="s">
        <v>61</v>
      </c>
      <c r="D109" s="5" t="s">
        <v>114</v>
      </c>
      <c r="E109" s="5" t="s">
        <v>229</v>
      </c>
    </row>
    <row r="110" customFormat="false" ht="15" hidden="false" customHeight="true" outlineLevel="0" collapsed="false">
      <c r="A110" s="5" t="s">
        <v>230</v>
      </c>
      <c r="B110" s="15" t="n">
        <v>2096.39902037665</v>
      </c>
      <c r="C110" s="5" t="s">
        <v>42</v>
      </c>
      <c r="D110" s="5" t="s">
        <v>114</v>
      </c>
      <c r="E110" s="5" t="s">
        <v>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24"/>
    <col collapsed="false" customWidth="true" hidden="false" outlineLevel="0" max="9" min="3" style="1" width="13"/>
    <col collapsed="false" customWidth="true" hidden="false" outlineLevel="0" max="10" min="10" style="1" width="80"/>
  </cols>
  <sheetData>
    <row r="1" customFormat="false" ht="15.75" hidden="false" customHeight="true" outlineLevel="0" collapsed="false">
      <c r="A1" s="2" t="s">
        <v>232</v>
      </c>
    </row>
    <row r="2" customFormat="false" ht="15" hidden="false" customHeight="true" outlineLevel="0" collapsed="false">
      <c r="A2" s="3" t="s">
        <v>233</v>
      </c>
    </row>
    <row r="4" customFormat="false" ht="15" hidden="false" customHeight="true" outlineLevel="0" collapsed="false">
      <c r="A4" s="4" t="s">
        <v>234</v>
      </c>
    </row>
    <row r="5" customFormat="false" ht="15" hidden="false" customHeight="true" outlineLevel="0" collapsed="false">
      <c r="A5" s="13" t="s">
        <v>235</v>
      </c>
      <c r="B5" s="13" t="s">
        <v>236</v>
      </c>
      <c r="C5" s="13" t="s">
        <v>237</v>
      </c>
      <c r="D5" s="13" t="s">
        <v>238</v>
      </c>
      <c r="E5" s="13" t="s">
        <v>239</v>
      </c>
      <c r="F5" s="13" t="s">
        <v>240</v>
      </c>
      <c r="G5" s="13" t="s">
        <v>241</v>
      </c>
      <c r="H5" s="13" t="s">
        <v>242</v>
      </c>
      <c r="I5" s="13" t="s">
        <v>243</v>
      </c>
      <c r="J5" s="13" t="s">
        <v>244</v>
      </c>
    </row>
    <row r="6" customFormat="false" ht="15" hidden="false" customHeight="true" outlineLevel="0" collapsed="false">
      <c r="A6" s="5" t="s">
        <v>245</v>
      </c>
      <c r="B6" s="5" t="s">
        <v>246</v>
      </c>
      <c r="C6" s="5" t="s">
        <v>247</v>
      </c>
      <c r="D6" s="31" t="n">
        <v>1.25</v>
      </c>
      <c r="E6" s="16" t="n">
        <v>1700506.9</v>
      </c>
      <c r="F6" s="16" t="n">
        <v>3828031</v>
      </c>
      <c r="G6" s="17" t="n">
        <v>0.27</v>
      </c>
      <c r="H6" s="35" t="n">
        <f aca="false">D6/(1+(1-G6)*E6/F6)</f>
        <v>0.943906137051591</v>
      </c>
      <c r="I6" s="36" t="n">
        <f aca="false">IF(COUNTIFS(Comparables!$B$5:$B$12,B6,Comparables!$D$5:$D$12,1)&gt;0,1,0)</f>
        <v>1</v>
      </c>
      <c r="J6" s="35" t="n">
        <f aca="false">IF(I6=1,H6,"")</f>
        <v>0.943906137051591</v>
      </c>
    </row>
    <row r="7" customFormat="false" ht="15" hidden="false" customHeight="true" outlineLevel="0" collapsed="false">
      <c r="A7" s="5" t="s">
        <v>248</v>
      </c>
      <c r="B7" s="5" t="s">
        <v>249</v>
      </c>
      <c r="C7" s="5" t="s">
        <v>247</v>
      </c>
      <c r="D7" s="31" t="n">
        <v>1.075</v>
      </c>
      <c r="E7" s="16" t="n">
        <v>762153.7</v>
      </c>
      <c r="F7" s="16" t="n">
        <v>3942858</v>
      </c>
      <c r="G7" s="17" t="n">
        <v>0.27</v>
      </c>
      <c r="H7" s="35" t="n">
        <f aca="false">D7/(1+(1-G7)*E7/F7)</f>
        <v>0.942066122568686</v>
      </c>
      <c r="I7" s="36" t="n">
        <f aca="false">IF(COUNTIFS(Comparables!$B$5:$B$12,B7,Comparables!$D$5:$D$12,1)&gt;0,1,0)</f>
        <v>1</v>
      </c>
      <c r="J7" s="35" t="n">
        <f aca="false">IF(I7=1,H7,"")</f>
        <v>0.942066122568686</v>
      </c>
    </row>
    <row r="8" customFormat="false" ht="15" hidden="false" customHeight="true" outlineLevel="0" collapsed="false">
      <c r="A8" s="5" t="s">
        <v>250</v>
      </c>
      <c r="B8" s="5" t="s">
        <v>251</v>
      </c>
      <c r="C8" s="5" t="s">
        <v>252</v>
      </c>
      <c r="D8" s="31" t="n">
        <v>1.164</v>
      </c>
      <c r="E8" s="16" t="n">
        <v>960191</v>
      </c>
      <c r="F8" s="16" t="n">
        <v>2712166.2</v>
      </c>
      <c r="G8" s="17" t="n">
        <v>0.34</v>
      </c>
      <c r="H8" s="35" t="n">
        <f aca="false">D8/(1+(1-G8)*E8/F8)</f>
        <v>0.943533506604902</v>
      </c>
      <c r="I8" s="36" t="n">
        <f aca="false">IF(COUNTIFS(Comparables!$B$5:$B$12,B8,Comparables!$D$5:$D$12,1)&gt;0,1,0)</f>
        <v>1</v>
      </c>
      <c r="J8" s="35" t="n">
        <f aca="false">IF(I8=1,H8,"")</f>
        <v>0.943533506604902</v>
      </c>
    </row>
    <row r="9" customFormat="false" ht="15" hidden="false" customHeight="true" outlineLevel="0" collapsed="false">
      <c r="A9" s="5" t="s">
        <v>253</v>
      </c>
      <c r="B9" s="5" t="s">
        <v>254</v>
      </c>
      <c r="C9" s="5" t="s">
        <v>252</v>
      </c>
      <c r="D9" s="31" t="n">
        <v>0.908</v>
      </c>
      <c r="E9" s="16" t="n">
        <v>647396.6</v>
      </c>
      <c r="F9" s="16" t="n">
        <v>1421560.1</v>
      </c>
      <c r="G9" s="17" t="n">
        <v>0.34</v>
      </c>
      <c r="H9" s="35" t="n">
        <f aca="false">D9/(1+(1-G9)*E9/F9)</f>
        <v>0.698154126385161</v>
      </c>
      <c r="I9" s="36" t="n">
        <f aca="false">IF(COUNTIFS(Comparables!$B$5:$B$12,B9,Comparables!$D$5:$D$12,1)&gt;0,1,0)</f>
        <v>1</v>
      </c>
      <c r="J9" s="35" t="n">
        <f aca="false">IF(I9=1,H9,"")</f>
        <v>0.698154126385161</v>
      </c>
    </row>
    <row r="10" customFormat="false" ht="15" hidden="false" customHeight="true" outlineLevel="0" collapsed="false">
      <c r="A10" s="5" t="s">
        <v>255</v>
      </c>
      <c r="B10" s="5" t="s">
        <v>256</v>
      </c>
      <c r="C10" s="5" t="s">
        <v>257</v>
      </c>
      <c r="D10" s="31" t="n">
        <v>0.025</v>
      </c>
      <c r="E10" s="16" t="n">
        <v>203967.5</v>
      </c>
      <c r="F10" s="16" t="n">
        <v>489349.7</v>
      </c>
      <c r="G10" s="17" t="n">
        <v>0.3</v>
      </c>
      <c r="H10" s="35" t="n">
        <f aca="false">D10/(1+(1-G10)*E10/F10)</f>
        <v>0.0193532999977299</v>
      </c>
      <c r="I10" s="36" t="n">
        <f aca="false">IF(COUNTIFS(Comparables!$B$5:$B$12,B10,Comparables!$D$5:$D$12,1)&gt;0,1,0)</f>
        <v>0</v>
      </c>
      <c r="J10" s="35" t="str">
        <f aca="false">IF(I10=1,H10,"")</f>
        <v/>
      </c>
    </row>
    <row r="11" customFormat="false" ht="15" hidden="false" customHeight="true" outlineLevel="0" collapsed="false">
      <c r="A11" s="5" t="s">
        <v>258</v>
      </c>
      <c r="B11" s="5" t="s">
        <v>259</v>
      </c>
      <c r="C11" s="5" t="s">
        <v>260</v>
      </c>
      <c r="D11" s="31" t="n">
        <v>0.427</v>
      </c>
      <c r="E11" s="16" t="n">
        <v>625046.5</v>
      </c>
      <c r="F11" s="16" t="n">
        <v>1218777.1</v>
      </c>
      <c r="G11" s="17" t="n">
        <v>0.35</v>
      </c>
      <c r="H11" s="35" t="n">
        <f aca="false">D11/(1+(1-G11)*E11/F11)</f>
        <v>0.320245823758863</v>
      </c>
      <c r="I11" s="36" t="n">
        <f aca="false">IF(COUNTIFS(Comparables!$B$5:$B$12,B11,Comparables!$D$5:$D$12,1)&gt;0,1,0)</f>
        <v>1</v>
      </c>
      <c r="J11" s="35" t="n">
        <f aca="false">IF(I11=1,H11,"")</f>
        <v>0.320245823758863</v>
      </c>
    </row>
    <row r="12" customFormat="false" ht="15" hidden="false" customHeight="true" outlineLevel="0" collapsed="false">
      <c r="A12" s="5" t="s">
        <v>261</v>
      </c>
      <c r="B12" s="5" t="s">
        <v>262</v>
      </c>
      <c r="C12" s="5" t="s">
        <v>252</v>
      </c>
      <c r="D12" s="31" t="n">
        <v>1.219</v>
      </c>
      <c r="E12" s="16" t="n">
        <v>191478.3</v>
      </c>
      <c r="F12" s="16" t="n">
        <v>2959844.9</v>
      </c>
      <c r="G12" s="17" t="n">
        <v>0.34</v>
      </c>
      <c r="H12" s="35" t="n">
        <f aca="false">D12/(1+(1-G12)*E12/F12)</f>
        <v>1.16908394650073</v>
      </c>
      <c r="I12" s="36" t="n">
        <f aca="false">IF(COUNTIFS(Comparables!$B$5:$B$12,B12,Comparables!$D$5:$D$12,1)&gt;0,1,0)</f>
        <v>1</v>
      </c>
      <c r="J12" s="35" t="n">
        <f aca="false">IF(I12=1,H12,"")</f>
        <v>1.16908394650073</v>
      </c>
    </row>
    <row r="13" customFormat="false" ht="15" hidden="false" customHeight="true" outlineLevel="0" collapsed="false">
      <c r="A13" s="4" t="s">
        <v>263</v>
      </c>
      <c r="H13" s="37" t="n">
        <f aca="false">MEDIAN(J6:J12)</f>
        <v>0.942799814586794</v>
      </c>
      <c r="I13" s="5" t="n">
        <f aca="false">COUNT(J6:J12)</f>
        <v>6</v>
      </c>
    </row>
    <row r="15" customFormat="false" ht="15" hidden="false" customHeight="true" outlineLevel="0" collapsed="false">
      <c r="A15" s="4" t="s">
        <v>264</v>
      </c>
    </row>
    <row r="16" customFormat="false" ht="15" hidden="false" customHeight="true" outlineLevel="0" collapsed="false">
      <c r="A16" s="5" t="s">
        <v>265</v>
      </c>
      <c r="C16" s="30" t="n">
        <f aca="false">Supuestos!$B$27/Supuestos!$B$26</f>
        <v>0.717644053958688</v>
      </c>
    </row>
    <row r="17" customFormat="false" ht="15" hidden="false" customHeight="true" outlineLevel="0" collapsed="false">
      <c r="A17" s="5" t="s">
        <v>266</v>
      </c>
      <c r="C17" s="38" t="n">
        <f aca="false">Supuestos!$B$28/Supuestos!$B$31*Supuestos!$B$30/1000</f>
        <v>125262.080510264</v>
      </c>
    </row>
    <row r="18" customFormat="false" ht="15" hidden="false" customHeight="true" outlineLevel="0" collapsed="false">
      <c r="A18" s="5" t="s">
        <v>267</v>
      </c>
      <c r="C18" s="38" t="n">
        <f aca="false">Supuestos!$B$29/Supuestos!$B$32*Supuestos!$B$30</f>
        <v>74355.8046539537</v>
      </c>
    </row>
    <row r="19" customFormat="false" ht="15" hidden="false" customHeight="true" outlineLevel="0" collapsed="false">
      <c r="A19" s="5" t="s">
        <v>268</v>
      </c>
      <c r="C19" s="30" t="n">
        <f aca="false">(1-$C$16)*$C$17/($C$17+$C$18)</f>
        <v>0.17718098364023</v>
      </c>
    </row>
    <row r="20" customFormat="false" ht="15" hidden="false" customHeight="true" outlineLevel="0" collapsed="false">
      <c r="A20" s="5" t="s">
        <v>269</v>
      </c>
      <c r="C20" s="30" t="n">
        <f aca="false">(1-$C$16)*$C$18/($C$17+$C$18)</f>
        <v>0.105174962401082</v>
      </c>
    </row>
    <row r="21" customFormat="false" ht="15" hidden="false" customHeight="true" outlineLevel="0" collapsed="false">
      <c r="A21" s="4" t="s">
        <v>270</v>
      </c>
      <c r="C21" s="39" t="n">
        <f aca="false">$C$16*Supuestos!$B$23+$C$19*Supuestos!$B$24+$C$20*Supuestos!$B$25</f>
        <v>0.014101277016434</v>
      </c>
    </row>
    <row r="22" customFormat="false" ht="15" hidden="false" customHeight="true" outlineLevel="0" collapsed="false">
      <c r="A22" s="5" t="s">
        <v>271</v>
      </c>
      <c r="C22" s="30" t="n">
        <f aca="false">IF(Supuestos!$B$19=1,Supuestos!$B$18,Supuestos!$B$17)</f>
        <v>0.049778</v>
      </c>
    </row>
    <row r="24" customFormat="false" ht="15" hidden="false" customHeight="true" outlineLevel="0" collapsed="false">
      <c r="A24" s="4" t="s">
        <v>272</v>
      </c>
    </row>
    <row r="25" customFormat="false" ht="15" hidden="false" customHeight="true" outlineLevel="0" collapsed="false">
      <c r="A25" s="5" t="s">
        <v>273</v>
      </c>
      <c r="C25" s="39" t="n">
        <f aca="false">Supuestos!$B$36/Supuestos!$B$37</f>
        <v>0.199764125526506</v>
      </c>
      <c r="D25" s="3" t="s">
        <v>274</v>
      </c>
    </row>
    <row r="26" customFormat="false" ht="15" hidden="false" customHeight="true" outlineLevel="0" collapsed="false">
      <c r="A26" s="5" t="s">
        <v>275</v>
      </c>
      <c r="C26" s="38" t="n">
        <f aca="false">Supuestos!$B$42*Supuestos!$B$13+Supuestos!$B$12</f>
        <v>2254893.5</v>
      </c>
    </row>
    <row r="27" customFormat="false" ht="15" hidden="false" customHeight="true" outlineLevel="0" collapsed="false">
      <c r="A27" s="5" t="s">
        <v>276</v>
      </c>
      <c r="C27" s="39" t="n">
        <f aca="false">C26/Supuestos!$B$37</f>
        <v>0.285216547135683</v>
      </c>
      <c r="D27" s="3" t="s">
        <v>277</v>
      </c>
    </row>
    <row r="28" customFormat="false" ht="15" hidden="false" customHeight="true" outlineLevel="0" collapsed="false">
      <c r="A28" s="5" t="s">
        <v>278</v>
      </c>
      <c r="C28" s="30" t="n">
        <f aca="false">Supuestos!$B$18+$H$13*(1+(1-Supuestos!$B$35)*Supuestos!$B$36/Supuestos!$B$37)*Supuestos!$B$22+$C$21</f>
        <v>0.113125127698424</v>
      </c>
      <c r="D28" s="3" t="s">
        <v>279</v>
      </c>
    </row>
    <row r="30" customFormat="false" ht="15" hidden="false" customHeight="true" outlineLevel="0" collapsed="false">
      <c r="A30" s="4" t="s">
        <v>280</v>
      </c>
    </row>
    <row r="31" customFormat="false" ht="15" hidden="false" customHeight="true" outlineLevel="0" collapsed="false">
      <c r="A31" s="13" t="s">
        <v>30</v>
      </c>
      <c r="B31" s="40"/>
      <c r="C31" s="41" t="s">
        <v>281</v>
      </c>
      <c r="D31" s="41" t="s">
        <v>282</v>
      </c>
      <c r="E31" s="41" t="s">
        <v>283</v>
      </c>
      <c r="F31" s="41" t="s">
        <v>284</v>
      </c>
      <c r="G31" s="41" t="s">
        <v>285</v>
      </c>
      <c r="H31" s="41" t="s">
        <v>286</v>
      </c>
      <c r="I31" s="41" t="s">
        <v>287</v>
      </c>
    </row>
    <row r="32" customFormat="false" ht="15" hidden="false" customHeight="true" outlineLevel="0" collapsed="false">
      <c r="A32" s="5" t="s">
        <v>288</v>
      </c>
      <c r="C32" s="9" t="n">
        <f aca="false">Deuda!C22</f>
        <v>2.46312487644481</v>
      </c>
      <c r="D32" s="9" t="n">
        <f aca="false">Deuda!D22</f>
        <v>2.67049990115585</v>
      </c>
      <c r="E32" s="9" t="n">
        <f aca="false">Deuda!E22</f>
        <v>2.87787492586689</v>
      </c>
      <c r="F32" s="9" t="n">
        <f aca="false">Deuda!F22</f>
        <v>3.08524995057793</v>
      </c>
      <c r="G32" s="9" t="n">
        <f aca="false">Deuda!G22</f>
        <v>3.29262497528896</v>
      </c>
      <c r="H32" s="9" t="n">
        <f aca="false">Deuda!H22</f>
        <v>3.5</v>
      </c>
      <c r="I32" s="22" t="n">
        <f aca="false">IF(Supuestos!$B$40=1,Supuestos!$B$42,Deuda!H22)</f>
        <v>3.5</v>
      </c>
    </row>
    <row r="33" customFormat="false" ht="15" hidden="false" customHeight="true" outlineLevel="0" collapsed="false">
      <c r="A33" s="5" t="s">
        <v>289</v>
      </c>
      <c r="C33" s="42" t="n">
        <f aca="false">Deuda!C5</f>
        <v>0.5</v>
      </c>
      <c r="D33" s="42" t="n">
        <f aca="false">Deuda!D5</f>
        <v>1.5</v>
      </c>
      <c r="E33" s="42" t="n">
        <f aca="false">Deuda!E5</f>
        <v>2.5</v>
      </c>
      <c r="F33" s="42" t="n">
        <f aca="false">Deuda!F5</f>
        <v>3.5</v>
      </c>
      <c r="G33" s="42" t="n">
        <f aca="false">Deuda!G5</f>
        <v>4.5</v>
      </c>
      <c r="H33" s="42" t="n">
        <f aca="false">Deuda!H5</f>
        <v>5.5</v>
      </c>
    </row>
    <row r="34" customFormat="false" ht="15" hidden="false" customHeight="true" outlineLevel="0" collapsed="false">
      <c r="A34" s="4" t="s">
        <v>290</v>
      </c>
      <c r="C34" s="43" t="n">
        <f aca="false">IF(Supuestos!$B$40=1,WACC!$C$25+(WACC!$C$27-WACC!$C$25)*MIN(1,C33/Supuestos!$B$44),WACC!$C$27)</f>
        <v>0.207532527490976</v>
      </c>
      <c r="D34" s="43" t="n">
        <f aca="false">IF(Supuestos!$B$40=1,WACC!$C$25+(WACC!$C$27-WACC!$C$25)*MIN(1,D33/Supuestos!$B$44),WACC!$C$27)</f>
        <v>0.223069331419918</v>
      </c>
      <c r="E34" s="43" t="n">
        <f aca="false">IF(Supuestos!$B$40=1,WACC!$C$25+(WACC!$C$27-WACC!$C$25)*MIN(1,E33/Supuestos!$B$44),WACC!$C$27)</f>
        <v>0.238606135348859</v>
      </c>
      <c r="F34" s="43" t="n">
        <f aca="false">IF(Supuestos!$B$40=1,WACC!$C$25+(WACC!$C$27-WACC!$C$25)*MIN(1,F33/Supuestos!$B$44),WACC!$C$27)</f>
        <v>0.254142939277801</v>
      </c>
      <c r="G34" s="43" t="n">
        <f aca="false">IF(Supuestos!$B$40=1,WACC!$C$25+(WACC!$C$27-WACC!$C$25)*MIN(1,G33/Supuestos!$B$44),WACC!$C$27)</f>
        <v>0.269679743206742</v>
      </c>
      <c r="H34" s="43" t="n">
        <f aca="false">IF(Supuestos!$B$40=1,WACC!$C$25+(WACC!$C$27-WACC!$C$25)*MIN(1,H33/Supuestos!$B$44),WACC!$C$27)</f>
        <v>0.285216547135683</v>
      </c>
      <c r="I34" s="44" t="n">
        <f aca="false">WACC!$C$27</f>
        <v>0.285216547135683</v>
      </c>
      <c r="J34" s="3" t="s">
        <v>291</v>
      </c>
    </row>
    <row r="35" customFormat="false" ht="15" hidden="false" customHeight="true" outlineLevel="0" collapsed="false">
      <c r="A35" s="5" t="s">
        <v>292</v>
      </c>
      <c r="C35" s="30" t="n">
        <f aca="false">C34/(1+C34)</f>
        <v>0.171864958306498</v>
      </c>
      <c r="D35" s="30" t="n">
        <f aca="false">D34/(1+D34)</f>
        <v>0.182384862157361</v>
      </c>
      <c r="E35" s="30" t="n">
        <f aca="false">E34/(1+E34)</f>
        <v>0.192640847271158</v>
      </c>
      <c r="F35" s="30" t="n">
        <f aca="false">F34/(1+F34)</f>
        <v>0.202642722227619</v>
      </c>
      <c r="G35" s="30" t="n">
        <f aca="false">G34/(1+G34)</f>
        <v>0.212399815504365</v>
      </c>
      <c r="H35" s="30" t="n">
        <f aca="false">H34/(1+H34)</f>
        <v>0.221921004496352</v>
      </c>
      <c r="I35" s="30" t="n">
        <f aca="false">I34/(1+I34)</f>
        <v>0.221921004496352</v>
      </c>
    </row>
    <row r="36" customFormat="false" ht="15" hidden="false" customHeight="true" outlineLevel="0" collapsed="false">
      <c r="A36" s="5" t="s">
        <v>293</v>
      </c>
      <c r="C36" s="30" t="n">
        <f aca="false">1-C35</f>
        <v>0.828135041693503</v>
      </c>
      <c r="D36" s="30" t="n">
        <f aca="false">1-D35</f>
        <v>0.817615137842639</v>
      </c>
      <c r="E36" s="30" t="n">
        <f aca="false">1-E35</f>
        <v>0.807359152728842</v>
      </c>
      <c r="F36" s="30" t="n">
        <f aca="false">1-F35</f>
        <v>0.797357277772381</v>
      </c>
      <c r="G36" s="30" t="n">
        <f aca="false">1-G35</f>
        <v>0.787600184495635</v>
      </c>
      <c r="H36" s="30" t="n">
        <f aca="false">1-H35</f>
        <v>0.778078995503649</v>
      </c>
      <c r="I36" s="30" t="n">
        <f aca="false">1-I35</f>
        <v>0.778078995503649</v>
      </c>
    </row>
    <row r="37" customFormat="false" ht="15" hidden="false" customHeight="true" outlineLevel="0" collapsed="false">
      <c r="A37" s="5" t="s">
        <v>294</v>
      </c>
      <c r="C37" s="35" t="n">
        <f aca="false">WACC!$H$13*(1+(1-Supuestos!$B$35)*C34)</f>
        <v>1.08563280334743</v>
      </c>
      <c r="D37" s="35" t="n">
        <f aca="false">WACC!$H$13*(1+(1-Supuestos!$B$35)*D34)</f>
        <v>1.09632591332776</v>
      </c>
      <c r="E37" s="35" t="n">
        <f aca="false">WACC!$H$13*(1+(1-Supuestos!$B$35)*E34)</f>
        <v>1.1070190233081</v>
      </c>
      <c r="F37" s="35" t="n">
        <f aca="false">WACC!$H$13*(1+(1-Supuestos!$B$35)*F34)</f>
        <v>1.11771213328844</v>
      </c>
      <c r="G37" s="35" t="n">
        <f aca="false">WACC!$H$13*(1+(1-Supuestos!$B$35)*G34)</f>
        <v>1.12840524326878</v>
      </c>
      <c r="H37" s="35" t="n">
        <f aca="false">WACC!$H$13*(1+(1-Supuestos!$B$35)*H34)</f>
        <v>1.13909835324912</v>
      </c>
      <c r="I37" s="35" t="n">
        <f aca="false">WACC!$H$13*(1+(1-Supuestos!$B$35)*I34)</f>
        <v>1.13909835324912</v>
      </c>
    </row>
    <row r="38" customFormat="false" ht="15" hidden="false" customHeight="true" outlineLevel="0" collapsed="false">
      <c r="A38" s="5" t="s">
        <v>295</v>
      </c>
      <c r="C38" s="30" t="n">
        <f aca="false">WACC!$C$22+C37*Supuestos!$B$22+WACC!$C$21</f>
        <v>0.108824475075017</v>
      </c>
      <c r="D38" s="30" t="n">
        <f aca="false">WACC!$C$22+D37*Supuestos!$B$22+WACC!$C$21</f>
        <v>0.109267169828203</v>
      </c>
      <c r="E38" s="30" t="n">
        <f aca="false">WACC!$C$22+E37*Supuestos!$B$22+WACC!$C$21</f>
        <v>0.109709864581389</v>
      </c>
      <c r="F38" s="30" t="n">
        <f aca="false">WACC!$C$22+F37*Supuestos!$B$22+WACC!$C$21</f>
        <v>0.110152559334575</v>
      </c>
      <c r="G38" s="30" t="n">
        <f aca="false">WACC!$C$22+G37*Supuestos!$B$22+WACC!$C$21</f>
        <v>0.110595254087761</v>
      </c>
      <c r="H38" s="30" t="n">
        <f aca="false">WACC!$C$22+H37*Supuestos!$B$22+WACC!$C$21</f>
        <v>0.111037948840947</v>
      </c>
      <c r="I38" s="30" t="n">
        <f aca="false">WACC!$C$22+I37*Supuestos!$B$22+WACC!$C$21</f>
        <v>0.111037948840947</v>
      </c>
    </row>
    <row r="39" customFormat="false" ht="15" hidden="false" customHeight="true" outlineLevel="0" collapsed="false">
      <c r="A39" s="4" t="s">
        <v>296</v>
      </c>
      <c r="C39" s="43" t="n">
        <f aca="false">IF(AND(Supuestos!$B$21=1,Supuestos!$B$19=2),(1+C38)*(1+Supuestos!$B$34)/(1+Supuestos!$B$20)-1,C38)</f>
        <v>0.117033041180547</v>
      </c>
      <c r="D39" s="43" t="n">
        <f aca="false">IF(AND(Supuestos!$B$21=1,Supuestos!$B$19=2),(1+D38)*(1+Supuestos!$B$34)/(1+Supuestos!$B$20)-1,D38)</f>
        <v>0.117479013178444</v>
      </c>
      <c r="E39" s="43" t="n">
        <f aca="false">IF(AND(Supuestos!$B$21=1,Supuestos!$B$19=2),(1+E38)*(1+Supuestos!$B$34)/(1+Supuestos!$B$20)-1,E38)</f>
        <v>0.11792498517634</v>
      </c>
      <c r="F39" s="43" t="n">
        <f aca="false">IF(AND(Supuestos!$B$21=1,Supuestos!$B$19=2),(1+F38)*(1+Supuestos!$B$34)/(1+Supuestos!$B$20)-1,F38)</f>
        <v>0.118370957174237</v>
      </c>
      <c r="G39" s="43" t="n">
        <f aca="false">IF(AND(Supuestos!$B$21=1,Supuestos!$B$19=2),(1+G38)*(1+Supuestos!$B$34)/(1+Supuestos!$B$20)-1,G38)</f>
        <v>0.118816929172134</v>
      </c>
      <c r="H39" s="43" t="n">
        <f aca="false">IF(AND(Supuestos!$B$21=1,Supuestos!$B$19=2),(1+H38)*(1+Supuestos!$B$34)/(1+Supuestos!$B$20)-1,H38)</f>
        <v>0.119262901170031</v>
      </c>
      <c r="I39" s="43" t="n">
        <f aca="false">IF(AND(Supuestos!$B$21=1,Supuestos!$B$19=2),(1+I38)*(1+Supuestos!$B$34)/(1+Supuestos!$B$20)-1,I38)</f>
        <v>0.119262901170031</v>
      </c>
      <c r="J39" s="3" t="s">
        <v>297</v>
      </c>
    </row>
    <row r="40" customFormat="false" ht="15" hidden="false" customHeight="true" outlineLevel="0" collapsed="false">
      <c r="A40" s="5" t="s">
        <v>298</v>
      </c>
      <c r="C40" s="30" t="n">
        <f aca="false">Supuestos!$B$33+Supuestos!$B$40*Supuestos!$B$45*MAX(0,C32-Supuestos!$B$41)</f>
        <v>0.0362592187808888</v>
      </c>
      <c r="D40" s="30" t="n">
        <f aca="false">Supuestos!$B$33+Supuestos!$B$40*Supuestos!$B$45*MAX(0,D32-Supuestos!$B$41)</f>
        <v>0.0367776563426664</v>
      </c>
      <c r="E40" s="30" t="n">
        <f aca="false">Supuestos!$B$33+Supuestos!$B$40*Supuestos!$B$45*MAX(0,E32-Supuestos!$B$41)</f>
        <v>0.037296093904444</v>
      </c>
      <c r="F40" s="30" t="n">
        <f aca="false">Supuestos!$B$33+Supuestos!$B$40*Supuestos!$B$45*MAX(0,F32-Supuestos!$B$41)</f>
        <v>0.0378145314662216</v>
      </c>
      <c r="G40" s="30" t="n">
        <f aca="false">Supuestos!$B$33+Supuestos!$B$40*Supuestos!$B$45*MAX(0,G32-Supuestos!$B$41)</f>
        <v>0.0383329690279992</v>
      </c>
      <c r="H40" s="30" t="n">
        <f aca="false">Supuestos!$B$33+Supuestos!$B$40*Supuestos!$B$45*MAX(0,H32-Supuestos!$B$41)</f>
        <v>0.0388514065897768</v>
      </c>
      <c r="I40" s="30" t="n">
        <f aca="false">Supuestos!$B$33+Supuestos!$B$40*Supuestos!$B$45*MAX(0,I32-Supuestos!$B$41)</f>
        <v>0.0388514065897768</v>
      </c>
    </row>
    <row r="41" customFormat="false" ht="15" hidden="false" customHeight="true" outlineLevel="0" collapsed="false">
      <c r="A41" s="5" t="s">
        <v>299</v>
      </c>
      <c r="C41" s="30" t="n">
        <f aca="false">(1+C40)*(1+Supuestos!$B$34)-1</f>
        <v>0.0673469953443155</v>
      </c>
      <c r="D41" s="30" t="n">
        <f aca="false">(1+D40)*(1+Supuestos!$B$34)-1</f>
        <v>0.0678809860329463</v>
      </c>
      <c r="E41" s="30" t="n">
        <f aca="false">(1+E40)*(1+Supuestos!$B$34)-1</f>
        <v>0.0684149767215774</v>
      </c>
      <c r="F41" s="30" t="n">
        <f aca="false">(1+F40)*(1+Supuestos!$B$34)-1</f>
        <v>0.0689489674102082</v>
      </c>
      <c r="G41" s="30" t="n">
        <f aca="false">(1+G40)*(1+Supuestos!$B$34)-1</f>
        <v>0.0694829580988392</v>
      </c>
      <c r="H41" s="30" t="n">
        <f aca="false">(1+H40)*(1+Supuestos!$B$34)-1</f>
        <v>0.07001694878747</v>
      </c>
      <c r="I41" s="30" t="n">
        <f aca="false">(1+I40)*(1+Supuestos!$B$34)-1</f>
        <v>0.07001694878747</v>
      </c>
    </row>
    <row r="42" customFormat="false" ht="15" hidden="false" customHeight="true" outlineLevel="0" collapsed="false">
      <c r="A42" s="5" t="s">
        <v>300</v>
      </c>
      <c r="C42" s="30" t="n">
        <f aca="false">C41*(1-Supuestos!$B$35)</f>
        <v>0.0491633066013503</v>
      </c>
      <c r="D42" s="30" t="n">
        <f aca="false">D41*(1-Supuestos!$B$35)</f>
        <v>0.0495531198040508</v>
      </c>
      <c r="E42" s="30" t="n">
        <f aca="false">E41*(1-Supuestos!$B$35)</f>
        <v>0.0499429330067515</v>
      </c>
      <c r="F42" s="30" t="n">
        <f aca="false">F41*(1-Supuestos!$B$35)</f>
        <v>0.050332746209452</v>
      </c>
      <c r="G42" s="30" t="n">
        <f aca="false">G41*(1-Supuestos!$B$35)</f>
        <v>0.0507225594121526</v>
      </c>
      <c r="H42" s="30" t="n">
        <f aca="false">H41*(1-Supuestos!$B$35)</f>
        <v>0.0511123726148531</v>
      </c>
      <c r="I42" s="30" t="n">
        <f aca="false">I41*(1-Supuestos!$B$35)</f>
        <v>0.0511123726148531</v>
      </c>
    </row>
    <row r="43" customFormat="false" ht="15" hidden="false" customHeight="true" outlineLevel="0" collapsed="false">
      <c r="A43" s="4" t="s">
        <v>301</v>
      </c>
      <c r="C43" s="39" t="n">
        <f aca="false">C36*C39+C35*C42</f>
        <v>0.10536861207682</v>
      </c>
      <c r="D43" s="39" t="n">
        <f aca="false">D36*D39+D35*D42</f>
        <v>0.10509035847844</v>
      </c>
      <c r="E43" s="39" t="n">
        <f aca="false">E36*E39+E35*E42</f>
        <v>0.104828865047159</v>
      </c>
      <c r="F43" s="39" t="n">
        <f aca="false">F36*F39+F35*F42</f>
        <v>0.104583508888836</v>
      </c>
      <c r="G43" s="39" t="n">
        <f aca="false">G36*G39+G35*G42</f>
        <v>0.104353697598228</v>
      </c>
      <c r="H43" s="39" t="n">
        <f aca="false">H36*H39+H35*H42</f>
        <v>0.104138867416108</v>
      </c>
      <c r="I43" s="43" t="n">
        <f aca="false">I36*I39+I35*I42</f>
        <v>0.104138867416108</v>
      </c>
    </row>
    <row r="44" customFormat="false" ht="15" hidden="false" customHeight="true" outlineLevel="0" collapsed="false">
      <c r="A44" s="5" t="s">
        <v>302</v>
      </c>
      <c r="C44" s="30" t="n">
        <f aca="false">(1+C43)/(1+Supuestos!$B$34)-1</f>
        <v>0.0731734097833205</v>
      </c>
      <c r="D44" s="30" t="n">
        <f aca="false">(1+D43)/(1+Supuestos!$B$34)-1</f>
        <v>0.072903260658679</v>
      </c>
      <c r="E44" s="30" t="n">
        <f aca="false">(1+E43)/(1+Supuestos!$B$34)-1</f>
        <v>0.0726493835409308</v>
      </c>
      <c r="F44" s="30" t="n">
        <f aca="false">(1+F43)/(1+Supuestos!$B$34)-1</f>
        <v>0.0724111736784818</v>
      </c>
      <c r="G44" s="30" t="n">
        <f aca="false">(1+G43)/(1+Supuestos!$B$34)-1</f>
        <v>0.0721880559206096</v>
      </c>
      <c r="H44" s="30" t="n">
        <f aca="false">(1+H43)/(1+Supuestos!$B$34)-1</f>
        <v>0.0719794829282607</v>
      </c>
      <c r="I44" s="30" t="n">
        <f aca="false">(1+I43)/(1+Supuestos!$B$34)-1</f>
        <v>0.0719794829282607</v>
      </c>
    </row>
    <row r="46" customFormat="false" ht="15" hidden="false" customHeight="true" outlineLevel="0" collapsed="false">
      <c r="A46" s="5" t="s">
        <v>303</v>
      </c>
      <c r="C46" s="8" t="n">
        <f aca="false">Supuestos!$B$109</f>
        <v>0.103663074859808</v>
      </c>
      <c r="D46" s="3" t="s">
        <v>304</v>
      </c>
    </row>
    <row r="47" customFormat="false" ht="15" hidden="false" customHeight="true" outlineLevel="0" collapsed="false">
      <c r="A47" s="5" t="s">
        <v>305</v>
      </c>
      <c r="C47" s="17" t="n">
        <v>0.0555</v>
      </c>
      <c r="D47" s="3" t="s">
        <v>306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1" activeCellId="0" sqref="I1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8" min="3" style="1" width="13"/>
    <col collapsed="false" customWidth="true" hidden="false" outlineLevel="0" max="9" min="9" style="1" width="75"/>
  </cols>
  <sheetData>
    <row r="1" customFormat="false" ht="15.75" hidden="false" customHeight="true" outlineLevel="0" collapsed="false">
      <c r="A1" s="2" t="s">
        <v>307</v>
      </c>
    </row>
    <row r="2" customFormat="false" ht="15" hidden="false" customHeight="true" outlineLevel="0" collapsed="false">
      <c r="A2" s="3" t="s">
        <v>308</v>
      </c>
    </row>
    <row r="4" customFormat="false" ht="15" hidden="false" customHeight="true" outlineLevel="0" collapsed="false">
      <c r="A4" s="13" t="s">
        <v>49</v>
      </c>
      <c r="B4" s="40"/>
      <c r="C4" s="41" t="s">
        <v>281</v>
      </c>
      <c r="D4" s="41" t="s">
        <v>282</v>
      </c>
      <c r="E4" s="41" t="s">
        <v>283</v>
      </c>
      <c r="F4" s="41" t="s">
        <v>284</v>
      </c>
      <c r="G4" s="41" t="s">
        <v>285</v>
      </c>
      <c r="H4" s="41" t="s">
        <v>286</v>
      </c>
      <c r="I4" s="41" t="s">
        <v>309</v>
      </c>
    </row>
    <row r="5" customFormat="false" ht="15" hidden="false" customHeight="true" outlineLevel="0" collapsed="false">
      <c r="A5" s="5" t="s">
        <v>310</v>
      </c>
      <c r="C5" s="45" t="n">
        <v>703998.935029744</v>
      </c>
      <c r="D5" s="45" t="n">
        <v>767179.42311749</v>
      </c>
      <c r="E5" s="45" t="n">
        <v>826661.821713252</v>
      </c>
      <c r="F5" s="45" t="n">
        <v>883482.452628312</v>
      </c>
      <c r="G5" s="45" t="n">
        <v>923321.860237358</v>
      </c>
      <c r="H5" s="45" t="n">
        <v>959373.854528556</v>
      </c>
      <c r="I5" s="3" t="s">
        <v>311</v>
      </c>
    </row>
    <row r="6" customFormat="false" ht="15" hidden="false" customHeight="true" outlineLevel="0" collapsed="false">
      <c r="A6" s="5" t="s">
        <v>312</v>
      </c>
      <c r="C6" s="38" t="n">
        <f aca="false">C5-Supuestos!$B$54</f>
        <v>364468.935029744</v>
      </c>
      <c r="D6" s="38" t="n">
        <f aca="false">D5</f>
        <v>767179.42311749</v>
      </c>
      <c r="E6" s="38" t="n">
        <f aca="false">E5</f>
        <v>826661.821713252</v>
      </c>
      <c r="F6" s="38" t="n">
        <f aca="false">F5</f>
        <v>883482.452628312</v>
      </c>
      <c r="G6" s="38" t="n">
        <f aca="false">G5</f>
        <v>923321.860237358</v>
      </c>
      <c r="H6" s="38" t="n">
        <f aca="false">H5</f>
        <v>959373.854528556</v>
      </c>
    </row>
    <row r="7" customFormat="false" ht="15" hidden="false" customHeight="true" outlineLevel="0" collapsed="false">
      <c r="A7" s="5" t="s">
        <v>313</v>
      </c>
      <c r="C7" s="45" t="n">
        <v>561315.405027496</v>
      </c>
      <c r="D7" s="45" t="n">
        <v>611360.360246719</v>
      </c>
      <c r="E7" s="45" t="n">
        <v>659160.320942588</v>
      </c>
      <c r="F7" s="45" t="n">
        <v>704684.515696292</v>
      </c>
      <c r="G7" s="45" t="n">
        <v>736419.595622249</v>
      </c>
      <c r="H7" s="45" t="n">
        <v>765088.08305899</v>
      </c>
      <c r="I7" s="3" t="s">
        <v>314</v>
      </c>
    </row>
    <row r="8" customFormat="false" ht="15" hidden="false" customHeight="true" outlineLevel="0" collapsed="false">
      <c r="A8" s="5" t="s">
        <v>315</v>
      </c>
      <c r="C8" s="38" t="n">
        <f aca="false">C7-Supuestos!$B$55</f>
        <v>290741.405027496</v>
      </c>
      <c r="D8" s="38" t="n">
        <f aca="false">D7</f>
        <v>611360.360246719</v>
      </c>
      <c r="E8" s="38" t="n">
        <f aca="false">E7</f>
        <v>659160.320942588</v>
      </c>
      <c r="F8" s="38" t="n">
        <f aca="false">F7</f>
        <v>704684.515696292</v>
      </c>
      <c r="G8" s="38" t="n">
        <f aca="false">G7</f>
        <v>736419.595622249</v>
      </c>
      <c r="H8" s="38" t="n">
        <f aca="false">H7</f>
        <v>765088.08305899</v>
      </c>
    </row>
    <row r="9" customFormat="false" ht="15" hidden="false" customHeight="true" outlineLevel="0" collapsed="false">
      <c r="A9" s="5" t="s">
        <v>316</v>
      </c>
      <c r="C9" s="30" t="n">
        <f aca="false">C8/C6</f>
        <v>0.797712444282169</v>
      </c>
      <c r="D9" s="30" t="n">
        <f aca="false">D8/D6</f>
        <v>0.796893584244493</v>
      </c>
      <c r="E9" s="30" t="n">
        <f aca="false">E8/E6</f>
        <v>0.797376029264884</v>
      </c>
      <c r="F9" s="30" t="n">
        <f aca="false">F8/F6</f>
        <v>0.797621405609013</v>
      </c>
      <c r="G9" s="30" t="n">
        <f aca="false">G8/G6</f>
        <v>0.797576259521179</v>
      </c>
      <c r="H9" s="30" t="n">
        <f aca="false">H8/H6</f>
        <v>0.797486901949147</v>
      </c>
    </row>
    <row r="10" customFormat="false" ht="15" hidden="false" customHeight="true" outlineLevel="0" collapsed="false">
      <c r="A10" s="5" t="s">
        <v>317</v>
      </c>
      <c r="C10" s="38" t="n">
        <f aca="false">Supuestos!$B$57*C6</f>
        <v>2564.55679016342</v>
      </c>
      <c r="D10" s="38" t="n">
        <f aca="false">Supuestos!$B$57*D6</f>
        <v>5398.19723913933</v>
      </c>
      <c r="E10" s="38" t="n">
        <f aca="false">Supuestos!$B$57*E6</f>
        <v>5816.74042499828</v>
      </c>
      <c r="F10" s="38" t="n">
        <f aca="false">Supuestos!$B$57*F6</f>
        <v>6216.55429342219</v>
      </c>
      <c r="G10" s="38" t="n">
        <f aca="false">Supuestos!$B$57*G6</f>
        <v>6496.88112921008</v>
      </c>
      <c r="H10" s="38" t="n">
        <f aca="false">Supuestos!$B$57*H6</f>
        <v>6750.55813120444</v>
      </c>
      <c r="I10" s="3" t="s">
        <v>318</v>
      </c>
    </row>
    <row r="11" customFormat="false" ht="15" hidden="false" customHeight="true" outlineLevel="0" collapsed="false">
      <c r="A11" s="5" t="s">
        <v>319</v>
      </c>
      <c r="C11" s="17" t="n">
        <v>0.168</v>
      </c>
      <c r="D11" s="17" t="n">
        <v>0.19</v>
      </c>
      <c r="E11" s="17" t="n">
        <v>0.215</v>
      </c>
      <c r="F11" s="17" t="n">
        <v>0.24</v>
      </c>
      <c r="G11" s="17" t="n">
        <v>0.27</v>
      </c>
      <c r="H11" s="17" t="n">
        <v>0.27</v>
      </c>
      <c r="I11" s="3" t="s">
        <v>320</v>
      </c>
    </row>
    <row r="12" customFormat="false" ht="15" hidden="false" customHeight="true" outlineLevel="0" collapsed="false">
      <c r="A12" s="5" t="s">
        <v>321</v>
      </c>
      <c r="C12" s="46" t="n">
        <v>140.44</v>
      </c>
      <c r="D12" s="46" t="n">
        <v>268.68</v>
      </c>
      <c r="E12" s="46" t="n">
        <v>169.88</v>
      </c>
      <c r="F12" s="46" t="n">
        <v>0</v>
      </c>
      <c r="G12" s="46" t="n">
        <v>0</v>
      </c>
      <c r="H12" s="46" t="n">
        <v>0</v>
      </c>
      <c r="I12" s="3" t="s">
        <v>322</v>
      </c>
    </row>
    <row r="13" customFormat="false" ht="15" hidden="false" customHeight="true" outlineLevel="0" collapsed="false">
      <c r="A13" s="5" t="s">
        <v>323</v>
      </c>
      <c r="C13" s="20" t="n">
        <v>929.55</v>
      </c>
      <c r="D13" s="20" t="n">
        <v>922.75</v>
      </c>
      <c r="E13" s="20" t="n">
        <v>914.75</v>
      </c>
      <c r="F13" s="20" t="n">
        <v>921</v>
      </c>
      <c r="G13" s="20" t="n">
        <v>921</v>
      </c>
      <c r="H13" s="20" t="n">
        <v>921</v>
      </c>
      <c r="I13" s="3" t="s">
        <v>324</v>
      </c>
    </row>
    <row r="14" customFormat="false" ht="15" hidden="false" customHeight="true" outlineLevel="0" collapsed="false">
      <c r="A14" s="5" t="s">
        <v>325</v>
      </c>
      <c r="C14" s="38" t="n">
        <f aca="false">C12*C13</f>
        <v>130546.002</v>
      </c>
      <c r="D14" s="38" t="n">
        <f aca="false">D12*D13</f>
        <v>247924.47</v>
      </c>
      <c r="E14" s="38" t="n">
        <f aca="false">E12*E13</f>
        <v>155397.73</v>
      </c>
      <c r="F14" s="38" t="n">
        <f aca="false">F12*F13</f>
        <v>0</v>
      </c>
      <c r="G14" s="38" t="n">
        <f aca="false">G12*G13</f>
        <v>0</v>
      </c>
      <c r="H14" s="38" t="n">
        <f aca="false">H12*H13</f>
        <v>0</v>
      </c>
    </row>
    <row r="15" customFormat="false" ht="15" hidden="false" customHeight="true" outlineLevel="0" collapsed="false">
      <c r="A15" s="5" t="s">
        <v>326</v>
      </c>
      <c r="C15" s="38" t="n">
        <f aca="false">Supuestos!$B$58*C5/2</f>
        <v>19359.970713318</v>
      </c>
      <c r="D15" s="38" t="n">
        <f aca="false">Supuestos!$B$58*D5</f>
        <v>42194.868271462</v>
      </c>
      <c r="E15" s="38" t="n">
        <f aca="false">Supuestos!$B$58*E5</f>
        <v>45466.4001942289</v>
      </c>
      <c r="F15" s="38" t="n">
        <f aca="false">Supuestos!$B$58*F5</f>
        <v>48591.5348945572</v>
      </c>
      <c r="G15" s="38" t="n">
        <f aca="false">Supuestos!$B$58*G5</f>
        <v>50782.7023130547</v>
      </c>
      <c r="H15" s="38" t="n">
        <f aca="false">Supuestos!$B$58*H5</f>
        <v>52765.5619990706</v>
      </c>
      <c r="I15" s="3" t="s">
        <v>327</v>
      </c>
    </row>
    <row r="16" customFormat="false" ht="15" hidden="false" customHeight="true" outlineLevel="0" collapsed="false">
      <c r="A16" s="4" t="s">
        <v>328</v>
      </c>
      <c r="C16" s="47" t="n">
        <f aca="false">C14+C15</f>
        <v>149905.972713318</v>
      </c>
      <c r="D16" s="47" t="n">
        <f aca="false">D14+D15</f>
        <v>290119.338271462</v>
      </c>
      <c r="E16" s="47" t="n">
        <f aca="false">E14+E15</f>
        <v>200864.130194229</v>
      </c>
      <c r="F16" s="47" t="n">
        <f aca="false">F14+F15</f>
        <v>48591.5348945572</v>
      </c>
      <c r="G16" s="47" t="n">
        <f aca="false">G14+G15</f>
        <v>50782.7023130547</v>
      </c>
      <c r="H16" s="47" t="n">
        <f aca="false">H14+H15</f>
        <v>52765.5619990706</v>
      </c>
      <c r="I16" s="3" t="s">
        <v>329</v>
      </c>
    </row>
    <row r="18" customFormat="false" ht="15" hidden="false" customHeight="true" outlineLevel="0" collapsed="false">
      <c r="A18" s="5" t="s">
        <v>330</v>
      </c>
      <c r="C18" s="15" t="n">
        <v>341079.527633496</v>
      </c>
      <c r="D18" s="15" t="n">
        <v>360468.329813633</v>
      </c>
      <c r="E18" s="15" t="n">
        <v>378194.728030019</v>
      </c>
      <c r="F18" s="15" t="n">
        <v>395002.181224915</v>
      </c>
      <c r="G18" s="15" t="n">
        <v>411161.928135082</v>
      </c>
      <c r="H18" s="15" t="n">
        <v>426868.383248847</v>
      </c>
      <c r="I18" s="3" t="s">
        <v>331</v>
      </c>
    </row>
    <row r="19" customFormat="false" ht="15" hidden="false" customHeight="true" outlineLevel="0" collapsed="false">
      <c r="A19" s="5" t="s">
        <v>332</v>
      </c>
      <c r="C19" s="20" t="n">
        <v>792.938651402972</v>
      </c>
      <c r="D19" s="20" t="n">
        <v>832.959437268296</v>
      </c>
      <c r="E19" s="20" t="n">
        <v>869.391018038939</v>
      </c>
      <c r="F19" s="20" t="n">
        <v>896.707723054584</v>
      </c>
      <c r="G19" s="20" t="n">
        <v>921.729449489864</v>
      </c>
      <c r="H19" s="20" t="n">
        <v>945.045139018229</v>
      </c>
      <c r="I19" s="3" t="s">
        <v>333</v>
      </c>
    </row>
    <row r="20" customFormat="false" ht="15" hidden="false" customHeight="true" outlineLevel="0" collapsed="false">
      <c r="A20" s="5" t="s">
        <v>334</v>
      </c>
      <c r="C20" s="20" t="n">
        <v>267.997219654847</v>
      </c>
      <c r="D20" s="20" t="n">
        <v>275.852105122017</v>
      </c>
      <c r="E20" s="20" t="n">
        <v>279.343822843823</v>
      </c>
      <c r="F20" s="20" t="n">
        <v>284.773755656109</v>
      </c>
      <c r="G20" s="20" t="n">
        <v>287.565655221365</v>
      </c>
      <c r="H20" s="20" t="n">
        <v>290.384926350986</v>
      </c>
      <c r="I20" s="3" t="s">
        <v>335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fals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60"/>
    <col collapsed="false" customWidth="true" hidden="false" outlineLevel="0" max="2" min="2" style="1" width="11"/>
    <col collapsed="false" customWidth="true" hidden="false" outlineLevel="0" max="8" min="3" style="1" width="13"/>
    <col collapsed="false" customWidth="true" hidden="false" outlineLevel="0" max="10" min="10" style="1" width="80"/>
  </cols>
  <sheetData>
    <row r="1" customFormat="false" ht="15.75" hidden="false" customHeight="true" outlineLevel="0" collapsed="false">
      <c r="A1" s="2" t="s">
        <v>336</v>
      </c>
    </row>
    <row r="2" customFormat="false" ht="15" hidden="false" customHeight="true" outlineLevel="0" collapsed="false">
      <c r="A2" s="3" t="s">
        <v>337</v>
      </c>
    </row>
    <row r="4" customFormat="false" ht="15" hidden="false" customHeight="true" outlineLevel="0" collapsed="false">
      <c r="A4" s="13" t="s">
        <v>338</v>
      </c>
      <c r="B4" s="40"/>
      <c r="C4" s="41" t="s">
        <v>281</v>
      </c>
      <c r="D4" s="41" t="s">
        <v>282</v>
      </c>
      <c r="E4" s="41" t="s">
        <v>283</v>
      </c>
      <c r="F4" s="41" t="s">
        <v>284</v>
      </c>
      <c r="G4" s="41" t="s">
        <v>285</v>
      </c>
      <c r="H4" s="41" t="s">
        <v>286</v>
      </c>
    </row>
    <row r="5" customFormat="false" ht="15" hidden="false" customHeight="true" outlineLevel="0" collapsed="false">
      <c r="A5" s="5" t="s">
        <v>339</v>
      </c>
      <c r="C5" s="19" t="n">
        <v>2026</v>
      </c>
      <c r="D5" s="19" t="n">
        <v>2027</v>
      </c>
      <c r="E5" s="19" t="n">
        <v>2028</v>
      </c>
      <c r="F5" s="19" t="n">
        <v>2029</v>
      </c>
      <c r="G5" s="19" t="n">
        <v>2030</v>
      </c>
      <c r="H5" s="19" t="n">
        <v>2031</v>
      </c>
    </row>
    <row r="6" customFormat="false" ht="15" hidden="false" customHeight="true" outlineLevel="0" collapsed="false">
      <c r="A6" s="5" t="s">
        <v>340</v>
      </c>
      <c r="C6" s="48" t="n">
        <f aca="false">(1+Supuestos!$B$34)^(C5-2026)</f>
        <v>1</v>
      </c>
      <c r="D6" s="48" t="n">
        <f aca="false">(1+Supuestos!$B$34)^(D5-2026)</f>
        <v>1.03</v>
      </c>
      <c r="E6" s="48" t="n">
        <f aca="false">(1+Supuestos!$B$34)^(E5-2026)</f>
        <v>1.0609</v>
      </c>
      <c r="F6" s="48" t="n">
        <f aca="false">(1+Supuestos!$B$34)^(F5-2026)</f>
        <v>1.092727</v>
      </c>
      <c r="G6" s="48" t="n">
        <f aca="false">(1+Supuestos!$B$34)^(G5-2026)</f>
        <v>1.12550881</v>
      </c>
      <c r="H6" s="48" t="n">
        <f aca="false">(1+Supuestos!$B$34)^(H5-2026)</f>
        <v>1.1592740743</v>
      </c>
    </row>
    <row r="7" customFormat="false" ht="15" hidden="false" customHeight="true" outlineLevel="0" collapsed="false">
      <c r="A7" s="5" t="s">
        <v>341</v>
      </c>
      <c r="C7" s="49" t="n">
        <f aca="false">Supuestos!$B$71*Supuestos!$B$72/1000000*C6</f>
        <v>3.31819741480611</v>
      </c>
      <c r="D7" s="49" t="n">
        <f aca="false">Supuestos!$B$71*Supuestos!$B$72/1000000*D6</f>
        <v>3.41774333725029</v>
      </c>
      <c r="E7" s="49" t="n">
        <f aca="false">Supuestos!$B$71*Supuestos!$B$72/1000000*E6</f>
        <v>3.5202756373678</v>
      </c>
      <c r="F7" s="49" t="n">
        <f aca="false">Supuestos!$B$71*Supuestos!$B$72/1000000*F6</f>
        <v>3.62588390648884</v>
      </c>
      <c r="G7" s="49" t="n">
        <f aca="false">Supuestos!$B$71*Supuestos!$B$72/1000000*G6</f>
        <v>3.7346604236835</v>
      </c>
      <c r="H7" s="49" t="n">
        <f aca="false">Supuestos!$B$71*Supuestos!$B$72/1000000*H6</f>
        <v>3.84670023639401</v>
      </c>
      <c r="J7" s="3" t="s">
        <v>342</v>
      </c>
    </row>
    <row r="8" customFormat="false" ht="15" hidden="false" customHeight="true" outlineLevel="0" collapsed="false">
      <c r="A8" s="5" t="s">
        <v>343</v>
      </c>
      <c r="C8" s="26" t="n">
        <f aca="false">Supuestos!$B$75*Forecast_Base!C18+(1-Supuestos!$B$75)*Forecast_Base!C19*Forecast_Base!C20</f>
        <v>298926.537665838</v>
      </c>
      <c r="D8" s="26" t="n">
        <f aca="false">Supuestos!$B$75*Forecast_Base!D18+(1-Supuestos!$B$75)*Forecast_Base!D19*Forecast_Base!D20</f>
        <v>317620.12106889</v>
      </c>
      <c r="E8" s="26" t="n">
        <f aca="false">Supuestos!$B$75*Forecast_Base!E18+(1-Supuestos!$B$75)*Forecast_Base!E19*Forecast_Base!E20</f>
        <v>333824.968707013</v>
      </c>
      <c r="F8" s="26" t="n">
        <f aca="false">Supuestos!$B$75*Forecast_Base!F18+(1-Supuestos!$B$75)*Forecast_Base!F19*Forecast_Base!F20</f>
        <v>349220.164653651</v>
      </c>
      <c r="G8" s="26" t="n">
        <f aca="false">Supuestos!$B$75*Forecast_Base!G18+(1-Supuestos!$B$75)*Forecast_Base!G19*Forecast_Base!G20</f>
        <v>363261.727875927</v>
      </c>
      <c r="H8" s="26" t="n">
        <f aca="false">Supuestos!$B$75*Forecast_Base!H18+(1-Supuestos!$B$75)*Forecast_Base!H19*Forecast_Base!H20</f>
        <v>376890.493561756</v>
      </c>
    </row>
    <row r="9" customFormat="false" ht="15" hidden="false" customHeight="true" outlineLevel="0" collapsed="false">
      <c r="A9" s="5" t="s">
        <v>344</v>
      </c>
      <c r="C9" s="30" t="n">
        <f aca="false">Supuestos!$B$75*Supuestos!$B$76+(1-Supuestos!$B$75)*Supuestos!$B$77</f>
        <v>0.806556991774383</v>
      </c>
      <c r="D9" s="30" t="n">
        <f aca="false">Supuestos!$B$75*Supuestos!$B$76+(1-Supuestos!$B$75)*Supuestos!$B$77</f>
        <v>0.806556991774383</v>
      </c>
      <c r="E9" s="30" t="n">
        <f aca="false">Supuestos!$B$75*Supuestos!$B$76+(1-Supuestos!$B$75)*Supuestos!$B$77</f>
        <v>0.806556991774383</v>
      </c>
      <c r="F9" s="30" t="n">
        <f aca="false">Supuestos!$B$75*Supuestos!$B$76+(1-Supuestos!$B$75)*Supuestos!$B$77</f>
        <v>0.806556991774383</v>
      </c>
      <c r="G9" s="30" t="n">
        <f aca="false">Supuestos!$B$75*Supuestos!$B$76+(1-Supuestos!$B$75)*Supuestos!$B$77</f>
        <v>0.806556991774383</v>
      </c>
      <c r="H9" s="30" t="n">
        <f aca="false">Supuestos!$B$75*Supuestos!$B$76+(1-Supuestos!$B$75)*Supuestos!$B$77</f>
        <v>0.806556991774383</v>
      </c>
    </row>
    <row r="11" customFormat="false" ht="15" hidden="false" customHeight="true" outlineLevel="0" collapsed="false">
      <c r="A11" s="4" t="s">
        <v>345</v>
      </c>
      <c r="B11" s="4" t="s">
        <v>156</v>
      </c>
    </row>
    <row r="12" customFormat="false" ht="15" hidden="false" customHeight="true" outlineLevel="0" collapsed="false">
      <c r="A12" s="36" t="n">
        <f aca="false">Supuestos!$B$67+0</f>
        <v>2029</v>
      </c>
      <c r="B12" s="26" t="n">
        <f aca="false">Supuestos!$B$66*Supuestos!$B$62</f>
        <v>27075.3333333333</v>
      </c>
      <c r="J12" s="3" t="s">
        <v>346</v>
      </c>
    </row>
    <row r="13" customFormat="false" ht="15" hidden="false" customHeight="true" outlineLevel="0" collapsed="false">
      <c r="A13" s="36" t="n">
        <f aca="false">Supuestos!$B$67+1</f>
        <v>2030</v>
      </c>
      <c r="B13" s="26" t="n">
        <f aca="false">Supuestos!$B$66*Supuestos!$B$62</f>
        <v>27075.3333333333</v>
      </c>
    </row>
    <row r="14" customFormat="false" ht="15" hidden="false" customHeight="true" outlineLevel="0" collapsed="false">
      <c r="A14" s="36" t="n">
        <f aca="false">Supuestos!$B$67+2</f>
        <v>2031</v>
      </c>
      <c r="B14" s="26" t="n">
        <f aca="false">Supuestos!$B$66*Supuestos!$B$62</f>
        <v>27075.3333333333</v>
      </c>
    </row>
    <row r="15" customFormat="false" ht="15" hidden="false" customHeight="true" outlineLevel="0" collapsed="false">
      <c r="A15" s="36" t="n">
        <f aca="false">Supuestos!$B$67+3</f>
        <v>2032</v>
      </c>
      <c r="B15" s="26" t="n">
        <f aca="false">Supuestos!$B$66*Supuestos!$B$62</f>
        <v>27075.3333333333</v>
      </c>
    </row>
    <row r="16" customFormat="false" ht="15" hidden="false" customHeight="true" outlineLevel="0" collapsed="false">
      <c r="A16" s="36" t="n">
        <f aca="false">Supuestos!$B$67+4</f>
        <v>2033</v>
      </c>
      <c r="B16" s="26" t="n">
        <f aca="false">Supuestos!$B$66*Supuestos!$B$62</f>
        <v>27075.3333333333</v>
      </c>
    </row>
    <row r="18" customFormat="false" ht="15" hidden="false" customHeight="true" outlineLevel="0" collapsed="false">
      <c r="A18" s="4" t="s">
        <v>347</v>
      </c>
    </row>
    <row r="19" customFormat="false" ht="15" hidden="false" customHeight="true" outlineLevel="0" collapsed="false">
      <c r="A19" s="36" t="n">
        <f aca="false">A12</f>
        <v>2029</v>
      </c>
      <c r="C19" s="38" t="n">
        <f aca="false">IF(C$5=$A12-2,Supuestos!$B$68,IF(C$5=$A12-1,1-Supuestos!$B$68,0))*$B12*C$7</f>
        <v>0</v>
      </c>
      <c r="D19" s="38" t="n">
        <f aca="false">IF(D$5=$A12-2,Supuestos!$B$68,IF(D$5=$A12-1,1-Supuestos!$B$68,0))*$B12*D$7</f>
        <v>46268.2700519154</v>
      </c>
      <c r="E19" s="38" t="n">
        <f aca="false">IF(E$5=$A12-2,Supuestos!$B$68,IF(E$5=$A12-1,1-Supuestos!$B$68,0))*$B12*E$7</f>
        <v>47656.3181534729</v>
      </c>
      <c r="F19" s="38" t="n">
        <f aca="false">IF(F$5=$A12-2,Supuestos!$B$68,IF(F$5=$A12-1,1-Supuestos!$B$68,0))*$B12*F$7</f>
        <v>0</v>
      </c>
      <c r="G19" s="38" t="n">
        <f aca="false">IF(G$5=$A12-2,Supuestos!$B$68,IF(G$5=$A12-1,1-Supuestos!$B$68,0))*$B12*G$7</f>
        <v>0</v>
      </c>
      <c r="H19" s="38" t="n">
        <f aca="false">IF(H$5=$A12-2,Supuestos!$B$68,IF(H$5=$A12-1,1-Supuestos!$B$68,0))*$B12*H$7</f>
        <v>0</v>
      </c>
    </row>
    <row r="20" customFormat="false" ht="15" hidden="false" customHeight="true" outlineLevel="0" collapsed="false">
      <c r="A20" s="36" t="n">
        <f aca="false">A13</f>
        <v>2030</v>
      </c>
      <c r="C20" s="38" t="n">
        <f aca="false">IF(C$5=$A13-2,Supuestos!$B$68,IF(C$5=$A13-1,1-Supuestos!$B$68,0))*$B13*C$7</f>
        <v>0</v>
      </c>
      <c r="D20" s="38" t="n">
        <f aca="false">IF(D$5=$A13-2,Supuestos!$B$68,IF(D$5=$A13-1,1-Supuestos!$B$68,0))*$B13*D$7</f>
        <v>0</v>
      </c>
      <c r="E20" s="38" t="n">
        <f aca="false">IF(E$5=$A13-2,Supuestos!$B$68,IF(E$5=$A13-1,1-Supuestos!$B$68,0))*$B13*E$7</f>
        <v>47656.3181534729</v>
      </c>
      <c r="F20" s="38" t="n">
        <f aca="false">IF(F$5=$A13-2,Supuestos!$B$68,IF(F$5=$A13-1,1-Supuestos!$B$68,0))*$B13*F$7</f>
        <v>49086.007698077</v>
      </c>
      <c r="G20" s="38" t="n">
        <f aca="false">IF(G$5=$A13-2,Supuestos!$B$68,IF(G$5=$A13-1,1-Supuestos!$B$68,0))*$B13*G$7</f>
        <v>0</v>
      </c>
      <c r="H20" s="38" t="n">
        <f aca="false">IF(H$5=$A13-2,Supuestos!$B$68,IF(H$5=$A13-1,1-Supuestos!$B$68,0))*$B13*H$7</f>
        <v>0</v>
      </c>
    </row>
    <row r="21" customFormat="false" ht="15" hidden="false" customHeight="true" outlineLevel="0" collapsed="false">
      <c r="A21" s="36" t="n">
        <f aca="false">A14</f>
        <v>2031</v>
      </c>
      <c r="C21" s="38" t="n">
        <f aca="false">IF(C$5=$A14-2,Supuestos!$B$68,IF(C$5=$A14-1,1-Supuestos!$B$68,0))*$B14*C$7</f>
        <v>0</v>
      </c>
      <c r="D21" s="38" t="n">
        <f aca="false">IF(D$5=$A14-2,Supuestos!$B$68,IF(D$5=$A14-1,1-Supuestos!$B$68,0))*$B14*D$7</f>
        <v>0</v>
      </c>
      <c r="E21" s="38" t="n">
        <f aca="false">IF(E$5=$A14-2,Supuestos!$B$68,IF(E$5=$A14-1,1-Supuestos!$B$68,0))*$B14*E$7</f>
        <v>0</v>
      </c>
      <c r="F21" s="38" t="n">
        <f aca="false">IF(F$5=$A14-2,Supuestos!$B$68,IF(F$5=$A14-1,1-Supuestos!$B$68,0))*$B14*F$7</f>
        <v>49086.007698077</v>
      </c>
      <c r="G21" s="38" t="n">
        <f aca="false">IF(G$5=$A14-2,Supuestos!$B$68,IF(G$5=$A14-1,1-Supuestos!$B$68,0))*$B14*G$7</f>
        <v>50558.5879290194</v>
      </c>
      <c r="H21" s="38" t="n">
        <f aca="false">IF(H$5=$A14-2,Supuestos!$B$68,IF(H$5=$A14-1,1-Supuestos!$B$68,0))*$B14*H$7</f>
        <v>0</v>
      </c>
    </row>
    <row r="22" customFormat="false" ht="15" hidden="false" customHeight="true" outlineLevel="0" collapsed="false">
      <c r="A22" s="36" t="n">
        <f aca="false">A15</f>
        <v>2032</v>
      </c>
      <c r="C22" s="38" t="n">
        <f aca="false">IF(C$5=$A15-2,Supuestos!$B$68,IF(C$5=$A15-1,1-Supuestos!$B$68,0))*$B15*C$7</f>
        <v>0</v>
      </c>
      <c r="D22" s="38" t="n">
        <f aca="false">IF(D$5=$A15-2,Supuestos!$B$68,IF(D$5=$A15-1,1-Supuestos!$B$68,0))*$B15*D$7</f>
        <v>0</v>
      </c>
      <c r="E22" s="38" t="n">
        <f aca="false">IF(E$5=$A15-2,Supuestos!$B$68,IF(E$5=$A15-1,1-Supuestos!$B$68,0))*$B15*E$7</f>
        <v>0</v>
      </c>
      <c r="F22" s="38" t="n">
        <f aca="false">IF(F$5=$A15-2,Supuestos!$B$68,IF(F$5=$A15-1,1-Supuestos!$B$68,0))*$B15*F$7</f>
        <v>0</v>
      </c>
      <c r="G22" s="38" t="n">
        <f aca="false">IF(G$5=$A15-2,Supuestos!$B$68,IF(G$5=$A15-1,1-Supuestos!$B$68,0))*$B15*G$7</f>
        <v>50558.5879290194</v>
      </c>
      <c r="H22" s="38" t="n">
        <f aca="false">IF(H$5=$A15-2,Supuestos!$B$68,IF(H$5=$A15-1,1-Supuestos!$B$68,0))*$B15*H$7</f>
        <v>52075.3455668899</v>
      </c>
    </row>
    <row r="23" customFormat="false" ht="15" hidden="false" customHeight="true" outlineLevel="0" collapsed="false">
      <c r="A23" s="36" t="n">
        <f aca="false">A16</f>
        <v>2033</v>
      </c>
      <c r="C23" s="38" t="n">
        <f aca="false">IF(C$5=$A16-2,Supuestos!$B$68,IF(C$5=$A16-1,1-Supuestos!$B$68,0))*$B16*C$7</f>
        <v>0</v>
      </c>
      <c r="D23" s="38" t="n">
        <f aca="false">IF(D$5=$A16-2,Supuestos!$B$68,IF(D$5=$A16-1,1-Supuestos!$B$68,0))*$B16*D$7</f>
        <v>0</v>
      </c>
      <c r="E23" s="38" t="n">
        <f aca="false">IF(E$5=$A16-2,Supuestos!$B$68,IF(E$5=$A16-1,1-Supuestos!$B$68,0))*$B16*E$7</f>
        <v>0</v>
      </c>
      <c r="F23" s="38" t="n">
        <f aca="false">IF(F$5=$A16-2,Supuestos!$B$68,IF(F$5=$A16-1,1-Supuestos!$B$68,0))*$B16*F$7</f>
        <v>0</v>
      </c>
      <c r="G23" s="38" t="n">
        <f aca="false">IF(G$5=$A16-2,Supuestos!$B$68,IF(G$5=$A16-1,1-Supuestos!$B$68,0))*$B16*G$7</f>
        <v>0</v>
      </c>
      <c r="H23" s="38" t="n">
        <f aca="false">IF(H$5=$A16-2,Supuestos!$B$68,IF(H$5=$A16-1,1-Supuestos!$B$68,0))*$B16*H$7</f>
        <v>52075.3455668899</v>
      </c>
    </row>
    <row r="24" customFormat="false" ht="15" hidden="false" customHeight="true" outlineLevel="0" collapsed="false">
      <c r="A24" s="4" t="s">
        <v>348</v>
      </c>
      <c r="C24" s="47" t="n">
        <f aca="false">SUM(C19:C23)</f>
        <v>0</v>
      </c>
      <c r="D24" s="47" t="n">
        <f aca="false">SUM(D19:D23)</f>
        <v>46268.2700519154</v>
      </c>
      <c r="E24" s="47" t="n">
        <f aca="false">SUM(E19:E23)</f>
        <v>95312.6363069457</v>
      </c>
      <c r="F24" s="47" t="n">
        <f aca="false">SUM(F19:F23)</f>
        <v>98172.0153961541</v>
      </c>
      <c r="G24" s="47" t="n">
        <f aca="false">SUM(G19:G23)</f>
        <v>101117.175858039</v>
      </c>
      <c r="H24" s="47" t="n">
        <f aca="false">SUM(H19:H23)</f>
        <v>104150.69113378</v>
      </c>
    </row>
    <row r="26" customFormat="false" ht="15" hidden="false" customHeight="true" outlineLevel="0" collapsed="false">
      <c r="A26" s="4" t="s">
        <v>349</v>
      </c>
    </row>
    <row r="27" customFormat="false" ht="15" hidden="false" customHeight="true" outlineLevel="0" collapsed="false">
      <c r="A27" s="36" t="n">
        <f aca="false">A12</f>
        <v>2029</v>
      </c>
      <c r="C27" s="38" t="n">
        <f aca="false">IF(C$5&gt;=$A12,$B12*C$8/1000000*IF(C$5-$A12=0,Supuestos!$B$78,IF(C$5-$A12=1,Supuestos!$B$79,Supuestos!$B$80))*$C$39,0)</f>
        <v>0</v>
      </c>
      <c r="D27" s="38" t="n">
        <f aca="false">IF(D$5&gt;=$A12,$B12*D$8/1000000*IF(D$5-$A12=0,Supuestos!$B$78,IF(D$5-$A12=1,Supuestos!$B$79,Supuestos!$B$80))*$C$39,0)</f>
        <v>0</v>
      </c>
      <c r="E27" s="38" t="n">
        <f aca="false">IF(E$5&gt;=$A12,$B12*E$8/1000000*IF(E$5-$A12=0,Supuestos!$B$78,IF(E$5-$A12=1,Supuestos!$B$79,Supuestos!$B$80))*$C$39,0)</f>
        <v>0</v>
      </c>
      <c r="F27" s="38" t="n">
        <f aca="false">IF(F$5&gt;=$A12,$B12*F$8/1000000*IF(F$5-$A12=0,Supuestos!$B$78,IF(F$5-$A12=1,Supuestos!$B$79,Supuestos!$B$80))*$C$39,0)</f>
        <v>3309.3383276517</v>
      </c>
      <c r="G27" s="38" t="n">
        <f aca="false">IF(G$5&gt;=$A12,$B12*G$8/1000000*IF(G$5-$A12=0,Supuestos!$B$78,IF(G$5-$A12=1,Supuestos!$B$79,Supuestos!$B$80))*$C$39,0)</f>
        <v>8851.88913253502</v>
      </c>
      <c r="H27" s="38" t="n">
        <f aca="false">IF(H$5&gt;=$A12,$B12*H$8/1000000*IF(H$5-$A12=0,Supuestos!$B$78,IF(H$5-$A12=1,Supuestos!$B$79,Supuestos!$B$80))*$C$39,0)</f>
        <v>10204.4357433491</v>
      </c>
    </row>
    <row r="28" customFormat="false" ht="15" hidden="false" customHeight="true" outlineLevel="0" collapsed="false">
      <c r="A28" s="36" t="n">
        <f aca="false">A13</f>
        <v>2030</v>
      </c>
      <c r="C28" s="38" t="n">
        <f aca="false">IF(C$5&gt;=$A13,$B13*C$8/1000000*IF(C$5-$A13=0,Supuestos!$B$78,IF(C$5-$A13=1,Supuestos!$B$79,Supuestos!$B$80))*$C$39,0)</f>
        <v>0</v>
      </c>
      <c r="D28" s="38" t="n">
        <f aca="false">IF(D$5&gt;=$A13,$B13*D$8/1000000*IF(D$5-$A13=0,Supuestos!$B$78,IF(D$5-$A13=1,Supuestos!$B$79,Supuestos!$B$80))*$C$39,0)</f>
        <v>0</v>
      </c>
      <c r="E28" s="38" t="n">
        <f aca="false">IF(E$5&gt;=$A13,$B13*E$8/1000000*IF(E$5-$A13=0,Supuestos!$B$78,IF(E$5-$A13=1,Supuestos!$B$79,Supuestos!$B$80))*$C$39,0)</f>
        <v>0</v>
      </c>
      <c r="F28" s="38" t="n">
        <f aca="false">IF(F$5&gt;=$A13,$B13*F$8/1000000*IF(F$5-$A13=0,Supuestos!$B$78,IF(F$5-$A13=1,Supuestos!$B$79,Supuestos!$B$80))*$C$39,0)</f>
        <v>0</v>
      </c>
      <c r="G28" s="38" t="n">
        <f aca="false">IF(G$5&gt;=$A13,$B13*G$8/1000000*IF(G$5-$A13=0,Supuestos!$B$78,IF(G$5-$A13=1,Supuestos!$B$79,Supuestos!$B$80))*$C$39,0)</f>
        <v>3442.40132931918</v>
      </c>
      <c r="H28" s="38" t="n">
        <f aca="false">IF(H$5&gt;=$A13,$B13*H$8/1000000*IF(H$5-$A13=0,Supuestos!$B$78,IF(H$5-$A13=1,Supuestos!$B$79,Supuestos!$B$80))*$C$39,0)</f>
        <v>9183.99216901417</v>
      </c>
    </row>
    <row r="29" customFormat="false" ht="15" hidden="false" customHeight="true" outlineLevel="0" collapsed="false">
      <c r="A29" s="36" t="n">
        <f aca="false">A14</f>
        <v>2031</v>
      </c>
      <c r="C29" s="38" t="n">
        <f aca="false">IF(C$5&gt;=$A14,$B14*C$8/1000000*IF(C$5-$A14=0,Supuestos!$B$78,IF(C$5-$A14=1,Supuestos!$B$79,Supuestos!$B$80))*$C$39,0)</f>
        <v>0</v>
      </c>
      <c r="D29" s="38" t="n">
        <f aca="false">IF(D$5&gt;=$A14,$B14*D$8/1000000*IF(D$5-$A14=0,Supuestos!$B$78,IF(D$5-$A14=1,Supuestos!$B$79,Supuestos!$B$80))*$C$39,0)</f>
        <v>0</v>
      </c>
      <c r="E29" s="38" t="n">
        <f aca="false">IF(E$5&gt;=$A14,$B14*E$8/1000000*IF(E$5-$A14=0,Supuestos!$B$78,IF(E$5-$A14=1,Supuestos!$B$79,Supuestos!$B$80))*$C$39,0)</f>
        <v>0</v>
      </c>
      <c r="F29" s="38" t="n">
        <f aca="false">IF(F$5&gt;=$A14,$B14*F$8/1000000*IF(F$5-$A14=0,Supuestos!$B$78,IF(F$5-$A14=1,Supuestos!$B$79,Supuestos!$B$80))*$C$39,0)</f>
        <v>0</v>
      </c>
      <c r="G29" s="38" t="n">
        <f aca="false">IF(G$5&gt;=$A14,$B14*G$8/1000000*IF(G$5-$A14=0,Supuestos!$B$78,IF(G$5-$A14=1,Supuestos!$B$79,Supuestos!$B$80))*$C$39,0)</f>
        <v>0</v>
      </c>
      <c r="H29" s="38" t="n">
        <f aca="false">IF(H$5&gt;=$A14,$B14*H$8/1000000*IF(H$5-$A14=0,Supuestos!$B$78,IF(H$5-$A14=1,Supuestos!$B$79,Supuestos!$B$80))*$C$39,0)</f>
        <v>3571.55251017218</v>
      </c>
    </row>
    <row r="30" customFormat="false" ht="15" hidden="false" customHeight="true" outlineLevel="0" collapsed="false">
      <c r="A30" s="36" t="n">
        <f aca="false">A15</f>
        <v>2032</v>
      </c>
      <c r="C30" s="38" t="n">
        <f aca="false">IF(C$5&gt;=$A15,$B15*C$8/1000000*IF(C$5-$A15=0,Supuestos!$B$78,IF(C$5-$A15=1,Supuestos!$B$79,Supuestos!$B$80))*$C$39,0)</f>
        <v>0</v>
      </c>
      <c r="D30" s="38" t="n">
        <f aca="false">IF(D$5&gt;=$A15,$B15*D$8/1000000*IF(D$5-$A15=0,Supuestos!$B$78,IF(D$5-$A15=1,Supuestos!$B$79,Supuestos!$B$80))*$C$39,0)</f>
        <v>0</v>
      </c>
      <c r="E30" s="38" t="n">
        <f aca="false">IF(E$5&gt;=$A15,$B15*E$8/1000000*IF(E$5-$A15=0,Supuestos!$B$78,IF(E$5-$A15=1,Supuestos!$B$79,Supuestos!$B$80))*$C$39,0)</f>
        <v>0</v>
      </c>
      <c r="F30" s="38" t="n">
        <f aca="false">IF(F$5&gt;=$A15,$B15*F$8/1000000*IF(F$5-$A15=0,Supuestos!$B$78,IF(F$5-$A15=1,Supuestos!$B$79,Supuestos!$B$80))*$C$39,0)</f>
        <v>0</v>
      </c>
      <c r="G30" s="38" t="n">
        <f aca="false">IF(G$5&gt;=$A15,$B15*G$8/1000000*IF(G$5-$A15=0,Supuestos!$B$78,IF(G$5-$A15=1,Supuestos!$B$79,Supuestos!$B$80))*$C$39,0)</f>
        <v>0</v>
      </c>
      <c r="H30" s="38" t="n">
        <f aca="false">IF(H$5&gt;=$A15,$B15*H$8/1000000*IF(H$5-$A15=0,Supuestos!$B$78,IF(H$5-$A15=1,Supuestos!$B$79,Supuestos!$B$80))*$C$39,0)</f>
        <v>0</v>
      </c>
    </row>
    <row r="31" customFormat="false" ht="15" hidden="false" customHeight="true" outlineLevel="0" collapsed="false">
      <c r="A31" s="36" t="n">
        <f aca="false">A16</f>
        <v>2033</v>
      </c>
      <c r="C31" s="38" t="n">
        <f aca="false">IF(C$5&gt;=$A16,$B16*C$8/1000000*IF(C$5-$A16=0,Supuestos!$B$78,IF(C$5-$A16=1,Supuestos!$B$79,Supuestos!$B$80))*$C$39,0)</f>
        <v>0</v>
      </c>
      <c r="D31" s="38" t="n">
        <f aca="false">IF(D$5&gt;=$A16,$B16*D$8/1000000*IF(D$5-$A16=0,Supuestos!$B$78,IF(D$5-$A16=1,Supuestos!$B$79,Supuestos!$B$80))*$C$39,0)</f>
        <v>0</v>
      </c>
      <c r="E31" s="38" t="n">
        <f aca="false">IF(E$5&gt;=$A16,$B16*E$8/1000000*IF(E$5-$A16=0,Supuestos!$B$78,IF(E$5-$A16=1,Supuestos!$B$79,Supuestos!$B$80))*$C$39,0)</f>
        <v>0</v>
      </c>
      <c r="F31" s="38" t="n">
        <f aca="false">IF(F$5&gt;=$A16,$B16*F$8/1000000*IF(F$5-$A16=0,Supuestos!$B$78,IF(F$5-$A16=1,Supuestos!$B$79,Supuestos!$B$80))*$C$39,0)</f>
        <v>0</v>
      </c>
      <c r="G31" s="38" t="n">
        <f aca="false">IF(G$5&gt;=$A16,$B16*G$8/1000000*IF(G$5-$A16=0,Supuestos!$B$78,IF(G$5-$A16=1,Supuestos!$B$79,Supuestos!$B$80))*$C$39,0)</f>
        <v>0</v>
      </c>
      <c r="H31" s="38" t="n">
        <f aca="false">IF(H$5&gt;=$A16,$B16*H$8/1000000*IF(H$5-$A16=0,Supuestos!$B$78,IF(H$5-$A16=1,Supuestos!$B$79,Supuestos!$B$80))*$C$39,0)</f>
        <v>0</v>
      </c>
    </row>
    <row r="32" customFormat="false" ht="15" hidden="false" customHeight="true" outlineLevel="0" collapsed="false">
      <c r="A32" s="4" t="s">
        <v>348</v>
      </c>
      <c r="C32" s="47" t="n">
        <f aca="false">SUM(C27:C31)</f>
        <v>0</v>
      </c>
      <c r="D32" s="47" t="n">
        <f aca="false">SUM(D27:D31)</f>
        <v>0</v>
      </c>
      <c r="E32" s="47" t="n">
        <f aca="false">SUM(E27:E31)</f>
        <v>0</v>
      </c>
      <c r="F32" s="47" t="n">
        <f aca="false">SUM(F27:F31)</f>
        <v>3309.3383276517</v>
      </c>
      <c r="G32" s="47" t="n">
        <f aca="false">SUM(G27:G31)</f>
        <v>12294.2904618542</v>
      </c>
      <c r="H32" s="47" t="n">
        <f aca="false">SUM(H27:H31)</f>
        <v>22959.9804225354</v>
      </c>
    </row>
    <row r="33" customFormat="false" ht="15" hidden="false" customHeight="true" outlineLevel="0" collapsed="false">
      <c r="A33" s="4" t="s">
        <v>350</v>
      </c>
      <c r="C33" s="47" t="n">
        <f aca="false">C32*C9</f>
        <v>0</v>
      </c>
      <c r="D33" s="47" t="n">
        <f aca="false">D32*D9</f>
        <v>0</v>
      </c>
      <c r="E33" s="47" t="n">
        <f aca="false">E32*E9</f>
        <v>0</v>
      </c>
      <c r="F33" s="47" t="n">
        <f aca="false">F32*F9</f>
        <v>2669.16996631443</v>
      </c>
      <c r="G33" s="47" t="n">
        <f aca="false">G32*G9</f>
        <v>9916.04593091361</v>
      </c>
      <c r="H33" s="47" t="n">
        <f aca="false">H32*H9</f>
        <v>18518.5327407989</v>
      </c>
    </row>
    <row r="35" customFormat="false" ht="15" hidden="false" customHeight="true" outlineLevel="0" collapsed="false">
      <c r="A35" s="4" t="s">
        <v>351</v>
      </c>
    </row>
    <row r="36" customFormat="false" ht="15" hidden="false" customHeight="true" outlineLevel="0" collapsed="false">
      <c r="A36" s="5" t="s">
        <v>352</v>
      </c>
      <c r="C36" s="30" t="n">
        <f aca="false">C8*C9/(C7*1000000)</f>
        <v>0.0726603209035945</v>
      </c>
      <c r="J36" s="3" t="s">
        <v>353</v>
      </c>
    </row>
    <row r="37" customFormat="false" ht="15" hidden="false" customHeight="true" outlineLevel="0" collapsed="false">
      <c r="A37" s="5" t="s">
        <v>354</v>
      </c>
      <c r="C37" s="30" t="n">
        <f aca="false">IF(Supuestos!$B$81="",C36,Supuestos!$B$81)</f>
        <v>0.0726603209035945</v>
      </c>
    </row>
    <row r="38" customFormat="false" ht="15" hidden="false" customHeight="true" outlineLevel="0" collapsed="false">
      <c r="A38" s="4" t="s">
        <v>355</v>
      </c>
      <c r="C38" s="39" t="n">
        <f aca="false">C37*(1-Supuestos!$B$59)</f>
        <v>0.053042034259624</v>
      </c>
      <c r="J38" s="3" t="s">
        <v>356</v>
      </c>
    </row>
    <row r="39" customFormat="false" ht="15" hidden="false" customHeight="true" outlineLevel="0" collapsed="false">
      <c r="A39" s="5" t="s">
        <v>357</v>
      </c>
      <c r="C39" s="35" t="n">
        <f aca="false">C37/C36</f>
        <v>1</v>
      </c>
      <c r="J39" s="3" t="s">
        <v>358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75"/>
    <col collapsed="false" customWidth="true" hidden="false" outlineLevel="0" max="2" min="2" style="1" width="2"/>
    <col collapsed="false" customWidth="true" hidden="false" outlineLevel="0" max="6" min="3" style="1" width="12"/>
    <col collapsed="false" customWidth="true" hidden="false" outlineLevel="0" max="7" min="7" style="1" width="90"/>
  </cols>
  <sheetData>
    <row r="1" customFormat="false" ht="15.75" hidden="false" customHeight="true" outlineLevel="0" collapsed="false">
      <c r="A1" s="2" t="s">
        <v>359</v>
      </c>
    </row>
    <row r="4" customFormat="false" ht="15" hidden="false" customHeight="true" outlineLevel="0" collapsed="false">
      <c r="A4" s="4" t="s">
        <v>360</v>
      </c>
    </row>
    <row r="5" customFormat="false" ht="15" hidden="false" customHeight="true" outlineLevel="0" collapsed="false">
      <c r="A5" s="13" t="s">
        <v>361</v>
      </c>
      <c r="C5" s="13" t="s">
        <v>362</v>
      </c>
      <c r="D5" s="13" t="s">
        <v>363</v>
      </c>
      <c r="E5" s="13" t="s">
        <v>364</v>
      </c>
      <c r="F5" s="13" t="s">
        <v>365</v>
      </c>
      <c r="G5" s="13" t="s">
        <v>366</v>
      </c>
    </row>
    <row r="6" customFormat="false" ht="15" hidden="false" customHeight="true" outlineLevel="0" collapsed="false">
      <c r="A6" s="5" t="s">
        <v>367</v>
      </c>
      <c r="C6" s="16" t="n">
        <v>109044.234</v>
      </c>
      <c r="D6" s="16" t="n">
        <v>111058.299</v>
      </c>
      <c r="E6" s="16" t="n">
        <v>122369.806</v>
      </c>
      <c r="F6" s="16" t="n">
        <v>96333.76</v>
      </c>
      <c r="G6" s="3" t="s">
        <v>368</v>
      </c>
    </row>
    <row r="7" customFormat="false" ht="15" hidden="false" customHeight="true" outlineLevel="0" collapsed="false">
      <c r="A7" s="5" t="s">
        <v>369</v>
      </c>
      <c r="C7" s="16" t="n">
        <v>45909.292</v>
      </c>
      <c r="D7" s="16" t="n">
        <v>19565.384</v>
      </c>
      <c r="E7" s="16" t="n">
        <v>13695.594</v>
      </c>
      <c r="F7" s="16" t="n">
        <v>9043.354</v>
      </c>
      <c r="G7" s="3" t="s">
        <v>370</v>
      </c>
    </row>
    <row r="8" customFormat="false" ht="15" hidden="false" customHeight="true" outlineLevel="0" collapsed="false">
      <c r="A8" s="5" t="s">
        <v>371</v>
      </c>
      <c r="C8" s="16" t="n">
        <v>115756.871</v>
      </c>
      <c r="D8" s="16" t="n">
        <v>95843.191</v>
      </c>
      <c r="E8" s="16" t="n">
        <v>122277.679</v>
      </c>
      <c r="F8" s="16" t="n">
        <v>169311.262</v>
      </c>
      <c r="G8" s="3" t="s">
        <v>372</v>
      </c>
    </row>
    <row r="9" customFormat="false" ht="15" hidden="false" customHeight="true" outlineLevel="0" collapsed="false">
      <c r="A9" s="5" t="s">
        <v>373</v>
      </c>
      <c r="C9" s="16" t="n">
        <v>59262</v>
      </c>
      <c r="D9" s="16" t="n">
        <v>71491.5</v>
      </c>
      <c r="E9" s="16" t="n">
        <v>110793.6</v>
      </c>
      <c r="F9" s="38"/>
      <c r="G9" s="3" t="s">
        <v>374</v>
      </c>
    </row>
    <row r="10" customFormat="false" ht="15" hidden="false" customHeight="true" outlineLevel="0" collapsed="false">
      <c r="A10" s="5" t="s">
        <v>375</v>
      </c>
      <c r="C10" s="38" t="n">
        <f aca="false">C8-C9</f>
        <v>56494.871</v>
      </c>
      <c r="D10" s="38" t="n">
        <f aca="false">D8-D9</f>
        <v>24351.691</v>
      </c>
      <c r="E10" s="38" t="n">
        <f aca="false">E8-E9</f>
        <v>11484.079</v>
      </c>
      <c r="F10" s="38"/>
      <c r="G10" s="3"/>
    </row>
    <row r="11" customFormat="false" ht="15" hidden="false" customHeight="true" outlineLevel="0" collapsed="false">
      <c r="A11" s="5" t="s">
        <v>376</v>
      </c>
      <c r="C11" s="16" t="n">
        <v>34486.698</v>
      </c>
      <c r="D11" s="16" t="n">
        <v>2641.613</v>
      </c>
      <c r="E11" s="16" t="n">
        <v>2296.174</v>
      </c>
      <c r="F11" s="16" t="n">
        <v>2306.468</v>
      </c>
      <c r="G11" s="3"/>
    </row>
    <row r="12" customFormat="false" ht="15" hidden="false" customHeight="true" outlineLevel="0" collapsed="false">
      <c r="A12" s="5" t="s">
        <v>377</v>
      </c>
      <c r="C12" s="16" t="n">
        <v>10367.061</v>
      </c>
      <c r="D12" s="16" t="n">
        <v>23176.757</v>
      </c>
      <c r="E12" s="16" t="n">
        <v>20246.646</v>
      </c>
      <c r="F12" s="16" t="n">
        <v>14591.09</v>
      </c>
      <c r="G12" s="3" t="s">
        <v>378</v>
      </c>
    </row>
    <row r="13" customFormat="false" ht="15" hidden="false" customHeight="true" outlineLevel="0" collapsed="false">
      <c r="A13" s="5" t="s">
        <v>379</v>
      </c>
      <c r="C13" s="16" t="n">
        <v>419904</v>
      </c>
      <c r="D13" s="16" t="n">
        <v>494605</v>
      </c>
      <c r="E13" s="16" t="n">
        <v>653911</v>
      </c>
      <c r="F13" s="38"/>
      <c r="G13" s="3" t="s">
        <v>380</v>
      </c>
    </row>
    <row r="14" customFormat="false" ht="15" hidden="false" customHeight="true" outlineLevel="0" collapsed="false">
      <c r="A14" s="3" t="s">
        <v>381</v>
      </c>
    </row>
    <row r="16" customFormat="false" ht="15" hidden="false" customHeight="true" outlineLevel="0" collapsed="false">
      <c r="A16" s="4" t="s">
        <v>382</v>
      </c>
    </row>
    <row r="17" customFormat="false" ht="15" hidden="false" customHeight="true" outlineLevel="0" collapsed="false">
      <c r="A17" s="4" t="s">
        <v>383</v>
      </c>
      <c r="C17" s="47" t="n">
        <f aca="false">C6+C7-C10-C11-C12</f>
        <v>53604.896</v>
      </c>
      <c r="D17" s="47" t="n">
        <f aca="false">D6+D7-D10-D11-D12</f>
        <v>80453.622</v>
      </c>
      <c r="E17" s="47" t="n">
        <f aca="false">E6+E7-E10-E11-E12</f>
        <v>102038.501</v>
      </c>
    </row>
    <row r="18" customFormat="false" ht="15" hidden="false" customHeight="true" outlineLevel="0" collapsed="false">
      <c r="A18" s="5" t="s">
        <v>384</v>
      </c>
      <c r="C18" s="30" t="n">
        <f aca="false">C17/C13</f>
        <v>0.127659884163999</v>
      </c>
      <c r="D18" s="30" t="n">
        <f aca="false">D17/D13</f>
        <v>0.162662370982906</v>
      </c>
      <c r="E18" s="30" t="n">
        <f aca="false">E17/E13</f>
        <v>0.156043408047884</v>
      </c>
    </row>
    <row r="19" customFormat="false" ht="15" hidden="false" customHeight="true" outlineLevel="0" collapsed="false">
      <c r="A19" s="5" t="s">
        <v>385</v>
      </c>
      <c r="E19" s="30" t="n">
        <f aca="false">(E17-C17)/(E13-C13)</f>
        <v>0.206975026388099</v>
      </c>
      <c r="G19" s="3" t="s">
        <v>386</v>
      </c>
    </row>
    <row r="20" customFormat="false" ht="15" hidden="false" customHeight="true" outlineLevel="0" collapsed="false">
      <c r="A20" s="4" t="s">
        <v>387</v>
      </c>
      <c r="F20" s="39" t="n">
        <f aca="false">E18</f>
        <v>0.156043408047884</v>
      </c>
      <c r="G20" s="3" t="s">
        <v>388</v>
      </c>
    </row>
    <row r="22" customFormat="false" ht="15" hidden="false" customHeight="true" outlineLevel="0" collapsed="false">
      <c r="A22" s="4" t="s">
        <v>389</v>
      </c>
    </row>
    <row r="23" customFormat="false" ht="15" hidden="false" customHeight="true" outlineLevel="0" collapsed="false">
      <c r="A23" s="5" t="s">
        <v>390</v>
      </c>
    </row>
    <row r="24" customFormat="false" ht="15" hidden="false" customHeight="true" outlineLevel="0" collapsed="false">
      <c r="A24" s="5" t="s">
        <v>391</v>
      </c>
    </row>
    <row r="25" customFormat="false" ht="15" hidden="false" customHeight="true" outlineLevel="0" collapsed="false">
      <c r="A25" s="5" t="s">
        <v>392</v>
      </c>
    </row>
    <row r="26" customFormat="false" ht="15" hidden="false" customHeight="true" outlineLevel="0" collapsed="false">
      <c r="A26" s="5" t="s">
        <v>393</v>
      </c>
    </row>
    <row r="27" customFormat="false" ht="15" hidden="false" customHeight="true" outlineLevel="0" collapsed="false">
      <c r="A27" s="5" t="s">
        <v>394</v>
      </c>
    </row>
    <row r="29" customFormat="false" ht="15" hidden="false" customHeight="true" outlineLevel="0" collapsed="false">
      <c r="A29" s="4" t="s">
        <v>395</v>
      </c>
    </row>
    <row r="30" customFormat="false" ht="15" hidden="false" customHeight="true" outlineLevel="0" collapsed="false">
      <c r="C30" s="13" t="s">
        <v>396</v>
      </c>
      <c r="D30" s="13" t="s">
        <v>397</v>
      </c>
      <c r="E30" s="13" t="s">
        <v>398</v>
      </c>
    </row>
    <row r="31" customFormat="false" ht="15" hidden="false" customHeight="true" outlineLevel="0" collapsed="false">
      <c r="A31" s="5" t="s">
        <v>399</v>
      </c>
      <c r="C31" s="16" t="n">
        <v>380637</v>
      </c>
      <c r="D31" s="16" t="n">
        <v>526228</v>
      </c>
      <c r="E31" s="16" t="n">
        <v>270574</v>
      </c>
    </row>
    <row r="32" customFormat="false" ht="15" hidden="false" customHeight="true" outlineLevel="0" collapsed="false">
      <c r="A32" s="5" t="s">
        <v>400</v>
      </c>
      <c r="C32" s="16" t="n">
        <v>300822</v>
      </c>
      <c r="D32" s="16" t="n">
        <v>441135</v>
      </c>
      <c r="E32" s="16" t="n">
        <v>258193</v>
      </c>
    </row>
    <row r="33" customFormat="false" ht="15" hidden="false" customHeight="true" outlineLevel="0" collapsed="false">
      <c r="A33" s="5" t="s">
        <v>401</v>
      </c>
      <c r="C33" s="38" t="n">
        <f aca="false">C31-C32</f>
        <v>79815</v>
      </c>
      <c r="D33" s="38" t="n">
        <f aca="false">D31-D32</f>
        <v>85093</v>
      </c>
      <c r="E33" s="38" t="n">
        <f aca="false">E31-E32</f>
        <v>12381</v>
      </c>
      <c r="G33" s="3" t="s">
        <v>402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C15" activeCellId="0" sqref="C15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64"/>
    <col collapsed="false" customWidth="true" hidden="false" outlineLevel="0" max="9" min="3" style="1" width="14"/>
    <col collapsed="false" customWidth="true" hidden="false" outlineLevel="0" max="10" min="10" style="1" width="80"/>
  </cols>
  <sheetData>
    <row r="1" customFormat="false" ht="15.75" hidden="false" customHeight="true" outlineLevel="0" collapsed="false">
      <c r="A1" s="2" t="s">
        <v>403</v>
      </c>
    </row>
    <row r="2" customFormat="false" ht="15" hidden="false" customHeight="true" outlineLevel="0" collapsed="false">
      <c r="A2" s="3" t="s">
        <v>404</v>
      </c>
    </row>
    <row r="4" customFormat="false" ht="15" hidden="false" customHeight="true" outlineLevel="0" collapsed="false">
      <c r="A4" s="13" t="s">
        <v>49</v>
      </c>
      <c r="B4" s="40"/>
      <c r="C4" s="41" t="s">
        <v>281</v>
      </c>
      <c r="D4" s="41" t="s">
        <v>282</v>
      </c>
      <c r="E4" s="41" t="s">
        <v>283</v>
      </c>
      <c r="F4" s="41" t="s">
        <v>284</v>
      </c>
      <c r="G4" s="41" t="s">
        <v>285</v>
      </c>
      <c r="H4" s="41" t="s">
        <v>286</v>
      </c>
      <c r="I4" s="41" t="s">
        <v>405</v>
      </c>
    </row>
    <row r="5" customFormat="false" ht="15" hidden="false" customHeight="true" outlineLevel="0" collapsed="false">
      <c r="A5" s="5" t="s">
        <v>406</v>
      </c>
      <c r="C5" s="50" t="n">
        <f aca="false">Forecast_Base!C6</f>
        <v>364468.935029744</v>
      </c>
      <c r="D5" s="50" t="n">
        <f aca="false">Forecast_Base!D6</f>
        <v>767179.42311749</v>
      </c>
      <c r="E5" s="50" t="n">
        <f aca="false">Forecast_Base!E6</f>
        <v>826661.821713252</v>
      </c>
      <c r="F5" s="50" t="n">
        <f aca="false">Forecast_Base!F6</f>
        <v>883482.452628312</v>
      </c>
      <c r="G5" s="50" t="n">
        <f aca="false">Forecast_Base!G6</f>
        <v>923321.860237358</v>
      </c>
      <c r="H5" s="50" t="n">
        <f aca="false">Forecast_Base!H6</f>
        <v>959373.854528556</v>
      </c>
    </row>
    <row r="6" customFormat="false" ht="15" hidden="false" customHeight="true" outlineLevel="0" collapsed="false">
      <c r="A6" s="5" t="s">
        <v>407</v>
      </c>
      <c r="C6" s="50" t="n">
        <f aca="false">Expansion!C32</f>
        <v>0</v>
      </c>
      <c r="D6" s="50" t="n">
        <f aca="false">Expansion!D32</f>
        <v>0</v>
      </c>
      <c r="E6" s="50" t="n">
        <f aca="false">Expansion!E32</f>
        <v>0</v>
      </c>
      <c r="F6" s="50" t="n">
        <f aca="false">Expansion!F32</f>
        <v>3309.3383276517</v>
      </c>
      <c r="G6" s="50" t="n">
        <f aca="false">Expansion!G32</f>
        <v>12294.2904618542</v>
      </c>
      <c r="H6" s="50" t="n">
        <f aca="false">Expansion!H32</f>
        <v>22959.9804225354</v>
      </c>
    </row>
    <row r="7" customFormat="false" ht="15" hidden="false" customHeight="true" outlineLevel="0" collapsed="false">
      <c r="A7" s="4" t="s">
        <v>408</v>
      </c>
      <c r="C7" s="47" t="n">
        <f aca="false">C5+C6</f>
        <v>364468.935029744</v>
      </c>
      <c r="D7" s="47" t="n">
        <f aca="false">D5+D6</f>
        <v>767179.42311749</v>
      </c>
      <c r="E7" s="47" t="n">
        <f aca="false">E5+E6</f>
        <v>826661.821713252</v>
      </c>
      <c r="F7" s="47" t="n">
        <f aca="false">F5+F6</f>
        <v>886791.790955964</v>
      </c>
      <c r="G7" s="47" t="n">
        <f aca="false">G5+G6</f>
        <v>935616.150699212</v>
      </c>
      <c r="H7" s="47" t="n">
        <f aca="false">H5+H6</f>
        <v>982333.834951091</v>
      </c>
      <c r="I7" s="47" t="n">
        <f aca="false">C34*(1+Supuestos!$B$88)</f>
        <v>1030197.34542701</v>
      </c>
    </row>
    <row r="8" customFormat="false" ht="15" hidden="false" customHeight="true" outlineLevel="0" collapsed="false">
      <c r="A8" s="5" t="s">
        <v>409</v>
      </c>
      <c r="C8" s="30" t="n">
        <f aca="false">(Forecast_Base!C5+C6)/Supuestos!$B$56-1</f>
        <v>0.0765974804365488</v>
      </c>
      <c r="D8" s="30" t="n">
        <f aca="false">D7/Forecast_Base!C5-1</f>
        <v>0.0897451472495148</v>
      </c>
      <c r="E8" s="30" t="n">
        <f aca="false">E7/D7-1</f>
        <v>0.0775338816492899</v>
      </c>
      <c r="F8" s="30" t="n">
        <f aca="false">F7/E7-1</f>
        <v>0.0727382923262294</v>
      </c>
      <c r="G8" s="30" t="n">
        <f aca="false">G7/F7-1</f>
        <v>0.0550572978247978</v>
      </c>
      <c r="H8" s="30" t="n">
        <f aca="false">H7/G7-1</f>
        <v>0.0499325329270619</v>
      </c>
    </row>
    <row r="9" customFormat="false" ht="15" hidden="false" customHeight="true" outlineLevel="0" collapsed="false">
      <c r="A9" s="5" t="s">
        <v>410</v>
      </c>
      <c r="C9" s="50" t="n">
        <f aca="false">Forecast_Base!C8</f>
        <v>290741.405027496</v>
      </c>
      <c r="D9" s="50" t="n">
        <f aca="false">Forecast_Base!D8</f>
        <v>611360.360246719</v>
      </c>
      <c r="E9" s="50" t="n">
        <f aca="false">Forecast_Base!E8</f>
        <v>659160.320942588</v>
      </c>
      <c r="F9" s="50" t="n">
        <f aca="false">Forecast_Base!F8</f>
        <v>704684.515696292</v>
      </c>
      <c r="G9" s="50" t="n">
        <f aca="false">Forecast_Base!G8</f>
        <v>736419.595622249</v>
      </c>
      <c r="H9" s="50" t="n">
        <f aca="false">Forecast_Base!H8</f>
        <v>765088.08305899</v>
      </c>
    </row>
    <row r="10" customFormat="false" ht="15" hidden="false" customHeight="true" outlineLevel="0" collapsed="false">
      <c r="A10" s="5" t="s">
        <v>411</v>
      </c>
      <c r="C10" s="50" t="n">
        <f aca="false">Expansion!C33</f>
        <v>0</v>
      </c>
      <c r="D10" s="50" t="n">
        <f aca="false">Expansion!D33</f>
        <v>0</v>
      </c>
      <c r="E10" s="50" t="n">
        <f aca="false">Expansion!E33</f>
        <v>0</v>
      </c>
      <c r="F10" s="50" t="n">
        <f aca="false">Expansion!F33</f>
        <v>2669.16996631443</v>
      </c>
      <c r="G10" s="50" t="n">
        <f aca="false">Expansion!G33</f>
        <v>9916.04593091361</v>
      </c>
      <c r="H10" s="50" t="n">
        <f aca="false">Expansion!H33</f>
        <v>18518.5327407989</v>
      </c>
    </row>
    <row r="11" customFormat="false" ht="15" hidden="false" customHeight="true" outlineLevel="0" collapsed="false">
      <c r="A11" s="4" t="s">
        <v>412</v>
      </c>
      <c r="C11" s="47" t="n">
        <f aca="false">C9+C10</f>
        <v>290741.405027496</v>
      </c>
      <c r="D11" s="47" t="n">
        <f aca="false">D9+D10</f>
        <v>611360.360246719</v>
      </c>
      <c r="E11" s="47" t="n">
        <f aca="false">E9+E10</f>
        <v>659160.320942588</v>
      </c>
      <c r="F11" s="47" t="n">
        <f aca="false">F9+F10</f>
        <v>707353.685662607</v>
      </c>
      <c r="G11" s="47" t="n">
        <f aca="false">G9+G10</f>
        <v>746335.641553163</v>
      </c>
      <c r="H11" s="47" t="n">
        <f aca="false">H9+H10</f>
        <v>783606.615799789</v>
      </c>
      <c r="I11" s="47" t="n">
        <f aca="false">C35*(1+Supuestos!$B$88)</f>
        <v>821950.216613911</v>
      </c>
    </row>
    <row r="12" customFormat="false" ht="15" hidden="false" customHeight="true" outlineLevel="0" collapsed="false">
      <c r="A12" s="5" t="s">
        <v>316</v>
      </c>
      <c r="C12" s="30" t="n">
        <f aca="false">C11/C7</f>
        <v>0.797712444282169</v>
      </c>
      <c r="D12" s="30" t="n">
        <f aca="false">D11/D7</f>
        <v>0.796893584244493</v>
      </c>
      <c r="E12" s="30" t="n">
        <f aca="false">E11/E7</f>
        <v>0.797376029264884</v>
      </c>
      <c r="F12" s="30" t="n">
        <f aca="false">F11/F7</f>
        <v>0.797654751517352</v>
      </c>
      <c r="G12" s="30" t="n">
        <f aca="false">G11/G7</f>
        <v>0.797694269167334</v>
      </c>
      <c r="H12" s="30" t="n">
        <f aca="false">H11/H7</f>
        <v>0.79769889615866</v>
      </c>
      <c r="I12" s="30" t="n">
        <f aca="false">I11/I7</f>
        <v>0.797857051624626</v>
      </c>
    </row>
    <row r="13" customFormat="false" ht="15" hidden="false" customHeight="true" outlineLevel="0" collapsed="false">
      <c r="A13" s="5" t="s">
        <v>413</v>
      </c>
      <c r="C13" s="38" t="n">
        <f aca="false">Supuestos!$B$57*C7</f>
        <v>2564.55679016342</v>
      </c>
      <c r="D13" s="38" t="n">
        <f aca="false">Supuestos!$B$57*D7</f>
        <v>5398.19723913933</v>
      </c>
      <c r="E13" s="38" t="n">
        <f aca="false">Supuestos!$B$57*E7</f>
        <v>5816.74042499828</v>
      </c>
      <c r="F13" s="38" t="n">
        <f aca="false">Supuestos!$B$57*F7</f>
        <v>6239.8401904176</v>
      </c>
      <c r="G13" s="38" t="n">
        <f aca="false">Supuestos!$B$57*G7</f>
        <v>6583.38893016056</v>
      </c>
      <c r="H13" s="38" t="n">
        <f aca="false">Supuestos!$B$57*H7</f>
        <v>6912.11421468746</v>
      </c>
      <c r="I13" s="38" t="n">
        <f aca="false">Supuestos!$B$57*I7</f>
        <v>7248.90201467393</v>
      </c>
    </row>
    <row r="14" customFormat="false" ht="15" hidden="false" customHeight="true" outlineLevel="0" collapsed="false">
      <c r="A14" s="5" t="s">
        <v>414</v>
      </c>
      <c r="C14" s="38" t="n">
        <f aca="false">C11-C13</f>
        <v>288176.848237333</v>
      </c>
      <c r="D14" s="38" t="n">
        <f aca="false">D11-D13</f>
        <v>605962.16300758</v>
      </c>
      <c r="E14" s="38" t="n">
        <f aca="false">E11-E13</f>
        <v>653343.58051759</v>
      </c>
      <c r="F14" s="38" t="n">
        <f aca="false">F11-F13</f>
        <v>701113.845472189</v>
      </c>
      <c r="G14" s="38" t="n">
        <f aca="false">G11-G13</f>
        <v>739752.252623002</v>
      </c>
      <c r="H14" s="38" t="n">
        <f aca="false">H11-H13</f>
        <v>776694.501585101</v>
      </c>
      <c r="I14" s="38" t="n">
        <f aca="false">I11-I13</f>
        <v>814701.314599238</v>
      </c>
    </row>
    <row r="15" customFormat="false" ht="15" hidden="false" customHeight="true" outlineLevel="0" collapsed="false">
      <c r="A15" s="5" t="s">
        <v>415</v>
      </c>
      <c r="C15" s="8" t="n">
        <f aca="false">Forecast_Base!C11</f>
        <v>0.168</v>
      </c>
      <c r="D15" s="8" t="n">
        <f aca="false">Forecast_Base!D11</f>
        <v>0.19</v>
      </c>
      <c r="E15" s="8" t="n">
        <f aca="false">Forecast_Base!E11</f>
        <v>0.215</v>
      </c>
      <c r="F15" s="8" t="n">
        <f aca="false">Forecast_Base!F11</f>
        <v>0.24</v>
      </c>
      <c r="G15" s="8" t="n">
        <f aca="false">Forecast_Base!G11</f>
        <v>0.27</v>
      </c>
      <c r="H15" s="8" t="n">
        <f aca="false">Forecast_Base!H11</f>
        <v>0.27</v>
      </c>
      <c r="I15" s="8" t="n">
        <f aca="false">Supuestos!$B$59</f>
        <v>0.27</v>
      </c>
    </row>
    <row r="16" customFormat="false" ht="15" hidden="false" customHeight="true" outlineLevel="0" collapsed="false">
      <c r="A16" s="5" t="s">
        <v>416</v>
      </c>
      <c r="C16" s="38" t="n">
        <f aca="false">-C14*C15</f>
        <v>-48413.7105038719</v>
      </c>
      <c r="D16" s="38" t="n">
        <f aca="false">-D14*D15</f>
        <v>-115132.81097144</v>
      </c>
      <c r="E16" s="38" t="n">
        <f aca="false">-E14*E15</f>
        <v>-140468.869811282</v>
      </c>
      <c r="F16" s="38" t="n">
        <f aca="false">-F14*F15</f>
        <v>-168267.322913325</v>
      </c>
      <c r="G16" s="38" t="n">
        <f aca="false">-G14*G15</f>
        <v>-199733.108208211</v>
      </c>
      <c r="H16" s="38" t="n">
        <f aca="false">-H14*H15</f>
        <v>-209707.515427977</v>
      </c>
      <c r="I16" s="38" t="n">
        <f aca="false">-I14*I15</f>
        <v>-219969.354941794</v>
      </c>
    </row>
    <row r="17" customFormat="false" ht="15" hidden="false" customHeight="true" outlineLevel="0" collapsed="false">
      <c r="A17" s="4" t="s">
        <v>417</v>
      </c>
      <c r="C17" s="47" t="n">
        <f aca="false">C14+C16</f>
        <v>239763.137733461</v>
      </c>
      <c r="D17" s="47" t="n">
        <f aca="false">D14+D16</f>
        <v>490829.352036139</v>
      </c>
      <c r="E17" s="47" t="n">
        <f aca="false">E14+E16</f>
        <v>512874.710706308</v>
      </c>
      <c r="F17" s="47" t="n">
        <f aca="false">F14+F16</f>
        <v>532846.522558864</v>
      </c>
      <c r="G17" s="47" t="n">
        <f aca="false">G14+G16</f>
        <v>540019.144414792</v>
      </c>
      <c r="H17" s="47" t="n">
        <f aca="false">H14+H16</f>
        <v>566986.986157124</v>
      </c>
      <c r="I17" s="47" t="n">
        <f aca="false">I14+I16</f>
        <v>594731.959657443</v>
      </c>
    </row>
    <row r="18" customFormat="false" ht="15" hidden="false" customHeight="true" outlineLevel="0" collapsed="false">
      <c r="A18" s="5" t="s">
        <v>418</v>
      </c>
      <c r="C18" s="38" t="n">
        <f aca="false">C13</f>
        <v>2564.55679016342</v>
      </c>
      <c r="D18" s="38" t="n">
        <f aca="false">D13</f>
        <v>5398.19723913933</v>
      </c>
      <c r="E18" s="38" t="n">
        <f aca="false">E13</f>
        <v>5816.74042499828</v>
      </c>
      <c r="F18" s="38" t="n">
        <f aca="false">F13</f>
        <v>6239.8401904176</v>
      </c>
      <c r="G18" s="38" t="n">
        <f aca="false">G13</f>
        <v>6583.38893016056</v>
      </c>
      <c r="H18" s="38" t="n">
        <f aca="false">H13</f>
        <v>6912.11421468746</v>
      </c>
      <c r="I18" s="38" t="n">
        <f aca="false">I13</f>
        <v>7248.90201467393</v>
      </c>
    </row>
    <row r="19" customFormat="false" ht="15" hidden="false" customHeight="true" outlineLevel="0" collapsed="false">
      <c r="A19" s="5" t="s">
        <v>419</v>
      </c>
      <c r="C19" s="38" t="n">
        <f aca="false">-Forecast_Base!C16</f>
        <v>-149905.972713318</v>
      </c>
      <c r="D19" s="38" t="n">
        <f aca="false">-Forecast_Base!D16</f>
        <v>-290119.338271462</v>
      </c>
      <c r="E19" s="38" t="n">
        <f aca="false">-Forecast_Base!E16</f>
        <v>-200864.130194229</v>
      </c>
      <c r="F19" s="38" t="n">
        <f aca="false">-Forecast_Base!F16</f>
        <v>-48591.5348945572</v>
      </c>
      <c r="G19" s="38" t="n">
        <f aca="false">-Forecast_Base!G16</f>
        <v>-50782.7023130547</v>
      </c>
      <c r="H19" s="38" t="n">
        <f aca="false">-Forecast_Base!H16</f>
        <v>-52765.5619990706</v>
      </c>
      <c r="I19" s="38" t="n">
        <f aca="false">-Supuestos!$B$58*I7</f>
        <v>-56660.8539984856</v>
      </c>
      <c r="J19" s="3" t="s">
        <v>420</v>
      </c>
    </row>
    <row r="20" customFormat="false" ht="15" hidden="false" customHeight="true" outlineLevel="0" collapsed="false">
      <c r="A20" s="5" t="s">
        <v>421</v>
      </c>
      <c r="C20" s="38" t="n">
        <f aca="false">-Expansion!C24</f>
        <v>-0</v>
      </c>
      <c r="D20" s="38" t="n">
        <f aca="false">-Expansion!D24</f>
        <v>-46268.2700519154</v>
      </c>
      <c r="E20" s="38" t="n">
        <f aca="false">-Expansion!E24</f>
        <v>-95312.6363069457</v>
      </c>
      <c r="F20" s="38" t="n">
        <f aca="false">-Expansion!F24</f>
        <v>-98172.0153961541</v>
      </c>
      <c r="G20" s="38" t="n">
        <f aca="false">-Expansion!G24</f>
        <v>-101117.175858039</v>
      </c>
      <c r="H20" s="38" t="n">
        <f aca="false">-Expansion!H24</f>
        <v>-104150.69113378</v>
      </c>
      <c r="I20" s="38" t="n">
        <f aca="false">-Supuestos!$B$89/Expansion!$C$38*I17</f>
        <v>-0</v>
      </c>
      <c r="J20" s="3" t="s">
        <v>422</v>
      </c>
    </row>
    <row r="21" customFormat="false" ht="15" hidden="false" customHeight="true" outlineLevel="0" collapsed="false">
      <c r="A21" s="5" t="s">
        <v>423</v>
      </c>
      <c r="C21" s="38" t="n">
        <f aca="false">-Supuestos!$B$84*Supuestos!$B$85*(Forecast_Base!C5-Supuestos!$B$56)/2</f>
        <v>-3907.94604206113</v>
      </c>
      <c r="D21" s="38" t="n">
        <f aca="false">-Supuestos!$B$84*Supuestos!$B$85*(D7-Forecast_Base!C5)</f>
        <v>-9858.89868334063</v>
      </c>
      <c r="E21" s="38" t="n">
        <f aca="false">-Supuestos!$B$84*Supuestos!$B$85*(E7-D7)</f>
        <v>-9281.83619574538</v>
      </c>
      <c r="F21" s="38" t="n">
        <f aca="false">-Supuestos!$B$84*Supuestos!$B$85*(F7-E7)</f>
        <v>-9382.8853264472</v>
      </c>
      <c r="G21" s="38" t="n">
        <f aca="false">-Supuestos!$B$84*Supuestos!$B$85*(G7-F7)</f>
        <v>-7618.71949009241</v>
      </c>
      <c r="H21" s="38" t="n">
        <f aca="false">-Supuestos!$B$84*Supuestos!$B$85*(H7-G7)</f>
        <v>-7289.9866667682</v>
      </c>
      <c r="I21" s="38" t="n">
        <f aca="false">-Supuestos!$B$84*Supuestos!$B$85*(I7-C34)</f>
        <v>-4682.19916725187</v>
      </c>
      <c r="J21" s="3" t="s">
        <v>424</v>
      </c>
    </row>
    <row r="22" customFormat="false" ht="15" hidden="false" customHeight="true" outlineLevel="0" collapsed="false">
      <c r="A22" s="4" t="s">
        <v>425</v>
      </c>
      <c r="C22" s="51" t="n">
        <f aca="false">C17+C18+C19+C20+C21</f>
        <v>88513.7757682451</v>
      </c>
      <c r="D22" s="51" t="n">
        <f aca="false">D17+D18+D19+D20+D21</f>
        <v>149981.042268561</v>
      </c>
      <c r="E22" s="51" t="n">
        <f aca="false">E17+E18+E19+E20+E21</f>
        <v>213232.848434386</v>
      </c>
      <c r="F22" s="51" t="n">
        <f aca="false">F17+F18+F19+F20+F21</f>
        <v>382939.927132123</v>
      </c>
      <c r="G22" s="51" t="n">
        <f aca="false">G17+G18+G19+G20+G21</f>
        <v>387083.935683766</v>
      </c>
      <c r="H22" s="51" t="n">
        <f aca="false">H17+H18+H19+H20+H21</f>
        <v>409692.860572193</v>
      </c>
      <c r="I22" s="47" t="n">
        <f aca="false">I17+I18+I19+I20+I21</f>
        <v>540637.80850638</v>
      </c>
    </row>
    <row r="24" customFormat="false" ht="15" hidden="false" customHeight="true" outlineLevel="0" collapsed="false">
      <c r="A24" s="4" t="s">
        <v>426</v>
      </c>
    </row>
    <row r="25" customFormat="false" ht="15" hidden="false" customHeight="true" outlineLevel="0" collapsed="false">
      <c r="A25" s="5" t="s">
        <v>427</v>
      </c>
      <c r="C25" s="8" t="n">
        <f aca="false">WACC!C43</f>
        <v>0.10536861207682</v>
      </c>
      <c r="D25" s="8" t="n">
        <f aca="false">WACC!D43</f>
        <v>0.10509035847844</v>
      </c>
      <c r="E25" s="8" t="n">
        <f aca="false">WACC!E43</f>
        <v>0.104828865047159</v>
      </c>
      <c r="F25" s="8" t="n">
        <f aca="false">WACC!F43</f>
        <v>0.104583508888836</v>
      </c>
      <c r="G25" s="8" t="n">
        <f aca="false">WACC!G43</f>
        <v>0.104353697598228</v>
      </c>
      <c r="H25" s="8" t="n">
        <f aca="false">WACC!H43</f>
        <v>0.104138867416108</v>
      </c>
      <c r="I25" s="8" t="n">
        <f aca="false">WACC!I43</f>
        <v>0.104138867416108</v>
      </c>
    </row>
    <row r="26" customFormat="false" ht="15" hidden="false" customHeight="true" outlineLevel="0" collapsed="false">
      <c r="A26" s="5" t="s">
        <v>428</v>
      </c>
      <c r="C26" s="21" t="n">
        <v>0.5</v>
      </c>
      <c r="D26" s="21" t="n">
        <v>1</v>
      </c>
      <c r="E26" s="21" t="n">
        <v>1</v>
      </c>
      <c r="F26" s="21" t="n">
        <v>1</v>
      </c>
      <c r="G26" s="21" t="n">
        <v>1</v>
      </c>
      <c r="H26" s="21" t="n">
        <v>1</v>
      </c>
    </row>
    <row r="27" customFormat="false" ht="15" hidden="false" customHeight="true" outlineLevel="0" collapsed="false">
      <c r="A27" s="5" t="s">
        <v>429</v>
      </c>
      <c r="C27" s="48" t="n">
        <f aca="false">(1+C25)^-C26</f>
        <v>0.95114435751134</v>
      </c>
      <c r="D27" s="48" t="n">
        <f aca="false">C27*(1+D25)^-D26</f>
        <v>0.860693743469935</v>
      </c>
      <c r="E27" s="48" t="n">
        <f aca="false">D27*(1+E25)^-E26</f>
        <v>0.77902901589487</v>
      </c>
      <c r="F27" s="48" t="n">
        <f aca="false">E27*(1+F25)^-F26</f>
        <v>0.705269460955958</v>
      </c>
      <c r="G27" s="48" t="n">
        <f aca="false">F27*(1+G25)^-G26</f>
        <v>0.638626431450172</v>
      </c>
      <c r="H27" s="48" t="n">
        <f aca="false">G27*(1+H25)^-H26</f>
        <v>0.578393216919061</v>
      </c>
    </row>
    <row r="28" customFormat="false" ht="15" hidden="false" customHeight="true" outlineLevel="0" collapsed="false">
      <c r="A28" s="5" t="s">
        <v>430</v>
      </c>
      <c r="C28" s="48" t="n">
        <f aca="false">(1+C25)^-(C26/2)</f>
        <v>0.975266300818059</v>
      </c>
      <c r="D28" s="48" t="n">
        <f aca="false">C27*(1+D25)^-(D26/2)</f>
        <v>0.904789476976131</v>
      </c>
      <c r="E28" s="48" t="n">
        <f aca="false">D27*(1+E25)^-(E26/2)</f>
        <v>0.818843941152559</v>
      </c>
      <c r="F28" s="48" t="n">
        <f aca="false">E27*(1+F25)^-(F26/2)</f>
        <v>0.741232334770432</v>
      </c>
      <c r="G28" s="48" t="n">
        <f aca="false">F27*(1+G25)^-(G26/2)</f>
        <v>0.671121240210061</v>
      </c>
      <c r="H28" s="48" t="n">
        <f aca="false">G27*(1+H25)^-(H26/2)</f>
        <v>0.607764095760851</v>
      </c>
      <c r="J28" s="3" t="s">
        <v>431</v>
      </c>
    </row>
    <row r="29" customFormat="false" ht="15" hidden="false" customHeight="true" outlineLevel="0" collapsed="false">
      <c r="A29" s="5" t="s">
        <v>432</v>
      </c>
      <c r="C29" s="38" t="n">
        <f aca="false">C22*C28</f>
        <v>86324.5026649355</v>
      </c>
      <c r="D29" s="38" t="n">
        <f aca="false">D22*D28</f>
        <v>135701.268790506</v>
      </c>
      <c r="E29" s="38" t="n">
        <f aca="false">E22*E28</f>
        <v>174604.425995199</v>
      </c>
      <c r="F29" s="38" t="n">
        <f aca="false">F22*F28</f>
        <v>283847.456264962</v>
      </c>
      <c r="G29" s="38" t="n">
        <f aca="false">G22*G28</f>
        <v>259780.25098148</v>
      </c>
      <c r="H29" s="38" t="n">
        <f aca="false">H22*H28</f>
        <v>248996.610945335</v>
      </c>
    </row>
    <row r="31" customFormat="false" ht="15" hidden="false" customHeight="true" outlineLevel="0" collapsed="false">
      <c r="A31" s="4" t="s">
        <v>433</v>
      </c>
    </row>
    <row r="32" customFormat="false" ht="15" hidden="false" customHeight="true" outlineLevel="0" collapsed="false">
      <c r="A32" s="5" t="s">
        <v>434</v>
      </c>
      <c r="C32" s="36" t="n">
        <f aca="false">Expansion!H5+1</f>
        <v>2032</v>
      </c>
      <c r="J32" s="3" t="s">
        <v>435</v>
      </c>
    </row>
    <row r="33" customFormat="false" ht="15" hidden="false" customHeight="true" outlineLevel="0" collapsed="false">
      <c r="A33" s="5" t="s">
        <v>436</v>
      </c>
      <c r="C33" s="26" t="n">
        <f aca="false">SUMIF(Expansion!$A$12:$A$16,"&lt;="&amp;C32,Expansion!$B$12:$B$16)</f>
        <v>108301.333333333</v>
      </c>
    </row>
    <row r="34" customFormat="false" ht="15" hidden="false" customHeight="true" outlineLevel="0" collapsed="false">
      <c r="A34" s="5" t="s">
        <v>437</v>
      </c>
      <c r="C34" s="38" t="n">
        <f aca="false">Forecast_Base!H5+C33*Expansion!H8/1000000*Expansion!C39</f>
        <v>1000191.59750195</v>
      </c>
    </row>
    <row r="35" customFormat="false" ht="15" hidden="false" customHeight="true" outlineLevel="0" collapsed="false">
      <c r="A35" s="5" t="s">
        <v>438</v>
      </c>
      <c r="C35" s="38" t="n">
        <f aca="false">Forecast_Base!H7+(C34-Forecast_Base!H5)*Expansion!H9</f>
        <v>798009.919042632</v>
      </c>
    </row>
    <row r="37" customFormat="false" ht="15" hidden="false" customHeight="true" outlineLevel="0" collapsed="false">
      <c r="A37" s="4" t="s">
        <v>439</v>
      </c>
    </row>
    <row r="38" customFormat="false" ht="15" hidden="false" customHeight="true" outlineLevel="0" collapsed="false">
      <c r="A38" s="5" t="s">
        <v>440</v>
      </c>
      <c r="C38" s="30" t="n">
        <f aca="false">I25</f>
        <v>0.104138867416108</v>
      </c>
    </row>
    <row r="39" customFormat="false" ht="15" hidden="false" customHeight="true" outlineLevel="0" collapsed="false">
      <c r="A39" s="5" t="s">
        <v>196</v>
      </c>
      <c r="C39" s="8" t="n">
        <f aca="false">Supuestos!$B$88</f>
        <v>0.03</v>
      </c>
    </row>
    <row r="40" customFormat="false" ht="15" hidden="false" customHeight="true" outlineLevel="0" collapsed="false">
      <c r="A40" s="5" t="s">
        <v>441</v>
      </c>
      <c r="C40" s="30" t="n">
        <f aca="false">Supuestos!$B$89/Expansion!$C$38</f>
        <v>0</v>
      </c>
    </row>
    <row r="41" customFormat="false" ht="15" hidden="false" customHeight="true" outlineLevel="0" collapsed="false">
      <c r="A41" s="5" t="s">
        <v>442</v>
      </c>
      <c r="C41" s="38" t="n">
        <f aca="false">I22/(C38-C39)</f>
        <v>7292231.82587914</v>
      </c>
    </row>
    <row r="42" customFormat="false" ht="15" hidden="false" customHeight="true" outlineLevel="0" collapsed="false">
      <c r="A42" s="5" t="s">
        <v>443</v>
      </c>
      <c r="C42" s="38" t="n">
        <f aca="false">C41*H27</f>
        <v>4217777.42428979</v>
      </c>
    </row>
    <row r="43" customFormat="false" ht="15" hidden="false" customHeight="true" outlineLevel="0" collapsed="false">
      <c r="A43" s="5" t="s">
        <v>444</v>
      </c>
      <c r="C43" s="38" t="n">
        <f aca="false">SUM(C29:H29)</f>
        <v>1189254.51564242</v>
      </c>
    </row>
    <row r="44" customFormat="false" ht="15" hidden="false" customHeight="true" outlineLevel="0" collapsed="false">
      <c r="A44" s="4" t="s">
        <v>445</v>
      </c>
      <c r="C44" s="47" t="n">
        <f aca="false">C43+C42</f>
        <v>5407031.93993221</v>
      </c>
    </row>
    <row r="45" customFormat="false" ht="15" hidden="false" customHeight="true" outlineLevel="0" collapsed="false">
      <c r="A45" s="5" t="s">
        <v>446</v>
      </c>
      <c r="C45" s="38" t="n">
        <f aca="false">-Supuestos!$B$10</f>
        <v>-1285740</v>
      </c>
    </row>
    <row r="46" customFormat="false" ht="15" hidden="false" customHeight="true" outlineLevel="0" collapsed="false">
      <c r="A46" s="5" t="s">
        <v>447</v>
      </c>
      <c r="C46" s="38" t="n">
        <f aca="false">-Supuestos!$B$11</f>
        <v>-50841</v>
      </c>
    </row>
    <row r="47" customFormat="false" ht="15" hidden="false" customHeight="true" outlineLevel="0" collapsed="false">
      <c r="A47" s="4" t="s">
        <v>448</v>
      </c>
      <c r="C47" s="47" t="n">
        <f aca="false">C44+C45+C46</f>
        <v>4070450.93993221</v>
      </c>
    </row>
    <row r="48" customFormat="false" ht="15" hidden="false" customHeight="true" outlineLevel="0" collapsed="false">
      <c r="A48" s="5" t="s">
        <v>449</v>
      </c>
      <c r="C48" s="7" t="n">
        <f aca="false">Supuestos!$B$9</f>
        <v>2190</v>
      </c>
    </row>
    <row r="49" customFormat="false" ht="15" hidden="false" customHeight="true" outlineLevel="0" collapsed="false">
      <c r="A49" s="4" t="s">
        <v>3</v>
      </c>
      <c r="C49" s="52" t="n">
        <f aca="false">C47/C48</f>
        <v>1858.65339722932</v>
      </c>
      <c r="D49" s="3" t="s">
        <v>450</v>
      </c>
    </row>
    <row r="50" customFormat="false" ht="15" hidden="false" customHeight="true" outlineLevel="0" collapsed="false">
      <c r="A50" s="5" t="s">
        <v>6</v>
      </c>
      <c r="C50" s="7" t="n">
        <f aca="false">Supuestos!$B$8</f>
        <v>3555</v>
      </c>
    </row>
    <row r="51" customFormat="false" ht="15" hidden="false" customHeight="true" outlineLevel="0" collapsed="false">
      <c r="A51" s="4" t="s">
        <v>451</v>
      </c>
      <c r="C51" s="43" t="n">
        <f aca="false">C49/C50-1</f>
        <v>-0.477172040160529</v>
      </c>
    </row>
    <row r="53" customFormat="false" ht="15" hidden="false" customHeight="true" outlineLevel="0" collapsed="false">
      <c r="A53" s="4" t="s">
        <v>452</v>
      </c>
    </row>
    <row r="54" customFormat="false" ht="15" hidden="false" customHeight="true" outlineLevel="0" collapsed="false">
      <c r="A54" s="5" t="s">
        <v>453</v>
      </c>
      <c r="C54" s="30" t="n">
        <f aca="false">C42/C44</f>
        <v>0.780054098282739</v>
      </c>
      <c r="D54" s="3" t="s">
        <v>454</v>
      </c>
    </row>
    <row r="55" customFormat="false" ht="15" hidden="false" customHeight="true" outlineLevel="0" collapsed="false">
      <c r="A55" s="5" t="s">
        <v>455</v>
      </c>
      <c r="C55" s="53" t="n">
        <f aca="false">C44/Supuestos!$B$13</f>
        <v>9.92234292150845</v>
      </c>
      <c r="D55" s="3" t="s">
        <v>456</v>
      </c>
    </row>
    <row r="56" customFormat="false" ht="15" hidden="false" customHeight="true" outlineLevel="0" collapsed="false">
      <c r="A56" s="5" t="s">
        <v>457</v>
      </c>
      <c r="C56" s="30" t="n">
        <f aca="false">Supuestos!$B$13/C44</f>
        <v>0.100782648605333</v>
      </c>
      <c r="D56" s="3" t="s">
        <v>458</v>
      </c>
    </row>
    <row r="57" customFormat="false" ht="15" hidden="false" customHeight="true" outlineLevel="0" collapsed="false">
      <c r="A57" s="5" t="s">
        <v>459</v>
      </c>
      <c r="C57" s="30" t="n">
        <f aca="false">I11/C41</f>
        <v>0.112715864805192</v>
      </c>
    </row>
    <row r="58" customFormat="false" ht="15" hidden="false" customHeight="true" outlineLevel="0" collapsed="false">
      <c r="A58" s="5" t="s">
        <v>460</v>
      </c>
      <c r="C58" s="8" t="n">
        <f aca="false">WACC!I44</f>
        <v>0.0719794829282607</v>
      </c>
      <c r="D58" s="3" t="s">
        <v>461</v>
      </c>
    </row>
    <row r="59" customFormat="false" ht="15" hidden="false" customHeight="true" outlineLevel="0" collapsed="false">
      <c r="A59" s="5" t="s">
        <v>462</v>
      </c>
      <c r="C59" s="8" t="n">
        <f aca="false">Expansion!$C$38</f>
        <v>0.053042034259624</v>
      </c>
      <c r="D59" s="3" t="s">
        <v>463</v>
      </c>
    </row>
    <row r="60" customFormat="false" ht="15" hidden="false" customHeight="true" outlineLevel="0" collapsed="false">
      <c r="A60" s="5" t="s">
        <v>464</v>
      </c>
      <c r="C60" s="9" t="n">
        <f aca="false">Deuda!H22</f>
        <v>3.5</v>
      </c>
      <c r="D60" s="3" t="s">
        <v>465</v>
      </c>
    </row>
    <row r="61" customFormat="false" ht="15" hidden="false" customHeight="true" outlineLevel="0" collapsed="false">
      <c r="A61" s="5" t="s">
        <v>466</v>
      </c>
      <c r="C61" s="7" t="n">
        <f aca="false">Supuestos!$B$108</f>
        <v>1882.65240776306</v>
      </c>
    </row>
    <row r="62" customFormat="false" ht="15" hidden="false" customHeight="true" outlineLevel="0" collapsed="false">
      <c r="A62" s="5" t="s">
        <v>467</v>
      </c>
      <c r="C62" s="38" t="n">
        <f aca="false">C49-C61</f>
        <v>-23.9990105337406</v>
      </c>
    </row>
    <row r="63" customFormat="false" ht="15" hidden="false" customHeight="true" outlineLevel="0" collapsed="false">
      <c r="A63" s="5" t="s">
        <v>468</v>
      </c>
      <c r="C63" s="7" t="n">
        <f aca="false">APV!C21</f>
        <v>1894.99070297252</v>
      </c>
    </row>
    <row r="64" customFormat="false" ht="15" hidden="false" customHeight="true" outlineLevel="0" collapsed="false">
      <c r="A64" s="5" t="s">
        <v>469</v>
      </c>
      <c r="C64" s="30" t="n">
        <f aca="false">C49/C63-1</f>
        <v>-0.0191754533076098</v>
      </c>
      <c r="D64" s="3" t="s">
        <v>470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66"/>
    <col collapsed="false" customWidth="true" hidden="false" outlineLevel="0" max="8" min="3" style="1" width="14"/>
    <col collapsed="false" customWidth="true" hidden="false" outlineLevel="0" max="10" min="10" style="1" width="90"/>
  </cols>
  <sheetData>
    <row r="1" customFormat="false" ht="15.75" hidden="false" customHeight="true" outlineLevel="0" collapsed="false">
      <c r="A1" s="2" t="s">
        <v>471</v>
      </c>
    </row>
    <row r="2" customFormat="false" ht="15" hidden="false" customHeight="true" outlineLevel="0" collapsed="false">
      <c r="A2" s="3" t="s">
        <v>472</v>
      </c>
    </row>
    <row r="4" customFormat="false" ht="15" hidden="false" customHeight="true" outlineLevel="0" collapsed="false">
      <c r="A4" s="13" t="s">
        <v>49</v>
      </c>
      <c r="B4" s="40"/>
      <c r="C4" s="41" t="s">
        <v>281</v>
      </c>
      <c r="D4" s="41" t="s">
        <v>282</v>
      </c>
      <c r="E4" s="41" t="s">
        <v>283</v>
      </c>
      <c r="F4" s="41" t="s">
        <v>284</v>
      </c>
      <c r="G4" s="41" t="s">
        <v>285</v>
      </c>
      <c r="H4" s="41" t="s">
        <v>286</v>
      </c>
    </row>
    <row r="5" customFormat="false" ht="15" hidden="false" customHeight="true" outlineLevel="0" collapsed="false">
      <c r="A5" s="5" t="s">
        <v>289</v>
      </c>
      <c r="C5" s="42" t="n">
        <f aca="false">DCF!C26</f>
        <v>0.5</v>
      </c>
      <c r="D5" s="24" t="n">
        <f aca="false">C5+DCF!D26</f>
        <v>1.5</v>
      </c>
      <c r="E5" s="24" t="n">
        <f aca="false">D5+DCF!E26</f>
        <v>2.5</v>
      </c>
      <c r="F5" s="24" t="n">
        <f aca="false">E5+DCF!F26</f>
        <v>3.5</v>
      </c>
      <c r="G5" s="24" t="n">
        <f aca="false">F5+DCF!G26</f>
        <v>4.5</v>
      </c>
      <c r="H5" s="24" t="n">
        <f aca="false">G5+DCF!H26</f>
        <v>5.5</v>
      </c>
    </row>
    <row r="6" customFormat="false" ht="15" hidden="false" customHeight="true" outlineLevel="0" collapsed="false">
      <c r="A6" s="5" t="s">
        <v>473</v>
      </c>
      <c r="C6" s="38" t="n">
        <f aca="false">Forecast_Base!C7+DCF!C10</f>
        <v>561315.405027496</v>
      </c>
      <c r="D6" s="50" t="n">
        <f aca="false">DCF!D11</f>
        <v>611360.360246719</v>
      </c>
      <c r="E6" s="50" t="n">
        <f aca="false">DCF!E11</f>
        <v>659160.320942588</v>
      </c>
      <c r="F6" s="50" t="n">
        <f aca="false">DCF!F11</f>
        <v>707353.685662607</v>
      </c>
      <c r="G6" s="50" t="n">
        <f aca="false">DCF!G11</f>
        <v>746335.641553163</v>
      </c>
      <c r="H6" s="50" t="n">
        <f aca="false">DCF!H11</f>
        <v>783606.615799789</v>
      </c>
      <c r="J6" s="3" t="s">
        <v>474</v>
      </c>
    </row>
    <row r="7" customFormat="false" ht="15" hidden="false" customHeight="true" outlineLevel="0" collapsed="false">
      <c r="A7" s="4" t="s">
        <v>475</v>
      </c>
      <c r="C7" s="54" t="n">
        <f aca="false">Supuestos!$B$10</f>
        <v>1285740</v>
      </c>
      <c r="D7" s="47" t="n">
        <f aca="false">C21</f>
        <v>1382589.93765492</v>
      </c>
      <c r="E7" s="47" t="n">
        <f aca="false">D21</f>
        <v>1632637.78160947</v>
      </c>
      <c r="F7" s="47" t="n">
        <f aca="false">E21</f>
        <v>1896980.95976704</v>
      </c>
      <c r="G7" s="47" t="n">
        <f aca="false">F21</f>
        <v>2182362.92373167</v>
      </c>
      <c r="H7" s="47" t="n">
        <f aca="false">G21</f>
        <v>2457403.37332625</v>
      </c>
    </row>
    <row r="8" customFormat="false" ht="15" hidden="false" customHeight="true" outlineLevel="0" collapsed="false">
      <c r="A8" s="5" t="s">
        <v>476</v>
      </c>
      <c r="C8" s="9" t="n">
        <f aca="false">Supuestos!$B$41</f>
        <v>2.3594373640893</v>
      </c>
      <c r="D8" s="22" t="n">
        <f aca="false">C22</f>
        <v>2.46312487644481</v>
      </c>
      <c r="E8" s="22" t="n">
        <f aca="false">D22</f>
        <v>2.67049990115585</v>
      </c>
      <c r="F8" s="22" t="n">
        <f aca="false">E22</f>
        <v>2.87787492586689</v>
      </c>
      <c r="G8" s="22" t="n">
        <f aca="false">F22</f>
        <v>3.08524995057793</v>
      </c>
      <c r="H8" s="22" t="n">
        <f aca="false">G22</f>
        <v>3.29262497528896</v>
      </c>
    </row>
    <row r="9" customFormat="false" ht="15" hidden="false" customHeight="true" outlineLevel="0" collapsed="false">
      <c r="A9" s="5" t="s">
        <v>477</v>
      </c>
      <c r="C9" s="30" t="n">
        <f aca="false">Supuestos!$B$46+Supuestos!$B$40*Supuestos!$B$45*MAX(0,C8-Supuestos!$B$41)</f>
        <v>0.0308</v>
      </c>
      <c r="D9" s="30" t="n">
        <f aca="false">Supuestos!$B$46+Supuestos!$B$40*Supuestos!$B$45*MAX(0,D8-Supuestos!$B$41)</f>
        <v>0.0310592187808888</v>
      </c>
      <c r="E9" s="30" t="n">
        <f aca="false">Supuestos!$B$46+Supuestos!$B$40*Supuestos!$B$45*MAX(0,E8-Supuestos!$B$41)</f>
        <v>0.0315776563426664</v>
      </c>
      <c r="F9" s="30" t="n">
        <f aca="false">Supuestos!$B$46+Supuestos!$B$40*Supuestos!$B$45*MAX(0,F8-Supuestos!$B$41)</f>
        <v>0.032096093904444</v>
      </c>
      <c r="G9" s="30" t="n">
        <f aca="false">Supuestos!$B$46+Supuestos!$B$40*Supuestos!$B$45*MAX(0,G8-Supuestos!$B$41)</f>
        <v>0.0326145314662216</v>
      </c>
      <c r="H9" s="30" t="n">
        <f aca="false">Supuestos!$B$46+Supuestos!$B$40*Supuestos!$B$45*MAX(0,H8-Supuestos!$B$41)</f>
        <v>0.0331329690279992</v>
      </c>
      <c r="J9" s="3" t="s">
        <v>478</v>
      </c>
    </row>
    <row r="10" customFormat="false" ht="15" hidden="false" customHeight="true" outlineLevel="0" collapsed="false">
      <c r="A10" s="5" t="s">
        <v>479</v>
      </c>
      <c r="C10" s="38" t="n">
        <f aca="false">-DCF!C22</f>
        <v>-88513.7757682451</v>
      </c>
      <c r="D10" s="38" t="n">
        <f aca="false">-DCF!D22</f>
        <v>-149981.042268561</v>
      </c>
      <c r="E10" s="38" t="n">
        <f aca="false">-DCF!E22</f>
        <v>-213232.848434386</v>
      </c>
      <c r="F10" s="38" t="n">
        <f aca="false">-DCF!F22</f>
        <v>-382939.927132123</v>
      </c>
      <c r="G10" s="38" t="n">
        <f aca="false">-DCF!G22</f>
        <v>-387083.935683766</v>
      </c>
      <c r="H10" s="38" t="n">
        <f aca="false">-DCF!H22</f>
        <v>-409692.860572193</v>
      </c>
    </row>
    <row r="11" customFormat="false" ht="15" hidden="false" customHeight="true" outlineLevel="0" collapsed="false">
      <c r="A11" s="5" t="s">
        <v>480</v>
      </c>
      <c r="C11" s="38" t="n">
        <f aca="false">C7*C9*DCF!C26</f>
        <v>19800.396</v>
      </c>
      <c r="D11" s="38" t="n">
        <f aca="false">D7*D9*DCF!D26</f>
        <v>42942.1633578796</v>
      </c>
      <c r="E11" s="38" t="n">
        <f aca="false">E7*E9*DCF!E26</f>
        <v>51554.874799717</v>
      </c>
      <c r="F11" s="38" t="n">
        <f aca="false">F7*F9*DCF!F26</f>
        <v>60885.6790196253</v>
      </c>
      <c r="G11" s="38" t="n">
        <f aca="false">G7*G9*DCF!G26</f>
        <v>71176.7442467619</v>
      </c>
      <c r="H11" s="38" t="n">
        <f aca="false">H7*H9*DCF!H26</f>
        <v>81421.0698577195</v>
      </c>
    </row>
    <row r="12" customFormat="false" ht="15" hidden="false" customHeight="true" outlineLevel="0" collapsed="false">
      <c r="A12" s="5" t="s">
        <v>481</v>
      </c>
      <c r="C12" s="38" t="n">
        <f aca="false">C11*(1-DCF!C15)</f>
        <v>16473.929472</v>
      </c>
      <c r="D12" s="38" t="n">
        <f aca="false">D11*(1-DCF!D15)</f>
        <v>34783.1523198825</v>
      </c>
      <c r="E12" s="38" t="n">
        <f aca="false">E11*(1-DCF!E15)</f>
        <v>40470.5767177779</v>
      </c>
      <c r="F12" s="38" t="n">
        <f aca="false">F11*(1-DCF!F15)</f>
        <v>46273.1160549153</v>
      </c>
      <c r="G12" s="38" t="n">
        <f aca="false">G11*(1-DCF!G15)</f>
        <v>51959.0233001362</v>
      </c>
      <c r="H12" s="38" t="n">
        <f aca="false">H11*(1-DCF!H15)</f>
        <v>59437.3809961352</v>
      </c>
    </row>
    <row r="13" customFormat="false" ht="15" hidden="false" customHeight="true" outlineLevel="0" collapsed="false">
      <c r="A13" s="5" t="s">
        <v>482</v>
      </c>
      <c r="C13" s="38" t="n">
        <f aca="false">C7*Supuestos!$B$47*Supuestos!$B$34*DCF!C26</f>
        <v>15236.019</v>
      </c>
      <c r="D13" s="38" t="n">
        <f aca="false">D7*Supuestos!$B$47*Supuestos!$B$34*DCF!D26</f>
        <v>32767.3815224217</v>
      </c>
      <c r="E13" s="38" t="n">
        <f aca="false">E7*Supuestos!$B$47*Supuestos!$B$34*DCF!E26</f>
        <v>38693.5154241444</v>
      </c>
      <c r="F13" s="38" t="n">
        <f aca="false">F7*Supuestos!$B$47*Supuestos!$B$34*DCF!F26</f>
        <v>44958.448746479</v>
      </c>
      <c r="G13" s="38" t="n">
        <f aca="false">G7*Supuestos!$B$47*Supuestos!$B$34*DCF!G26</f>
        <v>51722.0012924406</v>
      </c>
      <c r="H13" s="38" t="n">
        <f aca="false">H7*Supuestos!$B$47*Supuestos!$B$34*DCF!H26</f>
        <v>58240.4599478322</v>
      </c>
    </row>
    <row r="14" customFormat="false" ht="15" hidden="false" customHeight="true" outlineLevel="0" collapsed="false">
      <c r="A14" s="5" t="s">
        <v>483</v>
      </c>
      <c r="C14" s="38" t="n">
        <f aca="false">C13*(1-DCF!C15)</f>
        <v>12676.367808</v>
      </c>
      <c r="D14" s="38" t="n">
        <f aca="false">D13*(1-DCF!D15)</f>
        <v>26541.5790331615</v>
      </c>
      <c r="E14" s="38" t="n">
        <f aca="false">E13*(1-DCF!E15)</f>
        <v>30374.4096079534</v>
      </c>
      <c r="F14" s="38" t="n">
        <f aca="false">F13*(1-DCF!F15)</f>
        <v>34168.421047324</v>
      </c>
      <c r="G14" s="38" t="n">
        <f aca="false">G13*(1-DCF!G15)</f>
        <v>37757.0609434816</v>
      </c>
      <c r="H14" s="38" t="n">
        <f aca="false">H13*(1-DCF!H15)</f>
        <v>42515.5357619175</v>
      </c>
      <c r="J14" s="3" t="s">
        <v>484</v>
      </c>
    </row>
    <row r="15" customFormat="false" ht="15" hidden="false" customHeight="true" outlineLevel="0" collapsed="false">
      <c r="A15" s="5" t="s">
        <v>485</v>
      </c>
      <c r="C15" s="50" t="n">
        <f aca="false">Supuestos!$B$51</f>
        <v>380038.816382312</v>
      </c>
      <c r="D15" s="38" t="n">
        <f aca="false">D6-DCF!D15*(D6-D11)-D11-D13</f>
        <v>427651.357957538</v>
      </c>
      <c r="E15" s="38" t="n">
        <f aca="false">E6-DCF!E15*(E6-E11)-E11-E13</f>
        <v>438276.759798009</v>
      </c>
      <c r="F15" s="38" t="n">
        <f aca="false">F6-DCF!F15*(F6-F11)-F11-F13</f>
        <v>446357.236302187</v>
      </c>
      <c r="G15" s="38" t="n">
        <f aca="false">G6-DCF!G15*(G6-G11)-G11-G13</f>
        <v>441143.993741232</v>
      </c>
      <c r="H15" s="38" t="n">
        <f aca="false">H6-DCF!H15*(H6-H11)-H11-H13</f>
        <v>454354.988589879</v>
      </c>
      <c r="J15" s="3" t="s">
        <v>486</v>
      </c>
    </row>
    <row r="16" customFormat="false" ht="15" hidden="false" customHeight="true" outlineLevel="0" collapsed="false">
      <c r="A16" s="5" t="s">
        <v>487</v>
      </c>
      <c r="C16" s="38" t="n">
        <f aca="false">Supuestos!$B$49-Supuestos!$B$50</f>
        <v>60107.8</v>
      </c>
      <c r="D16" s="38" t="n">
        <f aca="false">Supuestos!$B$48*C15</f>
        <v>152015.526552925</v>
      </c>
      <c r="E16" s="38" t="n">
        <f aca="false">Supuestos!$B$48*D15</f>
        <v>171060.543183015</v>
      </c>
      <c r="F16" s="38" t="n">
        <f aca="false">Supuestos!$B$48*E15</f>
        <v>175310.703919204</v>
      </c>
      <c r="G16" s="38" t="n">
        <f aca="false">Supuestos!$B$48*F15</f>
        <v>178542.894520875</v>
      </c>
      <c r="H16" s="38" t="n">
        <f aca="false">Supuestos!$B$48*G15</f>
        <v>176457.597496493</v>
      </c>
      <c r="J16" s="3" t="s">
        <v>488</v>
      </c>
    </row>
    <row r="17" customFormat="false" ht="15" hidden="false" customHeight="true" outlineLevel="0" collapsed="false">
      <c r="A17" s="5" t="s">
        <v>489</v>
      </c>
      <c r="C17" s="38" t="n">
        <f aca="false">C7+C10+C12+C14+C16</f>
        <v>1286484.32151176</v>
      </c>
      <c r="D17" s="38" t="n">
        <f aca="false">D7+D10+D12+D14+D16</f>
        <v>1445949.15329233</v>
      </c>
      <c r="E17" s="38" t="n">
        <f aca="false">E7+E10+E12+E14+E16</f>
        <v>1661310.46268383</v>
      </c>
      <c r="F17" s="38" t="n">
        <f aca="false">F7+F10+F12+F14+F16</f>
        <v>1769793.27365637</v>
      </c>
      <c r="G17" s="38" t="n">
        <f aca="false">G7+G10+G12+G14+G16</f>
        <v>2063537.9668124</v>
      </c>
      <c r="H17" s="38" t="n">
        <f aca="false">H7+H10+H12+H14+H16</f>
        <v>2326121.02700861</v>
      </c>
    </row>
    <row r="18" customFormat="false" ht="15" hidden="false" customHeight="true" outlineLevel="0" collapsed="false">
      <c r="A18" s="5" t="s">
        <v>490</v>
      </c>
      <c r="C18" s="22" t="n">
        <f aca="false">IF(Supuestos!$B$40=1,Supuestos!$B$41+(Supuestos!$B$42-Supuestos!$B$41)*MIN(1,C5/Supuestos!$B$44),C17/C6)</f>
        <v>2.46312487644481</v>
      </c>
      <c r="D18" s="22" t="n">
        <f aca="false">IF(Supuestos!$B$40=1,Supuestos!$B$41+(Supuestos!$B$42-Supuestos!$B$41)*MIN(1,D5/Supuestos!$B$44),D17/D6)</f>
        <v>2.67049990115585</v>
      </c>
      <c r="E18" s="22" t="n">
        <f aca="false">IF(Supuestos!$B$40=1,Supuestos!$B$41+(Supuestos!$B$42-Supuestos!$B$41)*MIN(1,E5/Supuestos!$B$44),E17/E6)</f>
        <v>2.87787492586689</v>
      </c>
      <c r="F18" s="22" t="n">
        <f aca="false">IF(Supuestos!$B$40=1,Supuestos!$B$41+(Supuestos!$B$42-Supuestos!$B$41)*MIN(1,F5/Supuestos!$B$44),F17/F6)</f>
        <v>3.08524995057793</v>
      </c>
      <c r="G18" s="22" t="n">
        <f aca="false">IF(Supuestos!$B$40=1,Supuestos!$B$41+(Supuestos!$B$42-Supuestos!$B$41)*MIN(1,G5/Supuestos!$B$44),G17/G6)</f>
        <v>3.29262497528896</v>
      </c>
      <c r="H18" s="22" t="n">
        <f aca="false">IF(Supuestos!$B$40=1,Supuestos!$B$41+(Supuestos!$B$42-Supuestos!$B$41)*MIN(1,H5/Supuestos!$B$44),H17/H6)</f>
        <v>3.5</v>
      </c>
      <c r="J18" s="3" t="s">
        <v>491</v>
      </c>
    </row>
    <row r="19" customFormat="false" ht="15" hidden="false" customHeight="true" outlineLevel="0" collapsed="false">
      <c r="A19" s="5" t="s">
        <v>492</v>
      </c>
      <c r="C19" s="38" t="n">
        <f aca="false">C18*C6</f>
        <v>1382589.93765492</v>
      </c>
      <c r="D19" s="38" t="n">
        <f aca="false">D18*D6</f>
        <v>1632637.78160947</v>
      </c>
      <c r="E19" s="38" t="n">
        <f aca="false">E18*E6</f>
        <v>1896980.95976704</v>
      </c>
      <c r="F19" s="38" t="n">
        <f aca="false">F18*F6</f>
        <v>2182362.92373167</v>
      </c>
      <c r="G19" s="38" t="n">
        <f aca="false">G18*G6</f>
        <v>2457403.37332625</v>
      </c>
      <c r="H19" s="38" t="n">
        <f aca="false">H18*H6</f>
        <v>2742623.15529926</v>
      </c>
    </row>
    <row r="20" customFormat="false" ht="15" hidden="false" customHeight="true" outlineLevel="0" collapsed="false">
      <c r="A20" s="4" t="s">
        <v>493</v>
      </c>
      <c r="C20" s="47" t="n">
        <f aca="false">IF(Supuestos!$B$40=1,C19-C17,0)</f>
        <v>96105.6161431668</v>
      </c>
      <c r="D20" s="47" t="n">
        <f aca="false">IF(Supuestos!$B$40=1,D19-D17,0)</f>
        <v>186688.628317138</v>
      </c>
      <c r="E20" s="47" t="n">
        <f aca="false">IF(Supuestos!$B$40=1,E19-E17,0)</f>
        <v>235670.497083216</v>
      </c>
      <c r="F20" s="47" t="n">
        <f aca="false">IF(Supuestos!$B$40=1,F19-F17,0)</f>
        <v>412569.650075305</v>
      </c>
      <c r="G20" s="47" t="n">
        <f aca="false">IF(Supuestos!$B$40=1,G19-G17,0)</f>
        <v>393865.406513858</v>
      </c>
      <c r="H20" s="47" t="n">
        <f aca="false">IF(Supuestos!$B$40=1,H19-H17,0)</f>
        <v>416502.128290655</v>
      </c>
      <c r="J20" s="3" t="s">
        <v>494</v>
      </c>
    </row>
    <row r="21" customFormat="false" ht="15" hidden="false" customHeight="true" outlineLevel="0" collapsed="false">
      <c r="A21" s="4" t="s">
        <v>495</v>
      </c>
      <c r="C21" s="47" t="n">
        <f aca="false">C17+C20</f>
        <v>1382589.93765492</v>
      </c>
      <c r="D21" s="47" t="n">
        <f aca="false">D17+D20</f>
        <v>1632637.78160947</v>
      </c>
      <c r="E21" s="47" t="n">
        <f aca="false">E17+E20</f>
        <v>1896980.95976704</v>
      </c>
      <c r="F21" s="47" t="n">
        <f aca="false">F17+F20</f>
        <v>2182362.92373167</v>
      </c>
      <c r="G21" s="47" t="n">
        <f aca="false">G17+G20</f>
        <v>2457403.37332625</v>
      </c>
      <c r="H21" s="47" t="n">
        <f aca="false">H17+H20</f>
        <v>2742623.15529926</v>
      </c>
    </row>
    <row r="22" customFormat="false" ht="15" hidden="false" customHeight="true" outlineLevel="0" collapsed="false">
      <c r="A22" s="4" t="s">
        <v>496</v>
      </c>
      <c r="C22" s="55" t="n">
        <f aca="false">C21/C6</f>
        <v>2.46312487644481</v>
      </c>
      <c r="D22" s="55" t="n">
        <f aca="false">D21/D6</f>
        <v>2.67049990115585</v>
      </c>
      <c r="E22" s="55" t="n">
        <f aca="false">E21/E6</f>
        <v>2.87787492586689</v>
      </c>
      <c r="F22" s="55" t="n">
        <f aca="false">F21/F6</f>
        <v>3.08524995057793</v>
      </c>
      <c r="G22" s="55" t="n">
        <f aca="false">G21/G6</f>
        <v>3.29262497528896</v>
      </c>
      <c r="H22" s="55" t="n">
        <f aca="false">H21/H6</f>
        <v>3.5</v>
      </c>
    </row>
    <row r="23" customFormat="false" ht="15" hidden="false" customHeight="true" outlineLevel="0" collapsed="false">
      <c r="A23" s="5" t="s">
        <v>497</v>
      </c>
      <c r="C23" s="38" t="n">
        <f aca="false">C21+Supuestos!$B$12</f>
        <v>1730210.93765492</v>
      </c>
      <c r="D23" s="38" t="n">
        <f aca="false">D21+Supuestos!$B$12</f>
        <v>1980258.78160947</v>
      </c>
      <c r="E23" s="38" t="n">
        <f aca="false">E21+Supuestos!$B$12</f>
        <v>2244601.95976704</v>
      </c>
      <c r="F23" s="38" t="n">
        <f aca="false">F21+Supuestos!$B$12</f>
        <v>2529983.92373167</v>
      </c>
      <c r="G23" s="38" t="n">
        <f aca="false">G21+Supuestos!$B$12</f>
        <v>2805024.37332625</v>
      </c>
      <c r="H23" s="38" t="n">
        <f aca="false">H21+Supuestos!$B$12</f>
        <v>3090244.15529926</v>
      </c>
      <c r="J23" s="3" t="s">
        <v>498</v>
      </c>
    </row>
    <row r="24" customFormat="false" ht="15" hidden="false" customHeight="true" outlineLevel="0" collapsed="false">
      <c r="A24" s="5" t="s">
        <v>499</v>
      </c>
      <c r="C24" s="38" t="n">
        <f aca="false">Supuestos!$B$42*C6-C21</f>
        <v>582013.979941314</v>
      </c>
      <c r="D24" s="38" t="n">
        <f aca="false">Supuestos!$B$42*D6-D21</f>
        <v>507123.479254048</v>
      </c>
      <c r="E24" s="38" t="n">
        <f aca="false">Supuestos!$B$42*E6-E21</f>
        <v>410080.163532013</v>
      </c>
      <c r="F24" s="38" t="n">
        <f aca="false">Supuestos!$B$42*F6-F21</f>
        <v>293374.976087452</v>
      </c>
      <c r="G24" s="38" t="n">
        <f aca="false">Supuestos!$B$42*G6-G21</f>
        <v>154771.372109815</v>
      </c>
      <c r="H24" s="38" t="n">
        <f aca="false">Supuestos!$B$42*H6-H21</f>
        <v>0</v>
      </c>
    </row>
    <row r="25" customFormat="false" ht="15" hidden="false" customHeight="true" outlineLevel="0" collapsed="false">
      <c r="A25" s="5" t="s">
        <v>500</v>
      </c>
      <c r="C25" s="38" t="n">
        <f aca="false">C20</f>
        <v>96105.6161431668</v>
      </c>
      <c r="D25" s="38" t="n">
        <f aca="false">C25+D20</f>
        <v>282794.244460305</v>
      </c>
      <c r="E25" s="38" t="n">
        <f aca="false">D25+E20</f>
        <v>518464.741543521</v>
      </c>
      <c r="F25" s="38" t="n">
        <f aca="false">E25+F20</f>
        <v>931034.391618826</v>
      </c>
      <c r="G25" s="38" t="n">
        <f aca="false">F25+G20</f>
        <v>1324899.79813268</v>
      </c>
      <c r="H25" s="38" t="n">
        <f aca="false">G25+H20</f>
        <v>1741401.92642334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9" min="3" style="1" width="13"/>
    <col collapsed="false" customWidth="true" hidden="false" outlineLevel="0" max="10" min="10" style="1" width="60"/>
  </cols>
  <sheetData>
    <row r="1" customFormat="false" ht="15.75" hidden="false" customHeight="true" outlineLevel="0" collapsed="false">
      <c r="A1" s="2" t="s">
        <v>501</v>
      </c>
    </row>
    <row r="2" customFormat="false" ht="15" hidden="false" customHeight="true" outlineLevel="0" collapsed="false">
      <c r="A2" s="3" t="s">
        <v>502</v>
      </c>
    </row>
    <row r="4" customFormat="false" ht="15" hidden="false" customHeight="true" outlineLevel="0" collapsed="false">
      <c r="A4" s="5" t="s">
        <v>503</v>
      </c>
      <c r="C4" s="30" t="n">
        <f aca="false">WACC!$C$22+WACC!$H$13*Supuestos!$B$22+WACC!$C$21</f>
        <v>0.102911189340327</v>
      </c>
    </row>
    <row r="5" customFormat="false" ht="15" hidden="false" customHeight="true" outlineLevel="0" collapsed="false">
      <c r="A5" s="5" t="s">
        <v>504</v>
      </c>
      <c r="C5" s="30" t="n">
        <f aca="false">IF(AND(Supuestos!$B$21=1,Supuestos!$B$19=2),(1+C4)*(1+Supuestos!$B$34)/(1+Supuestos!$B$20)-1,C4)</f>
        <v>0.11107597971945</v>
      </c>
    </row>
    <row r="7" customFormat="false" ht="15" hidden="false" customHeight="true" outlineLevel="0" collapsed="false">
      <c r="A7" s="13" t="s">
        <v>49</v>
      </c>
      <c r="B7" s="40"/>
      <c r="C7" s="41" t="s">
        <v>281</v>
      </c>
      <c r="D7" s="41" t="s">
        <v>282</v>
      </c>
      <c r="E7" s="41" t="s">
        <v>283</v>
      </c>
      <c r="F7" s="41" t="s">
        <v>284</v>
      </c>
      <c r="G7" s="41" t="s">
        <v>285</v>
      </c>
      <c r="H7" s="41" t="s">
        <v>286</v>
      </c>
      <c r="I7" s="41" t="s">
        <v>287</v>
      </c>
    </row>
    <row r="8" customFormat="false" ht="15" hidden="false" customHeight="true" outlineLevel="0" collapsed="false">
      <c r="A8" s="5" t="s">
        <v>425</v>
      </c>
      <c r="C8" s="50" t="n">
        <f aca="false">DCF!C22</f>
        <v>88513.7757682451</v>
      </c>
      <c r="D8" s="50" t="n">
        <f aca="false">DCF!D22</f>
        <v>149981.042268561</v>
      </c>
      <c r="E8" s="50" t="n">
        <f aca="false">DCF!E22</f>
        <v>213232.848434386</v>
      </c>
      <c r="F8" s="50" t="n">
        <f aca="false">DCF!F22</f>
        <v>382939.927132123</v>
      </c>
      <c r="G8" s="50" t="n">
        <f aca="false">DCF!G22</f>
        <v>387083.935683766</v>
      </c>
      <c r="H8" s="50" t="n">
        <f aca="false">DCF!H22</f>
        <v>409692.860572193</v>
      </c>
      <c r="I8" s="50" t="n">
        <f aca="false">DCF!I22</f>
        <v>540637.80850638</v>
      </c>
    </row>
    <row r="9" customFormat="false" ht="15" hidden="false" customHeight="true" outlineLevel="0" collapsed="false">
      <c r="A9" s="5" t="s">
        <v>505</v>
      </c>
      <c r="C9" s="48" t="n">
        <f aca="false">(1+$C$5)^-DCF!C26</f>
        <v>0.948698296260205</v>
      </c>
      <c r="D9" s="48" t="n">
        <f aca="false">C9*(1+$C$5)^-DCF!D26</f>
        <v>0.853855464051841</v>
      </c>
      <c r="E9" s="48" t="n">
        <f aca="false">D9*(1+$C$5)^-DCF!E26</f>
        <v>0.768494216090823</v>
      </c>
      <c r="F9" s="48" t="n">
        <f aca="false">E9*(1+$C$5)^-DCF!F26</f>
        <v>0.691666663772958</v>
      </c>
      <c r="G9" s="48" t="n">
        <f aca="false">F9*(1+$C$5)^-DCF!G26</f>
        <v>0.622519680380099</v>
      </c>
      <c r="H9" s="48" t="n">
        <f aca="false">G9*(1+$C$5)^-DCF!H26</f>
        <v>0.560285427588208</v>
      </c>
    </row>
    <row r="10" customFormat="false" ht="15" hidden="false" customHeight="true" outlineLevel="0" collapsed="false">
      <c r="A10" s="5" t="s">
        <v>506</v>
      </c>
      <c r="C10" s="48" t="n">
        <f aca="false">(1+$C$5)^-(DCF!C26/2)</f>
        <v>0.974011445651541</v>
      </c>
      <c r="D10" s="48" t="n">
        <f aca="false">C9*(1+$C$5)^-(DCF!D26/2)</f>
        <v>0.900028457327016</v>
      </c>
      <c r="E10" s="48" t="n">
        <f aca="false">D9*(1+$C$5)^-(DCF!E26/2)</f>
        <v>0.810051223998449</v>
      </c>
      <c r="F10" s="48" t="n">
        <f aca="false">E9*(1+$C$5)^-(DCF!F26/2)</f>
        <v>0.729069153491186</v>
      </c>
      <c r="G10" s="48" t="n">
        <f aca="false">F9*(1+$C$5)^-(DCF!G26/2)</f>
        <v>0.656182985501385</v>
      </c>
      <c r="H10" s="48" t="n">
        <f aca="false">G9*(1+$C$5)^-(DCF!H26/2)</f>
        <v>0.590583360165048</v>
      </c>
    </row>
    <row r="11" customFormat="false" ht="15" hidden="false" customHeight="true" outlineLevel="0" collapsed="false">
      <c r="A11" s="5" t="s">
        <v>507</v>
      </c>
      <c r="C11" s="38" t="n">
        <f aca="false">C8*C10</f>
        <v>86213.4306961048</v>
      </c>
      <c r="D11" s="38" t="n">
        <f aca="false">D8*D10</f>
        <v>134987.206101271</v>
      </c>
      <c r="E11" s="38" t="n">
        <f aca="false">E8*E10</f>
        <v>172729.52987095</v>
      </c>
      <c r="F11" s="38" t="n">
        <f aca="false">F8*F10</f>
        <v>279189.688512193</v>
      </c>
      <c r="G11" s="38" t="n">
        <f aca="false">G8*G10</f>
        <v>253997.8925566</v>
      </c>
      <c r="H11" s="38" t="n">
        <f aca="false">H8*H10</f>
        <v>241957.786232356</v>
      </c>
      <c r="I11" s="38" t="n">
        <f aca="false">I8/($C$5-Supuestos!$B$88)*H9</f>
        <v>3736143.3899106</v>
      </c>
    </row>
    <row r="12" customFormat="false" ht="15" hidden="false" customHeight="true" outlineLevel="0" collapsed="false">
      <c r="A12" s="5" t="s">
        <v>508</v>
      </c>
      <c r="C12" s="38" t="n">
        <f aca="false">Supuestos!$B$10+Supuestos!$B$12</f>
        <v>1633361</v>
      </c>
      <c r="D12" s="50" t="n">
        <f aca="false">Deuda!C23</f>
        <v>1730210.93765492</v>
      </c>
      <c r="E12" s="50" t="n">
        <f aca="false">Deuda!D23</f>
        <v>1980258.78160947</v>
      </c>
      <c r="F12" s="50" t="n">
        <f aca="false">Deuda!E23</f>
        <v>2244601.95976704</v>
      </c>
      <c r="G12" s="50" t="n">
        <f aca="false">Deuda!F23</f>
        <v>2529983.92373167</v>
      </c>
      <c r="H12" s="50" t="n">
        <f aca="false">Deuda!G23</f>
        <v>2805024.37332625</v>
      </c>
      <c r="I12" s="50" t="n">
        <f aca="false">Deuda!H23</f>
        <v>3090244.15529926</v>
      </c>
    </row>
    <row r="13" customFormat="false" ht="15" hidden="false" customHeight="true" outlineLevel="0" collapsed="false">
      <c r="A13" s="5" t="s">
        <v>509</v>
      </c>
      <c r="C13" s="8" t="n">
        <f aca="false">WACC!C41</f>
        <v>0.0673469953443155</v>
      </c>
      <c r="D13" s="8" t="n">
        <f aca="false">WACC!D41</f>
        <v>0.0678809860329463</v>
      </c>
      <c r="E13" s="8" t="n">
        <f aca="false">WACC!E41</f>
        <v>0.0684149767215774</v>
      </c>
      <c r="F13" s="8" t="n">
        <f aca="false">WACC!F41</f>
        <v>0.0689489674102082</v>
      </c>
      <c r="G13" s="8" t="n">
        <f aca="false">WACC!G41</f>
        <v>0.0694829580988392</v>
      </c>
      <c r="H13" s="8" t="n">
        <f aca="false">WACC!H41</f>
        <v>0.07001694878747</v>
      </c>
      <c r="I13" s="8" t="n">
        <f aca="false">WACC!I41</f>
        <v>0.07001694878747</v>
      </c>
    </row>
    <row r="14" customFormat="false" ht="15" hidden="false" customHeight="true" outlineLevel="0" collapsed="false">
      <c r="A14" s="5" t="s">
        <v>510</v>
      </c>
      <c r="C14" s="38" t="n">
        <f aca="false">Supuestos!$B$35*C13*C12*DCF!C26</f>
        <v>14850.2640144492</v>
      </c>
      <c r="D14" s="38" t="n">
        <f aca="false">Supuestos!$B$35*D13*D12*DCF!D26</f>
        <v>31711.0746131113</v>
      </c>
      <c r="E14" s="38" t="n">
        <f aca="false">Supuestos!$B$35*E13*E12*DCF!E26</f>
        <v>36579.426780558</v>
      </c>
      <c r="F14" s="38" t="n">
        <f aca="false">Supuestos!$B$35*F13*F12*DCF!F26</f>
        <v>41786.0065906742</v>
      </c>
      <c r="G14" s="38" t="n">
        <f aca="false">Supuestos!$B$35*G13*G12*DCF!G26</f>
        <v>47463.5070801138</v>
      </c>
      <c r="H14" s="38" t="n">
        <f aca="false">Supuestos!$B$35*H13*H12*DCF!H26</f>
        <v>53027.7969315932</v>
      </c>
      <c r="I14" s="38" t="n">
        <f aca="false">Supuestos!$B$35*I13*I12*(1+Supuestos!$B$88)</f>
        <v>60172.3487066142</v>
      </c>
      <c r="J14" s="3" t="s">
        <v>511</v>
      </c>
    </row>
    <row r="15" customFormat="false" ht="15" hidden="false" customHeight="true" outlineLevel="0" collapsed="false">
      <c r="A15" s="5" t="s">
        <v>512</v>
      </c>
      <c r="C15" s="38" t="n">
        <f aca="false">C14*C10</f>
        <v>14464.3271210207</v>
      </c>
      <c r="D15" s="38" t="n">
        <f aca="false">D14*D10</f>
        <v>28540.8695642205</v>
      </c>
      <c r="E15" s="38" t="n">
        <f aca="false">E14*E10</f>
        <v>29631.2094367526</v>
      </c>
      <c r="F15" s="38" t="n">
        <f aca="false">F14*F10</f>
        <v>30464.8884528399</v>
      </c>
      <c r="G15" s="38" t="n">
        <f aca="false">G14*G10</f>
        <v>31144.7457781952</v>
      </c>
      <c r="H15" s="38" t="n">
        <f aca="false">H14*H10</f>
        <v>31317.3344940101</v>
      </c>
      <c r="I15" s="38" t="n">
        <f aca="false">I14/($C$5-Supuestos!$B$88)*H9</f>
        <v>415828.340782717</v>
      </c>
    </row>
    <row r="17" customFormat="false" ht="15" hidden="false" customHeight="true" outlineLevel="0" collapsed="false">
      <c r="A17" s="5" t="s">
        <v>513</v>
      </c>
      <c r="C17" s="38" t="n">
        <f aca="false">SUM(C11:I11)</f>
        <v>4905218.92388007</v>
      </c>
    </row>
    <row r="18" customFormat="false" ht="15" hidden="false" customHeight="true" outlineLevel="0" collapsed="false">
      <c r="A18" s="5" t="s">
        <v>514</v>
      </c>
      <c r="C18" s="38" t="n">
        <f aca="false">SUM(C15:I15)</f>
        <v>581391.715629756</v>
      </c>
    </row>
    <row r="19" customFormat="false" ht="15" hidden="false" customHeight="true" outlineLevel="0" collapsed="false">
      <c r="A19" s="4" t="s">
        <v>515</v>
      </c>
      <c r="C19" s="47" t="n">
        <f aca="false">C17+C18</f>
        <v>5486610.63950983</v>
      </c>
    </row>
    <row r="20" customFormat="false" ht="15" hidden="false" customHeight="true" outlineLevel="0" collapsed="false">
      <c r="A20" s="5" t="s">
        <v>448</v>
      </c>
      <c r="C20" s="38" t="n">
        <f aca="false">C19-Supuestos!$B$10-Supuestos!$B$11</f>
        <v>4150029.63950983</v>
      </c>
    </row>
    <row r="21" customFormat="false" ht="15" hidden="false" customHeight="true" outlineLevel="0" collapsed="false">
      <c r="A21" s="4" t="s">
        <v>516</v>
      </c>
      <c r="C21" s="52" t="n">
        <f aca="false">C20/Supuestos!$B$9</f>
        <v>1894.99070297252</v>
      </c>
    </row>
    <row r="22" customFormat="false" ht="15" hidden="false" customHeight="true" outlineLevel="0" collapsed="false">
      <c r="A22" s="5" t="s">
        <v>517</v>
      </c>
      <c r="C22" s="26" t="n">
        <f aca="false">(C17-Supuestos!$B$10-Supuestos!$B$11)/Supuestos!$B$9</f>
        <v>1629.51503373519</v>
      </c>
    </row>
    <row r="23" customFormat="false" ht="15" hidden="false" customHeight="true" outlineLevel="0" collapsed="false">
      <c r="A23" s="5" t="s">
        <v>518</v>
      </c>
      <c r="C23" s="26" t="n">
        <f aca="false">C18/Supuestos!$B$9</f>
        <v>265.475669237332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8" min="2" style="1" width="13"/>
  </cols>
  <sheetData>
    <row r="1" customFormat="false" ht="15.75" hidden="false" customHeight="true" outlineLevel="0" collapsed="false">
      <c r="A1" s="2" t="s">
        <v>519</v>
      </c>
    </row>
    <row r="3" customFormat="false" ht="15" hidden="false" customHeight="true" outlineLevel="0" collapsed="false">
      <c r="A3" s="4" t="s">
        <v>520</v>
      </c>
    </row>
    <row r="5" customFormat="false" ht="15" hidden="false" customHeight="true" outlineLevel="0" collapsed="false">
      <c r="A5" s="13" t="s">
        <v>521</v>
      </c>
      <c r="B5" s="56" t="n">
        <v>0.025</v>
      </c>
      <c r="C5" s="56" t="n">
        <v>0.03</v>
      </c>
      <c r="D5" s="56" t="n">
        <v>0.035</v>
      </c>
      <c r="E5" s="56" t="n">
        <v>0.04</v>
      </c>
    </row>
    <row r="6" customFormat="false" ht="15" hidden="false" customHeight="true" outlineLevel="0" collapsed="false">
      <c r="A6" s="57" t="n">
        <v>-0.01</v>
      </c>
      <c r="B6" s="26" t="n">
        <f aca="false">(SUM($C$30:$H$30)+B$25/(DCF!$I$25+$A$6-B$5)*$H$28-Supuestos!$B$10-Supuestos!$B$11)/Supuestos!$B$9</f>
        <v>2329.25866009222</v>
      </c>
      <c r="C6" s="26" t="n">
        <f aca="false">(SUM($C$30:$H$30)+C$25/(DCF!$I$25+$A$6-C$5)*$H$28-Supuestos!$B$10-Supuestos!$B$11)/Supuestos!$B$9</f>
        <v>2288.48757945497</v>
      </c>
      <c r="D6" s="26" t="n">
        <f aca="false">(SUM($C$30:$H$30)+D$25/(DCF!$I$25+$A$6-D$5)*$H$28-Supuestos!$B$10-Supuestos!$B$11)/Supuestos!$B$9</f>
        <v>2238.34138772587</v>
      </c>
      <c r="E6" s="26" t="n">
        <f aca="false">(SUM($C$30:$H$30)+E$25/(DCF!$I$25+$A$6-E$5)*$H$28-Supuestos!$B$10-Supuestos!$B$11)/Supuestos!$B$9</f>
        <v>2176.22256720478</v>
      </c>
    </row>
    <row r="7" customFormat="false" ht="15" hidden="false" customHeight="true" outlineLevel="0" collapsed="false">
      <c r="A7" s="57" t="n">
        <v>-0.005</v>
      </c>
      <c r="B7" s="26" t="n">
        <f aca="false">(SUM($C$33:$H$33)+B$25/(DCF!$I$25+$A$7-B$5)*$H$31-Supuestos!$B$10-Supuestos!$B$11)/Supuestos!$B$9</f>
        <v>2105.93033518822</v>
      </c>
      <c r="C7" s="26" t="n">
        <f aca="false">(SUM($C$33:$H$33)+C$25/(DCF!$I$25+$A$7-C$5)*$H$31-Supuestos!$B$10-Supuestos!$B$11)/Supuestos!$B$9</f>
        <v>2057.71807392741</v>
      </c>
      <c r="D7" s="26" t="n">
        <f aca="false">(SUM($C$33:$H$33)+D$25/(DCF!$I$25+$A$7-D$5)*$H$31-Supuestos!$B$10-Supuestos!$B$11)/Supuestos!$B$9</f>
        <v>1999.75800371664</v>
      </c>
      <c r="E7" s="26" t="n">
        <f aca="false">(SUM($C$33:$H$33)+E$25/(DCF!$I$25+$A$7-E$5)*$H$31-Supuestos!$B$10-Supuestos!$B$11)/Supuestos!$B$9</f>
        <v>1929.57768738156</v>
      </c>
    </row>
    <row r="8" customFormat="false" ht="15" hidden="false" customHeight="true" outlineLevel="0" collapsed="false">
      <c r="A8" s="57" t="n">
        <v>0</v>
      </c>
      <c r="B8" s="26" t="n">
        <f aca="false">(SUM($C$36:$H$36)+B$25/(DCF!$I$25+$A$8-B$5)*$H$34-Supuestos!$B$10-Supuestos!$B$11)/Supuestos!$B$9</f>
        <v>1911.50630339501</v>
      </c>
      <c r="C8" s="58" t="n">
        <f aca="false">(SUM($C$36:$H$36)+C$25/(DCF!$I$25+$A$8-C$5)*$H$34-Supuestos!$B$10-Supuestos!$B$11)/Supuestos!$B$9</f>
        <v>1858.65339722932</v>
      </c>
      <c r="D8" s="26" t="n">
        <f aca="false">(SUM($C$36:$H$36)+D$25/(DCF!$I$25+$A$8-D$5)*$H$34-Supuestos!$B$10-Supuestos!$B$11)/Supuestos!$B$9</f>
        <v>1796.13741969812</v>
      </c>
      <c r="E8" s="26" t="n">
        <f aca="false">(SUM($C$36:$H$36)+E$25/(DCF!$I$25+$A$8-E$5)*$H$34-Supuestos!$B$10-Supuestos!$B$11)/Supuestos!$B$9</f>
        <v>1721.69849194288</v>
      </c>
    </row>
    <row r="9" customFormat="false" ht="15" hidden="false" customHeight="true" outlineLevel="0" collapsed="false">
      <c r="A9" s="57" t="n">
        <v>0.005</v>
      </c>
      <c r="B9" s="26" t="n">
        <f aca="false">(SUM($C$39:$H$39)+B$25/(DCF!$I$25+$A$9-B$5)*$H$37-Supuestos!$B$10-Supuestos!$B$11)/Supuestos!$B$9</f>
        <v>1740.81172741593</v>
      </c>
      <c r="C9" s="26" t="n">
        <f aca="false">(SUM($C$39:$H$39)+C$25/(DCF!$I$25+$A$9-C$5)*$H$37-Supuestos!$B$10-Supuestos!$B$11)/Supuestos!$B$9</f>
        <v>1685.26566288299</v>
      </c>
      <c r="D9" s="26" t="n">
        <f aca="false">(SUM($C$39:$H$39)+D$25/(DCF!$I$25+$A$9-D$5)*$H$37-Supuestos!$B$10-Supuestos!$B$11)/Supuestos!$B$9</f>
        <v>1620.39113701792</v>
      </c>
      <c r="E9" s="26" t="n">
        <f aca="false">(SUM($C$39:$H$39)+E$25/(DCF!$I$25+$A$9-E$5)*$H$37-Supuestos!$B$10-Supuestos!$B$11)/Supuestos!$B$9</f>
        <v>1544.16429659299</v>
      </c>
    </row>
    <row r="10" customFormat="false" ht="15" hidden="false" customHeight="true" outlineLevel="0" collapsed="false">
      <c r="A10" s="57" t="n">
        <v>0.01</v>
      </c>
      <c r="B10" s="26" t="n">
        <f aca="false">(SUM($C$42:$H$42)+B$25/(DCF!$I$25+$A$10-B$5)*$H$40-Supuestos!$B$10-Supuestos!$B$11)/Supuestos!$B$9</f>
        <v>1589.83365121287</v>
      </c>
      <c r="C10" s="26" t="n">
        <f aca="false">(SUM($C$42:$H$42)+C$25/(DCF!$I$25+$A$10-C$5)*$H$40-Supuestos!$B$10-Supuestos!$B$11)/Supuestos!$B$9</f>
        <v>1532.96051708082</v>
      </c>
      <c r="D10" s="26" t="n">
        <f aca="false">(SUM($C$42:$H$42)+D$25/(DCF!$I$25+$A$10-D$5)*$H$40-Supuestos!$B$10-Supuestos!$B$11)/Supuestos!$B$9</f>
        <v>1467.22262072035</v>
      </c>
      <c r="E10" s="26" t="n">
        <f aca="false">(SUM($C$42:$H$42)+E$25/(DCF!$I$25+$A$10-E$5)*$H$40-Supuestos!$B$10-Supuestos!$B$11)/Supuestos!$B$9</f>
        <v>1390.82641661259</v>
      </c>
    </row>
    <row r="12" customFormat="false" ht="15" hidden="false" customHeight="true" outlineLevel="0" collapsed="false">
      <c r="A12" s="3" t="s">
        <v>522</v>
      </c>
    </row>
    <row r="14" customFormat="false" ht="15" hidden="false" customHeight="true" outlineLevel="0" collapsed="false">
      <c r="A14" s="4" t="s">
        <v>523</v>
      </c>
    </row>
    <row r="15" customFormat="false" ht="15" hidden="false" customHeight="true" outlineLevel="0" collapsed="false">
      <c r="A15" s="13" t="s">
        <v>524</v>
      </c>
      <c r="B15" s="59" t="n">
        <v>0</v>
      </c>
      <c r="C15" s="59" t="n">
        <v>0.0025</v>
      </c>
      <c r="D15" s="59" t="n">
        <v>0.005</v>
      </c>
    </row>
    <row r="16" customFormat="false" ht="15" hidden="false" customHeight="true" outlineLevel="0" collapsed="false">
      <c r="A16" s="13" t="s">
        <v>525</v>
      </c>
      <c r="B16" s="60" t="n">
        <v>1819.6</v>
      </c>
      <c r="C16" s="60" t="n">
        <v>1819.6</v>
      </c>
      <c r="D16" s="60" t="n">
        <v>1819.6</v>
      </c>
    </row>
    <row r="17" customFormat="false" ht="15" hidden="false" customHeight="true" outlineLevel="0" collapsed="false">
      <c r="A17" s="13" t="s">
        <v>526</v>
      </c>
      <c r="B17" s="60" t="n">
        <v>1850.6</v>
      </c>
      <c r="C17" s="60" t="n">
        <v>1842.9</v>
      </c>
      <c r="D17" s="60" t="n">
        <v>1835.3</v>
      </c>
    </row>
    <row r="18" customFormat="false" ht="15" hidden="false" customHeight="true" outlineLevel="0" collapsed="false">
      <c r="A18" s="13" t="s">
        <v>527</v>
      </c>
      <c r="B18" s="60" t="n">
        <v>1873.9</v>
      </c>
      <c r="C18" s="61" t="n">
        <v>1858.7</v>
      </c>
      <c r="D18" s="60" t="n">
        <v>1843.6</v>
      </c>
    </row>
    <row r="19" customFormat="false" ht="15" hidden="false" customHeight="true" outlineLevel="0" collapsed="false">
      <c r="A19" s="13" t="s">
        <v>528</v>
      </c>
      <c r="B19" s="60" t="n">
        <v>1896.5</v>
      </c>
      <c r="C19" s="60" t="n">
        <v>1872.3</v>
      </c>
      <c r="D19" s="60" t="n">
        <v>1848.5</v>
      </c>
    </row>
    <row r="20" customFormat="false" ht="15" hidden="false" customHeight="true" outlineLevel="0" collapsed="false">
      <c r="A20" s="3" t="s">
        <v>529</v>
      </c>
    </row>
    <row r="24" customFormat="false" ht="15" hidden="false" customHeight="true" outlineLevel="0" collapsed="false">
      <c r="A24" s="3" t="s">
        <v>530</v>
      </c>
    </row>
    <row r="25" customFormat="false" ht="15" hidden="false" customHeight="true" outlineLevel="0" collapsed="false">
      <c r="A25" s="5" t="s">
        <v>531</v>
      </c>
      <c r="B25" s="62" t="n">
        <f aca="false">((DCF!$C$35*(1+B$5))-Supuestos!$B$57*(DCF!$C$34*(1+B$5)))*(1-Supuestos!$B$59)+Supuestos!$B$57*(DCF!$C$34*(1+B$5))-Supuestos!$B$58*(DCF!$C$34*(1+B$5))-Supuestos!$B$84*Supuestos!$B$85*((DCF!$C$34*(1+B$5))-DCF!$C$34)-((1+B$5)/(1+Supuestos!$B$34)-1)/Expansion!$C$38*((DCF!$C$35*(1+B$5))-Supuestos!$B$57*(DCF!$C$34*(1+B$5)))*(1-Supuestos!$B$59)</f>
        <v>592936.212324403</v>
      </c>
      <c r="C25" s="62" t="n">
        <f aca="false">((DCF!$C$35*(1+C$5))-Supuestos!$B$57*(DCF!$C$34*(1+C$5)))*(1-Supuestos!$B$59)+Supuestos!$B$57*(DCF!$C$34*(1+C$5))-Supuestos!$B$58*(DCF!$C$34*(1+C$5))-Supuestos!$B$84*Supuestos!$B$85*((DCF!$C$34*(1+C$5))-DCF!$C$34)-((1+C$5)/(1+Supuestos!$B$34)-1)/Expansion!$C$38*((DCF!$C$35*(1+C$5))-Supuestos!$B$57*(DCF!$C$34*(1+C$5)))*(1-Supuestos!$B$59)</f>
        <v>540637.80850638</v>
      </c>
      <c r="D25" s="62" t="n">
        <f aca="false">((DCF!$C$35*(1+D$5))-Supuestos!$B$57*(DCF!$C$34*(1+D$5)))*(1-Supuestos!$B$59)+Supuestos!$B$57*(DCF!$C$34*(1+D$5))-Supuestos!$B$58*(DCF!$C$34*(1+D$5))-Supuestos!$B$84*Supuestos!$B$85*((DCF!$C$34*(1+D$5))-DCF!$C$34)-((1+D$5)/(1+Supuestos!$B$34)-1)/Expansion!$C$38*((DCF!$C$35*(1+D$5))-Supuestos!$B$57*(DCF!$C$34*(1+D$5)))*(1-Supuestos!$B$59)</f>
        <v>487810.963500129</v>
      </c>
      <c r="E25" s="62" t="n">
        <f aca="false">((DCF!$C$35*(1+E$5))-Supuestos!$B$57*(DCF!$C$34*(1+E$5)))*(1-Supuestos!$B$59)+Supuestos!$B$57*(DCF!$C$34*(1+E$5))-Supuestos!$B$58*(DCF!$C$34*(1+E$5))-Supuestos!$B$84*Supuestos!$B$85*((DCF!$C$34*(1+E$5))-DCF!$C$34)-((1+E$5)/(1+Supuestos!$B$34)-1)/Expansion!$C$38*((DCF!$C$35*(1+E$5))-Supuestos!$B$57*(DCF!$C$34*(1+E$5)))*(1-Supuestos!$B$59)</f>
        <v>434455.67730565</v>
      </c>
    </row>
    <row r="27" customFormat="false" ht="15" hidden="false" customHeight="true" outlineLevel="0" collapsed="false">
      <c r="A27" s="3" t="s">
        <v>532</v>
      </c>
    </row>
    <row r="28" customFormat="false" ht="15" hidden="false" customHeight="true" outlineLevel="0" collapsed="false">
      <c r="A28" s="63" t="s">
        <v>533</v>
      </c>
      <c r="C28" s="64" t="n">
        <f aca="false">(1+(DCF!C$25+$A$6))^-DCF!C$26</f>
        <v>0.95547615672631</v>
      </c>
      <c r="D28" s="64" t="n">
        <f aca="false">C28*(1+(DCF!D$25+$A$6))^-DCF!D$26</f>
        <v>0.872508966341266</v>
      </c>
      <c r="E28" s="64" t="n">
        <f aca="false">D28*(1+(DCF!E$25+$A$6))^-DCF!E$26</f>
        <v>0.796936392706164</v>
      </c>
      <c r="F28" s="64" t="n">
        <f aca="false">E28*(1+(DCF!F$25+$A$6))^-DCF!F$26</f>
        <v>0.728072720111755</v>
      </c>
      <c r="G28" s="64" t="n">
        <f aca="false">F28*(1+(DCF!G$25+$A$6))^-DCF!G$26</f>
        <v>0.665299273634888</v>
      </c>
      <c r="H28" s="64" t="n">
        <f aca="false">G28*(1+(DCF!H$25+$A$6))^-DCF!H$26</f>
        <v>0.608057435347345</v>
      </c>
    </row>
    <row r="29" customFormat="false" ht="15" hidden="false" customHeight="true" outlineLevel="0" collapsed="false">
      <c r="A29" s="63" t="s">
        <v>534</v>
      </c>
      <c r="C29" s="64" t="n">
        <f aca="false">(1+(DCF!C$25+$A$6))^-(DCF!C$26/2)</f>
        <v>0.97748460689993</v>
      </c>
      <c r="D29" s="64" t="n">
        <f aca="false">C28*(1+(DCF!D$25+$A$6))^-(DCF!D$26/2)</f>
        <v>0.913050663363758</v>
      </c>
      <c r="E29" s="64" t="n">
        <f aca="false">D28*(1+(DCF!E$25+$A$6))^-(DCF!E$26/2)</f>
        <v>0.833866984740248</v>
      </c>
      <c r="F29" s="64" t="n">
        <f aca="false">E28*(1+(DCF!F$25+$A$6))^-(DCF!F$26/2)</f>
        <v>0.76172675362864</v>
      </c>
      <c r="G29" s="64" t="n">
        <f aca="false">F28*(1+(DCF!G$25+$A$6))^-(DCF!G$26/2)</f>
        <v>0.695978628869973</v>
      </c>
      <c r="H29" s="64" t="n">
        <f aca="false">G28*(1+(DCF!H$25+$A$6))^-(DCF!H$26/2)</f>
        <v>0.636034723945856</v>
      </c>
    </row>
    <row r="30" customFormat="false" ht="15" hidden="false" customHeight="true" outlineLevel="0" collapsed="false">
      <c r="A30" s="63" t="s">
        <v>535</v>
      </c>
      <c r="C30" s="62" t="n">
        <f aca="false">DCF!C$22*C29</f>
        <v>86520.8533120516</v>
      </c>
      <c r="D30" s="62" t="n">
        <f aca="false">DCF!D$22*D29</f>
        <v>136940.290135297</v>
      </c>
      <c r="E30" s="62" t="n">
        <f aca="false">DCF!E$22*E29</f>
        <v>177807.832371556</v>
      </c>
      <c r="F30" s="62" t="n">
        <f aca="false">DCF!F$22*F29</f>
        <v>291695.58752914</v>
      </c>
      <c r="G30" s="62" t="n">
        <f aca="false">DCF!G$22*G29</f>
        <v>269402.14681478</v>
      </c>
      <c r="H30" s="62" t="n">
        <f aca="false">DCF!H$22*H29</f>
        <v>260578.885476623</v>
      </c>
    </row>
    <row r="31" customFormat="false" ht="15" hidden="false" customHeight="true" outlineLevel="0" collapsed="false">
      <c r="A31" s="63" t="s">
        <v>536</v>
      </c>
      <c r="C31" s="64" t="n">
        <f aca="false">(1+(DCF!C$25+$A$7))^-DCF!C$26</f>
        <v>0.953302875827767</v>
      </c>
      <c r="D31" s="64" t="n">
        <f aca="false">C31*(1+(DCF!D$25+$A$7))^-DCF!D$26</f>
        <v>0.866567794618528</v>
      </c>
      <c r="E31" s="64" t="n">
        <f aca="false">D31*(1+(DCF!E$25+$A$7))^-DCF!E$26</f>
        <v>0.787911485284914</v>
      </c>
      <c r="F31" s="64" t="n">
        <f aca="false">E31*(1+(DCF!F$25+$A$7))^-DCF!F$26</f>
        <v>0.716554476231753</v>
      </c>
      <c r="G31" s="64" t="n">
        <f aca="false">F31*(1+(DCF!G$25+$A$7))^-DCF!G$26</f>
        <v>0.651796121482303</v>
      </c>
      <c r="H31" s="64" t="n">
        <f aca="false">G31*(1+(DCF!H$25+$A$7))^-DCF!H$26</f>
        <v>0.593006162191831</v>
      </c>
    </row>
    <row r="32" customFormat="false" ht="15" hidden="false" customHeight="true" outlineLevel="0" collapsed="false">
      <c r="A32" s="63" t="s">
        <v>537</v>
      </c>
      <c r="C32" s="64" t="n">
        <f aca="false">(1+(DCF!C$25+$A$7))^-(DCF!C$26/2)</f>
        <v>0.976372303902444</v>
      </c>
      <c r="D32" s="64" t="n">
        <f aca="false">C31*(1+(DCF!D$25+$A$7))^-(DCF!D$26/2)</f>
        <v>0.908901298662054</v>
      </c>
      <c r="E32" s="64" t="n">
        <f aca="false">D31*(1+(DCF!E$25+$A$7))^-(DCF!E$26/2)</f>
        <v>0.826304252777363</v>
      </c>
      <c r="F32" s="64" t="n">
        <f aca="false">E31*(1+(DCF!F$25+$A$7))^-(DCF!F$26/2)</f>
        <v>0.751386386392057</v>
      </c>
      <c r="G32" s="64" t="n">
        <f aca="false">F31*(1+(DCF!G$25+$A$7))^-(DCF!G$26/2)</f>
        <v>0.683408683321071</v>
      </c>
      <c r="H32" s="64" t="n">
        <f aca="false">G31*(1+(DCF!H$25+$A$7))^-(DCF!H$26/2)</f>
        <v>0.621706616123507</v>
      </c>
    </row>
    <row r="33" customFormat="false" ht="15" hidden="false" customHeight="true" outlineLevel="0" collapsed="false">
      <c r="A33" s="63" t="s">
        <v>538</v>
      </c>
      <c r="C33" s="62" t="n">
        <f aca="false">DCF!C$22*C32</f>
        <v>86422.3991739458</v>
      </c>
      <c r="D33" s="62" t="n">
        <f aca="false">DCF!D$22*D32</f>
        <v>136317.964092583</v>
      </c>
      <c r="E33" s="62" t="n">
        <f aca="false">DCF!E$22*E32</f>
        <v>176195.209493164</v>
      </c>
      <c r="F33" s="62" t="n">
        <f aca="false">DCF!F$22*F32</f>
        <v>287735.848053043</v>
      </c>
      <c r="G33" s="62" t="n">
        <f aca="false">DCF!G$22*G32</f>
        <v>264536.522820381</v>
      </c>
      <c r="H33" s="62" t="n">
        <f aca="false">DCF!H$22*H32</f>
        <v>254708.761996298</v>
      </c>
    </row>
    <row r="34" customFormat="false" ht="15" hidden="false" customHeight="true" outlineLevel="0" collapsed="false">
      <c r="A34" s="63" t="s">
        <v>539</v>
      </c>
      <c r="C34" s="64" t="n">
        <f aca="false">(1+(DCF!C$25+$A$8))^-DCF!C$26</f>
        <v>0.95114435751134</v>
      </c>
      <c r="D34" s="64" t="n">
        <f aca="false">C34*(1+(DCF!D$25+$A$8))^-DCF!D$26</f>
        <v>0.860693743469935</v>
      </c>
      <c r="E34" s="64" t="n">
        <f aca="false">D34*(1+(DCF!E$25+$A$8))^-DCF!E$26</f>
        <v>0.77902901589487</v>
      </c>
      <c r="F34" s="64" t="n">
        <f aca="false">E34*(1+(DCF!F$25+$A$8))^-DCF!F$26</f>
        <v>0.705269460955958</v>
      </c>
      <c r="G34" s="64" t="n">
        <f aca="false">F34*(1+(DCF!G$25+$A$8))^-DCF!G$26</f>
        <v>0.638626431450172</v>
      </c>
      <c r="H34" s="64" t="n">
        <f aca="false">G34*(1+(DCF!H$25+$A$8))^-DCF!H$26</f>
        <v>0.578393216919061</v>
      </c>
    </row>
    <row r="35" customFormat="false" ht="15" hidden="false" customHeight="true" outlineLevel="0" collapsed="false">
      <c r="A35" s="63" t="s">
        <v>540</v>
      </c>
      <c r="C35" s="64" t="n">
        <f aca="false">(1+(DCF!C$25+$A$8))^-(DCF!C$26/2)</f>
        <v>0.975266300818059</v>
      </c>
      <c r="D35" s="64" t="n">
        <f aca="false">C34*(1+(DCF!D$25+$A$8))^-(DCF!D$26/2)</f>
        <v>0.904789476976131</v>
      </c>
      <c r="E35" s="64" t="n">
        <f aca="false">D34*(1+(DCF!E$25+$A$8))^-(DCF!E$26/2)</f>
        <v>0.818843941152559</v>
      </c>
      <c r="F35" s="64" t="n">
        <f aca="false">E34*(1+(DCF!F$25+$A$8))^-(DCF!F$26/2)</f>
        <v>0.741232334770432</v>
      </c>
      <c r="G35" s="64" t="n">
        <f aca="false">F34*(1+(DCF!G$25+$A$8))^-(DCF!G$26/2)</f>
        <v>0.671121240210061</v>
      </c>
      <c r="H35" s="64" t="n">
        <f aca="false">G34*(1+(DCF!H$25+$A$8))^-(DCF!H$26/2)</f>
        <v>0.607764095760851</v>
      </c>
    </row>
    <row r="36" customFormat="false" ht="15" hidden="false" customHeight="true" outlineLevel="0" collapsed="false">
      <c r="A36" s="63" t="s">
        <v>541</v>
      </c>
      <c r="C36" s="62" t="n">
        <f aca="false">DCF!C$22*C35</f>
        <v>86324.5026649355</v>
      </c>
      <c r="D36" s="62" t="n">
        <f aca="false">DCF!D$22*D35</f>
        <v>135701.268790506</v>
      </c>
      <c r="E36" s="62" t="n">
        <f aca="false">DCF!E$22*E35</f>
        <v>174604.425995199</v>
      </c>
      <c r="F36" s="62" t="n">
        <f aca="false">DCF!F$22*F35</f>
        <v>283847.456264962</v>
      </c>
      <c r="G36" s="62" t="n">
        <f aca="false">DCF!G$22*G35</f>
        <v>259780.25098148</v>
      </c>
      <c r="H36" s="62" t="n">
        <f aca="false">DCF!H$22*H35</f>
        <v>248996.610945335</v>
      </c>
    </row>
    <row r="37" customFormat="false" ht="15" hidden="false" customHeight="true" outlineLevel="0" collapsed="false">
      <c r="A37" s="63" t="s">
        <v>542</v>
      </c>
      <c r="C37" s="64" t="n">
        <f aca="false">(1+(DCF!C$25+$A$9))^-DCF!C$26</f>
        <v>0.949000435399129</v>
      </c>
      <c r="D37" s="64" t="n">
        <f aca="false">C37*(1+(DCF!D$25+$A$9))^-DCF!D$26</f>
        <v>0.854885756056732</v>
      </c>
      <c r="E37" s="64" t="n">
        <f aca="false">D37*(1+(DCF!E$25+$A$9))^-DCF!E$26</f>
        <v>0.770286107147164</v>
      </c>
      <c r="F37" s="64" t="n">
        <f aca="false">E37*(1+(DCF!F$25+$A$9))^-DCF!F$26</f>
        <v>0.6942119281482</v>
      </c>
      <c r="G37" s="64" t="n">
        <f aca="false">F37*(1+(DCF!G$25+$A$9))^-DCF!G$26</f>
        <v>0.62578051495315</v>
      </c>
      <c r="H37" s="64" t="n">
        <f aca="false">G37*(1+(DCF!H$25+$A$9))^-DCF!H$26</f>
        <v>0.564203936348378</v>
      </c>
    </row>
    <row r="38" customFormat="false" ht="15" hidden="false" customHeight="true" outlineLevel="0" collapsed="false">
      <c r="A38" s="63" t="s">
        <v>543</v>
      </c>
      <c r="C38" s="64" t="n">
        <f aca="false">(1+(DCF!C$25+$A$9))^-(DCF!C$26/2)</f>
        <v>0.974166533709267</v>
      </c>
      <c r="D38" s="64" t="n">
        <f aca="false">C37*(1+(DCF!D$25+$A$9))^-(DCF!D$26/2)</f>
        <v>0.90071469107279</v>
      </c>
      <c r="E38" s="64" t="n">
        <f aca="false">D37*(1+(DCF!E$25+$A$9))^-(DCF!E$26/2)</f>
        <v>0.811484208773344</v>
      </c>
      <c r="F38" s="64" t="n">
        <f aca="false">E37*(1+(DCF!F$25+$A$9))^-(DCF!F$26/2)</f>
        <v>0.731260421237471</v>
      </c>
      <c r="G38" s="64" t="n">
        <f aca="false">F37*(1+(DCF!G$25+$A$9))^-(DCF!G$26/2)</f>
        <v>0.659108714768057</v>
      </c>
      <c r="H38" s="64" t="n">
        <f aca="false">G37*(1+(DCF!H$25+$A$9))^-(DCF!H$26/2)</f>
        <v>0.594195110907757</v>
      </c>
    </row>
    <row r="39" customFormat="false" ht="15" hidden="false" customHeight="true" outlineLevel="0" collapsed="false">
      <c r="A39" s="63" t="s">
        <v>544</v>
      </c>
      <c r="C39" s="62" t="n">
        <f aca="false">DCF!C$22*C38</f>
        <v>86227.1581256707</v>
      </c>
      <c r="D39" s="62" t="n">
        <f aca="false">DCF!D$22*D38</f>
        <v>135090.128153702</v>
      </c>
      <c r="E39" s="62" t="n">
        <f aca="false">DCF!E$22*E38</f>
        <v>173035.089296264</v>
      </c>
      <c r="F39" s="62" t="n">
        <f aca="false">DCF!F$22*F38</f>
        <v>280028.812423283</v>
      </c>
      <c r="G39" s="62" t="n">
        <f aca="false">DCF!G$22*G38</f>
        <v>255130.395355888</v>
      </c>
      <c r="H39" s="62" t="n">
        <f aca="false">DCF!H$22*H38</f>
        <v>243437.49472581</v>
      </c>
    </row>
    <row r="40" customFormat="false" ht="15" hidden="false" customHeight="true" outlineLevel="0" collapsed="false">
      <c r="A40" s="63" t="s">
        <v>545</v>
      </c>
      <c r="C40" s="64" t="n">
        <f aca="false">(1+(DCF!C$25+$A$10))^-DCF!C$26</f>
        <v>0.94687094572662</v>
      </c>
      <c r="D40" s="64" t="n">
        <f aca="false">C40*(1+(DCF!D$25+$A$10))^-DCF!D$26</f>
        <v>0.849142796839031</v>
      </c>
      <c r="E40" s="64" t="n">
        <f aca="false">D40*(1+(DCF!E$25+$A$10))^-DCF!E$26</f>
        <v>0.761679952378262</v>
      </c>
      <c r="F40" s="64" t="n">
        <f aca="false">E40*(1+(DCF!F$25+$A$10))^-DCF!F$26</f>
        <v>0.683376298235028</v>
      </c>
      <c r="G40" s="64" t="n">
        <f aca="false">F40*(1+(DCF!G$25+$A$10))^-DCF!G$26</f>
        <v>0.613249006763214</v>
      </c>
      <c r="H40" s="64" t="n">
        <f aca="false">G40*(1+(DCF!H$25+$A$10))^-DCF!H$26</f>
        <v>0.550424210749824</v>
      </c>
    </row>
    <row r="41" customFormat="false" ht="15" hidden="false" customHeight="true" outlineLevel="0" collapsed="false">
      <c r="A41" s="63" t="s">
        <v>546</v>
      </c>
      <c r="C41" s="64" t="n">
        <f aca="false">(1+(DCF!C$25+$A$10))^-(DCF!C$26/2)</f>
        <v>0.973072939571654</v>
      </c>
      <c r="D41" s="64" t="n">
        <f aca="false">C40*(1+(DCF!D$25+$A$10))^-(DCF!D$26/2)</f>
        <v>0.896676442815312</v>
      </c>
      <c r="E41" s="64" t="n">
        <f aca="false">D40*(1+(DCF!E$25+$A$10))^-(DCF!E$26/2)</f>
        <v>0.80422325573108</v>
      </c>
      <c r="F41" s="64" t="n">
        <f aca="false">E40*(1+(DCF!F$25+$A$10))^-(DCF!F$26/2)</f>
        <v>0.721466580165769</v>
      </c>
      <c r="G41" s="64" t="n">
        <f aca="false">F40*(1+(DCF!G$25+$A$10))^-(DCF!G$26/2)</f>
        <v>0.647363758746312</v>
      </c>
      <c r="H41" s="64" t="n">
        <f aca="false">G40*(1+(DCF!H$25+$A$10))^-(DCF!H$26/2)</f>
        <v>0.580988038207979</v>
      </c>
    </row>
    <row r="42" customFormat="false" ht="15" hidden="false" customHeight="true" outlineLevel="0" collapsed="false">
      <c r="A42" s="63" t="s">
        <v>547</v>
      </c>
      <c r="C42" s="62" t="n">
        <f aca="false">DCF!C$22*C41</f>
        <v>86130.3599793925</v>
      </c>
      <c r="D42" s="62" t="n">
        <f aca="false">DCF!D$22*D41</f>
        <v>134484.467471106</v>
      </c>
      <c r="E42" s="62" t="n">
        <f aca="false">DCF!E$22*E41</f>
        <v>171486.815596714</v>
      </c>
      <c r="F42" s="62" t="n">
        <f aca="false">DCF!F$22*F41</f>
        <v>276278.359636941</v>
      </c>
      <c r="G42" s="62" t="n">
        <f aca="false">DCF!G$22*G41</f>
        <v>250584.111554559</v>
      </c>
      <c r="H42" s="62" t="n">
        <f aca="false">DCF!H$22*H41</f>
        <v>238026.651331653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3"/>
    <col collapsed="false" customWidth="true" hidden="false" outlineLevel="0" max="3" min="3" style="1" width="10"/>
    <col collapsed="false" customWidth="true" hidden="false" outlineLevel="0" max="5" min="4" style="1" width="8"/>
    <col collapsed="false" customWidth="true" hidden="false" outlineLevel="0" max="7" min="6" style="1" width="12"/>
    <col collapsed="false" customWidth="true" hidden="false" outlineLevel="0" max="8" min="8" style="1" width="11"/>
    <col collapsed="false" customWidth="true" hidden="false" outlineLevel="0" max="9" min="9" style="1" width="12"/>
    <col collapsed="false" customWidth="true" hidden="false" outlineLevel="0" max="12" min="10" style="1" width="11"/>
    <col collapsed="false" customWidth="true" hidden="false" outlineLevel="0" max="14" min="13" style="1" width="12"/>
    <col collapsed="false" customWidth="true" hidden="false" outlineLevel="0" max="15" min="15" style="1" width="11"/>
    <col collapsed="false" customWidth="true" hidden="false" outlineLevel="0" max="18" min="16" style="1" width="10"/>
    <col collapsed="false" customWidth="true" hidden="false" outlineLevel="0" max="19" min="19" style="1" width="9"/>
    <col collapsed="false" customWidth="true" hidden="false" outlineLevel="0" max="20" min="20" style="1" width="8"/>
    <col collapsed="false" customWidth="true" hidden="false" outlineLevel="0" max="32" min="23" style="1" width="11"/>
  </cols>
  <sheetData>
    <row r="1" customFormat="false" ht="15.75" hidden="false" customHeight="true" outlineLevel="0" collapsed="false">
      <c r="A1" s="2" t="s">
        <v>548</v>
      </c>
    </row>
    <row r="2" customFormat="false" ht="15" hidden="false" customHeight="true" outlineLevel="0" collapsed="false">
      <c r="A2" s="3" t="s">
        <v>549</v>
      </c>
    </row>
    <row r="3" customFormat="false" ht="15" hidden="false" customHeight="true" outlineLevel="0" collapsed="false">
      <c r="W3" s="3" t="s">
        <v>550</v>
      </c>
    </row>
    <row r="4" customFormat="false" ht="15" hidden="false" customHeight="true" outlineLevel="0" collapsed="false">
      <c r="A4" s="13" t="s">
        <v>235</v>
      </c>
      <c r="B4" s="13" t="s">
        <v>551</v>
      </c>
      <c r="C4" s="13" t="s">
        <v>237</v>
      </c>
      <c r="D4" s="13" t="s">
        <v>552</v>
      </c>
      <c r="E4" s="13" t="s">
        <v>553</v>
      </c>
      <c r="F4" s="13" t="s">
        <v>240</v>
      </c>
      <c r="G4" s="13" t="s">
        <v>554</v>
      </c>
      <c r="H4" s="13" t="s">
        <v>555</v>
      </c>
      <c r="I4" s="13" t="s">
        <v>556</v>
      </c>
      <c r="J4" s="13" t="s">
        <v>557</v>
      </c>
      <c r="K4" s="13" t="s">
        <v>558</v>
      </c>
      <c r="L4" s="13" t="s">
        <v>559</v>
      </c>
      <c r="M4" s="13" t="s">
        <v>560</v>
      </c>
      <c r="N4" s="13" t="s">
        <v>561</v>
      </c>
      <c r="O4" s="13" t="s">
        <v>562</v>
      </c>
      <c r="P4" s="13" t="s">
        <v>563</v>
      </c>
      <c r="Q4" s="13" t="s">
        <v>564</v>
      </c>
      <c r="R4" s="13" t="s">
        <v>565</v>
      </c>
      <c r="S4" s="13" t="s">
        <v>566</v>
      </c>
      <c r="T4" s="13" t="s">
        <v>567</v>
      </c>
      <c r="W4" s="65" t="s">
        <v>568</v>
      </c>
      <c r="X4" s="65" t="s">
        <v>569</v>
      </c>
      <c r="Y4" s="65" t="s">
        <v>570</v>
      </c>
      <c r="Z4" s="65" t="s">
        <v>571</v>
      </c>
      <c r="AA4" s="65" t="s">
        <v>572</v>
      </c>
      <c r="AB4" s="65" t="s">
        <v>573</v>
      </c>
      <c r="AC4" s="65" t="s">
        <v>574</v>
      </c>
      <c r="AD4" s="65" t="s">
        <v>575</v>
      </c>
      <c r="AE4" s="65" t="s">
        <v>576</v>
      </c>
      <c r="AF4" s="65" t="s">
        <v>577</v>
      </c>
    </row>
    <row r="5" customFormat="false" ht="15" hidden="false" customHeight="true" outlineLevel="0" collapsed="false">
      <c r="A5" s="4" t="s">
        <v>578</v>
      </c>
      <c r="B5" s="66" t="str">
        <f aca="false">Datos_BBG!B9</f>
        <v>MALLPLAZ CI</v>
      </c>
      <c r="C5" s="66" t="str">
        <f aca="false">Datos_BBG!D9</f>
        <v>Chile</v>
      </c>
      <c r="D5" s="5" t="s">
        <v>579</v>
      </c>
      <c r="E5" s="5" t="s">
        <v>209</v>
      </c>
      <c r="F5" s="38" t="n">
        <f aca="false">Datos_BBG!O9*Datos_BBG!S9</f>
        <v>7785450</v>
      </c>
      <c r="G5" s="38" t="n">
        <f aca="false">Datos_BBG!M9*Datos_BBG!S9</f>
        <v>1311568.558</v>
      </c>
      <c r="H5" s="38" t="n">
        <f aca="false">Datos_BBG!N9*Datos_BBG!S9</f>
        <v>50841.428</v>
      </c>
      <c r="I5" s="38" t="n">
        <f aca="false">F5+G5+H5</f>
        <v>9147859.986</v>
      </c>
      <c r="J5" s="38" t="n">
        <f aca="false">Datos_BBG!G9*Datos_BBG!S9</f>
        <v>677333.306</v>
      </c>
      <c r="K5" s="38" t="n">
        <f aca="false">Datos_BBG!H9*Datos_BBG!S9</f>
        <v>544935</v>
      </c>
      <c r="L5" s="38" t="n">
        <f aca="false">Datos_BBG!J9*Datos_BBG!S9</f>
        <v>540372.726</v>
      </c>
      <c r="M5" s="38" t="n">
        <f aca="false">Datos_BBG!K9*Datos_BBG!S9</f>
        <v>1258052.743</v>
      </c>
      <c r="N5" s="38" t="n">
        <f aca="false">Datos_BBG!L9*Datos_BBG!S9</f>
        <v>4820897.848</v>
      </c>
      <c r="O5" s="38" t="n">
        <f aca="false">Datos_BBG!H48*Datos_BBG!S48</f>
        <v>617130.3379</v>
      </c>
      <c r="P5" s="53" t="n">
        <f aca="false">IF(OR(K5&lt;=0,I5/K5&gt;Supuestos!$B$94),"NM",I5/K5)</f>
        <v>16.7870663216714</v>
      </c>
      <c r="Q5" s="53" t="n">
        <f aca="false">IF(OR(O5&lt;=0,I5/O5&gt;Supuestos!$B$94),"NM",I5/O5)</f>
        <v>14.8232219746784</v>
      </c>
      <c r="R5" s="53" t="n">
        <f aca="false">IF(OR(L5&lt;=0,I5/L5&gt;Supuestos!$B$94),"NM",I5/L5)</f>
        <v>16.9287966358243</v>
      </c>
      <c r="S5" s="53" t="n">
        <f aca="false">IF(OR(M5&lt;=0,Datos_BBG!Q9=1),"NM",IF(F5/M5&gt;Supuestos!$B$94,"NM",F5/M5))</f>
        <v>6.18849252809109</v>
      </c>
      <c r="T5" s="22" t="n">
        <f aca="false">IF(OR(N5&lt;=0,F5/N5&gt;Supuestos!$B$94),"NM",F5/N5)</f>
        <v>1.61493776584166</v>
      </c>
    </row>
    <row r="6" customFormat="false" ht="15" hidden="false" customHeight="true" outlineLevel="0" collapsed="false">
      <c r="A6" s="5" t="s">
        <v>245</v>
      </c>
      <c r="B6" s="66" t="str">
        <f aca="false">Datos_BBG!B14</f>
        <v>PARAUCO CI</v>
      </c>
      <c r="C6" s="66" t="str">
        <f aca="false">Datos_BBG!D14</f>
        <v>Chile</v>
      </c>
      <c r="D6" s="67" t="n">
        <v>1</v>
      </c>
      <c r="E6" s="67" t="n">
        <v>1</v>
      </c>
      <c r="F6" s="38" t="n">
        <f aca="false">Datos_BBG!O14*Datos_BBG!S14</f>
        <v>3440408.419</v>
      </c>
      <c r="G6" s="38" t="n">
        <f aca="false">Datos_BBG!M14*Datos_BBG!S14</f>
        <v>1602287.611</v>
      </c>
      <c r="H6" s="38" t="n">
        <f aca="false">Datos_BBG!N14*Datos_BBG!S14</f>
        <v>386791.135</v>
      </c>
      <c r="I6" s="38" t="n">
        <f aca="false">F6+G6+H6</f>
        <v>5429487.165</v>
      </c>
      <c r="J6" s="38" t="n">
        <f aca="false">Datos_BBG!G14*Datos_BBG!S14</f>
        <v>416366.832</v>
      </c>
      <c r="K6" s="38" t="n">
        <f aca="false">Datos_BBG!H14*Datos_BBG!S14</f>
        <v>294411</v>
      </c>
      <c r="L6" s="38" t="n">
        <f aca="false">Datos_BBG!J14*Datos_BBG!S14</f>
        <v>289515.61</v>
      </c>
      <c r="M6" s="38" t="n">
        <f aca="false">Datos_BBG!K14*Datos_BBG!S14</f>
        <v>154352.778</v>
      </c>
      <c r="N6" s="38" t="n">
        <f aca="false">Datos_BBG!L14*Datos_BBG!S14</f>
        <v>1961393.215</v>
      </c>
      <c r="O6" s="38" t="n">
        <f aca="false">Datos_BBG!H49*Datos_BBG!S49</f>
        <v>342581.9503</v>
      </c>
      <c r="P6" s="53" t="n">
        <f aca="false">IF(OR(K6&lt;=0,I6/K6&gt;Supuestos!$B$94),"NM",I6/K6)</f>
        <v>18.441862447395</v>
      </c>
      <c r="Q6" s="53" t="n">
        <f aca="false">IF(OR(O6&lt;=0,I6/O6&gt;Supuestos!$B$94),"NM",I6/O6)</f>
        <v>15.8487251305721</v>
      </c>
      <c r="R6" s="53" t="n">
        <f aca="false">IF(OR(L6&lt;=0,I6/L6&gt;Supuestos!$B$94),"NM",I6/L6)</f>
        <v>18.7536940236141</v>
      </c>
      <c r="S6" s="53" t="n">
        <f aca="false">IF(OR(M6&lt;=0,Datos_BBG!Q14=1),"NM",IF(F6/M6&gt;Supuestos!$B$94,"NM",F6/M6))</f>
        <v>22.2892549365066</v>
      </c>
      <c r="T6" s="22" t="n">
        <f aca="false">IF(OR(N6&lt;=0,F6/N6&gt;Supuestos!$B$94),"NM",F6/N6)</f>
        <v>1.75406358739749</v>
      </c>
      <c r="W6" s="68" t="n">
        <f aca="false">IF(AND($D6=1,ISNUMBER(P6)),P6,"")</f>
        <v>18.441862447395</v>
      </c>
      <c r="X6" s="68" t="n">
        <f aca="false">IF(AND($D6=1,ISNUMBER(Q6)),Q6,"")</f>
        <v>15.8487251305721</v>
      </c>
      <c r="Y6" s="68" t="n">
        <f aca="false">IF(AND($D6=1,ISNUMBER(R6)),R6,"")</f>
        <v>18.7536940236141</v>
      </c>
      <c r="Z6" s="68" t="n">
        <f aca="false">IF(AND($D6=1,ISNUMBER(S6)),S6,"")</f>
        <v>22.2892549365066</v>
      </c>
      <c r="AA6" s="68" t="n">
        <f aca="false">IF(AND($D6=1,ISNUMBER(T6)),T6,"")</f>
        <v>1.75406358739749</v>
      </c>
      <c r="AB6" s="68" t="n">
        <f aca="false">IF(AND($D6=1,$E6=1,ISNUMBER(P6)),P6,"")</f>
        <v>18.441862447395</v>
      </c>
      <c r="AC6" s="68" t="n">
        <f aca="false">IF(AND($D6=1,$E6=1,ISNUMBER(Q6)),Q6,"")</f>
        <v>15.8487251305721</v>
      </c>
      <c r="AD6" s="68" t="n">
        <f aca="false">IF(AND($D6=1,$E6=1,ISNUMBER(R6)),R6,"")</f>
        <v>18.7536940236141</v>
      </c>
      <c r="AE6" s="68" t="n">
        <f aca="false">IF(AND($D6=1,$E6=1,ISNUMBER(S6)),S6,"")</f>
        <v>22.2892549365066</v>
      </c>
      <c r="AF6" s="68" t="n">
        <f aca="false">IF(AND($D6=1,$E6=1,ISNUMBER(T6)),T6,"")</f>
        <v>1.75406358739749</v>
      </c>
    </row>
    <row r="7" customFormat="false" ht="15" hidden="false" customHeight="true" outlineLevel="0" collapsed="false">
      <c r="A7" s="5" t="s">
        <v>248</v>
      </c>
      <c r="B7" s="66" t="str">
        <f aca="false">Datos_BBG!B19</f>
        <v>CENCOMAL CI</v>
      </c>
      <c r="C7" s="66" t="str">
        <f aca="false">Datos_BBG!D19</f>
        <v>Chile</v>
      </c>
      <c r="D7" s="67" t="n">
        <v>1</v>
      </c>
      <c r="E7" s="67" t="n">
        <v>1</v>
      </c>
      <c r="F7" s="38" t="n">
        <f aca="false">Datos_BBG!O19*Datos_BBG!S19</f>
        <v>3710182.595</v>
      </c>
      <c r="G7" s="38" t="n">
        <f aca="false">Datos_BBG!M19*Datos_BBG!S19</f>
        <v>852533.941</v>
      </c>
      <c r="H7" s="38" t="n">
        <f aca="false">Datos_BBG!N19*Datos_BBG!S19</f>
        <v>6464.021</v>
      </c>
      <c r="I7" s="38" t="n">
        <f aca="false">F7+G7+H7</f>
        <v>4569180.557</v>
      </c>
      <c r="J7" s="38" t="n">
        <f aca="false">Datos_BBG!G19*Datos_BBG!S19</f>
        <v>390677.946</v>
      </c>
      <c r="K7" s="38" t="n">
        <f aca="false">Datos_BBG!H19*Datos_BBG!S19</f>
        <v>350561.254</v>
      </c>
      <c r="L7" s="38" t="n">
        <f aca="false">Datos_BBG!J19*Datos_BBG!S19</f>
        <v>349975.943</v>
      </c>
      <c r="M7" s="38" t="n">
        <f aca="false">Datos_BBG!K19*Datos_BBG!S19</f>
        <v>353938.282</v>
      </c>
      <c r="N7" s="38" t="n">
        <f aca="false">Datos_BBG!L19*Datos_BBG!S19</f>
        <v>3136456.799</v>
      </c>
      <c r="O7" s="38" t="n">
        <f aca="false">Datos_BBG!H50*Datos_BBG!S50</f>
        <v>392093.8</v>
      </c>
      <c r="P7" s="53" t="n">
        <f aca="false">IF(OR(K7&lt;=0,I7/K7&gt;Supuestos!$B$94),"NM",I7/K7)</f>
        <v>13.0339006517817</v>
      </c>
      <c r="Q7" s="53" t="n">
        <f aca="false">IF(OR(O7&lt;=0,I7/O7&gt;Supuestos!$B$94),"NM",I7/O7)</f>
        <v>11.653284385012</v>
      </c>
      <c r="R7" s="53" t="n">
        <f aca="false">IF(OR(L7&lt;=0,I7/L7&gt;Supuestos!$B$94),"NM",I7/L7)</f>
        <v>13.0556989655715</v>
      </c>
      <c r="S7" s="53" t="n">
        <f aca="false">IF(OR(M7&lt;=0,Datos_BBG!Q19=1),"NM",IF(F7/M7&gt;Supuestos!$B$94,"NM",F7/M7))</f>
        <v>10.4825693734932</v>
      </c>
      <c r="T7" s="22" t="n">
        <f aca="false">IF(OR(N7&lt;=0,F7/N7&gt;Supuestos!$B$94),"NM",F7/N7)</f>
        <v>1.18292163188185</v>
      </c>
      <c r="W7" s="68" t="n">
        <f aca="false">IF(AND($D7=1,ISNUMBER(P7)),P7,"")</f>
        <v>13.0339006517817</v>
      </c>
      <c r="X7" s="68" t="n">
        <f aca="false">IF(AND($D7=1,ISNUMBER(Q7)),Q7,"")</f>
        <v>11.653284385012</v>
      </c>
      <c r="Y7" s="68" t="n">
        <f aca="false">IF(AND($D7=1,ISNUMBER(R7)),R7,"")</f>
        <v>13.0556989655715</v>
      </c>
      <c r="Z7" s="68" t="n">
        <f aca="false">IF(AND($D7=1,ISNUMBER(S7)),S7,"")</f>
        <v>10.4825693734932</v>
      </c>
      <c r="AA7" s="68" t="n">
        <f aca="false">IF(AND($D7=1,ISNUMBER(T7)),T7,"")</f>
        <v>1.18292163188185</v>
      </c>
      <c r="AB7" s="68" t="n">
        <f aca="false">IF(AND($D7=1,$E7=1,ISNUMBER(P7)),P7,"")</f>
        <v>13.0339006517817</v>
      </c>
      <c r="AC7" s="68" t="n">
        <f aca="false">IF(AND($D7=1,$E7=1,ISNUMBER(Q7)),Q7,"")</f>
        <v>11.653284385012</v>
      </c>
      <c r="AD7" s="68" t="n">
        <f aca="false">IF(AND($D7=1,$E7=1,ISNUMBER(R7)),R7,"")</f>
        <v>13.0556989655715</v>
      </c>
      <c r="AE7" s="68" t="n">
        <f aca="false">IF(AND($D7=1,$E7=1,ISNUMBER(S7)),S7,"")</f>
        <v>10.4825693734932</v>
      </c>
      <c r="AF7" s="68" t="n">
        <f aca="false">IF(AND($D7=1,$E7=1,ISNUMBER(T7)),T7,"")</f>
        <v>1.18292163188185</v>
      </c>
    </row>
    <row r="8" customFormat="false" ht="15" hidden="false" customHeight="true" outlineLevel="0" collapsed="false">
      <c r="A8" s="5" t="s">
        <v>261</v>
      </c>
      <c r="B8" s="66" t="str">
        <f aca="false">Datos_BBG!B24</f>
        <v>MULT3 BZ</v>
      </c>
      <c r="C8" s="66" t="str">
        <f aca="false">Datos_BBG!D24</f>
        <v>Brasil</v>
      </c>
      <c r="D8" s="67" t="n">
        <v>1</v>
      </c>
      <c r="E8" s="67" t="n">
        <v>0</v>
      </c>
      <c r="F8" s="38" t="n">
        <f aca="false">Datos_BBG!O24*Datos_BBG!S24</f>
        <v>2907890.34768236</v>
      </c>
      <c r="G8" s="38" t="n">
        <f aca="false">Datos_BBG!M24*Datos_BBG!S24</f>
        <v>888983.197853961</v>
      </c>
      <c r="H8" s="38" t="n">
        <f aca="false">Datos_BBG!N24*Datos_BBG!S24</f>
        <v>33.0491768351734</v>
      </c>
      <c r="I8" s="38" t="n">
        <f aca="false">F8+G8+H8</f>
        <v>3796906.59471315</v>
      </c>
      <c r="J8" s="38" t="n">
        <f aca="false">Datos_BBG!G24*Datos_BBG!S24</f>
        <v>570440.404048034</v>
      </c>
      <c r="K8" s="38" t="n">
        <f aca="false">Datos_BBG!H24*Datos_BBG!S24</f>
        <v>421296.078826264</v>
      </c>
      <c r="L8" s="38" t="n">
        <f aca="false">Datos_BBG!J24*Datos_BBG!S24</f>
        <v>397146.062769708</v>
      </c>
      <c r="M8" s="38" t="n">
        <f aca="false">Datos_BBG!K24*Datos_BBG!S24</f>
        <v>247648.3793221</v>
      </c>
      <c r="N8" s="38" t="n">
        <f aca="false">Datos_BBG!L24*Datos_BBG!S24</f>
        <v>1206875.90541933</v>
      </c>
      <c r="O8" s="38" t="n">
        <f aca="false">Datos_BBG!H51*Datos_BBG!S51</f>
        <v>376773.259642812</v>
      </c>
      <c r="P8" s="53" t="n">
        <f aca="false">IF(OR(K8&lt;=0,I8/K8&gt;Supuestos!$B$94),"NM",I8/K8)</f>
        <v>9.0124422835631</v>
      </c>
      <c r="Q8" s="53" t="n">
        <f aca="false">IF(OR(O8&lt;=0,I8/O8&gt;Supuestos!$B$94),"NM",I8/O8)</f>
        <v>10.0774311805267</v>
      </c>
      <c r="R8" s="53" t="n">
        <f aca="false">IF(OR(L8&lt;=0,I8/L8&gt;Supuestos!$B$94),"NM",I8/L8)</f>
        <v>9.56047900420671</v>
      </c>
      <c r="S8" s="53" t="n">
        <f aca="false">IF(OR(M8&lt;=0,Datos_BBG!Q24=1),"NM",IF(F8/M8&gt;Supuestos!$B$94,"NM",F8/M8))</f>
        <v>11.7420124276293</v>
      </c>
      <c r="T8" s="22" t="n">
        <f aca="false">IF(OR(N8&lt;=0,F8/N8&gt;Supuestos!$B$94),"NM",F8/N8)</f>
        <v>2.40943607758248</v>
      </c>
      <c r="W8" s="68" t="n">
        <f aca="false">IF(AND($D8=1,ISNUMBER(P8)),P8,"")</f>
        <v>9.0124422835631</v>
      </c>
      <c r="X8" s="68" t="n">
        <f aca="false">IF(AND($D8=1,ISNUMBER(Q8)),Q8,"")</f>
        <v>10.0774311805267</v>
      </c>
      <c r="Y8" s="68" t="n">
        <f aca="false">IF(AND($D8=1,ISNUMBER(R8)),R8,"")</f>
        <v>9.56047900420671</v>
      </c>
      <c r="Z8" s="68" t="n">
        <f aca="false">IF(AND($D8=1,ISNUMBER(S8)),S8,"")</f>
        <v>11.7420124276293</v>
      </c>
      <c r="AA8" s="68" t="n">
        <f aca="false">IF(AND($D8=1,ISNUMBER(T8)),T8,"")</f>
        <v>2.40943607758248</v>
      </c>
      <c r="AB8" s="68" t="str">
        <f aca="false">IF(AND($D8=1,$E8=1,ISNUMBER(P8)),P8,"")</f>
        <v/>
      </c>
      <c r="AC8" s="68" t="str">
        <f aca="false">IF(AND($D8=1,$E8=1,ISNUMBER(Q8)),Q8,"")</f>
        <v/>
      </c>
      <c r="AD8" s="68" t="str">
        <f aca="false">IF(AND($D8=1,$E8=1,ISNUMBER(R8)),R8,"")</f>
        <v/>
      </c>
      <c r="AE8" s="68" t="str">
        <f aca="false">IF(AND($D8=1,$E8=1,ISNUMBER(S8)),S8,"")</f>
        <v/>
      </c>
      <c r="AF8" s="68" t="str">
        <f aca="false">IF(AND($D8=1,$E8=1,ISNUMBER(T8)),T8,"")</f>
        <v/>
      </c>
    </row>
    <row r="9" customFormat="false" ht="15" hidden="false" customHeight="true" outlineLevel="0" collapsed="false">
      <c r="A9" s="5" t="s">
        <v>250</v>
      </c>
      <c r="B9" s="66" t="str">
        <f aca="false">Datos_BBG!B29</f>
        <v>ALOS3 BZ</v>
      </c>
      <c r="C9" s="66" t="str">
        <f aca="false">Datos_BBG!D29</f>
        <v>Brasil</v>
      </c>
      <c r="D9" s="67" t="n">
        <v>1</v>
      </c>
      <c r="E9" s="67" t="n">
        <v>0</v>
      </c>
      <c r="F9" s="38" t="n">
        <f aca="false">Datos_BBG!O29*Datos_BBG!S29</f>
        <v>2656187.53107496</v>
      </c>
      <c r="G9" s="38" t="n">
        <f aca="false">Datos_BBG!M29*Datos_BBG!S29</f>
        <v>1221640.66983149</v>
      </c>
      <c r="H9" s="38" t="n">
        <f aca="false">Datos_BBG!N29*Datos_BBG!S29</f>
        <v>17188.9661940732</v>
      </c>
      <c r="I9" s="38" t="n">
        <f aca="false">F9+G9+H9</f>
        <v>3895017.16710052</v>
      </c>
      <c r="J9" s="38" t="n">
        <f aca="false">Datos_BBG!G29*Datos_BBG!S29</f>
        <v>524937.582804571</v>
      </c>
      <c r="K9" s="38" t="n">
        <f aca="false">Datos_BBG!H29*Datos_BBG!S29</f>
        <v>388838.750222739</v>
      </c>
      <c r="L9" s="38" t="n">
        <f aca="false">Datos_BBG!J29*Datos_BBG!S29</f>
        <v>276308.446829363</v>
      </c>
      <c r="M9" s="38" t="n">
        <f aca="false">Datos_BBG!K29*Datos_BBG!S29</f>
        <v>166950.149835367</v>
      </c>
      <c r="N9" s="38" t="n">
        <f aca="false">Datos_BBG!L29*Datos_BBG!S29</f>
        <v>2296067.80094519</v>
      </c>
      <c r="O9" s="38" t="n">
        <f aca="false">Datos_BBG!H52*Datos_BBG!S52</f>
        <v>413640.609664195</v>
      </c>
      <c r="P9" s="53" t="n">
        <f aca="false">IF(OR(K9&lt;=0,I9/K9&gt;Supuestos!$B$94),"NM",I9/K9)</f>
        <v>10.0170499078843</v>
      </c>
      <c r="Q9" s="53" t="n">
        <f aca="false">IF(OR(O9&lt;=0,I9/O9&gt;Supuestos!$B$94),"NM",I9/O9)</f>
        <v>9.41642835857583</v>
      </c>
      <c r="R9" s="53" t="n">
        <f aca="false">IF(OR(L9&lt;=0,I9/L9&gt;Supuestos!$B$94),"NM",I9/L9)</f>
        <v>14.0966271997683</v>
      </c>
      <c r="S9" s="53" t="n">
        <f aca="false">IF(OR(M9&lt;=0,Datos_BBG!Q29=1),"NM",IF(F9/M9&gt;Supuestos!$B$94,"NM",F9/M9))</f>
        <v>15.9100637746913</v>
      </c>
      <c r="T9" s="22" t="n">
        <f aca="false">IF(OR(N9&lt;=0,F9/N9&gt;Supuestos!$B$94),"NM",F9/N9)</f>
        <v>1.15684194080921</v>
      </c>
      <c r="W9" s="68" t="n">
        <f aca="false">IF(AND($D9=1,ISNUMBER(P9)),P9,"")</f>
        <v>10.0170499078843</v>
      </c>
      <c r="X9" s="68" t="n">
        <f aca="false">IF(AND($D9=1,ISNUMBER(Q9)),Q9,"")</f>
        <v>9.41642835857583</v>
      </c>
      <c r="Y9" s="68" t="n">
        <f aca="false">IF(AND($D9=1,ISNUMBER(R9)),R9,"")</f>
        <v>14.0966271997683</v>
      </c>
      <c r="Z9" s="68" t="n">
        <f aca="false">IF(AND($D9=1,ISNUMBER(S9)),S9,"")</f>
        <v>15.9100637746913</v>
      </c>
      <c r="AA9" s="68" t="n">
        <f aca="false">IF(AND($D9=1,ISNUMBER(T9)),T9,"")</f>
        <v>1.15684194080921</v>
      </c>
      <c r="AB9" s="68" t="str">
        <f aca="false">IF(AND($D9=1,$E9=1,ISNUMBER(P9)),P9,"")</f>
        <v/>
      </c>
      <c r="AC9" s="68" t="str">
        <f aca="false">IF(AND($D9=1,$E9=1,ISNUMBER(Q9)),Q9,"")</f>
        <v/>
      </c>
      <c r="AD9" s="68" t="str">
        <f aca="false">IF(AND($D9=1,$E9=1,ISNUMBER(R9)),R9,"")</f>
        <v/>
      </c>
      <c r="AE9" s="68" t="str">
        <f aca="false">IF(AND($D9=1,$E9=1,ISNUMBER(S9)),S9,"")</f>
        <v/>
      </c>
      <c r="AF9" s="68" t="str">
        <f aca="false">IF(AND($D9=1,$E9=1,ISNUMBER(T9)),T9,"")</f>
        <v/>
      </c>
    </row>
    <row r="10" customFormat="false" ht="15" hidden="false" customHeight="true" outlineLevel="0" collapsed="false">
      <c r="A10" s="5" t="s">
        <v>253</v>
      </c>
      <c r="B10" s="66" t="str">
        <f aca="false">Datos_BBG!B34</f>
        <v>IGTI11 BZ</v>
      </c>
      <c r="C10" s="66" t="str">
        <f aca="false">Datos_BBG!D34</f>
        <v>Brasil</v>
      </c>
      <c r="D10" s="67" t="n">
        <v>1</v>
      </c>
      <c r="E10" s="67" t="n">
        <v>0</v>
      </c>
      <c r="F10" s="38" t="n">
        <f aca="false">Datos_BBG!O34*Datos_BBG!S34</f>
        <v>1381189.73341313</v>
      </c>
      <c r="G10" s="38" t="n">
        <f aca="false">Datos_BBG!M34*Datos_BBG!S34</f>
        <v>382047.948282007</v>
      </c>
      <c r="H10" s="38" t="n">
        <f aca="false">Datos_BBG!N34*Datos_BBG!S34</f>
        <v>38.9444354057718</v>
      </c>
      <c r="I10" s="38" t="n">
        <f aca="false">F10+G10+H10</f>
        <v>1763276.62613054</v>
      </c>
      <c r="J10" s="38" t="n">
        <f aca="false">Datos_BBG!G34*Datos_BBG!S34</f>
        <v>272862.757516948</v>
      </c>
      <c r="K10" s="38" t="n">
        <f aca="false">Datos_BBG!H34*Datos_BBG!S34</f>
        <v>201422.94229324</v>
      </c>
      <c r="L10" s="38" t="n">
        <f aca="false">Datos_BBG!J34*Datos_BBG!S34</f>
        <v>178237.783556072</v>
      </c>
      <c r="M10" s="38" t="n">
        <f aca="false">Datos_BBG!K34*Datos_BBG!S34</f>
        <v>114077.004869262</v>
      </c>
      <c r="N10" s="38" t="n">
        <f aca="false">Datos_BBG!L34*Datos_BBG!S34</f>
        <v>881991.063900833</v>
      </c>
      <c r="O10" s="38" t="n">
        <f aca="false">Datos_BBG!H53*Datos_BBG!S53</f>
        <v>238273.430267314</v>
      </c>
      <c r="P10" s="53" t="n">
        <f aca="false">IF(OR(K10&lt;=0,I10/K10&gt;Supuestos!$B$94),"NM",I10/K10)</f>
        <v>8.75410023334625</v>
      </c>
      <c r="Q10" s="53" t="n">
        <f aca="false">IF(OR(O10&lt;=0,I10/O10&gt;Supuestos!$B$94),"NM",I10/O10)</f>
        <v>7.40022344980875</v>
      </c>
      <c r="R10" s="53" t="n">
        <f aca="false">IF(OR(L10&lt;=0,I10/L10&gt;Supuestos!$B$94),"NM",I10/L10)</f>
        <v>9.89283299506377</v>
      </c>
      <c r="S10" s="53" t="n">
        <f aca="false">IF(OR(M10&lt;=0,Datos_BBG!Q34=1),"NM",IF(F10/M10&gt;Supuestos!$B$94,"NM",F10/M10))</f>
        <v>12.1075210117591</v>
      </c>
      <c r="T10" s="22" t="n">
        <f aca="false">IF(OR(N10&lt;=0,F10/N10&gt;Supuestos!$B$94),"NM",F10/N10)</f>
        <v>1.56599062047688</v>
      </c>
      <c r="W10" s="68" t="n">
        <f aca="false">IF(AND($D10=1,ISNUMBER(P10)),P10,"")</f>
        <v>8.75410023334625</v>
      </c>
      <c r="X10" s="68" t="n">
        <f aca="false">IF(AND($D10=1,ISNUMBER(Q10)),Q10,"")</f>
        <v>7.40022344980875</v>
      </c>
      <c r="Y10" s="68" t="n">
        <f aca="false">IF(AND($D10=1,ISNUMBER(R10)),R10,"")</f>
        <v>9.89283299506377</v>
      </c>
      <c r="Z10" s="68" t="n">
        <f aca="false">IF(AND($D10=1,ISNUMBER(S10)),S10,"")</f>
        <v>12.1075210117591</v>
      </c>
      <c r="AA10" s="68" t="n">
        <f aca="false">IF(AND($D10=1,ISNUMBER(T10)),T10,"")</f>
        <v>1.56599062047688</v>
      </c>
      <c r="AB10" s="68" t="str">
        <f aca="false">IF(AND($D10=1,$E10=1,ISNUMBER(P10)),P10,"")</f>
        <v/>
      </c>
      <c r="AC10" s="68" t="str">
        <f aca="false">IF(AND($D10=1,$E10=1,ISNUMBER(Q10)),Q10,"")</f>
        <v/>
      </c>
      <c r="AD10" s="68" t="str">
        <f aca="false">IF(AND($D10=1,$E10=1,ISNUMBER(R10)),R10,"")</f>
        <v/>
      </c>
      <c r="AE10" s="68" t="str">
        <f aca="false">IF(AND($D10=1,$E10=1,ISNUMBER(S10)),S10,"")</f>
        <v/>
      </c>
      <c r="AF10" s="68" t="str">
        <f aca="false">IF(AND($D10=1,$E10=1,ISNUMBER(T10)),T10,"")</f>
        <v/>
      </c>
    </row>
    <row r="11" customFormat="false" ht="15" hidden="false" customHeight="true" outlineLevel="0" collapsed="false">
      <c r="A11" s="5" t="s">
        <v>258</v>
      </c>
      <c r="B11" s="66" t="str">
        <f aca="false">Datos_BBG!B39</f>
        <v>IRSA AR</v>
      </c>
      <c r="C11" s="66" t="str">
        <f aca="false">Datos_BBG!D39</f>
        <v>Argentina</v>
      </c>
      <c r="D11" s="67" t="n">
        <v>1</v>
      </c>
      <c r="E11" s="67" t="n">
        <v>0</v>
      </c>
      <c r="F11" s="38" t="n">
        <f aca="false">Datos_BBG!O39*Datos_BBG!S39</f>
        <v>1140416.45830563</v>
      </c>
      <c r="G11" s="38" t="n">
        <f aca="false">Datos_BBG!M39*Datos_BBG!S39</f>
        <v>561235.176936572</v>
      </c>
      <c r="H11" s="38" t="n">
        <f aca="false">Datos_BBG!N39*Datos_BBG!S39</f>
        <v>87538.9035357625</v>
      </c>
      <c r="I11" s="38" t="n">
        <f aca="false">F11+G11+H11</f>
        <v>1789190.53877796</v>
      </c>
      <c r="J11" s="38" t="n">
        <f aca="false">Datos_BBG!G39*Datos_BBG!S39</f>
        <v>409298.643967611</v>
      </c>
      <c r="K11" s="38" t="n">
        <f aca="false">Datos_BBG!H39*Datos_BBG!S39</f>
        <v>145686.203093304</v>
      </c>
      <c r="L11" s="38" t="n">
        <f aca="false">Datos_BBG!J39*Datos_BBG!S39</f>
        <v>135134.942757649</v>
      </c>
      <c r="M11" s="38" t="n">
        <f aca="false">Datos_BBG!K39*Datos_BBG!S39</f>
        <v>244905.542105263</v>
      </c>
      <c r="N11" s="38" t="n">
        <f aca="false">Datos_BBG!L39*Datos_BBG!S39</f>
        <v>1418831.51441296</v>
      </c>
      <c r="O11" s="38" t="n">
        <f aca="false">Datos_BBG!H54*Datos_BBG!S54</f>
        <v>286774.755708795</v>
      </c>
      <c r="P11" s="53" t="n">
        <f aca="false">IF(OR(K11&lt;=0,I11/K11&gt;Supuestos!$B$94),"NM",I11/K11)</f>
        <v>12.2811254654779</v>
      </c>
      <c r="Q11" s="53" t="n">
        <f aca="false">IF(OR(O11&lt;=0,I11/O11&gt;Supuestos!$B$94),"NM",I11/O11)</f>
        <v>6.23900989595749</v>
      </c>
      <c r="R11" s="53" t="n">
        <f aca="false">IF(OR(L11&lt;=0,I11/L11&gt;Supuestos!$B$94),"NM",I11/L11)</f>
        <v>13.2400288353746</v>
      </c>
      <c r="S11" s="53" t="n">
        <f aca="false">IF(OR(M11&lt;=0,Datos_BBG!Q39=1),"NM",IF(F11/M11&gt;Supuestos!$B$94,"NM",F11/M11))</f>
        <v>4.65655635434932</v>
      </c>
      <c r="T11" s="22" t="n">
        <f aca="false">IF(OR(N11&lt;=0,F11/N11&gt;Supuestos!$B$94),"NM",F11/N11)</f>
        <v>0.803771587197566</v>
      </c>
      <c r="W11" s="68" t="n">
        <f aca="false">IF(AND($D11=1,ISNUMBER(P11)),P11,"")</f>
        <v>12.2811254654779</v>
      </c>
      <c r="X11" s="68" t="n">
        <f aca="false">IF(AND($D11=1,ISNUMBER(Q11)),Q11,"")</f>
        <v>6.23900989595749</v>
      </c>
      <c r="Y11" s="68" t="n">
        <f aca="false">IF(AND($D11=1,ISNUMBER(R11)),R11,"")</f>
        <v>13.2400288353746</v>
      </c>
      <c r="Z11" s="68" t="n">
        <f aca="false">IF(AND($D11=1,ISNUMBER(S11)),S11,"")</f>
        <v>4.65655635434932</v>
      </c>
      <c r="AA11" s="68" t="n">
        <f aca="false">IF(AND($D11=1,ISNUMBER(T11)),T11,"")</f>
        <v>0.803771587197566</v>
      </c>
      <c r="AB11" s="68" t="str">
        <f aca="false">IF(AND($D11=1,$E11=1,ISNUMBER(P11)),P11,"")</f>
        <v/>
      </c>
      <c r="AC11" s="68" t="str">
        <f aca="false">IF(AND($D11=1,$E11=1,ISNUMBER(Q11)),Q11,"")</f>
        <v/>
      </c>
      <c r="AD11" s="68" t="str">
        <f aca="false">IF(AND($D11=1,$E11=1,ISNUMBER(R11)),R11,"")</f>
        <v/>
      </c>
      <c r="AE11" s="68" t="str">
        <f aca="false">IF(AND($D11=1,$E11=1,ISNUMBER(S11)),S11,"")</f>
        <v/>
      </c>
      <c r="AF11" s="68" t="str">
        <f aca="false">IF(AND($D11=1,$E11=1,ISNUMBER(T11)),T11,"")</f>
        <v/>
      </c>
    </row>
    <row r="12" customFormat="false" ht="15" hidden="false" customHeight="true" outlineLevel="0" collapsed="false">
      <c r="A12" s="5" t="s">
        <v>580</v>
      </c>
      <c r="B12" s="66" t="str">
        <f aca="false">Datos_BBG!B44</f>
        <v>DANHOS13 MM</v>
      </c>
      <c r="C12" s="66" t="str">
        <f aca="false">Datos_BBG!D44</f>
        <v>México</v>
      </c>
      <c r="D12" s="67" t="n">
        <v>0</v>
      </c>
      <c r="E12" s="67" t="n">
        <v>0</v>
      </c>
      <c r="F12" s="38" t="n">
        <f aca="false">Datos_BBG!O44*Datos_BBG!S44</f>
        <v>2383999.42133005</v>
      </c>
      <c r="G12" s="38" t="n">
        <f aca="false">Datos_BBG!M44*Datos_BBG!S44</f>
        <v>618003.431527094</v>
      </c>
      <c r="H12" s="38" t="n">
        <f aca="false">Datos_BBG!N44*Datos_BBG!S44</f>
        <v>155940.903940887</v>
      </c>
      <c r="I12" s="38" t="n">
        <f aca="false">F12+G12+H12</f>
        <v>3157943.75679803</v>
      </c>
      <c r="J12" s="38" t="n">
        <f aca="false">Datos_BBG!G44*Datos_BBG!S44</f>
        <v>417411.607746798</v>
      </c>
      <c r="K12" s="38" t="n">
        <f aca="false">Datos_BBG!H44*Datos_BBG!S44</f>
        <v>277625.057532512</v>
      </c>
      <c r="L12" s="38" t="n">
        <f aca="false">Datos_BBG!J44*Datos_BBG!S44</f>
        <v>276925.518730542</v>
      </c>
      <c r="M12" s="38" t="n">
        <f aca="false">Datos_BBG!K44*Datos_BBG!S44</f>
        <v>301542.114937931</v>
      </c>
      <c r="N12" s="38" t="n">
        <f aca="false">Datos_BBG!L44*Datos_BBG!S44</f>
        <v>3445417.07783251</v>
      </c>
      <c r="O12" s="38" t="n">
        <f aca="false">Datos_BBG!H55*Datos_BBG!S55</f>
        <v>313368.815924631</v>
      </c>
      <c r="P12" s="53" t="n">
        <f aca="false">IF(OR(K12&lt;=0,I12/K12&gt;Supuestos!$B$94),"NM",I12/K12)</f>
        <v>11.3748513367826</v>
      </c>
      <c r="Q12" s="53" t="n">
        <f aca="false">IF(OR(O12&lt;=0,I12/O12&gt;Supuestos!$B$94),"NM",I12/O12)</f>
        <v>10.0774027162855</v>
      </c>
      <c r="R12" s="53" t="n">
        <f aca="false">IF(OR(L12&lt;=0,I12/L12&gt;Supuestos!$B$94),"NM",I12/L12)</f>
        <v>11.40358523575</v>
      </c>
      <c r="S12" s="53" t="n">
        <f aca="false">IF(OR(M12&lt;=0,Datos_BBG!Q44=1),"NM",IF(F12/M12&gt;Supuestos!$B$94,"NM",F12/M12))</f>
        <v>7.90602474158798</v>
      </c>
      <c r="T12" s="22" t="n">
        <f aca="false">IF(OR(N12&lt;=0,F12/N12&gt;Supuestos!$B$94),"NM",F12/N12)</f>
        <v>0.691933477856274</v>
      </c>
      <c r="W12" s="68" t="str">
        <f aca="false">IF(AND($D12=1,ISNUMBER(P12)),P12,"")</f>
        <v/>
      </c>
      <c r="X12" s="68" t="str">
        <f aca="false">IF(AND($D12=1,ISNUMBER(Q12)),Q12,"")</f>
        <v/>
      </c>
      <c r="Y12" s="68" t="str">
        <f aca="false">IF(AND($D12=1,ISNUMBER(R12)),R12,"")</f>
        <v/>
      </c>
      <c r="Z12" s="68" t="str">
        <f aca="false">IF(AND($D12=1,ISNUMBER(S12)),S12,"")</f>
        <v/>
      </c>
      <c r="AA12" s="68" t="str">
        <f aca="false">IF(AND($D12=1,ISNUMBER(T12)),T12,"")</f>
        <v/>
      </c>
      <c r="AB12" s="68" t="str">
        <f aca="false">IF(AND($D12=1,$E12=1,ISNUMBER(P12)),P12,"")</f>
        <v/>
      </c>
      <c r="AC12" s="68" t="str">
        <f aca="false">IF(AND($D12=1,$E12=1,ISNUMBER(Q12)),Q12,"")</f>
        <v/>
      </c>
      <c r="AD12" s="68" t="str">
        <f aca="false">IF(AND($D12=1,$E12=1,ISNUMBER(R12)),R12,"")</f>
        <v/>
      </c>
      <c r="AE12" s="68" t="str">
        <f aca="false">IF(AND($D12=1,$E12=1,ISNUMBER(S12)),S12,"")</f>
        <v/>
      </c>
      <c r="AF12" s="68" t="str">
        <f aca="false">IF(AND($D12=1,$E12=1,ISNUMBER(T12)),T12,"")</f>
        <v/>
      </c>
    </row>
    <row r="14" customFormat="false" ht="15" hidden="false" customHeight="true" outlineLevel="0" collapsed="false">
      <c r="A14" s="4" t="s">
        <v>581</v>
      </c>
    </row>
    <row r="15" customFormat="false" ht="15" hidden="false" customHeight="true" outlineLevel="0" collapsed="false">
      <c r="A15" s="5" t="s">
        <v>582</v>
      </c>
      <c r="P15" s="22" t="n">
        <f aca="false">MEDIAN(W6:W12)</f>
        <v>11.1490876866811</v>
      </c>
      <c r="Q15" s="22" t="n">
        <f aca="false">MEDIAN(X6:X12)</f>
        <v>9.74692976955125</v>
      </c>
      <c r="R15" s="22" t="n">
        <f aca="false">MEDIAN(Y6:Y12)</f>
        <v>13.147863900473</v>
      </c>
      <c r="S15" s="22" t="n">
        <f aca="false">MEDIAN(Z6:Z12)</f>
        <v>11.9247667196942</v>
      </c>
      <c r="T15" s="22" t="n">
        <f aca="false">MEDIAN(AA6:AA12)</f>
        <v>1.37445612617937</v>
      </c>
    </row>
    <row r="16" customFormat="false" ht="15" hidden="false" customHeight="true" outlineLevel="0" collapsed="false">
      <c r="A16" s="5" t="s">
        <v>583</v>
      </c>
      <c r="P16" s="22" t="n">
        <f aca="false">MEDIAN(AB6:AB12)</f>
        <v>15.7378815495883</v>
      </c>
      <c r="Q16" s="22" t="n">
        <f aca="false">MEDIAN(AC6:AC12)</f>
        <v>13.751004757792</v>
      </c>
      <c r="R16" s="22" t="n">
        <f aca="false">MEDIAN(AD6:AD12)</f>
        <v>15.9046964945928</v>
      </c>
      <c r="S16" s="22" t="n">
        <f aca="false">MEDIAN(AE6:AE12)</f>
        <v>16.3859121549999</v>
      </c>
      <c r="T16" s="22" t="n">
        <f aca="false">MEDIAN(AF6:AF12)</f>
        <v>1.46849260963967</v>
      </c>
    </row>
    <row r="17" customFormat="false" ht="15" hidden="false" customHeight="true" outlineLevel="0" collapsed="false">
      <c r="A17" s="4" t="s">
        <v>584</v>
      </c>
      <c r="P17" s="55" t="n">
        <f aca="false">Supuestos!$B$93*P16+(1-Supuestos!$B$93)*P15</f>
        <v>14.3612433907162</v>
      </c>
      <c r="Q17" s="55" t="n">
        <f aca="false">Supuestos!$B$93*Q16+(1-Supuestos!$B$93)*Q15</f>
        <v>12.5497822613198</v>
      </c>
      <c r="R17" s="55" t="n">
        <f aca="false">Supuestos!$B$93*R16+(1-Supuestos!$B$93)*R15</f>
        <v>15.0776467163569</v>
      </c>
      <c r="S17" s="55" t="n">
        <f aca="false">Supuestos!$B$93*S16+(1-Supuestos!$B$93)*S15</f>
        <v>15.0475685244082</v>
      </c>
      <c r="T17" s="55" t="n">
        <f aca="false">Supuestos!$B$93*T16+(1-Supuestos!$B$93)*T15</f>
        <v>1.44028166460158</v>
      </c>
    </row>
    <row r="18" customFormat="false" ht="15" hidden="false" customHeight="true" outlineLevel="0" collapsed="false">
      <c r="A18" s="5" t="s">
        <v>585</v>
      </c>
      <c r="P18" s="36" t="n">
        <f aca="false">COUNT(W6:W12)</f>
        <v>6</v>
      </c>
      <c r="Q18" s="36" t="n">
        <f aca="false">COUNT(X6:X12)</f>
        <v>6</v>
      </c>
      <c r="R18" s="36" t="n">
        <f aca="false">COUNT(Y6:Y12)</f>
        <v>6</v>
      </c>
      <c r="S18" s="36" t="n">
        <f aca="false">COUNT(Z6:Z12)</f>
        <v>6</v>
      </c>
      <c r="T18" s="36" t="n">
        <f aca="false">COUNT(AA6:AA12)</f>
        <v>6</v>
      </c>
    </row>
    <row r="19" customFormat="false" ht="15" hidden="false" customHeight="true" outlineLevel="0" collapsed="false">
      <c r="A19" s="5" t="s">
        <v>586</v>
      </c>
      <c r="P19" s="30" t="n">
        <f aca="false">IF(ISNUMBER(P5),P5/P17-1,"NM")</f>
        <v>0.16891454764449</v>
      </c>
      <c r="Q19" s="30" t="n">
        <f aca="false">IF(ISNUMBER(Q5),Q5/Q17-1,"NM")</f>
        <v>0.181153717731478</v>
      </c>
      <c r="R19" s="30" t="n">
        <f aca="false">IF(ISNUMBER(R5),R5/R17-1,"NM")</f>
        <v>0.122774459057938</v>
      </c>
      <c r="S19" s="30" t="n">
        <f aca="false">IF(ISNUMBER(S5),S5/S17-1,"NM")</f>
        <v>-0.588738039766828</v>
      </c>
      <c r="T19" s="30" t="n">
        <f aca="false">IF(ISNUMBER(T5),T5/T17-1,"NM")</f>
        <v>0.121265239662964</v>
      </c>
    </row>
    <row r="21" customFormat="false" ht="15" hidden="false" customHeight="true" outlineLevel="0" collapsed="false">
      <c r="A21" s="3" t="s">
        <v>587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60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16"/>
  </cols>
  <sheetData>
    <row r="1" customFormat="false" ht="15.75" hidden="false" customHeight="true" outlineLevel="0" collapsed="false">
      <c r="A1" s="2" t="s">
        <v>588</v>
      </c>
    </row>
    <row r="3" customFormat="false" ht="15" hidden="false" customHeight="true" outlineLevel="0" collapsed="false">
      <c r="A3" s="4" t="s">
        <v>589</v>
      </c>
    </row>
    <row r="4" customFormat="false" ht="15" hidden="false" customHeight="true" outlineLevel="0" collapsed="false">
      <c r="A4" s="13" t="s">
        <v>590</v>
      </c>
      <c r="B4" s="13" t="s">
        <v>591</v>
      </c>
      <c r="C4" s="13" t="s">
        <v>592</v>
      </c>
      <c r="D4" s="13" t="s">
        <v>593</v>
      </c>
    </row>
    <row r="5" customFormat="false" ht="15" hidden="false" customHeight="true" outlineLevel="0" collapsed="false">
      <c r="A5" s="4" t="s">
        <v>594</v>
      </c>
      <c r="B5" s="9" t="n">
        <f aca="false">Comparables!P17</f>
        <v>14.3612433907162</v>
      </c>
      <c r="C5" s="50" t="n">
        <f aca="false">Comparables!K5</f>
        <v>544935</v>
      </c>
      <c r="D5" s="69" t="n">
        <f aca="false">(B5*C5-Supuestos!$B$14-Comparables!H5)/Supuestos!$B$9</f>
        <v>2951.38547083101</v>
      </c>
      <c r="E5" s="3" t="s">
        <v>595</v>
      </c>
    </row>
    <row r="6" customFormat="false" ht="15" hidden="false" customHeight="true" outlineLevel="0" collapsed="false">
      <c r="A6" s="5" t="s">
        <v>564</v>
      </c>
      <c r="B6" s="9" t="n">
        <f aca="false">Comparables!Q17</f>
        <v>12.5497822613198</v>
      </c>
      <c r="C6" s="50" t="n">
        <f aca="false">Comparables!O5</f>
        <v>617130.3379</v>
      </c>
      <c r="D6" s="26" t="n">
        <f aca="false">(B6*C6-Supuestos!$B$14-Comparables!H5)/Supuestos!$B$9</f>
        <v>2914.35679520534</v>
      </c>
    </row>
    <row r="7" customFormat="false" ht="15" hidden="false" customHeight="true" outlineLevel="0" collapsed="false">
      <c r="A7" s="5" t="s">
        <v>565</v>
      </c>
      <c r="B7" s="9" t="n">
        <f aca="false">Comparables!R17</f>
        <v>15.0776467163569</v>
      </c>
      <c r="C7" s="50" t="n">
        <f aca="false">Comparables!L5</f>
        <v>540372.726</v>
      </c>
      <c r="D7" s="26" t="n">
        <f aca="false">(B7*C7-Supuestos!$B$14-Comparables!H5)/Supuestos!$B$9</f>
        <v>3098.23701907886</v>
      </c>
    </row>
    <row r="8" customFormat="false" ht="15" hidden="false" customHeight="true" outlineLevel="0" collapsed="false">
      <c r="A8" s="5" t="s">
        <v>596</v>
      </c>
      <c r="B8" s="9" t="n">
        <f aca="false">Comparables!S17</f>
        <v>15.0475685244082</v>
      </c>
      <c r="C8" s="50" t="n">
        <f aca="false">Comparables!M5</f>
        <v>1258052.743</v>
      </c>
      <c r="D8" s="26" t="n">
        <f aca="false">B8*C8/Supuestos!$B$9</f>
        <v>8644.12550575898</v>
      </c>
    </row>
    <row r="9" customFormat="false" ht="15" hidden="false" customHeight="true" outlineLevel="0" collapsed="false">
      <c r="A9" s="5" t="s">
        <v>597</v>
      </c>
      <c r="B9" s="9" t="n">
        <f aca="false">Comparables!T17</f>
        <v>1.44028166460158</v>
      </c>
      <c r="C9" s="50" t="n">
        <f aca="false">Comparables!N5</f>
        <v>4820897.848</v>
      </c>
      <c r="D9" s="26" t="n">
        <f aca="false">B9*C9/Supuestos!$B$9</f>
        <v>3170.52546912859</v>
      </c>
    </row>
    <row r="11" customFormat="false" ht="15" hidden="false" customHeight="true" outlineLevel="0" collapsed="false">
      <c r="A11" s="4" t="s">
        <v>598</v>
      </c>
    </row>
    <row r="12" customFormat="false" ht="15" hidden="false" customHeight="true" outlineLevel="0" collapsed="false">
      <c r="A12" s="5" t="s">
        <v>599</v>
      </c>
      <c r="B12" s="7" t="n">
        <f aca="false">DCF!C49</f>
        <v>1858.65339722932</v>
      </c>
    </row>
    <row r="13" customFormat="false" ht="15" hidden="false" customHeight="true" outlineLevel="0" collapsed="false">
      <c r="A13" s="5" t="s">
        <v>600</v>
      </c>
      <c r="B13" s="26" t="n">
        <f aca="false">D5</f>
        <v>2951.38547083101</v>
      </c>
    </row>
    <row r="14" customFormat="false" ht="15" hidden="false" customHeight="true" outlineLevel="0" collapsed="false">
      <c r="A14" s="5" t="s">
        <v>601</v>
      </c>
      <c r="B14" s="8" t="n">
        <f aca="false">Supuestos!$B$92</f>
        <v>0.8</v>
      </c>
    </row>
    <row r="15" customFormat="false" ht="15" hidden="false" customHeight="true" outlineLevel="0" collapsed="false">
      <c r="A15" s="4" t="s">
        <v>602</v>
      </c>
      <c r="B15" s="52" t="n">
        <f aca="false">B12*B14+B13*(1-B14)</f>
        <v>2077.19981194966</v>
      </c>
    </row>
    <row r="16" customFormat="false" ht="15" hidden="false" customHeight="true" outlineLevel="0" collapsed="false">
      <c r="A16" s="5" t="s">
        <v>6</v>
      </c>
      <c r="B16" s="7" t="n">
        <f aca="false">Supuestos!$B$8</f>
        <v>3555</v>
      </c>
    </row>
    <row r="17" customFormat="false" ht="15" hidden="false" customHeight="true" outlineLevel="0" collapsed="false">
      <c r="A17" s="4" t="s">
        <v>451</v>
      </c>
      <c r="B17" s="43" t="n">
        <f aca="false">B15/B16-1</f>
        <v>-0.41569625542907</v>
      </c>
    </row>
    <row r="18" customFormat="false" ht="15" hidden="false" customHeight="true" outlineLevel="0" collapsed="false">
      <c r="A18" s="5" t="s">
        <v>603</v>
      </c>
      <c r="B18" s="7" t="n">
        <f aca="false">Supuestos!$B$110</f>
        <v>2096.39902037665</v>
      </c>
    </row>
    <row r="20" customFormat="false" ht="15" hidden="false" customHeight="true" outlineLevel="0" collapsed="false">
      <c r="A20" s="4" t="s">
        <v>604</v>
      </c>
    </row>
    <row r="21" customFormat="false" ht="15" hidden="false" customHeight="true" outlineLevel="0" collapsed="false">
      <c r="A21" s="5" t="s">
        <v>605</v>
      </c>
      <c r="B21" s="8" t="n">
        <f aca="false">DCF!C56</f>
        <v>0.100782648605333</v>
      </c>
    </row>
    <row r="22" customFormat="false" ht="15" hidden="false" customHeight="true" outlineLevel="0" collapsed="false">
      <c r="A22" s="5" t="s">
        <v>606</v>
      </c>
      <c r="B22" s="30" t="n">
        <f aca="false">1/Comparables!P5</f>
        <v>0.0595696699374472</v>
      </c>
    </row>
    <row r="23" customFormat="false" ht="15" hidden="false" customHeight="true" outlineLevel="0" collapsed="false">
      <c r="A23" s="5" t="s">
        <v>607</v>
      </c>
      <c r="B23" s="30" t="n">
        <f aca="false">1/Comparables!P16</f>
        <v>0.0635409535170989</v>
      </c>
    </row>
    <row r="24" customFormat="false" ht="15" hidden="false" customHeight="true" outlineLevel="0" collapsed="false">
      <c r="A24" s="5" t="s">
        <v>608</v>
      </c>
      <c r="B24" s="8" t="n">
        <f aca="false">DCF!C38</f>
        <v>0.104138867416108</v>
      </c>
    </row>
    <row r="25" customFormat="false" ht="15" hidden="false" customHeight="true" outlineLevel="0" collapsed="false">
      <c r="A25" s="5" t="s">
        <v>460</v>
      </c>
      <c r="B25" s="8" t="n">
        <f aca="false">DCF!C58</f>
        <v>0.0719794829282607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10"/>
    <col collapsed="false" customWidth="true" hidden="false" outlineLevel="0" max="5" min="5" style="1" width="8"/>
    <col collapsed="false" customWidth="true" hidden="false" outlineLevel="0" max="8" min="6" style="1" width="12"/>
    <col collapsed="false" customWidth="true" hidden="false" outlineLevel="0" max="9" min="9" style="1" width="10"/>
    <col collapsed="false" customWidth="true" hidden="false" outlineLevel="0" max="10" min="10" style="1" width="12"/>
    <col collapsed="false" customWidth="true" hidden="false" outlineLevel="0" max="11" min="11" style="1" width="14"/>
    <col collapsed="false" customWidth="true" hidden="false" outlineLevel="0" max="13" min="12" style="1" width="13"/>
    <col collapsed="false" customWidth="true" hidden="false" outlineLevel="0" max="14" min="14" style="1" width="12"/>
    <col collapsed="false" customWidth="true" hidden="false" outlineLevel="0" max="15" min="15" style="1" width="13"/>
    <col collapsed="false" customWidth="true" hidden="false" outlineLevel="0" max="17" min="16" style="1" width="9"/>
    <col collapsed="false" customWidth="true" hidden="false" outlineLevel="0" max="18" min="18" style="1" width="60"/>
    <col collapsed="false" customWidth="true" hidden="false" outlineLevel="0" max="19" min="19" style="1" width="12"/>
    <col collapsed="false" customWidth="true" hidden="false" outlineLevel="0" max="20" min="20" style="1" width="13"/>
  </cols>
  <sheetData>
    <row r="1" customFormat="false" ht="15.75" hidden="false" customHeight="true" outlineLevel="0" collapsed="false">
      <c r="A1" s="2" t="s">
        <v>609</v>
      </c>
    </row>
    <row r="2" customFormat="false" ht="15" hidden="false" customHeight="true" outlineLevel="0" collapsed="false">
      <c r="A2" s="3" t="s">
        <v>610</v>
      </c>
    </row>
    <row r="4" customFormat="false" ht="15" hidden="false" customHeight="true" outlineLevel="0" collapsed="false">
      <c r="A4" s="13" t="s">
        <v>235</v>
      </c>
      <c r="B4" s="13" t="s">
        <v>236</v>
      </c>
      <c r="C4" s="13" t="s">
        <v>611</v>
      </c>
      <c r="D4" s="13" t="s">
        <v>237</v>
      </c>
      <c r="E4" s="13" t="s">
        <v>612</v>
      </c>
      <c r="F4" s="13" t="s">
        <v>613</v>
      </c>
      <c r="G4" s="13" t="s">
        <v>614</v>
      </c>
      <c r="H4" s="13" t="s">
        <v>399</v>
      </c>
      <c r="I4" s="13" t="s">
        <v>317</v>
      </c>
      <c r="J4" s="13" t="s">
        <v>414</v>
      </c>
      <c r="K4" s="13" t="s">
        <v>615</v>
      </c>
      <c r="L4" s="13" t="s">
        <v>616</v>
      </c>
      <c r="M4" s="13" t="s">
        <v>617</v>
      </c>
      <c r="N4" s="13" t="s">
        <v>555</v>
      </c>
      <c r="O4" s="13" t="s">
        <v>618</v>
      </c>
      <c r="P4" s="13" t="s">
        <v>619</v>
      </c>
      <c r="Q4" s="13" t="s">
        <v>620</v>
      </c>
      <c r="R4" s="13" t="s">
        <v>621</v>
      </c>
      <c r="S4" s="13" t="s">
        <v>622</v>
      </c>
      <c r="T4" s="13" t="s">
        <v>623</v>
      </c>
    </row>
    <row r="5" customFormat="false" ht="15" hidden="false" customHeight="true" outlineLevel="0" collapsed="false">
      <c r="A5" s="5" t="s">
        <v>578</v>
      </c>
      <c r="B5" s="5" t="s">
        <v>624</v>
      </c>
      <c r="C5" s="5" t="s">
        <v>579</v>
      </c>
      <c r="D5" s="5" t="s">
        <v>247</v>
      </c>
      <c r="E5" s="5" t="s">
        <v>42</v>
      </c>
      <c r="F5" s="5" t="s">
        <v>625</v>
      </c>
      <c r="G5" s="70" t="n">
        <v>370898.935</v>
      </c>
      <c r="H5" s="70" t="n">
        <v>282699</v>
      </c>
      <c r="I5" s="70" t="n">
        <v>2165.395</v>
      </c>
      <c r="J5" s="71" t="n">
        <f aca="false">H5-I5</f>
        <v>280533.605</v>
      </c>
      <c r="K5" s="70" t="n">
        <v>157666.755</v>
      </c>
      <c r="L5" s="70" t="n">
        <v>2263298.479</v>
      </c>
      <c r="M5" s="70" t="n">
        <v>1011613.326</v>
      </c>
      <c r="N5" s="70" t="n">
        <v>168378.479</v>
      </c>
      <c r="O5" s="70" t="n">
        <v>2073680</v>
      </c>
      <c r="P5" s="70" t="n">
        <v>1050.647</v>
      </c>
      <c r="Q5" s="19" t="n">
        <v>0</v>
      </c>
      <c r="R5" s="5"/>
      <c r="S5" s="72" t="n">
        <f aca="false">Supuestos!$B$101</f>
        <v>1</v>
      </c>
      <c r="T5" s="71" t="n">
        <f aca="false">O5+M5+N5</f>
        <v>3253671.805</v>
      </c>
    </row>
    <row r="6" customFormat="false" ht="15" hidden="false" customHeight="true" outlineLevel="0" collapsed="false">
      <c r="A6" s="5" t="s">
        <v>578</v>
      </c>
      <c r="B6" s="5" t="s">
        <v>624</v>
      </c>
      <c r="C6" s="5" t="s">
        <v>579</v>
      </c>
      <c r="D6" s="5" t="s">
        <v>247</v>
      </c>
      <c r="E6" s="5" t="s">
        <v>42</v>
      </c>
      <c r="F6" s="5" t="s">
        <v>626</v>
      </c>
      <c r="G6" s="70" t="n">
        <v>419903.778</v>
      </c>
      <c r="H6" s="70" t="n">
        <v>322185</v>
      </c>
      <c r="I6" s="70" t="n">
        <v>2153.51</v>
      </c>
      <c r="J6" s="71" t="n">
        <f aca="false">H6-I6</f>
        <v>320031.49</v>
      </c>
      <c r="K6" s="70" t="n">
        <v>349758.853</v>
      </c>
      <c r="L6" s="70" t="n">
        <v>2601053.165</v>
      </c>
      <c r="M6" s="70" t="n">
        <v>1081082.31</v>
      </c>
      <c r="N6" s="70" t="n">
        <v>31634.353</v>
      </c>
      <c r="O6" s="70" t="n">
        <v>2439612</v>
      </c>
      <c r="P6" s="70" t="n">
        <v>1236.049</v>
      </c>
      <c r="Q6" s="19" t="n">
        <v>0</v>
      </c>
      <c r="R6" s="5"/>
      <c r="S6" s="72" t="n">
        <f aca="false">Supuestos!$B$101</f>
        <v>1</v>
      </c>
      <c r="T6" s="71" t="n">
        <f aca="false">O6+M6+N6</f>
        <v>3552328.663</v>
      </c>
    </row>
    <row r="7" customFormat="false" ht="15" hidden="false" customHeight="true" outlineLevel="0" collapsed="false">
      <c r="A7" s="5" t="s">
        <v>578</v>
      </c>
      <c r="B7" s="5" t="s">
        <v>624</v>
      </c>
      <c r="C7" s="5" t="s">
        <v>579</v>
      </c>
      <c r="D7" s="5" t="s">
        <v>247</v>
      </c>
      <c r="E7" s="5" t="s">
        <v>42</v>
      </c>
      <c r="F7" s="5" t="s">
        <v>396</v>
      </c>
      <c r="G7" s="70" t="n">
        <v>494605.239</v>
      </c>
      <c r="H7" s="70" t="n">
        <v>380637</v>
      </c>
      <c r="I7" s="70" t="n">
        <v>2111.809</v>
      </c>
      <c r="J7" s="71" t="n">
        <f aca="false">H7-I7</f>
        <v>378525.191</v>
      </c>
      <c r="K7" s="70" t="n">
        <v>335933.777</v>
      </c>
      <c r="L7" s="70" t="n">
        <v>3157863.075</v>
      </c>
      <c r="M7" s="70" t="n">
        <v>1458589.137</v>
      </c>
      <c r="N7" s="70" t="n">
        <v>33186.747</v>
      </c>
      <c r="O7" s="70" t="n">
        <v>3569919</v>
      </c>
      <c r="P7" s="70" t="n">
        <v>1630.1</v>
      </c>
      <c r="Q7" s="19" t="n">
        <v>0</v>
      </c>
      <c r="R7" s="5"/>
      <c r="S7" s="72" t="n">
        <f aca="false">Supuestos!$B$101</f>
        <v>1</v>
      </c>
      <c r="T7" s="71" t="n">
        <f aca="false">O7+M7+N7</f>
        <v>5061694.884</v>
      </c>
    </row>
    <row r="8" customFormat="false" ht="15" hidden="false" customHeight="true" outlineLevel="0" collapsed="false">
      <c r="A8" s="5" t="s">
        <v>578</v>
      </c>
      <c r="B8" s="5" t="s">
        <v>624</v>
      </c>
      <c r="C8" s="5" t="s">
        <v>579</v>
      </c>
      <c r="D8" s="5" t="s">
        <v>247</v>
      </c>
      <c r="E8" s="5" t="s">
        <v>42</v>
      </c>
      <c r="F8" s="5" t="s">
        <v>397</v>
      </c>
      <c r="G8" s="70" t="n">
        <v>653911.091</v>
      </c>
      <c r="H8" s="70" t="n">
        <v>526228</v>
      </c>
      <c r="I8" s="70" t="n">
        <v>3609.536</v>
      </c>
      <c r="J8" s="71" t="n">
        <f aca="false">H8-I8</f>
        <v>522618.464</v>
      </c>
      <c r="K8" s="70" t="n">
        <v>1431011.596</v>
      </c>
      <c r="L8" s="70" t="n">
        <v>4482903.946</v>
      </c>
      <c r="M8" s="70" t="n">
        <v>1327147.413</v>
      </c>
      <c r="N8" s="70" t="n">
        <v>41649.187</v>
      </c>
      <c r="O8" s="70" t="n">
        <v>6977559</v>
      </c>
      <c r="P8" s="70" t="n">
        <v>3186.1</v>
      </c>
      <c r="Q8" s="19" t="n">
        <v>0</v>
      </c>
      <c r="R8" s="5" t="s">
        <v>627</v>
      </c>
      <c r="S8" s="72" t="n">
        <f aca="false">Supuestos!$B$101</f>
        <v>1</v>
      </c>
      <c r="T8" s="71" t="n">
        <f aca="false">O8+M8+N8</f>
        <v>8346355.6</v>
      </c>
    </row>
    <row r="9" customFormat="false" ht="15" hidden="false" customHeight="true" outlineLevel="0" collapsed="false">
      <c r="A9" s="5" t="s">
        <v>578</v>
      </c>
      <c r="B9" s="5" t="s">
        <v>624</v>
      </c>
      <c r="C9" s="5" t="s">
        <v>579</v>
      </c>
      <c r="D9" s="5" t="s">
        <v>247</v>
      </c>
      <c r="E9" s="5" t="s">
        <v>42</v>
      </c>
      <c r="F9" s="5" t="s">
        <v>628</v>
      </c>
      <c r="G9" s="70" t="n">
        <v>677333.306</v>
      </c>
      <c r="H9" s="70" t="n">
        <v>544935</v>
      </c>
      <c r="I9" s="70" t="n">
        <v>4562.274</v>
      </c>
      <c r="J9" s="71" t="n">
        <f aca="false">H9-I9</f>
        <v>540372.726</v>
      </c>
      <c r="K9" s="70" t="n">
        <v>1258052.743</v>
      </c>
      <c r="L9" s="70" t="n">
        <v>4820897.848</v>
      </c>
      <c r="M9" s="70" t="n">
        <v>1311568.558</v>
      </c>
      <c r="N9" s="70" t="n">
        <v>50841.428</v>
      </c>
      <c r="O9" s="70" t="n">
        <v>7785450</v>
      </c>
      <c r="P9" s="70" t="n">
        <v>3555</v>
      </c>
      <c r="Q9" s="19" t="n">
        <v>0</v>
      </c>
      <c r="R9" s="5"/>
      <c r="S9" s="72" t="n">
        <f aca="false">Supuestos!$B$101</f>
        <v>1</v>
      </c>
      <c r="T9" s="71" t="n">
        <f aca="false">O9+M9+N9</f>
        <v>9147859.986</v>
      </c>
    </row>
    <row r="10" customFormat="false" ht="15" hidden="false" customHeight="true" outlineLevel="0" collapsed="false">
      <c r="A10" s="5" t="s">
        <v>245</v>
      </c>
      <c r="B10" s="5" t="s">
        <v>246</v>
      </c>
      <c r="C10" s="5" t="s">
        <v>629</v>
      </c>
      <c r="D10" s="5" t="s">
        <v>247</v>
      </c>
      <c r="E10" s="5" t="s">
        <v>42</v>
      </c>
      <c r="F10" s="5" t="s">
        <v>625</v>
      </c>
      <c r="G10" s="70" t="n">
        <v>243119.543</v>
      </c>
      <c r="H10" s="70" t="n">
        <v>170697</v>
      </c>
      <c r="I10" s="70" t="n">
        <v>5128.377</v>
      </c>
      <c r="J10" s="71" t="n">
        <f aca="false">H10-I10</f>
        <v>165568.623</v>
      </c>
      <c r="K10" s="70" t="n">
        <v>101031.635</v>
      </c>
      <c r="L10" s="70" t="n">
        <v>1144928.854</v>
      </c>
      <c r="M10" s="70" t="n">
        <v>989079.049</v>
      </c>
      <c r="N10" s="70" t="n">
        <v>211136.224</v>
      </c>
      <c r="O10" s="70" t="n">
        <v>979894.0127</v>
      </c>
      <c r="P10" s="70" t="n">
        <v>1067.16</v>
      </c>
      <c r="Q10" s="19" t="n">
        <v>0</v>
      </c>
      <c r="R10" s="5"/>
      <c r="S10" s="72" t="n">
        <f aca="false">Supuestos!$B$101</f>
        <v>1</v>
      </c>
      <c r="T10" s="71" t="n">
        <f aca="false">O10+M10+N10</f>
        <v>2180109.2857</v>
      </c>
    </row>
    <row r="11" customFormat="false" ht="15" hidden="false" customHeight="true" outlineLevel="0" collapsed="false">
      <c r="A11" s="5" t="s">
        <v>245</v>
      </c>
      <c r="B11" s="5" t="s">
        <v>246</v>
      </c>
      <c r="C11" s="5" t="s">
        <v>629</v>
      </c>
      <c r="D11" s="5" t="s">
        <v>247</v>
      </c>
      <c r="E11" s="5" t="s">
        <v>42</v>
      </c>
      <c r="F11" s="5" t="s">
        <v>626</v>
      </c>
      <c r="G11" s="70" t="n">
        <v>264312.607</v>
      </c>
      <c r="H11" s="70" t="n">
        <v>188159</v>
      </c>
      <c r="I11" s="70" t="n">
        <v>5280.937</v>
      </c>
      <c r="J11" s="71" t="n">
        <f aca="false">H11-I11</f>
        <v>182878.063</v>
      </c>
      <c r="K11" s="70" t="n">
        <v>112345.334</v>
      </c>
      <c r="L11" s="70" t="n">
        <v>1298911.303</v>
      </c>
      <c r="M11" s="70" t="n">
        <v>1113749.367</v>
      </c>
      <c r="N11" s="70" t="n">
        <v>332049.13</v>
      </c>
      <c r="O11" s="70" t="n">
        <v>1286116.552</v>
      </c>
      <c r="P11" s="70" t="n">
        <v>1400.66</v>
      </c>
      <c r="Q11" s="19" t="n">
        <v>0</v>
      </c>
      <c r="R11" s="5"/>
      <c r="S11" s="72" t="n">
        <f aca="false">Supuestos!$B$101</f>
        <v>1</v>
      </c>
      <c r="T11" s="71" t="n">
        <f aca="false">O11+M11+N11</f>
        <v>2731915.049</v>
      </c>
    </row>
    <row r="12" customFormat="false" ht="15" hidden="false" customHeight="true" outlineLevel="0" collapsed="false">
      <c r="A12" s="5" t="s">
        <v>245</v>
      </c>
      <c r="B12" s="5" t="s">
        <v>246</v>
      </c>
      <c r="C12" s="5" t="s">
        <v>629</v>
      </c>
      <c r="D12" s="5" t="s">
        <v>247</v>
      </c>
      <c r="E12" s="5" t="s">
        <v>42</v>
      </c>
      <c r="F12" s="5" t="s">
        <v>396</v>
      </c>
      <c r="G12" s="70" t="n">
        <v>316775.711</v>
      </c>
      <c r="H12" s="70" t="n">
        <v>227727</v>
      </c>
      <c r="I12" s="70" t="n">
        <v>6518.906</v>
      </c>
      <c r="J12" s="71" t="n">
        <f aca="false">H12-I12</f>
        <v>221208.094</v>
      </c>
      <c r="K12" s="70" t="n">
        <v>120571.308</v>
      </c>
      <c r="L12" s="70" t="n">
        <v>1464457.742</v>
      </c>
      <c r="M12" s="70" t="n">
        <v>1279923.402</v>
      </c>
      <c r="N12" s="70" t="n">
        <v>323589.523</v>
      </c>
      <c r="O12" s="70" t="n">
        <v>1439091.965</v>
      </c>
      <c r="P12" s="70" t="n">
        <v>1567.26</v>
      </c>
      <c r="Q12" s="19" t="n">
        <v>0</v>
      </c>
      <c r="R12" s="5"/>
      <c r="S12" s="72" t="n">
        <f aca="false">Supuestos!$B$101</f>
        <v>1</v>
      </c>
      <c r="T12" s="71" t="n">
        <f aca="false">O12+M12+N12</f>
        <v>3042604.89</v>
      </c>
    </row>
    <row r="13" customFormat="false" ht="15" hidden="false" customHeight="true" outlineLevel="0" collapsed="false">
      <c r="A13" s="5" t="s">
        <v>245</v>
      </c>
      <c r="B13" s="5" t="s">
        <v>246</v>
      </c>
      <c r="C13" s="5" t="s">
        <v>629</v>
      </c>
      <c r="D13" s="5" t="s">
        <v>247</v>
      </c>
      <c r="E13" s="5" t="s">
        <v>42</v>
      </c>
      <c r="F13" s="5" t="s">
        <v>397</v>
      </c>
      <c r="G13" s="70" t="n">
        <v>383792.582</v>
      </c>
      <c r="H13" s="70" t="n">
        <v>272233</v>
      </c>
      <c r="I13" s="70" t="n">
        <v>4739.59</v>
      </c>
      <c r="J13" s="71" t="n">
        <f aca="false">H13-I13</f>
        <v>267493.41</v>
      </c>
      <c r="K13" s="70" t="n">
        <v>149972.703</v>
      </c>
      <c r="L13" s="70" t="n">
        <v>1594521.872</v>
      </c>
      <c r="M13" s="70" t="n">
        <v>1631210.898</v>
      </c>
      <c r="N13" s="70" t="n">
        <v>362360.837</v>
      </c>
      <c r="O13" s="70" t="n">
        <v>2708090.487</v>
      </c>
      <c r="P13" s="70" t="n">
        <v>2949.27</v>
      </c>
      <c r="Q13" s="19" t="n">
        <v>0</v>
      </c>
      <c r="R13" s="5"/>
      <c r="S13" s="72" t="n">
        <f aca="false">Supuestos!$B$101</f>
        <v>1</v>
      </c>
      <c r="T13" s="71" t="n">
        <f aca="false">O13+M13+N13</f>
        <v>4701662.222</v>
      </c>
    </row>
    <row r="14" customFormat="false" ht="15" hidden="false" customHeight="true" outlineLevel="0" collapsed="false">
      <c r="A14" s="5" t="s">
        <v>245</v>
      </c>
      <c r="B14" s="5" t="s">
        <v>246</v>
      </c>
      <c r="C14" s="5" t="s">
        <v>629</v>
      </c>
      <c r="D14" s="5" t="s">
        <v>247</v>
      </c>
      <c r="E14" s="5" t="s">
        <v>42</v>
      </c>
      <c r="F14" s="5" t="s">
        <v>628</v>
      </c>
      <c r="G14" s="70" t="n">
        <v>416366.832</v>
      </c>
      <c r="H14" s="70" t="n">
        <v>294411</v>
      </c>
      <c r="I14" s="70" t="n">
        <v>4895.39</v>
      </c>
      <c r="J14" s="71" t="n">
        <f aca="false">H14-I14</f>
        <v>289515.61</v>
      </c>
      <c r="K14" s="70" t="n">
        <v>154352.778</v>
      </c>
      <c r="L14" s="70" t="n">
        <v>1961393.215</v>
      </c>
      <c r="M14" s="70" t="n">
        <v>1602287.611</v>
      </c>
      <c r="N14" s="70" t="n">
        <v>386791.135</v>
      </c>
      <c r="O14" s="70" t="n">
        <v>3440408.419</v>
      </c>
      <c r="P14" s="70" t="n">
        <v>3505</v>
      </c>
      <c r="Q14" s="19" t="n">
        <v>0</v>
      </c>
      <c r="R14" s="5"/>
      <c r="S14" s="72" t="n">
        <f aca="false">Supuestos!$B$101</f>
        <v>1</v>
      </c>
      <c r="T14" s="71" t="n">
        <f aca="false">O14+M14+N14</f>
        <v>5429487.165</v>
      </c>
    </row>
    <row r="15" customFormat="false" ht="15" hidden="false" customHeight="true" outlineLevel="0" collapsed="false">
      <c r="A15" s="5" t="s">
        <v>248</v>
      </c>
      <c r="B15" s="5" t="s">
        <v>249</v>
      </c>
      <c r="C15" s="5" t="s">
        <v>629</v>
      </c>
      <c r="D15" s="5" t="s">
        <v>247</v>
      </c>
      <c r="E15" s="5" t="s">
        <v>42</v>
      </c>
      <c r="F15" s="5" t="s">
        <v>625</v>
      </c>
      <c r="G15" s="70" t="n">
        <v>286949.855</v>
      </c>
      <c r="H15" s="70" t="n">
        <v>258583.696</v>
      </c>
      <c r="I15" s="70" t="n">
        <v>178.837</v>
      </c>
      <c r="J15" s="71" t="n">
        <f aca="false">H15-I15</f>
        <v>258404.859</v>
      </c>
      <c r="K15" s="70" t="n">
        <v>181875.546</v>
      </c>
      <c r="L15" s="70" t="n">
        <v>2679608.628</v>
      </c>
      <c r="M15" s="70" t="n">
        <v>636796.49</v>
      </c>
      <c r="N15" s="70" t="n">
        <v>4966.978</v>
      </c>
      <c r="O15" s="70" t="n">
        <v>2283766.647</v>
      </c>
      <c r="P15" s="70" t="n">
        <v>1338.8</v>
      </c>
      <c r="Q15" s="19" t="n">
        <v>0</v>
      </c>
      <c r="R15" s="5" t="s">
        <v>630</v>
      </c>
      <c r="S15" s="72" t="n">
        <f aca="false">Supuestos!$B$101</f>
        <v>1</v>
      </c>
      <c r="T15" s="71" t="n">
        <f aca="false">O15+M15+N15</f>
        <v>2925530.115</v>
      </c>
    </row>
    <row r="16" customFormat="false" ht="15" hidden="false" customHeight="true" outlineLevel="0" collapsed="false">
      <c r="A16" s="5" t="s">
        <v>248</v>
      </c>
      <c r="B16" s="5" t="s">
        <v>249</v>
      </c>
      <c r="C16" s="5" t="s">
        <v>629</v>
      </c>
      <c r="D16" s="5" t="s">
        <v>247</v>
      </c>
      <c r="E16" s="5" t="s">
        <v>42</v>
      </c>
      <c r="F16" s="5" t="s">
        <v>626</v>
      </c>
      <c r="G16" s="70" t="n">
        <v>314784.929</v>
      </c>
      <c r="H16" s="70" t="n">
        <v>272791.98</v>
      </c>
      <c r="I16" s="70" t="n">
        <v>213.006</v>
      </c>
      <c r="J16" s="71" t="n">
        <f aca="false">H16-I16</f>
        <v>272578.974</v>
      </c>
      <c r="K16" s="70" t="n">
        <v>187329.711</v>
      </c>
      <c r="L16" s="70" t="n">
        <v>2744754.862</v>
      </c>
      <c r="M16" s="70" t="n">
        <v>650170.984</v>
      </c>
      <c r="N16" s="70" t="n">
        <v>5991.871</v>
      </c>
      <c r="O16" s="70" t="n">
        <v>2405221.82</v>
      </c>
      <c r="P16" s="70" t="n">
        <v>1410</v>
      </c>
      <c r="Q16" s="19" t="n">
        <v>0</v>
      </c>
      <c r="R16" s="5"/>
      <c r="S16" s="72" t="n">
        <f aca="false">Supuestos!$B$101</f>
        <v>1</v>
      </c>
      <c r="T16" s="71" t="n">
        <f aca="false">O16+M16+N16</f>
        <v>3061384.675</v>
      </c>
    </row>
    <row r="17" customFormat="false" ht="15" hidden="false" customHeight="true" outlineLevel="0" collapsed="false">
      <c r="A17" s="5" t="s">
        <v>248</v>
      </c>
      <c r="B17" s="5" t="s">
        <v>249</v>
      </c>
      <c r="C17" s="5" t="s">
        <v>629</v>
      </c>
      <c r="D17" s="5" t="s">
        <v>247</v>
      </c>
      <c r="E17" s="5" t="s">
        <v>42</v>
      </c>
      <c r="F17" s="5" t="s">
        <v>396</v>
      </c>
      <c r="G17" s="70" t="n">
        <v>353183.704</v>
      </c>
      <c r="H17" s="70" t="n">
        <v>320677</v>
      </c>
      <c r="I17" s="70" t="n">
        <v>409.897</v>
      </c>
      <c r="J17" s="71" t="n">
        <f aca="false">H17-I17</f>
        <v>320267.103</v>
      </c>
      <c r="K17" s="70" t="n">
        <v>266953.083</v>
      </c>
      <c r="L17" s="70" t="n">
        <v>2828031.717</v>
      </c>
      <c r="M17" s="70" t="n">
        <v>679855.775</v>
      </c>
      <c r="N17" s="70" t="n">
        <v>6467.54</v>
      </c>
      <c r="O17" s="70" t="n">
        <v>2654273.157</v>
      </c>
      <c r="P17" s="70" t="n">
        <v>1556</v>
      </c>
      <c r="Q17" s="19" t="n">
        <v>0</v>
      </c>
      <c r="R17" s="5"/>
      <c r="S17" s="72" t="n">
        <f aca="false">Supuestos!$B$101</f>
        <v>1</v>
      </c>
      <c r="T17" s="71" t="n">
        <f aca="false">O17+M17+N17</f>
        <v>3340596.472</v>
      </c>
    </row>
    <row r="18" customFormat="false" ht="15" hidden="false" customHeight="true" outlineLevel="0" collapsed="false">
      <c r="A18" s="5" t="s">
        <v>248</v>
      </c>
      <c r="B18" s="5" t="s">
        <v>249</v>
      </c>
      <c r="C18" s="5" t="s">
        <v>629</v>
      </c>
      <c r="D18" s="5" t="s">
        <v>247</v>
      </c>
      <c r="E18" s="5" t="s">
        <v>42</v>
      </c>
      <c r="F18" s="5" t="s">
        <v>397</v>
      </c>
      <c r="G18" s="70" t="n">
        <v>377940.605</v>
      </c>
      <c r="H18" s="70" t="n">
        <v>340557</v>
      </c>
      <c r="I18" s="70" t="n">
        <v>540.654</v>
      </c>
      <c r="J18" s="71" t="n">
        <f aca="false">H18-I18</f>
        <v>340016.346</v>
      </c>
      <c r="K18" s="70" t="n">
        <v>303966.192</v>
      </c>
      <c r="L18" s="70" t="n">
        <v>2989170.608</v>
      </c>
      <c r="M18" s="70" t="n">
        <v>769416.4</v>
      </c>
      <c r="N18" s="70" t="n">
        <v>5505.4</v>
      </c>
      <c r="O18" s="70" t="n">
        <v>3974586.412</v>
      </c>
      <c r="P18" s="70" t="n">
        <v>2330</v>
      </c>
      <c r="Q18" s="19" t="n">
        <v>0</v>
      </c>
      <c r="R18" s="5"/>
      <c r="S18" s="72" t="n">
        <f aca="false">Supuestos!$B$101</f>
        <v>1</v>
      </c>
      <c r="T18" s="71" t="n">
        <f aca="false">O18+M18+N18</f>
        <v>4749508.212</v>
      </c>
    </row>
    <row r="19" customFormat="false" ht="15" hidden="false" customHeight="true" outlineLevel="0" collapsed="false">
      <c r="A19" s="5" t="s">
        <v>248</v>
      </c>
      <c r="B19" s="5" t="s">
        <v>249</v>
      </c>
      <c r="C19" s="5" t="s">
        <v>629</v>
      </c>
      <c r="D19" s="5" t="s">
        <v>247</v>
      </c>
      <c r="E19" s="5" t="s">
        <v>42</v>
      </c>
      <c r="F19" s="5" t="s">
        <v>628</v>
      </c>
      <c r="G19" s="70" t="n">
        <v>390677.946</v>
      </c>
      <c r="H19" s="70" t="n">
        <v>350561.254</v>
      </c>
      <c r="I19" s="70" t="n">
        <v>585.311</v>
      </c>
      <c r="J19" s="71" t="n">
        <f aca="false">H19-I19</f>
        <v>349975.943</v>
      </c>
      <c r="K19" s="70" t="n">
        <v>353938.282</v>
      </c>
      <c r="L19" s="70" t="n">
        <v>3136456.799</v>
      </c>
      <c r="M19" s="70" t="n">
        <v>852533.941</v>
      </c>
      <c r="N19" s="70" t="n">
        <v>6464.021</v>
      </c>
      <c r="O19" s="70" t="n">
        <v>3710182.595</v>
      </c>
      <c r="P19" s="70" t="n">
        <v>2175</v>
      </c>
      <c r="Q19" s="19" t="n">
        <v>0</v>
      </c>
      <c r="R19" s="5" t="s">
        <v>631</v>
      </c>
      <c r="S19" s="72" t="n">
        <f aca="false">Supuestos!$B$101</f>
        <v>1</v>
      </c>
      <c r="T19" s="71" t="n">
        <f aca="false">O19+M19+N19</f>
        <v>4569180.557</v>
      </c>
    </row>
    <row r="20" customFormat="false" ht="15" hidden="false" customHeight="true" outlineLevel="0" collapsed="false">
      <c r="A20" s="5" t="s">
        <v>261</v>
      </c>
      <c r="B20" s="5" t="s">
        <v>262</v>
      </c>
      <c r="C20" s="5" t="s">
        <v>629</v>
      </c>
      <c r="D20" s="5" t="s">
        <v>252</v>
      </c>
      <c r="E20" s="5" t="s">
        <v>211</v>
      </c>
      <c r="F20" s="5" t="s">
        <v>625</v>
      </c>
      <c r="G20" s="70" t="n">
        <v>1797.605</v>
      </c>
      <c r="H20" s="70" t="n">
        <v>1275.254</v>
      </c>
      <c r="I20" s="70" t="n">
        <v>206.751</v>
      </c>
      <c r="J20" s="71" t="n">
        <f aca="false">H20-I20</f>
        <v>1068.503</v>
      </c>
      <c r="K20" s="70" t="n">
        <v>769.255</v>
      </c>
      <c r="L20" s="70" t="n">
        <v>6582.34</v>
      </c>
      <c r="M20" s="70" t="n">
        <v>3086.169</v>
      </c>
      <c r="N20" s="70" t="n">
        <v>0.203</v>
      </c>
      <c r="O20" s="70" t="n">
        <v>13156.6632</v>
      </c>
      <c r="P20" s="70" t="n">
        <v>21.9</v>
      </c>
      <c r="Q20" s="19" t="n">
        <v>0</v>
      </c>
      <c r="R20" s="5"/>
      <c r="S20" s="72" t="n">
        <f aca="false">Supuestos!$B$103</f>
        <v>178.644199109045</v>
      </c>
      <c r="T20" s="71" t="n">
        <f aca="false">O20+M20+N20</f>
        <v>16243.0352</v>
      </c>
    </row>
    <row r="21" customFormat="false" ht="15" hidden="false" customHeight="true" outlineLevel="0" collapsed="false">
      <c r="A21" s="5" t="s">
        <v>261</v>
      </c>
      <c r="B21" s="5" t="s">
        <v>262</v>
      </c>
      <c r="C21" s="5" t="s">
        <v>629</v>
      </c>
      <c r="D21" s="5" t="s">
        <v>252</v>
      </c>
      <c r="E21" s="5" t="s">
        <v>211</v>
      </c>
      <c r="F21" s="5" t="s">
        <v>626</v>
      </c>
      <c r="G21" s="70" t="n">
        <v>2029.569</v>
      </c>
      <c r="H21" s="70" t="n">
        <v>1506.5</v>
      </c>
      <c r="I21" s="70" t="n">
        <v>170.144</v>
      </c>
      <c r="J21" s="71" t="n">
        <f aca="false">H21-I21</f>
        <v>1336.356</v>
      </c>
      <c r="K21" s="70" t="n">
        <v>1020.39</v>
      </c>
      <c r="L21" s="70" t="n">
        <v>6933.916</v>
      </c>
      <c r="M21" s="70" t="n">
        <v>3103.816</v>
      </c>
      <c r="N21" s="70" t="n">
        <v>0.082</v>
      </c>
      <c r="O21" s="70" t="n">
        <v>17073.6241</v>
      </c>
      <c r="P21" s="70" t="n">
        <v>28.42</v>
      </c>
      <c r="Q21" s="19" t="n">
        <v>0</v>
      </c>
      <c r="R21" s="5"/>
      <c r="S21" s="72" t="n">
        <f aca="false">Supuestos!$B$103</f>
        <v>178.644199109045</v>
      </c>
      <c r="T21" s="71" t="n">
        <f aca="false">O21+M21+N21</f>
        <v>20177.5221</v>
      </c>
    </row>
    <row r="22" customFormat="false" ht="15" hidden="false" customHeight="true" outlineLevel="0" collapsed="false">
      <c r="A22" s="5" t="s">
        <v>261</v>
      </c>
      <c r="B22" s="5" t="s">
        <v>262</v>
      </c>
      <c r="C22" s="5" t="s">
        <v>629</v>
      </c>
      <c r="D22" s="5" t="s">
        <v>252</v>
      </c>
      <c r="E22" s="5" t="s">
        <v>211</v>
      </c>
      <c r="F22" s="5" t="s">
        <v>396</v>
      </c>
      <c r="G22" s="70" t="n">
        <v>2544.789</v>
      </c>
      <c r="H22" s="70" t="n">
        <v>1848.038</v>
      </c>
      <c r="I22" s="70" t="n">
        <v>138.508</v>
      </c>
      <c r="J22" s="71" t="n">
        <f aca="false">H22-I22</f>
        <v>1709.53</v>
      </c>
      <c r="K22" s="70" t="n">
        <v>1340.814</v>
      </c>
      <c r="L22" s="70" t="n">
        <v>5645.519</v>
      </c>
      <c r="M22" s="70" t="n">
        <v>5416.57</v>
      </c>
      <c r="N22" s="70" t="n">
        <v>0.25</v>
      </c>
      <c r="O22" s="70" t="n">
        <v>10943.9708</v>
      </c>
      <c r="P22" s="70" t="n">
        <v>21.08</v>
      </c>
      <c r="Q22" s="19" t="n">
        <v>0</v>
      </c>
      <c r="R22" s="5"/>
      <c r="S22" s="72" t="n">
        <f aca="false">Supuestos!$B$103</f>
        <v>178.644199109045</v>
      </c>
      <c r="T22" s="71" t="n">
        <f aca="false">O22+M22+N22</f>
        <v>16360.7908</v>
      </c>
    </row>
    <row r="23" customFormat="false" ht="15" hidden="false" customHeight="true" outlineLevel="0" collapsed="false">
      <c r="A23" s="5" t="s">
        <v>261</v>
      </c>
      <c r="B23" s="5" t="s">
        <v>262</v>
      </c>
      <c r="C23" s="5" t="s">
        <v>629</v>
      </c>
      <c r="D23" s="5" t="s">
        <v>252</v>
      </c>
      <c r="E23" s="5" t="s">
        <v>211</v>
      </c>
      <c r="F23" s="5" t="s">
        <v>397</v>
      </c>
      <c r="G23" s="70" t="n">
        <v>2739.082</v>
      </c>
      <c r="H23" s="70" t="n">
        <v>2003.354</v>
      </c>
      <c r="I23" s="70" t="n">
        <v>137.757</v>
      </c>
      <c r="J23" s="71" t="n">
        <f aca="false">H23-I23</f>
        <v>1865.597</v>
      </c>
      <c r="K23" s="70" t="n">
        <v>1141.12</v>
      </c>
      <c r="L23" s="70" t="n">
        <v>6299.142</v>
      </c>
      <c r="M23" s="70" t="n">
        <v>5248.897</v>
      </c>
      <c r="N23" s="70" t="n">
        <v>0.237</v>
      </c>
      <c r="O23" s="70" t="n">
        <v>13983.7109</v>
      </c>
      <c r="P23" s="70" t="n">
        <v>27.25</v>
      </c>
      <c r="Q23" s="19" t="n">
        <v>0</v>
      </c>
      <c r="R23" s="5"/>
      <c r="S23" s="72" t="n">
        <f aca="false">Supuestos!$B$103</f>
        <v>178.644199109045</v>
      </c>
      <c r="T23" s="71" t="n">
        <f aca="false">O23+M23+N23</f>
        <v>19232.8449</v>
      </c>
    </row>
    <row r="24" customFormat="false" ht="15" hidden="false" customHeight="true" outlineLevel="0" collapsed="false">
      <c r="A24" s="5" t="s">
        <v>261</v>
      </c>
      <c r="B24" s="5" t="s">
        <v>262</v>
      </c>
      <c r="C24" s="5" t="s">
        <v>629</v>
      </c>
      <c r="D24" s="5" t="s">
        <v>252</v>
      </c>
      <c r="E24" s="5" t="s">
        <v>211</v>
      </c>
      <c r="F24" s="5" t="s">
        <v>628</v>
      </c>
      <c r="G24" s="70" t="n">
        <v>3193.165</v>
      </c>
      <c r="H24" s="70" t="n">
        <v>2358.297</v>
      </c>
      <c r="I24" s="70" t="n">
        <v>135.185</v>
      </c>
      <c r="J24" s="71" t="n">
        <f aca="false">H24-I24</f>
        <v>2223.112</v>
      </c>
      <c r="K24" s="70" t="n">
        <v>1386.266</v>
      </c>
      <c r="L24" s="70" t="n">
        <v>6755.752</v>
      </c>
      <c r="M24" s="70" t="n">
        <v>4976.278</v>
      </c>
      <c r="N24" s="70" t="n">
        <v>0.185</v>
      </c>
      <c r="O24" s="70" t="n">
        <v>16277.5526</v>
      </c>
      <c r="P24" s="70" t="n">
        <v>31.72</v>
      </c>
      <c r="Q24" s="19" t="n">
        <v>0</v>
      </c>
      <c r="R24" s="5"/>
      <c r="S24" s="72" t="n">
        <f aca="false">Supuestos!$B$103</f>
        <v>178.644199109045</v>
      </c>
      <c r="T24" s="71" t="n">
        <f aca="false">O24+M24+N24</f>
        <v>21254.0156</v>
      </c>
    </row>
    <row r="25" customFormat="false" ht="15" hidden="false" customHeight="true" outlineLevel="0" collapsed="false">
      <c r="A25" s="5" t="s">
        <v>250</v>
      </c>
      <c r="B25" s="5" t="s">
        <v>251</v>
      </c>
      <c r="C25" s="5" t="s">
        <v>629</v>
      </c>
      <c r="D25" s="5" t="s">
        <v>252</v>
      </c>
      <c r="E25" s="5" t="s">
        <v>211</v>
      </c>
      <c r="F25" s="5" t="s">
        <v>625</v>
      </c>
      <c r="G25" s="70" t="n">
        <v>1111.321</v>
      </c>
      <c r="H25" s="70" t="n">
        <v>816.975</v>
      </c>
      <c r="I25" s="70" t="n">
        <v>202.11</v>
      </c>
      <c r="J25" s="71" t="n">
        <f aca="false">H25-I25</f>
        <v>614.865</v>
      </c>
      <c r="K25" s="70" t="n">
        <v>155.875</v>
      </c>
      <c r="L25" s="70" t="n">
        <v>6805.618</v>
      </c>
      <c r="M25" s="70" t="n">
        <v>2968.103</v>
      </c>
      <c r="N25" s="70" t="n">
        <v>1071.413</v>
      </c>
      <c r="O25" s="70" t="n">
        <v>10077.9772</v>
      </c>
      <c r="P25" s="70" t="n">
        <v>17.01</v>
      </c>
      <c r="Q25" s="19" t="n">
        <v>0</v>
      </c>
      <c r="R25" s="5"/>
      <c r="S25" s="72" t="n">
        <f aca="false">Supuestos!$B$103</f>
        <v>178.644199109045</v>
      </c>
      <c r="T25" s="71" t="n">
        <f aca="false">O25+M25+N25</f>
        <v>14117.4932</v>
      </c>
    </row>
    <row r="26" customFormat="false" ht="15" hidden="false" customHeight="true" outlineLevel="0" collapsed="false">
      <c r="A26" s="5" t="s">
        <v>250</v>
      </c>
      <c r="B26" s="5" t="s">
        <v>251</v>
      </c>
      <c r="C26" s="5" t="s">
        <v>629</v>
      </c>
      <c r="D26" s="5" t="s">
        <v>252</v>
      </c>
      <c r="E26" s="5" t="s">
        <v>211</v>
      </c>
      <c r="F26" s="5" t="s">
        <v>626</v>
      </c>
      <c r="G26" s="70" t="n">
        <v>2804</v>
      </c>
      <c r="H26" s="70" t="n">
        <v>1941.141</v>
      </c>
      <c r="I26" s="70" t="n">
        <v>684.466</v>
      </c>
      <c r="J26" s="71" t="n">
        <f aca="false">H26-I26</f>
        <v>1256.675</v>
      </c>
      <c r="K26" s="70" t="n">
        <v>3386.958</v>
      </c>
      <c r="L26" s="70" t="n">
        <v>13997.882</v>
      </c>
      <c r="M26" s="70" t="n">
        <v>5632.802</v>
      </c>
      <c r="N26" s="70" t="n">
        <v>1106.85</v>
      </c>
      <c r="O26" s="70" t="n">
        <v>15238.0249</v>
      </c>
      <c r="P26" s="70" t="n">
        <v>26.55</v>
      </c>
      <c r="Q26" s="19" t="n">
        <v>1</v>
      </c>
      <c r="R26" s="5" t="s">
        <v>632</v>
      </c>
      <c r="S26" s="72" t="n">
        <f aca="false">Supuestos!$B$103</f>
        <v>178.644199109045</v>
      </c>
      <c r="T26" s="71" t="n">
        <f aca="false">O26+M26+N26</f>
        <v>21977.6769</v>
      </c>
    </row>
    <row r="27" customFormat="false" ht="15" hidden="false" customHeight="true" outlineLevel="0" collapsed="false">
      <c r="A27" s="5" t="s">
        <v>250</v>
      </c>
      <c r="B27" s="5" t="s">
        <v>251</v>
      </c>
      <c r="C27" s="5" t="s">
        <v>629</v>
      </c>
      <c r="D27" s="5" t="s">
        <v>252</v>
      </c>
      <c r="E27" s="5" t="s">
        <v>211</v>
      </c>
      <c r="F27" s="5" t="s">
        <v>396</v>
      </c>
      <c r="G27" s="70" t="n">
        <v>2797.254</v>
      </c>
      <c r="H27" s="70" t="n">
        <v>1996.151</v>
      </c>
      <c r="I27" s="70" t="n">
        <v>618.831</v>
      </c>
      <c r="J27" s="71" t="n">
        <f aca="false">H27-I27</f>
        <v>1377.32</v>
      </c>
      <c r="K27" s="70" t="n">
        <v>698.511</v>
      </c>
      <c r="L27" s="70" t="n">
        <v>13364.892</v>
      </c>
      <c r="M27" s="70" t="n">
        <v>6586.625</v>
      </c>
      <c r="N27" s="70" t="n">
        <v>769.628</v>
      </c>
      <c r="O27" s="70" t="n">
        <v>9832.5874</v>
      </c>
      <c r="P27" s="70" t="n">
        <v>18.11</v>
      </c>
      <c r="Q27" s="19" t="n">
        <v>0</v>
      </c>
      <c r="R27" s="5"/>
      <c r="S27" s="72" t="n">
        <f aca="false">Supuestos!$B$103</f>
        <v>178.644199109045</v>
      </c>
      <c r="T27" s="71" t="n">
        <f aca="false">O27+M27+N27</f>
        <v>17188.8404</v>
      </c>
    </row>
    <row r="28" customFormat="false" ht="15" hidden="false" customHeight="true" outlineLevel="0" collapsed="false">
      <c r="A28" s="5" t="s">
        <v>250</v>
      </c>
      <c r="B28" s="5" t="s">
        <v>251</v>
      </c>
      <c r="C28" s="5" t="s">
        <v>629</v>
      </c>
      <c r="D28" s="5" t="s">
        <v>252</v>
      </c>
      <c r="E28" s="5" t="s">
        <v>211</v>
      </c>
      <c r="F28" s="5" t="s">
        <v>397</v>
      </c>
      <c r="G28" s="70" t="n">
        <v>2899.583</v>
      </c>
      <c r="H28" s="70" t="n">
        <v>2067.985</v>
      </c>
      <c r="I28" s="70" t="n">
        <v>634.825</v>
      </c>
      <c r="J28" s="71" t="n">
        <f aca="false">H28-I28</f>
        <v>1433.16</v>
      </c>
      <c r="K28" s="70" t="n">
        <v>834.166</v>
      </c>
      <c r="L28" s="70" t="n">
        <v>13146.445</v>
      </c>
      <c r="M28" s="70" t="n">
        <v>5871.965</v>
      </c>
      <c r="N28" s="70" t="n">
        <v>752.561</v>
      </c>
      <c r="O28" s="70" t="n">
        <v>14303.8972</v>
      </c>
      <c r="P28" s="70" t="n">
        <v>28.37</v>
      </c>
      <c r="Q28" s="19" t="n">
        <v>0</v>
      </c>
      <c r="R28" s="5"/>
      <c r="S28" s="72" t="n">
        <f aca="false">Supuestos!$B$103</f>
        <v>178.644199109045</v>
      </c>
      <c r="T28" s="71" t="n">
        <f aca="false">O28+M28+N28</f>
        <v>20928.4232</v>
      </c>
    </row>
    <row r="29" customFormat="false" ht="15" hidden="false" customHeight="true" outlineLevel="0" collapsed="false">
      <c r="A29" s="5" t="s">
        <v>250</v>
      </c>
      <c r="B29" s="5" t="s">
        <v>251</v>
      </c>
      <c r="C29" s="5" t="s">
        <v>629</v>
      </c>
      <c r="D29" s="5" t="s">
        <v>252</v>
      </c>
      <c r="E29" s="5" t="s">
        <v>211</v>
      </c>
      <c r="F29" s="5" t="s">
        <v>628</v>
      </c>
      <c r="G29" s="70" t="n">
        <v>2938.453</v>
      </c>
      <c r="H29" s="70" t="n">
        <v>2176.61</v>
      </c>
      <c r="I29" s="70" t="n">
        <v>629.913</v>
      </c>
      <c r="J29" s="71" t="n">
        <f aca="false">H29-I29</f>
        <v>1546.697</v>
      </c>
      <c r="K29" s="70" t="n">
        <v>934.54</v>
      </c>
      <c r="L29" s="70" t="n">
        <v>12852.742</v>
      </c>
      <c r="M29" s="70" t="n">
        <v>6838.401</v>
      </c>
      <c r="N29" s="70" t="n">
        <v>96.219</v>
      </c>
      <c r="O29" s="70" t="n">
        <v>14868.591</v>
      </c>
      <c r="P29" s="70" t="n">
        <v>29.49</v>
      </c>
      <c r="Q29" s="19" t="n">
        <v>0</v>
      </c>
      <c r="R29" s="5"/>
      <c r="S29" s="72" t="n">
        <f aca="false">Supuestos!$B$103</f>
        <v>178.644199109045</v>
      </c>
      <c r="T29" s="71" t="n">
        <f aca="false">O29+M29+N29</f>
        <v>21803.211</v>
      </c>
    </row>
    <row r="30" customFormat="false" ht="15" hidden="false" customHeight="true" outlineLevel="0" collapsed="false">
      <c r="A30" s="5" t="s">
        <v>253</v>
      </c>
      <c r="B30" s="5" t="s">
        <v>254</v>
      </c>
      <c r="C30" s="5" t="s">
        <v>629</v>
      </c>
      <c r="D30" s="5" t="s">
        <v>252</v>
      </c>
      <c r="E30" s="5" t="s">
        <v>211</v>
      </c>
      <c r="F30" s="5" t="s">
        <v>625</v>
      </c>
      <c r="G30" s="70" t="n">
        <v>1016.341</v>
      </c>
      <c r="H30" s="70" t="n">
        <v>653.8</v>
      </c>
      <c r="I30" s="70" t="n">
        <v>159.03</v>
      </c>
      <c r="J30" s="71" t="n">
        <f aca="false">H30-I30</f>
        <v>494.77</v>
      </c>
      <c r="K30" s="70" t="n">
        <v>7.568</v>
      </c>
      <c r="L30" s="70" t="n">
        <v>4093.329</v>
      </c>
      <c r="M30" s="70" t="n">
        <v>1193.596</v>
      </c>
      <c r="N30" s="70" t="n">
        <v>14.359</v>
      </c>
      <c r="O30" s="70" t="n">
        <v>5667.3061</v>
      </c>
      <c r="P30" s="70" t="n">
        <v>18.5</v>
      </c>
      <c r="Q30" s="19" t="n">
        <v>0</v>
      </c>
      <c r="R30" s="5"/>
      <c r="S30" s="72" t="n">
        <f aca="false">Supuestos!$B$103</f>
        <v>178.644199109045</v>
      </c>
      <c r="T30" s="71" t="n">
        <f aca="false">O30+M30+N30</f>
        <v>6875.2611</v>
      </c>
    </row>
    <row r="31" customFormat="false" ht="15" hidden="false" customHeight="true" outlineLevel="0" collapsed="false">
      <c r="A31" s="5" t="s">
        <v>253</v>
      </c>
      <c r="B31" s="5" t="s">
        <v>254</v>
      </c>
      <c r="C31" s="5" t="s">
        <v>629</v>
      </c>
      <c r="D31" s="5" t="s">
        <v>252</v>
      </c>
      <c r="E31" s="5" t="s">
        <v>211</v>
      </c>
      <c r="F31" s="5" t="s">
        <v>626</v>
      </c>
      <c r="G31" s="70" t="n">
        <v>1157.163</v>
      </c>
      <c r="H31" s="70" t="n">
        <v>919.704</v>
      </c>
      <c r="I31" s="70" t="n">
        <v>174.376</v>
      </c>
      <c r="J31" s="71" t="n">
        <f aca="false">H31-I31</f>
        <v>745.328</v>
      </c>
      <c r="K31" s="70" t="n">
        <v>304.713</v>
      </c>
      <c r="L31" s="70" t="n">
        <v>4177.323</v>
      </c>
      <c r="M31" s="70" t="n">
        <v>1757.145</v>
      </c>
      <c r="N31" s="70" t="n">
        <v>0.195</v>
      </c>
      <c r="O31" s="70" t="n">
        <v>7059.6783</v>
      </c>
      <c r="P31" s="70" t="n">
        <v>24.38</v>
      </c>
      <c r="Q31" s="19" t="n">
        <v>0</v>
      </c>
      <c r="R31" s="5"/>
      <c r="S31" s="72" t="n">
        <f aca="false">Supuestos!$B$103</f>
        <v>178.644199109045</v>
      </c>
      <c r="T31" s="71" t="n">
        <f aca="false">O31+M31+N31</f>
        <v>8817.0183</v>
      </c>
    </row>
    <row r="32" customFormat="false" ht="15" hidden="false" customHeight="true" outlineLevel="0" collapsed="false">
      <c r="A32" s="5" t="s">
        <v>253</v>
      </c>
      <c r="B32" s="5" t="s">
        <v>254</v>
      </c>
      <c r="C32" s="5" t="s">
        <v>629</v>
      </c>
      <c r="D32" s="5" t="s">
        <v>252</v>
      </c>
      <c r="E32" s="5" t="s">
        <v>211</v>
      </c>
      <c r="F32" s="5" t="s">
        <v>396</v>
      </c>
      <c r="G32" s="70" t="n">
        <v>1236.345</v>
      </c>
      <c r="H32" s="70" t="n">
        <v>914.762</v>
      </c>
      <c r="I32" s="70" t="n">
        <v>190.255</v>
      </c>
      <c r="J32" s="71" t="n">
        <f aca="false">H32-I32</f>
        <v>724.507</v>
      </c>
      <c r="K32" s="70" t="n">
        <v>399.771</v>
      </c>
      <c r="L32" s="70" t="n">
        <v>4309.804</v>
      </c>
      <c r="M32" s="70" t="n">
        <v>1614.844</v>
      </c>
      <c r="N32" s="70" t="n">
        <v>0.216</v>
      </c>
      <c r="O32" s="70" t="n">
        <v>5071.0437</v>
      </c>
      <c r="P32" s="70" t="n">
        <v>17.27</v>
      </c>
      <c r="Q32" s="19" t="n">
        <v>0</v>
      </c>
      <c r="R32" s="5"/>
      <c r="S32" s="72" t="n">
        <f aca="false">Supuestos!$B$103</f>
        <v>178.644199109045</v>
      </c>
      <c r="T32" s="71" t="n">
        <f aca="false">O32+M32+N32</f>
        <v>6686.1037</v>
      </c>
    </row>
    <row r="33" customFormat="false" ht="15" hidden="false" customHeight="true" outlineLevel="0" collapsed="false">
      <c r="A33" s="5" t="s">
        <v>253</v>
      </c>
      <c r="B33" s="5" t="s">
        <v>254</v>
      </c>
      <c r="C33" s="5" t="s">
        <v>629</v>
      </c>
      <c r="D33" s="5" t="s">
        <v>252</v>
      </c>
      <c r="E33" s="5" t="s">
        <v>211</v>
      </c>
      <c r="F33" s="5" t="s">
        <v>397</v>
      </c>
      <c r="G33" s="70" t="n">
        <v>1486.833</v>
      </c>
      <c r="H33" s="70" t="n">
        <v>1029.691</v>
      </c>
      <c r="I33" s="70" t="n">
        <v>113.963</v>
      </c>
      <c r="J33" s="71" t="n">
        <f aca="false">H33-I33</f>
        <v>915.728</v>
      </c>
      <c r="K33" s="70" t="n">
        <v>582.46</v>
      </c>
      <c r="L33" s="70" t="n">
        <v>4651.644</v>
      </c>
      <c r="M33" s="70" t="n">
        <v>2210.196</v>
      </c>
      <c r="N33" s="70" t="n">
        <v>0.22</v>
      </c>
      <c r="O33" s="70" t="n">
        <v>7307.0208</v>
      </c>
      <c r="P33" s="70" t="n">
        <v>25.57</v>
      </c>
      <c r="Q33" s="19" t="n">
        <v>0</v>
      </c>
      <c r="R33" s="5" t="s">
        <v>633</v>
      </c>
      <c r="S33" s="72" t="n">
        <f aca="false">Supuestos!$B$103</f>
        <v>178.644199109045</v>
      </c>
      <c r="T33" s="71" t="n">
        <f aca="false">O33+M33+N33</f>
        <v>9517.4368</v>
      </c>
    </row>
    <row r="34" customFormat="false" ht="15" hidden="false" customHeight="true" outlineLevel="0" collapsed="false">
      <c r="A34" s="5" t="s">
        <v>253</v>
      </c>
      <c r="B34" s="5" t="s">
        <v>254</v>
      </c>
      <c r="C34" s="5" t="s">
        <v>629</v>
      </c>
      <c r="D34" s="5" t="s">
        <v>252</v>
      </c>
      <c r="E34" s="5" t="s">
        <v>211</v>
      </c>
      <c r="F34" s="5" t="s">
        <v>628</v>
      </c>
      <c r="G34" s="70" t="n">
        <v>1527.409</v>
      </c>
      <c r="H34" s="70" t="n">
        <v>1127.509</v>
      </c>
      <c r="I34" s="70" t="n">
        <v>129.784</v>
      </c>
      <c r="J34" s="71" t="n">
        <f aca="false">H34-I34</f>
        <v>997.725</v>
      </c>
      <c r="K34" s="70" t="n">
        <v>638.571</v>
      </c>
      <c r="L34" s="70" t="n">
        <v>4937.138</v>
      </c>
      <c r="M34" s="70" t="n">
        <v>2138.597</v>
      </c>
      <c r="N34" s="70" t="n">
        <v>0.218</v>
      </c>
      <c r="O34" s="70" t="n">
        <v>7731.5118</v>
      </c>
      <c r="P34" s="70" t="n">
        <v>27.02</v>
      </c>
      <c r="Q34" s="19" t="n">
        <v>0</v>
      </c>
      <c r="R34" s="5" t="s">
        <v>634</v>
      </c>
      <c r="S34" s="72" t="n">
        <f aca="false">Supuestos!$B$103</f>
        <v>178.644199109045</v>
      </c>
      <c r="T34" s="71" t="n">
        <f aca="false">O34+M34+N34</f>
        <v>9870.3268</v>
      </c>
    </row>
    <row r="35" customFormat="false" ht="15" hidden="false" customHeight="true" outlineLevel="0" collapsed="false">
      <c r="A35" s="5" t="s">
        <v>258</v>
      </c>
      <c r="B35" s="5" t="s">
        <v>259</v>
      </c>
      <c r="C35" s="5" t="s">
        <v>635</v>
      </c>
      <c r="D35" s="5" t="s">
        <v>260</v>
      </c>
      <c r="E35" s="5" t="s">
        <v>217</v>
      </c>
      <c r="F35" s="5" t="s">
        <v>636</v>
      </c>
      <c r="G35" s="70" t="n">
        <v>69299</v>
      </c>
      <c r="H35" s="70" t="n">
        <v>28988</v>
      </c>
      <c r="I35" s="70" t="n">
        <v>2007</v>
      </c>
      <c r="J35" s="71" t="n">
        <f aca="false">H35-I35</f>
        <v>26981</v>
      </c>
      <c r="K35" s="70" t="n">
        <v>74487</v>
      </c>
      <c r="L35" s="70" t="n">
        <v>342457</v>
      </c>
      <c r="M35" s="70" t="n">
        <v>136044</v>
      </c>
      <c r="N35" s="70" t="n">
        <v>23443</v>
      </c>
      <c r="O35" s="70" t="n">
        <v>74930.179</v>
      </c>
      <c r="P35" s="70" t="n">
        <v>97.185</v>
      </c>
      <c r="Q35" s="19" t="n">
        <v>0</v>
      </c>
      <c r="R35" s="5"/>
      <c r="S35" s="72" t="n">
        <f aca="false">Supuestos!$B$105</f>
        <v>0.622361673414305</v>
      </c>
      <c r="T35" s="71" t="n">
        <f aca="false">O35+M35+N35</f>
        <v>234417.179</v>
      </c>
    </row>
    <row r="36" customFormat="false" ht="15" hidden="false" customHeight="true" outlineLevel="0" collapsed="false">
      <c r="A36" s="5" t="s">
        <v>258</v>
      </c>
      <c r="B36" s="5" t="s">
        <v>259</v>
      </c>
      <c r="C36" s="5" t="s">
        <v>635</v>
      </c>
      <c r="D36" s="5" t="s">
        <v>260</v>
      </c>
      <c r="E36" s="5" t="s">
        <v>217</v>
      </c>
      <c r="F36" s="5" t="s">
        <v>637</v>
      </c>
      <c r="G36" s="70" t="n">
        <v>331721</v>
      </c>
      <c r="H36" s="70" t="n">
        <v>92531</v>
      </c>
      <c r="I36" s="70" t="n">
        <v>7056</v>
      </c>
      <c r="J36" s="71" t="n">
        <f aca="false">H36-I36</f>
        <v>85475</v>
      </c>
      <c r="K36" s="70" t="n">
        <v>213076</v>
      </c>
      <c r="L36" s="70" t="n">
        <v>1345130</v>
      </c>
      <c r="M36" s="70" t="n">
        <v>378401</v>
      </c>
      <c r="N36" s="70" t="n">
        <v>82965</v>
      </c>
      <c r="O36" s="70" t="n">
        <v>331336.4595</v>
      </c>
      <c r="P36" s="70" t="n">
        <v>433.728</v>
      </c>
      <c r="Q36" s="19" t="n">
        <v>0</v>
      </c>
      <c r="R36" s="5"/>
      <c r="S36" s="72" t="n">
        <f aca="false">Supuestos!$B$105</f>
        <v>0.622361673414305</v>
      </c>
      <c r="T36" s="71" t="n">
        <f aca="false">O36+M36+N36</f>
        <v>792702.4595</v>
      </c>
    </row>
    <row r="37" customFormat="false" ht="15" hidden="false" customHeight="true" outlineLevel="0" collapsed="false">
      <c r="A37" s="5" t="s">
        <v>258</v>
      </c>
      <c r="B37" s="5" t="s">
        <v>259</v>
      </c>
      <c r="C37" s="5" t="s">
        <v>635</v>
      </c>
      <c r="D37" s="5" t="s">
        <v>260</v>
      </c>
      <c r="E37" s="5" t="s">
        <v>217</v>
      </c>
      <c r="F37" s="5" t="s">
        <v>638</v>
      </c>
      <c r="G37" s="70" t="n">
        <v>458059</v>
      </c>
      <c r="H37" s="70" t="n">
        <v>232057</v>
      </c>
      <c r="I37" s="70" t="n">
        <v>9130</v>
      </c>
      <c r="J37" s="71" t="n">
        <f aca="false">H37-I37</f>
        <v>222927</v>
      </c>
      <c r="K37" s="70" t="n">
        <v>-25621</v>
      </c>
      <c r="L37" s="70" t="n">
        <v>1503846</v>
      </c>
      <c r="M37" s="70" t="n">
        <v>484504</v>
      </c>
      <c r="N37" s="70" t="n">
        <v>102883</v>
      </c>
      <c r="O37" s="70" t="n">
        <v>898977.277</v>
      </c>
      <c r="P37" s="70" t="n">
        <v>1178.315</v>
      </c>
      <c r="Q37" s="19" t="n">
        <v>0</v>
      </c>
      <c r="R37" s="5" t="s">
        <v>639</v>
      </c>
      <c r="S37" s="72" t="n">
        <f aca="false">Supuestos!$B$105</f>
        <v>0.622361673414305</v>
      </c>
      <c r="T37" s="71" t="n">
        <f aca="false">O37+M37+N37</f>
        <v>1486364.277</v>
      </c>
    </row>
    <row r="38" customFormat="false" ht="15" hidden="false" customHeight="true" outlineLevel="0" collapsed="false">
      <c r="A38" s="5" t="s">
        <v>258</v>
      </c>
      <c r="B38" s="5" t="s">
        <v>259</v>
      </c>
      <c r="C38" s="5" t="s">
        <v>635</v>
      </c>
      <c r="D38" s="5" t="s">
        <v>260</v>
      </c>
      <c r="E38" s="5" t="s">
        <v>217</v>
      </c>
      <c r="F38" s="5" t="s">
        <v>640</v>
      </c>
      <c r="G38" s="70" t="n">
        <v>626290</v>
      </c>
      <c r="H38" s="70" t="n">
        <v>252539</v>
      </c>
      <c r="I38" s="70" t="n">
        <v>14034</v>
      </c>
      <c r="J38" s="71" t="n">
        <f aca="false">H38-I38</f>
        <v>238505</v>
      </c>
      <c r="K38" s="70" t="n">
        <v>260661</v>
      </c>
      <c r="L38" s="70" t="n">
        <v>2107122</v>
      </c>
      <c r="M38" s="70" t="n">
        <v>632450</v>
      </c>
      <c r="N38" s="70" t="n">
        <v>125752</v>
      </c>
      <c r="O38" s="70" t="n">
        <v>1260881.973</v>
      </c>
      <c r="P38" s="70" t="n">
        <v>1685</v>
      </c>
      <c r="Q38" s="19" t="n">
        <v>0</v>
      </c>
      <c r="R38" s="5"/>
      <c r="S38" s="72" t="n">
        <f aca="false">Supuestos!$B$105</f>
        <v>0.622361673414305</v>
      </c>
      <c r="T38" s="71" t="n">
        <f aca="false">O38+M38+N38</f>
        <v>2019083.973</v>
      </c>
    </row>
    <row r="39" customFormat="false" ht="15" hidden="false" customHeight="true" outlineLevel="0" collapsed="false">
      <c r="A39" s="5" t="s">
        <v>258</v>
      </c>
      <c r="B39" s="5" t="s">
        <v>259</v>
      </c>
      <c r="C39" s="5" t="s">
        <v>635</v>
      </c>
      <c r="D39" s="5" t="s">
        <v>260</v>
      </c>
      <c r="E39" s="5" t="s">
        <v>217</v>
      </c>
      <c r="F39" s="5" t="s">
        <v>628</v>
      </c>
      <c r="G39" s="70" t="n">
        <v>657654</v>
      </c>
      <c r="H39" s="70" t="n">
        <v>234086.077785064</v>
      </c>
      <c r="I39" s="70" t="n">
        <v>16953.5830793859</v>
      </c>
      <c r="J39" s="71" t="n">
        <f aca="false">H39-I39</f>
        <v>217132.494705678</v>
      </c>
      <c r="K39" s="70" t="n">
        <v>393510</v>
      </c>
      <c r="L39" s="70" t="n">
        <v>2279754</v>
      </c>
      <c r="M39" s="70" t="n">
        <v>901783</v>
      </c>
      <c r="N39" s="70" t="n">
        <v>140656</v>
      </c>
      <c r="O39" s="70" t="n">
        <v>1832401.491</v>
      </c>
      <c r="P39" s="70" t="n">
        <v>2260</v>
      </c>
      <c r="Q39" s="19" t="n">
        <v>0</v>
      </c>
      <c r="R39" s="5" t="s">
        <v>641</v>
      </c>
      <c r="S39" s="72" t="n">
        <f aca="false">Supuestos!$B$105</f>
        <v>0.622361673414305</v>
      </c>
      <c r="T39" s="71" t="n">
        <f aca="false">O39+M39+N39</f>
        <v>2874840.491</v>
      </c>
    </row>
    <row r="40" customFormat="false" ht="15" hidden="false" customHeight="true" outlineLevel="0" collapsed="false">
      <c r="A40" s="5" t="s">
        <v>580</v>
      </c>
      <c r="B40" s="5" t="s">
        <v>642</v>
      </c>
      <c r="C40" s="5" t="s">
        <v>635</v>
      </c>
      <c r="D40" s="5" t="s">
        <v>257</v>
      </c>
      <c r="E40" s="5" t="s">
        <v>214</v>
      </c>
      <c r="F40" s="5" t="s">
        <v>625</v>
      </c>
      <c r="G40" s="70" t="n">
        <v>5513.075093</v>
      </c>
      <c r="H40" s="70" t="n">
        <v>3548.488</v>
      </c>
      <c r="I40" s="70" t="n">
        <v>17.399054</v>
      </c>
      <c r="J40" s="71" t="n">
        <f aca="false">H40-I40</f>
        <v>3531.088946</v>
      </c>
      <c r="K40" s="70" t="n">
        <v>2839.273649</v>
      </c>
      <c r="L40" s="70" t="n">
        <v>58859.10501</v>
      </c>
      <c r="M40" s="70" t="n">
        <v>5777.214826</v>
      </c>
      <c r="N40" s="70" t="n">
        <v>2514.053494</v>
      </c>
      <c r="O40" s="70" t="n">
        <v>35837.309</v>
      </c>
      <c r="P40" s="70" t="n">
        <v>23.4</v>
      </c>
      <c r="Q40" s="19" t="n">
        <v>0</v>
      </c>
      <c r="R40" s="5"/>
      <c r="S40" s="72" t="n">
        <f aca="false">Supuestos!$B$104</f>
        <v>52.7093596059113</v>
      </c>
      <c r="T40" s="71" t="n">
        <f aca="false">O40+M40+N40</f>
        <v>44128.57732</v>
      </c>
    </row>
    <row r="41" customFormat="false" ht="15" hidden="false" customHeight="true" outlineLevel="0" collapsed="false">
      <c r="A41" s="5" t="s">
        <v>580</v>
      </c>
      <c r="B41" s="5" t="s">
        <v>642</v>
      </c>
      <c r="C41" s="5" t="s">
        <v>635</v>
      </c>
      <c r="D41" s="5" t="s">
        <v>257</v>
      </c>
      <c r="E41" s="5" t="s">
        <v>214</v>
      </c>
      <c r="F41" s="5" t="s">
        <v>626</v>
      </c>
      <c r="G41" s="70" t="n">
        <v>6188.989063</v>
      </c>
      <c r="H41" s="70" t="n">
        <v>3946.793719</v>
      </c>
      <c r="I41" s="70" t="n">
        <v>16.68704</v>
      </c>
      <c r="J41" s="71" t="n">
        <f aca="false">H41-I41</f>
        <v>3930.106679</v>
      </c>
      <c r="K41" s="70" t="n">
        <v>3309.20402</v>
      </c>
      <c r="L41" s="70" t="n">
        <v>59273.71025</v>
      </c>
      <c r="M41" s="70" t="n">
        <v>7103.915032</v>
      </c>
      <c r="N41" s="70" t="n">
        <v>2779.691784</v>
      </c>
      <c r="O41" s="70" t="n">
        <v>32666.0343</v>
      </c>
      <c r="P41" s="70" t="n">
        <v>20.96</v>
      </c>
      <c r="Q41" s="19" t="n">
        <v>0</v>
      </c>
      <c r="R41" s="5"/>
      <c r="S41" s="72" t="n">
        <f aca="false">Supuestos!$B$104</f>
        <v>52.7093596059113</v>
      </c>
      <c r="T41" s="71" t="n">
        <f aca="false">O41+M41+N41</f>
        <v>42549.641116</v>
      </c>
    </row>
    <row r="42" customFormat="false" ht="15" hidden="false" customHeight="true" outlineLevel="0" collapsed="false">
      <c r="A42" s="5" t="s">
        <v>580</v>
      </c>
      <c r="B42" s="5" t="s">
        <v>642</v>
      </c>
      <c r="C42" s="5" t="s">
        <v>635</v>
      </c>
      <c r="D42" s="5" t="s">
        <v>257</v>
      </c>
      <c r="E42" s="5" t="s">
        <v>214</v>
      </c>
      <c r="F42" s="5" t="s">
        <v>396</v>
      </c>
      <c r="G42" s="70" t="n">
        <v>6774.648773</v>
      </c>
      <c r="H42" s="70" t="n">
        <v>4404.979918</v>
      </c>
      <c r="I42" s="70" t="n">
        <v>12.314015</v>
      </c>
      <c r="J42" s="71" t="n">
        <f aca="false">H42-I42</f>
        <v>4392.665903</v>
      </c>
      <c r="K42" s="70" t="n">
        <v>4201.211086</v>
      </c>
      <c r="L42" s="70" t="n">
        <v>61136.362</v>
      </c>
      <c r="M42" s="70" t="n">
        <v>8959.336</v>
      </c>
      <c r="N42" s="70" t="n">
        <v>2694.196</v>
      </c>
      <c r="O42" s="70" t="n">
        <v>31741.1254</v>
      </c>
      <c r="P42" s="70" t="n">
        <v>20.06</v>
      </c>
      <c r="Q42" s="19" t="n">
        <v>0</v>
      </c>
      <c r="R42" s="5"/>
      <c r="S42" s="72" t="n">
        <f aca="false">Supuestos!$B$104</f>
        <v>52.7093596059113</v>
      </c>
      <c r="T42" s="71" t="n">
        <f aca="false">O42+M42+N42</f>
        <v>43394.6574</v>
      </c>
    </row>
    <row r="43" customFormat="false" ht="15" hidden="false" customHeight="true" outlineLevel="0" collapsed="false">
      <c r="A43" s="5" t="s">
        <v>580</v>
      </c>
      <c r="B43" s="5" t="s">
        <v>642</v>
      </c>
      <c r="C43" s="5" t="s">
        <v>635</v>
      </c>
      <c r="D43" s="5" t="s">
        <v>257</v>
      </c>
      <c r="E43" s="5" t="s">
        <v>214</v>
      </c>
      <c r="F43" s="5" t="s">
        <v>397</v>
      </c>
      <c r="G43" s="70" t="n">
        <v>7576.427586</v>
      </c>
      <c r="H43" s="70" t="n">
        <v>5024.111421</v>
      </c>
      <c r="I43" s="70" t="n">
        <v>13.044624</v>
      </c>
      <c r="J43" s="71" t="n">
        <f aca="false">H43-I43</f>
        <v>5011.066797</v>
      </c>
      <c r="K43" s="70" t="n">
        <v>5033.094732</v>
      </c>
      <c r="L43" s="70" t="n">
        <v>63801.62915</v>
      </c>
      <c r="M43" s="70" t="n">
        <v>10355.72216</v>
      </c>
      <c r="N43" s="70" t="n">
        <v>2856.829912</v>
      </c>
      <c r="O43" s="70" t="n">
        <v>45010.3081</v>
      </c>
      <c r="P43" s="70" t="n">
        <v>28.06</v>
      </c>
      <c r="Q43" s="19" t="n">
        <v>0</v>
      </c>
      <c r="R43" s="5"/>
      <c r="S43" s="72" t="n">
        <f aca="false">Supuestos!$B$104</f>
        <v>52.7093596059113</v>
      </c>
      <c r="T43" s="71" t="n">
        <f aca="false">O43+M43+N43</f>
        <v>58222.860172</v>
      </c>
    </row>
    <row r="44" customFormat="false" ht="15" hidden="false" customHeight="true" outlineLevel="0" collapsed="false">
      <c r="A44" s="5" t="s">
        <v>580</v>
      </c>
      <c r="B44" s="5" t="s">
        <v>642</v>
      </c>
      <c r="C44" s="5" t="s">
        <v>635</v>
      </c>
      <c r="D44" s="5" t="s">
        <v>257</v>
      </c>
      <c r="E44" s="5" t="s">
        <v>214</v>
      </c>
      <c r="F44" s="5" t="s">
        <v>628</v>
      </c>
      <c r="G44" s="70" t="n">
        <v>7919.117418</v>
      </c>
      <c r="H44" s="70" t="n">
        <v>5267.092213</v>
      </c>
      <c r="I44" s="70" t="n">
        <v>13.271624</v>
      </c>
      <c r="J44" s="71" t="n">
        <f aca="false">H44-I44</f>
        <v>5253.820589</v>
      </c>
      <c r="K44" s="70" t="n">
        <v>5720.845732</v>
      </c>
      <c r="L44" s="70" t="n">
        <v>65366.324</v>
      </c>
      <c r="M44" s="70" t="n">
        <v>11724.738</v>
      </c>
      <c r="N44" s="70" t="n">
        <v>2958.505</v>
      </c>
      <c r="O44" s="70" t="n">
        <v>45229.1479</v>
      </c>
      <c r="P44" s="70" t="n">
        <v>27.94</v>
      </c>
      <c r="Q44" s="19" t="n">
        <v>0</v>
      </c>
      <c r="R44" s="5"/>
      <c r="S44" s="72" t="n">
        <f aca="false">Supuestos!$B$104</f>
        <v>52.7093596059113</v>
      </c>
      <c r="T44" s="71" t="n">
        <f aca="false">O44+M44+N44</f>
        <v>59912.3909</v>
      </c>
    </row>
    <row r="46" customFormat="false" ht="15" hidden="false" customHeight="true" outlineLevel="0" collapsed="false">
      <c r="A46" s="4" t="s">
        <v>643</v>
      </c>
    </row>
    <row r="47" customFormat="false" ht="15" hidden="false" customHeight="true" outlineLevel="0" collapsed="false">
      <c r="A47" s="13" t="s">
        <v>235</v>
      </c>
      <c r="B47" s="13" t="s">
        <v>236</v>
      </c>
      <c r="C47" s="13" t="s">
        <v>611</v>
      </c>
      <c r="D47" s="13" t="s">
        <v>237</v>
      </c>
      <c r="E47" s="13" t="s">
        <v>612</v>
      </c>
      <c r="F47" s="13" t="s">
        <v>613</v>
      </c>
      <c r="G47" s="13" t="s">
        <v>644</v>
      </c>
      <c r="H47" s="13" t="s">
        <v>562</v>
      </c>
      <c r="I47" s="13" t="s">
        <v>645</v>
      </c>
      <c r="J47" s="13" t="s">
        <v>646</v>
      </c>
      <c r="K47" s="13" t="s">
        <v>647</v>
      </c>
      <c r="L47" s="13"/>
      <c r="M47" s="13"/>
      <c r="N47" s="13"/>
      <c r="O47" s="13"/>
      <c r="P47" s="13"/>
      <c r="Q47" s="13"/>
      <c r="R47" s="13" t="s">
        <v>621</v>
      </c>
      <c r="S47" s="13" t="s">
        <v>622</v>
      </c>
    </row>
    <row r="48" customFormat="false" ht="15" hidden="false" customHeight="true" outlineLevel="0" collapsed="false">
      <c r="A48" s="5" t="s">
        <v>578</v>
      </c>
      <c r="B48" s="5" t="s">
        <v>624</v>
      </c>
      <c r="C48" s="5" t="s">
        <v>579</v>
      </c>
      <c r="D48" s="5" t="s">
        <v>247</v>
      </c>
      <c r="E48" s="5" t="s">
        <v>42</v>
      </c>
      <c r="F48" s="5" t="s">
        <v>648</v>
      </c>
      <c r="G48" s="70" t="n">
        <v>758569.5251</v>
      </c>
      <c r="H48" s="70" t="n">
        <v>617130.3379</v>
      </c>
      <c r="I48" s="70" t="n">
        <v>611889.8174</v>
      </c>
      <c r="J48" s="70" t="n">
        <v>488981.2456</v>
      </c>
      <c r="K48" s="19" t="n">
        <v>13</v>
      </c>
      <c r="R48" s="5"/>
      <c r="S48" s="72" t="n">
        <f aca="false">Supuestos!$B$101</f>
        <v>1</v>
      </c>
    </row>
    <row r="49" customFormat="false" ht="15" hidden="false" customHeight="true" outlineLevel="0" collapsed="false">
      <c r="A49" s="5" t="s">
        <v>245</v>
      </c>
      <c r="B49" s="5" t="s">
        <v>246</v>
      </c>
      <c r="C49" s="5" t="s">
        <v>629</v>
      </c>
      <c r="D49" s="5" t="s">
        <v>247</v>
      </c>
      <c r="E49" s="5" t="s">
        <v>42</v>
      </c>
      <c r="F49" s="5" t="s">
        <v>648</v>
      </c>
      <c r="G49" s="70" t="n">
        <v>475685.589</v>
      </c>
      <c r="H49" s="70" t="n">
        <v>342581.9503</v>
      </c>
      <c r="I49" s="70" t="n">
        <v>347536.9589</v>
      </c>
      <c r="J49" s="70" t="n">
        <v>166719.8491</v>
      </c>
      <c r="K49" s="19" t="n">
        <v>13</v>
      </c>
      <c r="R49" s="5" t="s">
        <v>649</v>
      </c>
      <c r="S49" s="72" t="n">
        <f aca="false">Supuestos!$B$101</f>
        <v>1</v>
      </c>
    </row>
    <row r="50" customFormat="false" ht="15" hidden="false" customHeight="true" outlineLevel="0" collapsed="false">
      <c r="A50" s="5" t="s">
        <v>248</v>
      </c>
      <c r="B50" s="5" t="s">
        <v>249</v>
      </c>
      <c r="C50" s="5" t="s">
        <v>629</v>
      </c>
      <c r="D50" s="5" t="s">
        <v>247</v>
      </c>
      <c r="E50" s="5" t="s">
        <v>42</v>
      </c>
      <c r="F50" s="5" t="s">
        <v>648</v>
      </c>
      <c r="G50" s="70" t="n">
        <v>436396.6493</v>
      </c>
      <c r="H50" s="70" t="n">
        <v>392093.8</v>
      </c>
      <c r="I50" s="70" t="n">
        <v>395608.2021</v>
      </c>
      <c r="J50" s="70" t="n">
        <v>278140.7303</v>
      </c>
      <c r="K50" s="19" t="n">
        <v>11</v>
      </c>
      <c r="R50" s="5" t="s">
        <v>649</v>
      </c>
      <c r="S50" s="72" t="n">
        <f aca="false">Supuestos!$B$101</f>
        <v>1</v>
      </c>
    </row>
    <row r="51" customFormat="false" ht="15" hidden="false" customHeight="true" outlineLevel="0" collapsed="false">
      <c r="A51" s="5" t="s">
        <v>261</v>
      </c>
      <c r="B51" s="5" t="s">
        <v>262</v>
      </c>
      <c r="C51" s="5" t="s">
        <v>629</v>
      </c>
      <c r="D51" s="5" t="s">
        <v>252</v>
      </c>
      <c r="E51" s="5" t="s">
        <v>211</v>
      </c>
      <c r="F51" s="5" t="s">
        <v>648</v>
      </c>
      <c r="G51" s="70" t="n">
        <v>2802.804483</v>
      </c>
      <c r="H51" s="70" t="n">
        <v>2109.070776</v>
      </c>
      <c r="I51" s="70" t="n">
        <v>1967.476961</v>
      </c>
      <c r="J51" s="70" t="n">
        <v>1291.497506</v>
      </c>
      <c r="K51" s="19" t="n">
        <v>15</v>
      </c>
      <c r="R51" s="5"/>
      <c r="S51" s="72" t="n">
        <f aca="false">Supuestos!$B$103</f>
        <v>178.644199109045</v>
      </c>
    </row>
    <row r="52" customFormat="false" ht="15" hidden="false" customHeight="true" outlineLevel="0" collapsed="false">
      <c r="A52" s="5" t="s">
        <v>250</v>
      </c>
      <c r="B52" s="5" t="s">
        <v>251</v>
      </c>
      <c r="C52" s="5" t="s">
        <v>629</v>
      </c>
      <c r="D52" s="5" t="s">
        <v>252</v>
      </c>
      <c r="E52" s="5" t="s">
        <v>211</v>
      </c>
      <c r="F52" s="5" t="s">
        <v>648</v>
      </c>
      <c r="G52" s="70" t="n">
        <v>3116.17637</v>
      </c>
      <c r="H52" s="70" t="n">
        <v>2315.443836</v>
      </c>
      <c r="I52" s="70" t="n">
        <v>1723.195205</v>
      </c>
      <c r="J52" s="70" t="n">
        <v>949.7683602</v>
      </c>
      <c r="K52" s="19" t="n">
        <v>14</v>
      </c>
      <c r="R52" s="5"/>
      <c r="S52" s="72" t="n">
        <f aca="false">Supuestos!$B$103</f>
        <v>178.644199109045</v>
      </c>
    </row>
    <row r="53" customFormat="false" ht="15" hidden="false" customHeight="true" outlineLevel="0" collapsed="false">
      <c r="A53" s="5" t="s">
        <v>253</v>
      </c>
      <c r="B53" s="5" t="s">
        <v>254</v>
      </c>
      <c r="C53" s="5" t="s">
        <v>629</v>
      </c>
      <c r="D53" s="5" t="s">
        <v>252</v>
      </c>
      <c r="E53" s="5" t="s">
        <v>211</v>
      </c>
      <c r="F53" s="5" t="s">
        <v>648</v>
      </c>
      <c r="G53" s="70" t="n">
        <v>1781.472603</v>
      </c>
      <c r="H53" s="70" t="n">
        <v>1333.787671</v>
      </c>
      <c r="I53" s="70" t="n">
        <v>1112.771689</v>
      </c>
      <c r="J53" s="70" t="n">
        <v>649.873092</v>
      </c>
      <c r="K53" s="19" t="n">
        <v>13</v>
      </c>
      <c r="R53" s="5"/>
      <c r="S53" s="72" t="n">
        <f aca="false">Supuestos!$B$103</f>
        <v>178.644199109045</v>
      </c>
    </row>
    <row r="54" customFormat="false" ht="15" hidden="false" customHeight="true" outlineLevel="0" collapsed="false">
      <c r="A54" s="5" t="s">
        <v>258</v>
      </c>
      <c r="B54" s="5" t="s">
        <v>259</v>
      </c>
      <c r="C54" s="5" t="s">
        <v>635</v>
      </c>
      <c r="D54" s="5" t="s">
        <v>260</v>
      </c>
      <c r="E54" s="5" t="s">
        <v>217</v>
      </c>
      <c r="F54" s="5" t="s">
        <v>648</v>
      </c>
      <c r="G54" s="70" t="n">
        <v>708864.6243</v>
      </c>
      <c r="H54" s="70" t="n">
        <v>460784.7301</v>
      </c>
      <c r="I54" s="70" t="n">
        <v>444193.9164</v>
      </c>
      <c r="J54" s="70" t="n">
        <v>199514.5402</v>
      </c>
      <c r="K54" s="19" t="n">
        <v>1</v>
      </c>
      <c r="R54" s="5" t="s">
        <v>650</v>
      </c>
      <c r="S54" s="72" t="n">
        <f aca="false">Supuestos!$B$105</f>
        <v>0.622361673414305</v>
      </c>
    </row>
    <row r="55" customFormat="false" ht="15" hidden="false" customHeight="true" outlineLevel="0" collapsed="false">
      <c r="A55" s="5" t="s">
        <v>580</v>
      </c>
      <c r="B55" s="5" t="s">
        <v>642</v>
      </c>
      <c r="C55" s="5" t="s">
        <v>635</v>
      </c>
      <c r="D55" s="5" t="s">
        <v>257</v>
      </c>
      <c r="E55" s="5" t="s">
        <v>214</v>
      </c>
      <c r="F55" s="5" t="s">
        <v>648</v>
      </c>
      <c r="G55" s="70" t="n">
        <v>8336.520548</v>
      </c>
      <c r="H55" s="70" t="n">
        <v>5945.221461</v>
      </c>
      <c r="I55" s="70" t="n">
        <v>5956.345205</v>
      </c>
      <c r="J55" s="70" t="n">
        <v>5316.659004</v>
      </c>
      <c r="K55" s="19" t="n">
        <v>9</v>
      </c>
      <c r="R55" s="5" t="s">
        <v>649</v>
      </c>
      <c r="S55" s="72" t="n">
        <f aca="false">Supuestos!$B$104</f>
        <v>52.7093596059113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0"/>
  </cols>
  <sheetData>
    <row r="1" customFormat="false" ht="15.75" hidden="false" customHeight="true" outlineLevel="0" collapsed="false">
      <c r="A1" s="2" t="s">
        <v>651</v>
      </c>
    </row>
    <row r="3" customFormat="false" ht="25.5" hidden="false" customHeight="true" outlineLevel="0" collapsed="false">
      <c r="A3" s="73" t="s">
        <v>366</v>
      </c>
      <c r="B3" s="74" t="s">
        <v>652</v>
      </c>
    </row>
    <row r="4" customFormat="false" ht="38.25" hidden="false" customHeight="true" outlineLevel="0" collapsed="false">
      <c r="A4" s="73" t="s">
        <v>653</v>
      </c>
      <c r="B4" s="74" t="s">
        <v>654</v>
      </c>
    </row>
    <row r="5" customFormat="false" ht="25.5" hidden="false" customHeight="true" outlineLevel="0" collapsed="false">
      <c r="A5" s="73" t="s">
        <v>655</v>
      </c>
      <c r="B5" s="74" t="s">
        <v>656</v>
      </c>
    </row>
    <row r="6" customFormat="false" ht="15" hidden="false" customHeight="true" outlineLevel="0" collapsed="false">
      <c r="A6" s="73" t="s">
        <v>657</v>
      </c>
      <c r="B6" s="74" t="s">
        <v>658</v>
      </c>
    </row>
    <row r="7" customFormat="false" ht="25.5" hidden="false" customHeight="true" outlineLevel="0" collapsed="false">
      <c r="A7" s="73" t="s">
        <v>628</v>
      </c>
      <c r="B7" s="74" t="s">
        <v>659</v>
      </c>
    </row>
    <row r="8" customFormat="false" ht="25.5" hidden="false" customHeight="true" outlineLevel="0" collapsed="false">
      <c r="A8" s="73" t="s">
        <v>648</v>
      </c>
      <c r="B8" s="74" t="s">
        <v>660</v>
      </c>
    </row>
    <row r="9" customFormat="false" ht="15" hidden="false" customHeight="true" outlineLevel="0" collapsed="false">
      <c r="A9" s="73" t="s">
        <v>612</v>
      </c>
      <c r="B9" s="74" t="s">
        <v>661</v>
      </c>
    </row>
    <row r="10" customFormat="false" ht="15" hidden="false" customHeight="true" outlineLevel="0" collapsed="false">
      <c r="A10" s="73" t="s">
        <v>662</v>
      </c>
      <c r="B10" s="74" t="s">
        <v>663</v>
      </c>
    </row>
    <row r="11" customFormat="false" ht="15" hidden="false" customHeight="true" outlineLevel="0" collapsed="false">
      <c r="A11" s="73" t="s">
        <v>258</v>
      </c>
      <c r="B11" s="74" t="s">
        <v>664</v>
      </c>
    </row>
    <row r="12" customFormat="false" ht="15" hidden="false" customHeight="true" outlineLevel="0" collapsed="false">
      <c r="A12" s="73" t="s">
        <v>665</v>
      </c>
      <c r="B12" s="74" t="s">
        <v>666</v>
      </c>
    </row>
    <row r="13" customFormat="false" ht="25.5" hidden="false" customHeight="true" outlineLevel="0" collapsed="false">
      <c r="A13" s="73" t="s">
        <v>667</v>
      </c>
      <c r="B13" s="74" t="s">
        <v>668</v>
      </c>
    </row>
    <row r="14" customFormat="false" ht="25.5" hidden="false" customHeight="true" outlineLevel="0" collapsed="false">
      <c r="A14" s="73" t="s">
        <v>669</v>
      </c>
      <c r="B14" s="74" t="s">
        <v>670</v>
      </c>
    </row>
    <row r="15" customFormat="false" ht="15" hidden="false" customHeight="true" outlineLevel="0" collapsed="false">
      <c r="A15" s="73" t="s">
        <v>671</v>
      </c>
      <c r="B15" s="74" t="s">
        <v>672</v>
      </c>
    </row>
    <row r="16" customFormat="false" ht="15" hidden="false" customHeight="true" outlineLevel="0" collapsed="false">
      <c r="A16" s="73" t="s">
        <v>673</v>
      </c>
      <c r="B16" s="74" t="s">
        <v>674</v>
      </c>
    </row>
    <row r="17" customFormat="false" ht="15" hidden="false" customHeight="true" outlineLevel="0" collapsed="false">
      <c r="A17" s="73" t="s">
        <v>675</v>
      </c>
      <c r="B17" s="74" t="s">
        <v>676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CB100"/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2"/>
    <col collapsed="false" customWidth="true" hidden="false" outlineLevel="0" max="8" min="3" style="1" width="12"/>
  </cols>
  <sheetData>
    <row r="1" customFormat="false" ht="15.75" hidden="false" customHeight="true" outlineLevel="0" collapsed="false">
      <c r="A1" s="75" t="s">
        <v>677</v>
      </c>
      <c r="B1" s="11" t="s">
        <v>678</v>
      </c>
    </row>
    <row r="2" customFormat="false" ht="15" hidden="false" customHeight="true" outlineLevel="0" collapsed="false">
      <c r="A2" s="1" t="s">
        <v>679</v>
      </c>
    </row>
    <row r="4" customFormat="false" ht="15" hidden="false" customHeight="true" outlineLevel="0" collapsed="false">
      <c r="A4" s="1" t="s">
        <v>680</v>
      </c>
      <c r="C4" s="76" t="n">
        <v>0.0761134176</v>
      </c>
      <c r="D4" s="1" t="s">
        <v>681</v>
      </c>
    </row>
    <row r="5" customFormat="false" ht="15" hidden="false" customHeight="true" outlineLevel="0" collapsed="false">
      <c r="A5" s="1" t="s">
        <v>682</v>
      </c>
      <c r="C5" s="77" t="n">
        <f aca="false">(1+C4)/(1+Supuestos!$B$34)-1</f>
        <v>0.0447703083495146</v>
      </c>
    </row>
    <row r="6" customFormat="false" ht="15" hidden="false" customHeight="true" outlineLevel="0" collapsed="false">
      <c r="A6" s="1" t="s">
        <v>683</v>
      </c>
      <c r="C6" s="77" t="n">
        <f aca="false">WACC!I44</f>
        <v>0.0719794829282607</v>
      </c>
    </row>
    <row r="7" customFormat="false" ht="15" hidden="false" customHeight="true" outlineLevel="0" collapsed="false">
      <c r="A7" s="1" t="s">
        <v>684</v>
      </c>
      <c r="C7" s="78" t="n">
        <f aca="false">(C5-C6)*10000</f>
        <v>-272.091745787462</v>
      </c>
    </row>
    <row r="9" customFormat="false" ht="15" hidden="false" customHeight="true" outlineLevel="0" collapsed="false">
      <c r="A9" s="79" t="s">
        <v>49</v>
      </c>
      <c r="B9" s="79"/>
      <c r="C9" s="79" t="s">
        <v>281</v>
      </c>
      <c r="D9" s="79" t="s">
        <v>282</v>
      </c>
      <c r="E9" s="79" t="s">
        <v>283</v>
      </c>
      <c r="F9" s="79" t="s">
        <v>284</v>
      </c>
      <c r="G9" s="79" t="s">
        <v>285</v>
      </c>
      <c r="H9" s="79" t="s">
        <v>286</v>
      </c>
    </row>
    <row r="10" customFormat="false" ht="15" hidden="false" customHeight="true" outlineLevel="0" collapsed="false">
      <c r="A10" s="1" t="s">
        <v>685</v>
      </c>
      <c r="C10" s="80" t="n">
        <f aca="false">DCF!C22</f>
        <v>88513.7757682451</v>
      </c>
      <c r="D10" s="80" t="n">
        <f aca="false">DCF!D22</f>
        <v>149981.042268561</v>
      </c>
      <c r="E10" s="80" t="n">
        <f aca="false">DCF!E22</f>
        <v>213232.848434386</v>
      </c>
      <c r="F10" s="80" t="n">
        <f aca="false">DCF!F22</f>
        <v>382939.927132123</v>
      </c>
      <c r="G10" s="80" t="n">
        <f aca="false">DCF!G22</f>
        <v>387083.935683766</v>
      </c>
      <c r="H10" s="80" t="n">
        <f aca="false">DCF!H22</f>
        <v>409692.860572193</v>
      </c>
    </row>
    <row r="11" customFormat="false" ht="15" hidden="false" customHeight="true" outlineLevel="0" collapsed="false">
      <c r="A11" s="1" t="s">
        <v>686</v>
      </c>
      <c r="C11" s="81" t="n">
        <f aca="false">DCF!C26</f>
        <v>0.5</v>
      </c>
      <c r="D11" s="81" t="n">
        <f aca="false">DCF!D26</f>
        <v>1</v>
      </c>
      <c r="E11" s="81" t="n">
        <f aca="false">DCF!E26</f>
        <v>1</v>
      </c>
      <c r="F11" s="81" t="n">
        <f aca="false">DCF!F26</f>
        <v>1</v>
      </c>
      <c r="G11" s="81" t="n">
        <f aca="false">DCF!G26</f>
        <v>1</v>
      </c>
      <c r="H11" s="81" t="n">
        <f aca="false">DCF!H26</f>
        <v>1</v>
      </c>
    </row>
    <row r="12" customFormat="false" ht="15" hidden="false" customHeight="true" outlineLevel="0" collapsed="false">
      <c r="A12" s="1" t="s">
        <v>687</v>
      </c>
      <c r="C12" s="82" t="n">
        <f aca="false">1*(1+$C$4)^-C11</f>
        <v>0.96398655512167</v>
      </c>
      <c r="D12" s="82" t="n">
        <f aca="false">C12*(1+$C$4)^-D11</f>
        <v>0.89580386170781</v>
      </c>
      <c r="E12" s="82" t="n">
        <f aca="false">D12*(1+$C$4)^-E11</f>
        <v>0.832443724849817</v>
      </c>
      <c r="F12" s="82" t="n">
        <f aca="false">E12*(1+$C$4)^-F11</f>
        <v>0.773565045500848</v>
      </c>
      <c r="G12" s="82" t="n">
        <f aca="false">F12*(1+$C$4)^-G11</f>
        <v>0.718850850522884</v>
      </c>
      <c r="H12" s="82" t="n">
        <f aca="false">G12*(1+$C$4)^-H11</f>
        <v>0.668006586263091</v>
      </c>
    </row>
    <row r="13" customFormat="false" ht="15" hidden="false" customHeight="true" outlineLevel="0" collapsed="false">
      <c r="A13" s="1" t="s">
        <v>688</v>
      </c>
      <c r="C13" s="82" t="n">
        <f aca="false">1*(1+$C$4)^-(C11/2)</f>
        <v>0.981828169855433</v>
      </c>
      <c r="D13" s="82" t="n">
        <f aca="false">C12*(1+$C$4)^-(D11/2)</f>
        <v>0.929270078455344</v>
      </c>
      <c r="E13" s="82" t="n">
        <f aca="false">D12*(1+$C$4)^-(E11/2)</f>
        <v>0.863542878712401</v>
      </c>
      <c r="F13" s="82" t="n">
        <f aca="false">E12*(1+$C$4)^-(F11/2)</f>
        <v>0.802464558650626</v>
      </c>
      <c r="G13" s="82" t="n">
        <f aca="false">F12*(1+$C$4)^-(G11/2)</f>
        <v>0.7457063033749</v>
      </c>
      <c r="H13" s="82" t="n">
        <f aca="false">G12*(1+$C$4)^-(H11/2)</f>
        <v>0.692962555041838</v>
      </c>
    </row>
    <row r="14" customFormat="false" ht="15" hidden="false" customHeight="true" outlineLevel="0" collapsed="false">
      <c r="A14" s="1" t="s">
        <v>689</v>
      </c>
      <c r="C14" s="80" t="n">
        <f aca="false">C10*C13</f>
        <v>86905.3184695303</v>
      </c>
      <c r="D14" s="80" t="n">
        <f aca="false">D10*D13</f>
        <v>139372.89491572</v>
      </c>
      <c r="E14" s="80" t="n">
        <f aca="false">E10*E13</f>
        <v>184135.707773075</v>
      </c>
      <c r="F14" s="80" t="n">
        <f aca="false">F10*F13</f>
        <v>307295.719615782</v>
      </c>
      <c r="G14" s="80" t="n">
        <f aca="false">G10*G13</f>
        <v>288650.930774549</v>
      </c>
      <c r="H14" s="80" t="n">
        <f aca="false">H10*H13</f>
        <v>283901.811444506</v>
      </c>
    </row>
    <row r="16" customFormat="false" ht="15" hidden="false" customHeight="true" outlineLevel="0" collapsed="false">
      <c r="A16" s="1" t="s">
        <v>690</v>
      </c>
      <c r="C16" s="80" t="n">
        <f aca="false">SUM(C14:H14)</f>
        <v>1290262.38299316</v>
      </c>
    </row>
    <row r="17" customFormat="false" ht="15" hidden="false" customHeight="true" outlineLevel="0" collapsed="false">
      <c r="A17" s="1" t="s">
        <v>691</v>
      </c>
      <c r="C17" s="80" t="n">
        <f aca="false">DCF!I22</f>
        <v>540637.80850638</v>
      </c>
    </row>
    <row r="18" customFormat="false" ht="15" hidden="false" customHeight="true" outlineLevel="0" collapsed="false">
      <c r="A18" s="1" t="s">
        <v>692</v>
      </c>
      <c r="C18" s="77" t="n">
        <f aca="false">DCF!C39</f>
        <v>0.03</v>
      </c>
    </row>
    <row r="19" customFormat="false" ht="15" hidden="false" customHeight="true" outlineLevel="0" collapsed="false">
      <c r="A19" s="1" t="s">
        <v>693</v>
      </c>
      <c r="C19" s="80" t="n">
        <f aca="false">C17/(C4-C18)</f>
        <v>11724088.9234456</v>
      </c>
    </row>
    <row r="20" customFormat="false" ht="15" hidden="false" customHeight="true" outlineLevel="0" collapsed="false">
      <c r="A20" s="1" t="s">
        <v>694</v>
      </c>
      <c r="C20" s="80" t="n">
        <f aca="false">C19*H12</f>
        <v>7831768.61879579</v>
      </c>
    </row>
    <row r="21" customFormat="false" ht="15" hidden="false" customHeight="true" outlineLevel="0" collapsed="false">
      <c r="A21" s="79" t="s">
        <v>445</v>
      </c>
      <c r="C21" s="80" t="n">
        <f aca="false">C16+C20</f>
        <v>9122031.00178896</v>
      </c>
    </row>
    <row r="22" customFormat="false" ht="15" hidden="false" customHeight="true" outlineLevel="0" collapsed="false">
      <c r="A22" s="1" t="s">
        <v>695</v>
      </c>
      <c r="C22" s="80" t="n">
        <f aca="false">DCF!C45</f>
        <v>-1285740</v>
      </c>
    </row>
    <row r="23" customFormat="false" ht="15" hidden="false" customHeight="true" outlineLevel="0" collapsed="false">
      <c r="A23" s="1" t="s">
        <v>696</v>
      </c>
      <c r="C23" s="80" t="n">
        <f aca="false">DCF!C46</f>
        <v>-50841</v>
      </c>
    </row>
    <row r="24" customFormat="false" ht="15" hidden="false" customHeight="true" outlineLevel="0" collapsed="false">
      <c r="A24" s="1" t="s">
        <v>448</v>
      </c>
      <c r="C24" s="80" t="n">
        <f aca="false">C21+C22+C23</f>
        <v>7785450.00178896</v>
      </c>
    </row>
    <row r="25" customFormat="false" ht="15" hidden="false" customHeight="true" outlineLevel="0" collapsed="false">
      <c r="A25" s="1" t="s">
        <v>449</v>
      </c>
      <c r="C25" s="80" t="n">
        <f aca="false">DCF!C48</f>
        <v>2190</v>
      </c>
    </row>
    <row r="26" customFormat="false" ht="15" hidden="false" customHeight="true" outlineLevel="0" collapsed="false">
      <c r="A26" s="79" t="s">
        <v>593</v>
      </c>
      <c r="C26" s="83" t="n">
        <f aca="false">C24/C25</f>
        <v>3555.00000081687</v>
      </c>
    </row>
    <row r="27" customFormat="false" ht="15" hidden="false" customHeight="true" outlineLevel="0" collapsed="false">
      <c r="A27" s="1" t="s">
        <v>697</v>
      </c>
      <c r="C27" s="80" t="n">
        <f aca="false">DCF!C50</f>
        <v>3555</v>
      </c>
    </row>
    <row r="28" customFormat="false" ht="15" hidden="false" customHeight="true" outlineLevel="0" collapsed="false">
      <c r="A28" s="1" t="s">
        <v>698</v>
      </c>
      <c r="C28" s="84" t="n">
        <f aca="false">C26-C27</f>
        <v>8.16874489828479E-007</v>
      </c>
    </row>
    <row r="31" customFormat="false" ht="15" hidden="false" customHeight="true" outlineLevel="0" collapsed="false">
      <c r="A31" s="79" t="s">
        <v>699</v>
      </c>
    </row>
    <row r="32" customFormat="false" ht="15" hidden="false" customHeight="true" outlineLevel="0" collapsed="false">
      <c r="A32" s="1" t="s">
        <v>700</v>
      </c>
    </row>
    <row r="33" customFormat="false" ht="15" hidden="false" customHeight="true" outlineLevel="0" collapsed="false">
      <c r="A33" s="1" t="s">
        <v>701</v>
      </c>
    </row>
    <row r="34" customFormat="false" ht="15" hidden="false" customHeight="true" outlineLevel="0" collapsed="false">
      <c r="A34" s="1" t="s">
        <v>702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CB100"/>
    <pageSetUpPr fitToPage="false"/>
  </sheetPr>
  <dimension ref="A1:Q1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6"/>
    <col collapsed="false" customWidth="true" hidden="false" outlineLevel="0" max="2" min="2" style="1" width="10"/>
    <col collapsed="false" customWidth="true" hidden="false" outlineLevel="0" max="10" min="3" style="1" width="16"/>
    <col collapsed="false" customWidth="true" hidden="false" outlineLevel="0" max="17" min="11" style="1" width="12"/>
  </cols>
  <sheetData>
    <row r="1" customFormat="false" ht="15.75" hidden="false" customHeight="true" outlineLevel="0" collapsed="false">
      <c r="A1" s="85" t="s">
        <v>703</v>
      </c>
      <c r="B1" s="86" t="s">
        <v>678</v>
      </c>
    </row>
    <row r="2" customFormat="false" ht="15" hidden="false" customHeight="true" outlineLevel="0" collapsed="false">
      <c r="A2" s="87" t="s">
        <v>704</v>
      </c>
    </row>
    <row r="3" customFormat="false" ht="15" hidden="false" customHeight="true" outlineLevel="0" collapsed="false">
      <c r="A3" s="87" t="s">
        <v>705</v>
      </c>
    </row>
    <row r="5" customFormat="false" ht="15" hidden="false" customHeight="true" outlineLevel="0" collapsed="false">
      <c r="A5" s="11" t="s">
        <v>706</v>
      </c>
      <c r="B5" s="11"/>
      <c r="C5" s="11"/>
      <c r="D5" s="11"/>
      <c r="E5" s="11"/>
      <c r="F5" s="11"/>
      <c r="G5" s="11"/>
      <c r="H5" s="11"/>
      <c r="I5" s="11"/>
      <c r="J5" s="11"/>
    </row>
    <row r="6" customFormat="false" ht="39.75" hidden="false" customHeight="true" outlineLevel="0" collapsed="false">
      <c r="A6" s="88" t="s">
        <v>707</v>
      </c>
      <c r="C6" s="89" t="s">
        <v>708</v>
      </c>
      <c r="D6" s="89" t="s">
        <v>709</v>
      </c>
      <c r="E6" s="89" t="s">
        <v>710</v>
      </c>
      <c r="F6" s="89" t="s">
        <v>711</v>
      </c>
      <c r="G6" s="89" t="s">
        <v>712</v>
      </c>
      <c r="H6" s="89" t="s">
        <v>713</v>
      </c>
      <c r="I6" s="89" t="s">
        <v>714</v>
      </c>
    </row>
    <row r="7" customFormat="false" ht="15" hidden="false" customHeight="true" outlineLevel="0" collapsed="false">
      <c r="A7" s="88" t="s">
        <v>715</v>
      </c>
      <c r="C7" s="90" t="n">
        <f aca="false">C72</f>
        <v>0.076113417608375</v>
      </c>
      <c r="D7" s="90" t="n">
        <f aca="false">C73</f>
        <v>0.0447703083576456</v>
      </c>
      <c r="E7" s="91" t="n">
        <f aca="false">C27</f>
        <v>0.104138867416108</v>
      </c>
      <c r="F7" s="91" t="n">
        <f aca="false">D27</f>
        <v>0.0719794829282607</v>
      </c>
      <c r="G7" s="92" t="n">
        <f aca="false">(C7-E7)*10000</f>
        <v>-280.254498077335</v>
      </c>
      <c r="H7" s="92" t="n">
        <f aca="false">(D7-F7)*10000</f>
        <v>-272.091745706151</v>
      </c>
      <c r="I7" s="93" t="s">
        <v>716</v>
      </c>
    </row>
    <row r="8" customFormat="false" ht="15" hidden="false" customHeight="true" outlineLevel="0" collapsed="false">
      <c r="A8" s="88" t="s">
        <v>717</v>
      </c>
      <c r="C8" s="90" t="n">
        <f aca="false">F105</f>
        <v>-0.0181285432717502</v>
      </c>
      <c r="D8" s="90" t="n">
        <f aca="false">F106</f>
        <v>-0.0467267410405342</v>
      </c>
      <c r="E8" s="91" t="n">
        <f aca="false">C28</f>
        <v>0.119262901170031</v>
      </c>
      <c r="F8" s="91" t="n">
        <f aca="false">D28</f>
        <v>0.08666301084469</v>
      </c>
      <c r="G8" s="92" t="n">
        <f aca="false">(C8-E8)*10000</f>
        <v>-1373.91444441781</v>
      </c>
      <c r="H8" s="92" t="n">
        <f aca="false">(D8-F8)*10000</f>
        <v>-1333.89751885224</v>
      </c>
      <c r="I8" s="93" t="s">
        <v>718</v>
      </c>
    </row>
    <row r="9" customFormat="false" ht="15" hidden="false" customHeight="true" outlineLevel="0" collapsed="false">
      <c r="A9" s="94" t="s">
        <v>719</v>
      </c>
      <c r="C9" s="90" t="n">
        <f aca="false">I105</f>
        <v>0.0848491939386646</v>
      </c>
      <c r="D9" s="90" t="n">
        <f aca="false">I106</f>
        <v>0.0532516446006452</v>
      </c>
      <c r="E9" s="91" t="n">
        <f aca="false">C28</f>
        <v>0.119262901170031</v>
      </c>
      <c r="F9" s="91" t="n">
        <f aca="false">D28</f>
        <v>0.08666301084469</v>
      </c>
      <c r="G9" s="92" t="n">
        <f aca="false">(C9-E9)*10000</f>
        <v>-344.137072313662</v>
      </c>
      <c r="H9" s="92" t="n">
        <f aca="false">(D9-F9)*10000</f>
        <v>-334.113662440447</v>
      </c>
      <c r="I9" s="93" t="s">
        <v>720</v>
      </c>
    </row>
    <row r="10" customFormat="false" ht="15" hidden="false" customHeight="true" outlineLevel="0" collapsed="false">
      <c r="A10" s="94" t="s">
        <v>721</v>
      </c>
      <c r="C10" s="90" t="n">
        <f aca="false">G105</f>
        <v>0.106126538346106</v>
      </c>
      <c r="D10" s="90" t="n">
        <f aca="false">G106</f>
        <v>0.0739092605301996</v>
      </c>
      <c r="E10" s="91" t="n">
        <f aca="false">C28</f>
        <v>0.119262901170031</v>
      </c>
      <c r="F10" s="91" t="n">
        <f aca="false">D28</f>
        <v>0.08666301084469</v>
      </c>
      <c r="G10" s="92" t="n">
        <f aca="false">(C10-E10)*10000</f>
        <v>-131.363628239252</v>
      </c>
      <c r="H10" s="92" t="n">
        <f aca="false">(D10-F10)*10000</f>
        <v>-127.537503144903</v>
      </c>
      <c r="I10" s="93" t="s">
        <v>722</v>
      </c>
    </row>
    <row r="11" customFormat="false" ht="15" hidden="false" customHeight="true" outlineLevel="0" collapsed="false">
      <c r="A11" s="94" t="s">
        <v>723</v>
      </c>
      <c r="C11" s="90" t="n">
        <f aca="false">H105</f>
        <v>0.134918336128084</v>
      </c>
      <c r="D11" s="90" t="n">
        <f aca="false">H106</f>
        <v>0.101862462260275</v>
      </c>
      <c r="E11" s="91" t="n">
        <f aca="false">C28</f>
        <v>0.119262901170031</v>
      </c>
      <c r="F11" s="91" t="n">
        <f aca="false">D28</f>
        <v>0.08666301084469</v>
      </c>
      <c r="G11" s="92" t="n">
        <f aca="false">(C11-E11)*10000</f>
        <v>156.554349580529</v>
      </c>
      <c r="H11" s="92" t="n">
        <f aca="false">(D11-F11)*10000</f>
        <v>151.994514155853</v>
      </c>
      <c r="I11" s="93" t="s">
        <v>724</v>
      </c>
    </row>
    <row r="12" customFormat="false" ht="15" hidden="false" customHeight="true" outlineLevel="0" collapsed="false">
      <c r="A12" s="87" t="s">
        <v>725</v>
      </c>
    </row>
    <row r="13" customFormat="false" ht="15" hidden="false" customHeight="true" outlineLevel="0" collapsed="false">
      <c r="A13" s="87" t="s">
        <v>726</v>
      </c>
    </row>
    <row r="15" customFormat="false" ht="15" hidden="false" customHeight="true" outlineLevel="0" collapsed="false">
      <c r="A15" s="11" t="s">
        <v>727</v>
      </c>
      <c r="B15" s="11"/>
      <c r="C15" s="11"/>
      <c r="D15" s="11"/>
      <c r="E15" s="11"/>
      <c r="F15" s="11"/>
      <c r="G15" s="11"/>
      <c r="H15" s="11"/>
      <c r="I15" s="11"/>
      <c r="J15" s="11"/>
    </row>
    <row r="16" customFormat="false" ht="15" hidden="false" customHeight="true" outlineLevel="0" collapsed="false">
      <c r="C16" s="89" t="s">
        <v>728</v>
      </c>
      <c r="D16" s="89" t="s">
        <v>729</v>
      </c>
    </row>
    <row r="17" customFormat="false" ht="15" hidden="false" customHeight="true" outlineLevel="0" collapsed="false">
      <c r="A17" s="94" t="s">
        <v>730</v>
      </c>
      <c r="C17" s="95" t="n">
        <f aca="false">Supuestos!B34</f>
        <v>0.03</v>
      </c>
    </row>
    <row r="18" customFormat="false" ht="15" hidden="false" customHeight="true" outlineLevel="0" collapsed="false">
      <c r="A18" s="94" t="s">
        <v>731</v>
      </c>
      <c r="C18" s="96" t="n">
        <f aca="false">Supuestos!B8</f>
        <v>3555</v>
      </c>
    </row>
    <row r="19" customFormat="false" ht="15" hidden="false" customHeight="true" outlineLevel="0" collapsed="false">
      <c r="A19" s="94" t="s">
        <v>732</v>
      </c>
      <c r="C19" s="96" t="n">
        <f aca="false">Precio_Objetivo!B15</f>
        <v>2077.19981194966</v>
      </c>
    </row>
    <row r="20" customFormat="false" ht="15" hidden="false" customHeight="true" outlineLevel="0" collapsed="false">
      <c r="A20" s="94" t="s">
        <v>733</v>
      </c>
      <c r="C20" s="96" t="n">
        <f aca="false">DCF!C49</f>
        <v>1858.65339722932</v>
      </c>
    </row>
    <row r="21" customFormat="false" ht="15" hidden="false" customHeight="true" outlineLevel="0" collapsed="false">
      <c r="A21" s="94" t="s">
        <v>734</v>
      </c>
      <c r="C21" s="96" t="n">
        <f aca="false">Supuestos!B9</f>
        <v>2190</v>
      </c>
    </row>
    <row r="22" customFormat="false" ht="15" hidden="false" customHeight="true" outlineLevel="0" collapsed="false">
      <c r="A22" s="94" t="s">
        <v>735</v>
      </c>
      <c r="C22" s="97" t="n">
        <f aca="false">C18*C21</f>
        <v>7785450</v>
      </c>
    </row>
    <row r="23" customFormat="false" ht="15" hidden="false" customHeight="true" outlineLevel="0" collapsed="false">
      <c r="A23" s="94" t="s">
        <v>736</v>
      </c>
      <c r="C23" s="96" t="n">
        <f aca="false">Supuestos!B10</f>
        <v>1285740</v>
      </c>
    </row>
    <row r="24" customFormat="false" ht="15" hidden="false" customHeight="true" outlineLevel="0" collapsed="false">
      <c r="A24" s="94" t="s">
        <v>737</v>
      </c>
      <c r="C24" s="96" t="n">
        <f aca="false">Supuestos!B11</f>
        <v>50841</v>
      </c>
    </row>
    <row r="25" customFormat="false" ht="15" hidden="false" customHeight="true" outlineLevel="0" collapsed="false">
      <c r="A25" s="88" t="s">
        <v>738</v>
      </c>
      <c r="C25" s="92" t="n">
        <f aca="false">C22+C23+C24</f>
        <v>9122031</v>
      </c>
    </row>
    <row r="26" customFormat="false" ht="15" hidden="false" customHeight="true" outlineLevel="0" collapsed="false">
      <c r="A26" s="94" t="s">
        <v>692</v>
      </c>
      <c r="C26" s="95" t="n">
        <f aca="false">DCF!C39</f>
        <v>0.03</v>
      </c>
      <c r="D26" s="95" t="n">
        <f aca="false">Supuestos!B89</f>
        <v>0</v>
      </c>
    </row>
    <row r="27" customFormat="false" ht="15" hidden="false" customHeight="true" outlineLevel="0" collapsed="false">
      <c r="A27" s="94" t="s">
        <v>739</v>
      </c>
      <c r="C27" s="95" t="n">
        <f aca="false">WACC!I43</f>
        <v>0.104138867416108</v>
      </c>
      <c r="D27" s="95" t="n">
        <f aca="false">WACC!I44</f>
        <v>0.0719794829282607</v>
      </c>
    </row>
    <row r="28" customFormat="false" ht="15" hidden="false" customHeight="true" outlineLevel="0" collapsed="false">
      <c r="A28" s="94" t="s">
        <v>740</v>
      </c>
      <c r="C28" s="95" t="n">
        <f aca="false">WACC!I39</f>
        <v>0.119262901170031</v>
      </c>
      <c r="D28" s="91" t="n">
        <f aca="false">(1+C28)/(1+$C$17)-1</f>
        <v>0.08666301084469</v>
      </c>
    </row>
    <row r="29" customFormat="false" ht="15" hidden="false" customHeight="true" outlineLevel="0" collapsed="false">
      <c r="A29" s="94" t="s">
        <v>741</v>
      </c>
      <c r="C29" s="95" t="n">
        <f aca="false">WACC!I42</f>
        <v>0.0511123726148531</v>
      </c>
      <c r="D29" s="91" t="n">
        <f aca="false">(1+C29)/(1+$C$17)-1</f>
        <v>0.020497449140634</v>
      </c>
    </row>
    <row r="30" customFormat="false" ht="15" hidden="false" customHeight="true" outlineLevel="0" collapsed="false">
      <c r="A30" s="94" t="s">
        <v>742</v>
      </c>
      <c r="C30" s="95" t="n">
        <f aca="false">WACC!C39</f>
        <v>0.117033041180547</v>
      </c>
      <c r="D30" s="91" t="n">
        <f aca="false">(1+C30)/(1+$C$17)-1</f>
        <v>0.0844980982335406</v>
      </c>
    </row>
    <row r="32" customFormat="false" ht="15" hidden="false" customHeight="true" outlineLevel="0" collapsed="false">
      <c r="A32" s="11" t="s">
        <v>743</v>
      </c>
      <c r="B32" s="11"/>
      <c r="C32" s="11"/>
      <c r="D32" s="11"/>
      <c r="E32" s="11"/>
      <c r="F32" s="11"/>
      <c r="G32" s="11"/>
      <c r="H32" s="11"/>
      <c r="I32" s="11"/>
      <c r="J32" s="11"/>
    </row>
    <row r="33" customFormat="false" ht="15" hidden="false" customHeight="true" outlineLevel="0" collapsed="false">
      <c r="A33" s="88" t="s">
        <v>49</v>
      </c>
      <c r="C33" s="98" t="str">
        <f aca="false">DCF!C4</f>
        <v>2S26E</v>
      </c>
      <c r="D33" s="98" t="str">
        <f aca="false">DCF!D4</f>
        <v>2027E</v>
      </c>
      <c r="E33" s="98" t="str">
        <f aca="false">DCF!E4</f>
        <v>2028E</v>
      </c>
      <c r="F33" s="98" t="str">
        <f aca="false">DCF!F4</f>
        <v>2029E</v>
      </c>
      <c r="G33" s="98" t="str">
        <f aca="false">DCF!G4</f>
        <v>2030E</v>
      </c>
      <c r="H33" s="98" t="str">
        <f aca="false">DCF!H4</f>
        <v>2031E</v>
      </c>
      <c r="I33" s="99" t="s">
        <v>744</v>
      </c>
      <c r="J33" s="99" t="s">
        <v>745</v>
      </c>
    </row>
    <row r="34" customFormat="false" ht="15" hidden="false" customHeight="true" outlineLevel="0" collapsed="false">
      <c r="A34" s="94" t="s">
        <v>428</v>
      </c>
      <c r="C34" s="100" t="n">
        <f aca="false">DCF!C26</f>
        <v>0.5</v>
      </c>
      <c r="D34" s="100" t="n">
        <f aca="false">DCF!D26</f>
        <v>1</v>
      </c>
      <c r="E34" s="100" t="n">
        <f aca="false">DCF!E26</f>
        <v>1</v>
      </c>
      <c r="F34" s="100" t="n">
        <f aca="false">DCF!F26</f>
        <v>1</v>
      </c>
      <c r="G34" s="100" t="n">
        <f aca="false">DCF!G26</f>
        <v>1</v>
      </c>
      <c r="H34" s="100" t="n">
        <f aca="false">DCF!H26</f>
        <v>1</v>
      </c>
    </row>
    <row r="35" customFormat="false" ht="15" hidden="false" customHeight="true" outlineLevel="0" collapsed="false">
      <c r="A35" s="94" t="s">
        <v>746</v>
      </c>
      <c r="C35" s="101" t="n">
        <f aca="false">C34</f>
        <v>0.5</v>
      </c>
      <c r="D35" s="101" t="n">
        <f aca="false">C35+D34</f>
        <v>1.5</v>
      </c>
      <c r="E35" s="101" t="n">
        <f aca="false">D35+E34</f>
        <v>2.5</v>
      </c>
      <c r="F35" s="101" t="n">
        <f aca="false">E35+F34</f>
        <v>3.5</v>
      </c>
      <c r="G35" s="101" t="n">
        <f aca="false">F35+G34</f>
        <v>4.5</v>
      </c>
      <c r="H35" s="101" t="n">
        <f aca="false">G35+H34</f>
        <v>5.5</v>
      </c>
    </row>
    <row r="36" customFormat="false" ht="15" hidden="false" customHeight="true" outlineLevel="0" collapsed="false">
      <c r="A36" s="94" t="s">
        <v>747</v>
      </c>
      <c r="C36" s="101" t="n">
        <f aca="false">C35-C34/2</f>
        <v>0.25</v>
      </c>
      <c r="D36" s="101" t="n">
        <f aca="false">D35-D34/2</f>
        <v>1</v>
      </c>
      <c r="E36" s="101" t="n">
        <f aca="false">E35-E34/2</f>
        <v>2</v>
      </c>
      <c r="F36" s="101" t="n">
        <f aca="false">F35-F34/2</f>
        <v>3</v>
      </c>
      <c r="G36" s="101" t="n">
        <f aca="false">G35-G34/2</f>
        <v>4</v>
      </c>
      <c r="H36" s="101" t="n">
        <f aca="false">H35-H34/2</f>
        <v>5</v>
      </c>
    </row>
    <row r="37" customFormat="false" ht="15" hidden="false" customHeight="true" outlineLevel="0" collapsed="false">
      <c r="A37" s="94" t="s">
        <v>748</v>
      </c>
      <c r="C37" s="96" t="n">
        <f aca="false">DCF!C22</f>
        <v>88513.7757682451</v>
      </c>
      <c r="D37" s="96" t="n">
        <f aca="false">DCF!D22</f>
        <v>149981.042268561</v>
      </c>
      <c r="E37" s="96" t="n">
        <f aca="false">DCF!E22</f>
        <v>213232.848434386</v>
      </c>
      <c r="F37" s="96" t="n">
        <f aca="false">DCF!F22</f>
        <v>382939.927132123</v>
      </c>
      <c r="G37" s="96" t="n">
        <f aca="false">DCF!G22</f>
        <v>387083.935683766</v>
      </c>
      <c r="H37" s="96" t="n">
        <f aca="false">DCF!H22</f>
        <v>409692.860572193</v>
      </c>
      <c r="I37" s="96" t="n">
        <f aca="false">DCF!I22</f>
        <v>540637.80850638</v>
      </c>
    </row>
    <row r="38" customFormat="false" ht="15" hidden="false" customHeight="true" outlineLevel="0" collapsed="false">
      <c r="A38" s="94" t="s">
        <v>749</v>
      </c>
      <c r="C38" s="96" t="n">
        <f aca="false">Deuda!C16</f>
        <v>60107.8</v>
      </c>
      <c r="D38" s="96" t="n">
        <f aca="false">Deuda!D16</f>
        <v>152015.526552925</v>
      </c>
      <c r="E38" s="96" t="n">
        <f aca="false">Deuda!E16</f>
        <v>171060.543183015</v>
      </c>
      <c r="F38" s="96" t="n">
        <f aca="false">Deuda!F16</f>
        <v>175310.703919204</v>
      </c>
      <c r="G38" s="96" t="n">
        <f aca="false">Deuda!G16</f>
        <v>178542.894520875</v>
      </c>
      <c r="H38" s="96" t="n">
        <f aca="false">Deuda!H16</f>
        <v>176457.597496493</v>
      </c>
    </row>
    <row r="39" customFormat="false" ht="15" hidden="false" customHeight="true" outlineLevel="0" collapsed="false">
      <c r="A39" s="94" t="s">
        <v>750</v>
      </c>
      <c r="C39" s="96" t="n">
        <f aca="false">Deuda!C20</f>
        <v>96105.6161431668</v>
      </c>
      <c r="D39" s="96" t="n">
        <f aca="false">Deuda!D20</f>
        <v>186688.628317138</v>
      </c>
      <c r="E39" s="96" t="n">
        <f aca="false">Deuda!E20</f>
        <v>235670.497083216</v>
      </c>
      <c r="F39" s="96" t="n">
        <f aca="false">Deuda!F20</f>
        <v>412569.650075305</v>
      </c>
      <c r="G39" s="96" t="n">
        <f aca="false">Deuda!G20</f>
        <v>393865.406513858</v>
      </c>
      <c r="H39" s="96" t="n">
        <f aca="false">Deuda!H20</f>
        <v>416502.128290655</v>
      </c>
    </row>
    <row r="40" customFormat="false" ht="15" hidden="false" customHeight="true" outlineLevel="0" collapsed="false">
      <c r="A40" s="88" t="s">
        <v>751</v>
      </c>
      <c r="C40" s="92" t="n">
        <f aca="false">C38+C39</f>
        <v>156213.416143167</v>
      </c>
      <c r="D40" s="92" t="n">
        <f aca="false">D38+D39</f>
        <v>338704.154870063</v>
      </c>
      <c r="E40" s="92" t="n">
        <f aca="false">E38+E39</f>
        <v>406731.040266232</v>
      </c>
      <c r="F40" s="92" t="n">
        <f aca="false">F38+F39</f>
        <v>587880.353994509</v>
      </c>
      <c r="G40" s="92" t="n">
        <f aca="false">G38+G39</f>
        <v>572408.301034732</v>
      </c>
      <c r="H40" s="92" t="n">
        <f aca="false">H38+H39</f>
        <v>592959.725787147</v>
      </c>
      <c r="J40" s="92" t="n">
        <f aca="false">SUM(C40:H40)</f>
        <v>2654896.99209585</v>
      </c>
    </row>
    <row r="41" customFormat="false" ht="15" hidden="false" customHeight="true" outlineLevel="0" collapsed="false">
      <c r="A41" s="94" t="s">
        <v>752</v>
      </c>
      <c r="C41" s="97" t="n">
        <f aca="false">C40/(1+$C$17)^C36</f>
        <v>155063.300513168</v>
      </c>
      <c r="D41" s="97" t="n">
        <f aca="false">D40/(1+$C$17)^D36</f>
        <v>328838.985310741</v>
      </c>
      <c r="E41" s="97" t="n">
        <f aca="false">E40/(1+$C$17)^E36</f>
        <v>383383.014672666</v>
      </c>
      <c r="F41" s="97" t="n">
        <f aca="false">F40/(1+$C$17)^F36</f>
        <v>537993.802655658</v>
      </c>
      <c r="G41" s="97" t="n">
        <f aca="false">G40/(1+$C$17)^G36</f>
        <v>508577.361588784</v>
      </c>
      <c r="H41" s="97" t="n">
        <f aca="false">H40/(1+$C$17)^H36</f>
        <v>511492.268250018</v>
      </c>
      <c r="J41" s="97" t="n">
        <f aca="false">SUM(C41:H41)</f>
        <v>2425348.73299104</v>
      </c>
    </row>
    <row r="42" customFormat="false" ht="15" hidden="false" customHeight="true" outlineLevel="0" collapsed="false">
      <c r="A42" s="94" t="s">
        <v>753</v>
      </c>
      <c r="C42" s="102" t="n">
        <f aca="false">C40/$C$21</f>
        <v>71.3303270060122</v>
      </c>
      <c r="D42" s="102" t="n">
        <f aca="false">D40/$C$21</f>
        <v>154.659431447517</v>
      </c>
      <c r="E42" s="102" t="n">
        <f aca="false">E40/$C$21</f>
        <v>185.721936194626</v>
      </c>
      <c r="F42" s="102" t="n">
        <f aca="false">F40/$C$21</f>
        <v>268.438517805712</v>
      </c>
      <c r="G42" s="102" t="n">
        <f aca="false">G40/$C$21</f>
        <v>261.373653440517</v>
      </c>
      <c r="H42" s="102" t="n">
        <f aca="false">H40/$C$21</f>
        <v>270.757865656232</v>
      </c>
    </row>
    <row r="44" customFormat="false" ht="15" hidden="false" customHeight="true" outlineLevel="0" collapsed="false">
      <c r="A44" s="11" t="s">
        <v>754</v>
      </c>
      <c r="B44" s="11"/>
      <c r="C44" s="11"/>
      <c r="D44" s="11"/>
      <c r="E44" s="11"/>
      <c r="F44" s="11"/>
      <c r="G44" s="11"/>
      <c r="H44" s="11"/>
      <c r="I44" s="11"/>
      <c r="J44" s="11"/>
    </row>
    <row r="45" customFormat="false" ht="15" hidden="false" customHeight="true" outlineLevel="0" collapsed="false">
      <c r="A45" s="94" t="s">
        <v>755</v>
      </c>
      <c r="C45" s="96" t="n">
        <f aca="false">DCF!C41</f>
        <v>7292231.82587914</v>
      </c>
    </row>
    <row r="46" customFormat="false" ht="15" hidden="false" customHeight="true" outlineLevel="0" collapsed="false">
      <c r="A46" s="94" t="s">
        <v>756</v>
      </c>
      <c r="C46" s="96" t="n">
        <f aca="false">-Deuda!H21</f>
        <v>-2742623.15529926</v>
      </c>
    </row>
    <row r="47" customFormat="false" ht="15" hidden="false" customHeight="true" outlineLevel="0" collapsed="false">
      <c r="A47" s="94" t="s">
        <v>757</v>
      </c>
      <c r="C47" s="96" t="n">
        <f aca="false">-Supuestos!B11</f>
        <v>-50841</v>
      </c>
    </row>
    <row r="48" customFormat="false" ht="15" hidden="false" customHeight="true" outlineLevel="0" collapsed="false">
      <c r="A48" s="88" t="s">
        <v>758</v>
      </c>
      <c r="C48" s="92" t="n">
        <f aca="false">SUM(C45:C47)</f>
        <v>4498767.67057988</v>
      </c>
    </row>
    <row r="49" customFormat="false" ht="15" hidden="false" customHeight="true" outlineLevel="0" collapsed="false">
      <c r="A49" s="94" t="s">
        <v>759</v>
      </c>
      <c r="C49" s="102" t="n">
        <f aca="false">C48/C21</f>
        <v>2054.23181305017</v>
      </c>
    </row>
    <row r="50" customFormat="false" ht="15" hidden="false" customHeight="true" outlineLevel="0" collapsed="false">
      <c r="A50" s="94" t="s">
        <v>760</v>
      </c>
      <c r="C50" s="97" t="n">
        <f aca="false">I37/(C72-C26)</f>
        <v>11724088.9213163</v>
      </c>
    </row>
    <row r="51" customFormat="false" ht="15" hidden="false" customHeight="true" outlineLevel="0" collapsed="false">
      <c r="A51" s="88" t="s">
        <v>761</v>
      </c>
      <c r="C51" s="92" t="n">
        <f aca="false">C50+C46+C47</f>
        <v>8930624.76601701</v>
      </c>
    </row>
    <row r="52" customFormat="false" ht="15" hidden="false" customHeight="true" outlineLevel="0" collapsed="false">
      <c r="A52" s="94" t="s">
        <v>759</v>
      </c>
      <c r="C52" s="102" t="n">
        <f aca="false">C51/C21</f>
        <v>4077.91085206256</v>
      </c>
    </row>
    <row r="54" customFormat="false" ht="15" hidden="false" customHeight="true" outlineLevel="0" collapsed="false">
      <c r="A54" s="11" t="s">
        <v>762</v>
      </c>
      <c r="B54" s="11"/>
      <c r="C54" s="11"/>
      <c r="D54" s="11"/>
      <c r="E54" s="11"/>
      <c r="F54" s="11"/>
      <c r="G54" s="11"/>
      <c r="H54" s="11"/>
      <c r="I54" s="11"/>
      <c r="J54" s="11"/>
    </row>
    <row r="55" customFormat="false" ht="15" hidden="false" customHeight="true" outlineLevel="0" collapsed="false">
      <c r="A55" s="87" t="s">
        <v>763</v>
      </c>
    </row>
    <row r="56" customFormat="false" ht="15" hidden="false" customHeight="true" outlineLevel="0" collapsed="false">
      <c r="A56" s="88" t="s">
        <v>764</v>
      </c>
      <c r="C56" s="89" t="s">
        <v>765</v>
      </c>
      <c r="D56" s="89" t="s">
        <v>766</v>
      </c>
      <c r="E56" s="89" t="s">
        <v>767</v>
      </c>
      <c r="F56" s="89" t="s">
        <v>768</v>
      </c>
      <c r="G56" s="89" t="s">
        <v>769</v>
      </c>
    </row>
    <row r="57" customFormat="false" ht="15" hidden="false" customHeight="true" outlineLevel="0" collapsed="false">
      <c r="A57" s="94" t="s">
        <v>770</v>
      </c>
      <c r="C57" s="103" t="n">
        <f aca="false">C26+0.01</f>
        <v>0.04</v>
      </c>
      <c r="D57" s="97" t="n">
        <f aca="false">SUMPRODUCT($C$37:$H$37,(1+C57)^(-$C$36:$H$36))+$I$37/(C57-$C$26)*(1+C57)^(-$H$35)</f>
        <v>45010619.681125</v>
      </c>
      <c r="E57" s="97" t="n">
        <f aca="false">D57-$C$25</f>
        <v>35888588.681125</v>
      </c>
      <c r="F57" s="97" t="n">
        <f aca="false">-SUMPRODUCT($C$37:$H$37,$C$36:$H$36,(1+C57)^(-$C$36:$H$36-1))-$I$37*((1+C57)^(-$H$35)/(C57-$C$26)^2+$H$35*(1+C57)^(-$H$35-1)/(C57-$C$26))</f>
        <v>-4592205568.9962</v>
      </c>
      <c r="G57" s="103" t="n">
        <f aca="false">C57-E57/F57</f>
        <v>0.0478151093503791</v>
      </c>
    </row>
    <row r="58" customFormat="false" ht="15" hidden="false" customHeight="true" outlineLevel="0" collapsed="false">
      <c r="A58" s="94" t="s">
        <v>771</v>
      </c>
      <c r="C58" s="103" t="n">
        <f aca="false">G57</f>
        <v>0.0478151093503791</v>
      </c>
      <c r="D58" s="97" t="n">
        <f aca="false">SUMPRODUCT($C$37:$H$37,(1+C58)^(-$C$36:$H$36))+$I$37/(C58-$C$26)*(1+C58)^(-$H$35)</f>
        <v>24875315.4867944</v>
      </c>
      <c r="E58" s="97" t="n">
        <f aca="false">D58-$C$25</f>
        <v>15753284.4867943</v>
      </c>
      <c r="F58" s="97" t="n">
        <f aca="false">-SUMPRODUCT($C$37:$H$37,$C$36:$H$36,(1+C58)^(-$C$36:$H$36-1))-$I$37*((1+C58)^(-$H$35)/(C58-$C$26)^2+$H$35*(1+C58)^(-$H$35-1)/(C58-$C$26))</f>
        <v>-1445000508.97578</v>
      </c>
      <c r="G58" s="103" t="n">
        <f aca="false">C58-E58/F58</f>
        <v>0.0587170324908494</v>
      </c>
    </row>
    <row r="59" customFormat="false" ht="15" hidden="false" customHeight="true" outlineLevel="0" collapsed="false">
      <c r="A59" s="94" t="s">
        <v>772</v>
      </c>
      <c r="C59" s="103" t="n">
        <f aca="false">G58</f>
        <v>0.0587170324908494</v>
      </c>
      <c r="D59" s="97" t="n">
        <f aca="false">SUMPRODUCT($C$37:$H$37,(1+C59)^(-$C$36:$H$36))+$I$37/(C59-$C$26)*(1+C59)^(-$H$35)</f>
        <v>15113487.7406716</v>
      </c>
      <c r="E59" s="97" t="n">
        <f aca="false">D59-$C$25</f>
        <v>5991456.74067161</v>
      </c>
      <c r="F59" s="97" t="n">
        <f aca="false">-SUMPRODUCT($C$37:$H$37,$C$36:$H$36,(1+C59)^(-$C$36:$H$36-1))-$I$37*((1+C59)^(-$H$35)/(C59-$C$26)^2+$H$35*(1+C59)^(-$H$35-1)/(C59-$C$26))</f>
        <v>-554508935.248712</v>
      </c>
      <c r="G59" s="103" t="n">
        <f aca="false">C59-E59/F59</f>
        <v>0.0695220103006015</v>
      </c>
    </row>
    <row r="60" customFormat="false" ht="15" hidden="false" customHeight="true" outlineLevel="0" collapsed="false">
      <c r="A60" s="94" t="s">
        <v>773</v>
      </c>
      <c r="C60" s="103" t="n">
        <f aca="false">G59</f>
        <v>0.0695220103006015</v>
      </c>
      <c r="D60" s="97" t="n">
        <f aca="false">SUMPRODUCT($C$37:$H$37,(1+C60)^(-$C$36:$H$36))+$I$37/(C60-$C$26)*(1+C60)^(-$H$35)</f>
        <v>10767290.7191745</v>
      </c>
      <c r="E60" s="97" t="n">
        <f aca="false">D60-$C$25</f>
        <v>1645259.71917454</v>
      </c>
      <c r="F60" s="97" t="n">
        <f aca="false">-SUMPRODUCT($C$37:$H$37,$C$36:$H$36,(1+C60)^(-$C$36:$H$36-1))-$I$37*((1+C60)^(-$H$35)/(C60-$C$26)^2+$H$35*(1+C60)^(-$H$35-1)/(C60-$C$26))</f>
        <v>-291617855.320691</v>
      </c>
      <c r="G60" s="103" t="n">
        <f aca="false">C60-E60/F60</f>
        <v>0.0751638449453466</v>
      </c>
    </row>
    <row r="61" customFormat="false" ht="15" hidden="false" customHeight="true" outlineLevel="0" collapsed="false">
      <c r="A61" s="94" t="s">
        <v>774</v>
      </c>
      <c r="C61" s="103" t="n">
        <f aca="false">G60</f>
        <v>0.0751638449453466</v>
      </c>
      <c r="D61" s="97" t="n">
        <f aca="false">SUMPRODUCT($C$37:$H$37,(1+C61)^(-$C$36:$H$36))+$I$37/(C61-$C$26)*(1+C61)^(-$H$35)</f>
        <v>9329174.2546135</v>
      </c>
      <c r="E61" s="97" t="n">
        <f aca="false">D61-$C$25</f>
        <v>207143.254613502</v>
      </c>
      <c r="F61" s="97" t="n">
        <f aca="false">-SUMPRODUCT($C$37:$H$37,$C$36:$H$36,(1+C61)^(-$C$36:$H$36-1))-$I$37*((1+C61)^(-$H$35)/(C61-$C$26)^2+$H$35*(1+C61)^(-$H$35-1)/(C61-$C$26))</f>
        <v>-222777031.002079</v>
      </c>
      <c r="G61" s="103" t="n">
        <f aca="false">C61-E61/F61</f>
        <v>0.0760936681577386</v>
      </c>
    </row>
    <row r="62" customFormat="false" ht="15" hidden="false" customHeight="true" outlineLevel="0" collapsed="false">
      <c r="A62" s="94" t="s">
        <v>775</v>
      </c>
      <c r="C62" s="103" t="n">
        <f aca="false">G61</f>
        <v>0.0760936681577386</v>
      </c>
      <c r="D62" s="97" t="n">
        <f aca="false">SUMPRODUCT($C$37:$H$37,(1+C62)^(-$C$36:$H$36))+$I$37/(C62-$C$26)*(1+C62)^(-$H$35)</f>
        <v>9126251.42352123</v>
      </c>
      <c r="E62" s="97" t="n">
        <f aca="false">D62-$C$25</f>
        <v>4220.42352123372</v>
      </c>
      <c r="F62" s="97" t="n">
        <f aca="false">-SUMPRODUCT($C$37:$H$37,$C$36:$H$36,(1+C62)^(-$C$36:$H$36-1))-$I$37*((1+C62)^(-$H$35)/(C62-$C$26)^2+$H$35*(1+C62)^(-$H$35-1)/(C62-$C$26))</f>
        <v>-213790787.573661</v>
      </c>
      <c r="G62" s="103" t="n">
        <f aca="false">C62-E62/F62</f>
        <v>0.0761134090622422</v>
      </c>
    </row>
    <row r="63" customFormat="false" ht="15" hidden="false" customHeight="true" outlineLevel="0" collapsed="false">
      <c r="A63" s="94" t="s">
        <v>776</v>
      </c>
      <c r="C63" s="103" t="n">
        <f aca="false">G62</f>
        <v>0.0761134090622422</v>
      </c>
      <c r="D63" s="97" t="n">
        <f aca="false">SUMPRODUCT($C$37:$H$37,(1+C63)^(-$C$36:$H$36))+$I$37/(C63-$C$26)*(1+C63)^(-$H$35)</f>
        <v>9122032.8255039</v>
      </c>
      <c r="E63" s="97" t="n">
        <f aca="false">D63-$C$25</f>
        <v>1.82550389505923</v>
      </c>
      <c r="F63" s="97" t="n">
        <f aca="false">-SUMPRODUCT($C$37:$H$37,$C$36:$H$36,(1+C63)^(-$C$36:$H$36-1))-$I$37*((1+C63)^(-$H$35)/(C63-$C$26)^2+$H$35*(1+C63)^(-$H$35-1)/(C63-$C$26))</f>
        <v>-213605880.878445</v>
      </c>
      <c r="G63" s="103" t="n">
        <f aca="false">C63-E63/F63</f>
        <v>0.0761134176083734</v>
      </c>
    </row>
    <row r="64" customFormat="false" ht="15" hidden="false" customHeight="true" outlineLevel="0" collapsed="false">
      <c r="A64" s="94" t="s">
        <v>777</v>
      </c>
      <c r="C64" s="103" t="n">
        <f aca="false">G63</f>
        <v>0.0761134176083734</v>
      </c>
      <c r="D64" s="97" t="n">
        <f aca="false">SUMPRODUCT($C$37:$H$37,(1+C64)^(-$C$36:$H$36))+$I$37/(C64-$C$26)*(1+C64)^(-$H$35)</f>
        <v>9122031.00000034</v>
      </c>
      <c r="E64" s="97" t="n">
        <f aca="false">D64-$C$25</f>
        <v>3.37138772010803E-007</v>
      </c>
      <c r="F64" s="97" t="n">
        <f aca="false">-SUMPRODUCT($C$37:$H$37,$C$36:$H$36,(1+C64)^(-$C$36:$H$36-1))-$I$37*((1+C64)^(-$H$35)/(C64-$C$26)^2+$H$35*(1+C64)^(-$H$35-1)/(C64-$C$26))</f>
        <v>-213605800.881065</v>
      </c>
      <c r="G64" s="103" t="n">
        <f aca="false">C64-E64/F64</f>
        <v>0.076113417608375</v>
      </c>
    </row>
    <row r="65" customFormat="false" ht="15" hidden="false" customHeight="true" outlineLevel="0" collapsed="false">
      <c r="A65" s="94" t="s">
        <v>778</v>
      </c>
      <c r="C65" s="103" t="n">
        <f aca="false">G64</f>
        <v>0.076113417608375</v>
      </c>
      <c r="D65" s="97" t="n">
        <f aca="false">SUMPRODUCT($C$37:$H$37,(1+C65)^(-$C$36:$H$36))+$I$37/(C65-$C$26)*(1+C65)^(-$H$35)</f>
        <v>9122031</v>
      </c>
      <c r="E65" s="97" t="n">
        <f aca="false">D65-$C$25</f>
        <v>0</v>
      </c>
      <c r="F65" s="97" t="n">
        <f aca="false">-SUMPRODUCT($C$37:$H$37,$C$36:$H$36,(1+C65)^(-$C$36:$H$36-1))-$I$37*((1+C65)^(-$H$35)/(C65-$C$26)^2+$H$35*(1+C65)^(-$H$35-1)/(C65-$C$26))</f>
        <v>-213605800.88105</v>
      </c>
      <c r="G65" s="103" t="n">
        <f aca="false">C65-E65/F65</f>
        <v>0.076113417608375</v>
      </c>
    </row>
    <row r="66" customFormat="false" ht="15" hidden="false" customHeight="true" outlineLevel="0" collapsed="false">
      <c r="A66" s="94" t="s">
        <v>779</v>
      </c>
      <c r="C66" s="103" t="n">
        <f aca="false">G65</f>
        <v>0.076113417608375</v>
      </c>
      <c r="D66" s="97" t="n">
        <f aca="false">SUMPRODUCT($C$37:$H$37,(1+C66)^(-$C$36:$H$36))+$I$37/(C66-$C$26)*(1+C66)^(-$H$35)</f>
        <v>9122031</v>
      </c>
      <c r="E66" s="97" t="n">
        <f aca="false">D66-$C$25</f>
        <v>0</v>
      </c>
      <c r="F66" s="97" t="n">
        <f aca="false">-SUMPRODUCT($C$37:$H$37,$C$36:$H$36,(1+C66)^(-$C$36:$H$36-1))-$I$37*((1+C66)^(-$H$35)/(C66-$C$26)^2+$H$35*(1+C66)^(-$H$35-1)/(C66-$C$26))</f>
        <v>-213605800.88105</v>
      </c>
      <c r="G66" s="103" t="n">
        <f aca="false">C66-E66/F66</f>
        <v>0.076113417608375</v>
      </c>
    </row>
    <row r="67" customFormat="false" ht="15" hidden="false" customHeight="true" outlineLevel="0" collapsed="false">
      <c r="A67" s="94" t="s">
        <v>780</v>
      </c>
      <c r="C67" s="103" t="n">
        <f aca="false">G66</f>
        <v>0.076113417608375</v>
      </c>
      <c r="D67" s="97" t="n">
        <f aca="false">SUMPRODUCT($C$37:$H$37,(1+C67)^(-$C$36:$H$36))+$I$37/(C67-$C$26)*(1+C67)^(-$H$35)</f>
        <v>9122031</v>
      </c>
      <c r="E67" s="97" t="n">
        <f aca="false">D67-$C$25</f>
        <v>0</v>
      </c>
      <c r="F67" s="97" t="n">
        <f aca="false">-SUMPRODUCT($C$37:$H$37,$C$36:$H$36,(1+C67)^(-$C$36:$H$36-1))-$I$37*((1+C67)^(-$H$35)/(C67-$C$26)^2+$H$35*(1+C67)^(-$H$35-1)/(C67-$C$26))</f>
        <v>-213605800.88105</v>
      </c>
      <c r="G67" s="103" t="n">
        <f aca="false">C67-E67/F67</f>
        <v>0.076113417608375</v>
      </c>
    </row>
    <row r="68" customFormat="false" ht="15" hidden="false" customHeight="true" outlineLevel="0" collapsed="false">
      <c r="A68" s="94" t="s">
        <v>781</v>
      </c>
      <c r="C68" s="103" t="n">
        <f aca="false">G67</f>
        <v>0.076113417608375</v>
      </c>
      <c r="D68" s="97" t="n">
        <f aca="false">SUMPRODUCT($C$37:$H$37,(1+C68)^(-$C$36:$H$36))+$I$37/(C68-$C$26)*(1+C68)^(-$H$35)</f>
        <v>9122031</v>
      </c>
      <c r="E68" s="97" t="n">
        <f aca="false">D68-$C$25</f>
        <v>0</v>
      </c>
      <c r="F68" s="97" t="n">
        <f aca="false">-SUMPRODUCT($C$37:$H$37,$C$36:$H$36,(1+C68)^(-$C$36:$H$36-1))-$I$37*((1+C68)^(-$H$35)/(C68-$C$26)^2+$H$35*(1+C68)^(-$H$35-1)/(C68-$C$26))</f>
        <v>-213605800.88105</v>
      </c>
      <c r="G68" s="103" t="n">
        <f aca="false">C68-E68/F68</f>
        <v>0.076113417608375</v>
      </c>
    </row>
    <row r="69" customFormat="false" ht="15" hidden="false" customHeight="true" outlineLevel="0" collapsed="false">
      <c r="A69" s="94" t="s">
        <v>782</v>
      </c>
      <c r="C69" s="103" t="n">
        <f aca="false">G68</f>
        <v>0.076113417608375</v>
      </c>
      <c r="D69" s="97" t="n">
        <f aca="false">SUMPRODUCT($C$37:$H$37,(1+C69)^(-$C$36:$H$36))+$I$37/(C69-$C$26)*(1+C69)^(-$H$35)</f>
        <v>9122031</v>
      </c>
      <c r="E69" s="97" t="n">
        <f aca="false">D69-$C$25</f>
        <v>0</v>
      </c>
      <c r="F69" s="97" t="n">
        <f aca="false">-SUMPRODUCT($C$37:$H$37,$C$36:$H$36,(1+C69)^(-$C$36:$H$36-1))-$I$37*((1+C69)^(-$H$35)/(C69-$C$26)^2+$H$35*(1+C69)^(-$H$35-1)/(C69-$C$26))</f>
        <v>-213605800.88105</v>
      </c>
      <c r="G69" s="103" t="n">
        <f aca="false">C69-E69/F69</f>
        <v>0.076113417608375</v>
      </c>
    </row>
    <row r="70" customFormat="false" ht="15" hidden="false" customHeight="true" outlineLevel="0" collapsed="false">
      <c r="A70" s="94" t="s">
        <v>783</v>
      </c>
      <c r="C70" s="103" t="n">
        <f aca="false">G69</f>
        <v>0.076113417608375</v>
      </c>
      <c r="D70" s="97" t="n">
        <f aca="false">SUMPRODUCT($C$37:$H$37,(1+C70)^(-$C$36:$H$36))+$I$37/(C70-$C$26)*(1+C70)^(-$H$35)</f>
        <v>9122031</v>
      </c>
      <c r="E70" s="97" t="n">
        <f aca="false">D70-$C$25</f>
        <v>0</v>
      </c>
      <c r="F70" s="97" t="n">
        <f aca="false">-SUMPRODUCT($C$37:$H$37,$C$36:$H$36,(1+C70)^(-$C$36:$H$36-1))-$I$37*((1+C70)^(-$H$35)/(C70-$C$26)^2+$H$35*(1+C70)^(-$H$35-1)/(C70-$C$26))</f>
        <v>-213605800.88105</v>
      </c>
      <c r="G70" s="103" t="n">
        <f aca="false">C70-E70/F70</f>
        <v>0.076113417608375</v>
      </c>
    </row>
    <row r="71" customFormat="false" ht="15" hidden="false" customHeight="true" outlineLevel="0" collapsed="false">
      <c r="A71" s="94" t="s">
        <v>784</v>
      </c>
      <c r="C71" s="103" t="n">
        <f aca="false">G70</f>
        <v>0.076113417608375</v>
      </c>
      <c r="D71" s="97" t="n">
        <f aca="false">SUMPRODUCT($C$37:$H$37,(1+C71)^(-$C$36:$H$36))+$I$37/(C71-$C$26)*(1+C71)^(-$H$35)</f>
        <v>9122031</v>
      </c>
      <c r="E71" s="97" t="n">
        <f aca="false">D71-$C$25</f>
        <v>0</v>
      </c>
      <c r="F71" s="97" t="n">
        <f aca="false">-SUMPRODUCT($C$37:$H$37,$C$36:$H$36,(1+C71)^(-$C$36:$H$36-1))-$I$37*((1+C71)^(-$H$35)/(C71-$C$26)^2+$H$35*(1+C71)^(-$H$35-1)/(C71-$C$26))</f>
        <v>-213605800.88105</v>
      </c>
      <c r="G71" s="103" t="n">
        <f aca="false">C71-E71/F71</f>
        <v>0.076113417608375</v>
      </c>
    </row>
    <row r="72" customFormat="false" ht="15" hidden="false" customHeight="true" outlineLevel="0" collapsed="false">
      <c r="A72" s="88" t="s">
        <v>785</v>
      </c>
      <c r="C72" s="104" t="n">
        <f aca="false">G71</f>
        <v>0.076113417608375</v>
      </c>
    </row>
    <row r="73" customFormat="false" ht="15" hidden="false" customHeight="true" outlineLevel="0" collapsed="false">
      <c r="A73" s="88" t="s">
        <v>786</v>
      </c>
      <c r="C73" s="104" t="n">
        <f aca="false">(1+C72)/(1+C17)-1</f>
        <v>0.0447703083576456</v>
      </c>
    </row>
    <row r="74" customFormat="false" ht="15" hidden="false" customHeight="true" outlineLevel="0" collapsed="false">
      <c r="A74" s="94" t="s">
        <v>787</v>
      </c>
      <c r="C74" s="105" t="n">
        <f aca="false">(SUMPRODUCT($C$37:$H$37,(1+C72)^(-$C$36:$H$36))+$I$37/(C72-$C$26)*(1+C72)^(-$H$35)-C23-C24)/C21</f>
        <v>3555</v>
      </c>
      <c r="D74" s="106" t="n">
        <f aca="false">C74-C18</f>
        <v>0</v>
      </c>
    </row>
    <row r="75" customFormat="false" ht="15" hidden="false" customHeight="true" outlineLevel="0" collapsed="false">
      <c r="A75" s="94" t="s">
        <v>788</v>
      </c>
      <c r="C75" s="107" t="n">
        <f aca="false">(C72-TIR_Implicita!C4)*10000</f>
        <v>8.37500901962329E-008</v>
      </c>
    </row>
    <row r="77" customFormat="false" ht="15" hidden="false" customHeight="true" outlineLevel="0" collapsed="false">
      <c r="A77" s="11" t="s">
        <v>789</v>
      </c>
      <c r="B77" s="11"/>
      <c r="C77" s="11"/>
      <c r="D77" s="11"/>
      <c r="E77" s="11"/>
      <c r="F77" s="11"/>
      <c r="G77" s="11"/>
      <c r="H77" s="11"/>
      <c r="I77" s="11"/>
      <c r="J77" s="11"/>
    </row>
    <row r="78" customFormat="false" ht="15" hidden="false" customHeight="true" outlineLevel="0" collapsed="false">
      <c r="A78" s="87" t="s">
        <v>790</v>
      </c>
    </row>
    <row r="79" customFormat="false" ht="15" hidden="false" customHeight="true" outlineLevel="0" collapsed="false">
      <c r="A79" s="88" t="s">
        <v>791</v>
      </c>
      <c r="F79" s="92" t="n">
        <f aca="false">C18</f>
        <v>3555</v>
      </c>
      <c r="G79" s="92" t="n">
        <f aca="false">C19</f>
        <v>2077.19981194966</v>
      </c>
      <c r="H79" s="92" t="n">
        <f aca="false">C20</f>
        <v>1858.65339722932</v>
      </c>
      <c r="I79" s="92" t="n">
        <f aca="false">C18</f>
        <v>3555</v>
      </c>
    </row>
    <row r="80" customFormat="false" ht="39.75" hidden="false" customHeight="true" outlineLevel="0" collapsed="false">
      <c r="A80" s="88" t="s">
        <v>792</v>
      </c>
      <c r="B80" s="89" t="s">
        <v>793</v>
      </c>
      <c r="C80" s="89" t="s">
        <v>794</v>
      </c>
      <c r="D80" s="89" t="s">
        <v>795</v>
      </c>
      <c r="E80" s="89" t="s">
        <v>796</v>
      </c>
      <c r="F80" s="89" t="s">
        <v>797</v>
      </c>
      <c r="G80" s="89" t="s">
        <v>798</v>
      </c>
      <c r="H80" s="89" t="s">
        <v>799</v>
      </c>
      <c r="I80" s="89" t="s">
        <v>800</v>
      </c>
    </row>
    <row r="81" customFormat="false" ht="15" hidden="false" customHeight="true" outlineLevel="0" collapsed="false">
      <c r="A81" s="108" t="n">
        <v>0</v>
      </c>
      <c r="B81" s="101" t="n">
        <f aca="false">A81/4</f>
        <v>0</v>
      </c>
      <c r="C81" s="97" t="n">
        <f aca="false">SUMPRODUCT((ROUND($C$36:$H$36*4,0)=A81)*$C$40:$H$40)</f>
        <v>0</v>
      </c>
      <c r="D81" s="97" t="n">
        <f aca="false">IF(A81=ROUND($H$35*4,0),$C$48,0)</f>
        <v>0</v>
      </c>
      <c r="E81" s="97" t="n">
        <f aca="false">IF(A81=ROUND($H$35*4,0),$C$51,0)</f>
        <v>0</v>
      </c>
      <c r="F81" s="97" t="n">
        <f aca="false">-F$79*$C$21</f>
        <v>-7785450</v>
      </c>
      <c r="G81" s="97" t="n">
        <f aca="false">-G$79*$C$21</f>
        <v>-4549067.58816975</v>
      </c>
      <c r="H81" s="97" t="n">
        <f aca="false">-H$79*$C$21</f>
        <v>-4070450.93993221</v>
      </c>
      <c r="I81" s="97" t="n">
        <f aca="false">-I$79*$C$21</f>
        <v>-7785450</v>
      </c>
    </row>
    <row r="82" customFormat="false" ht="15" hidden="false" customHeight="true" outlineLevel="0" collapsed="false">
      <c r="A82" s="108" t="n">
        <v>1</v>
      </c>
      <c r="B82" s="101" t="n">
        <f aca="false">A82/4</f>
        <v>0.25</v>
      </c>
      <c r="C82" s="97" t="n">
        <f aca="false">SUMPRODUCT((ROUND($C$36:$H$36*4,0)=A82)*$C$40:$H$40)</f>
        <v>156213.416143167</v>
      </c>
      <c r="D82" s="97" t="n">
        <f aca="false">IF(A82=ROUND($H$35*4,0),$C$48,0)</f>
        <v>0</v>
      </c>
      <c r="E82" s="97" t="n">
        <f aca="false">IF(A82=ROUND($H$35*4,0),$C$51,0)</f>
        <v>0</v>
      </c>
      <c r="F82" s="97" t="n">
        <f aca="false">C82+D82</f>
        <v>156213.416143167</v>
      </c>
      <c r="G82" s="97" t="n">
        <f aca="false">C82+D82</f>
        <v>156213.416143167</v>
      </c>
      <c r="H82" s="97" t="n">
        <f aca="false">C82+D82</f>
        <v>156213.416143167</v>
      </c>
      <c r="I82" s="97" t="n">
        <f aca="false">C82+E82</f>
        <v>156213.416143167</v>
      </c>
    </row>
    <row r="83" customFormat="false" ht="15" hidden="false" customHeight="true" outlineLevel="0" collapsed="false">
      <c r="A83" s="108" t="n">
        <v>2</v>
      </c>
      <c r="B83" s="101" t="n">
        <f aca="false">A83/4</f>
        <v>0.5</v>
      </c>
      <c r="C83" s="97" t="n">
        <f aca="false">SUMPRODUCT((ROUND($C$36:$H$36*4,0)=A83)*$C$40:$H$40)</f>
        <v>0</v>
      </c>
      <c r="D83" s="97" t="n">
        <f aca="false">IF(A83=ROUND($H$35*4,0),$C$48,0)</f>
        <v>0</v>
      </c>
      <c r="E83" s="97" t="n">
        <f aca="false">IF(A83=ROUND($H$35*4,0),$C$51,0)</f>
        <v>0</v>
      </c>
      <c r="F83" s="97" t="n">
        <f aca="false">C83+D83</f>
        <v>0</v>
      </c>
      <c r="G83" s="97" t="n">
        <f aca="false">C83+D83</f>
        <v>0</v>
      </c>
      <c r="H83" s="97" t="n">
        <f aca="false">C83+D83</f>
        <v>0</v>
      </c>
      <c r="I83" s="97" t="n">
        <f aca="false">C83+E83</f>
        <v>0</v>
      </c>
    </row>
    <row r="84" customFormat="false" ht="15" hidden="false" customHeight="true" outlineLevel="0" collapsed="false">
      <c r="A84" s="108" t="n">
        <v>3</v>
      </c>
      <c r="B84" s="101" t="n">
        <f aca="false">A84/4</f>
        <v>0.75</v>
      </c>
      <c r="C84" s="97" t="n">
        <f aca="false">SUMPRODUCT((ROUND($C$36:$H$36*4,0)=A84)*$C$40:$H$40)</f>
        <v>0</v>
      </c>
      <c r="D84" s="97" t="n">
        <f aca="false">IF(A84=ROUND($H$35*4,0),$C$48,0)</f>
        <v>0</v>
      </c>
      <c r="E84" s="97" t="n">
        <f aca="false">IF(A84=ROUND($H$35*4,0),$C$51,0)</f>
        <v>0</v>
      </c>
      <c r="F84" s="97" t="n">
        <f aca="false">C84+D84</f>
        <v>0</v>
      </c>
      <c r="G84" s="97" t="n">
        <f aca="false">C84+D84</f>
        <v>0</v>
      </c>
      <c r="H84" s="97" t="n">
        <f aca="false">C84+D84</f>
        <v>0</v>
      </c>
      <c r="I84" s="97" t="n">
        <f aca="false">C84+E84</f>
        <v>0</v>
      </c>
    </row>
    <row r="85" customFormat="false" ht="15" hidden="false" customHeight="true" outlineLevel="0" collapsed="false">
      <c r="A85" s="108" t="n">
        <v>4</v>
      </c>
      <c r="B85" s="101" t="n">
        <f aca="false">A85/4</f>
        <v>1</v>
      </c>
      <c r="C85" s="97" t="n">
        <f aca="false">SUMPRODUCT((ROUND($C$36:$H$36*4,0)=A85)*$C$40:$H$40)</f>
        <v>338704.154870063</v>
      </c>
      <c r="D85" s="97" t="n">
        <f aca="false">IF(A85=ROUND($H$35*4,0),$C$48,0)</f>
        <v>0</v>
      </c>
      <c r="E85" s="97" t="n">
        <f aca="false">IF(A85=ROUND($H$35*4,0),$C$51,0)</f>
        <v>0</v>
      </c>
      <c r="F85" s="97" t="n">
        <f aca="false">C85+D85</f>
        <v>338704.154870063</v>
      </c>
      <c r="G85" s="97" t="n">
        <f aca="false">C85+D85</f>
        <v>338704.154870063</v>
      </c>
      <c r="H85" s="97" t="n">
        <f aca="false">C85+D85</f>
        <v>338704.154870063</v>
      </c>
      <c r="I85" s="97" t="n">
        <f aca="false">C85+E85</f>
        <v>338704.154870063</v>
      </c>
    </row>
    <row r="86" customFormat="false" ht="15" hidden="false" customHeight="true" outlineLevel="0" collapsed="false">
      <c r="A86" s="108" t="n">
        <v>5</v>
      </c>
      <c r="B86" s="101" t="n">
        <f aca="false">A86/4</f>
        <v>1.25</v>
      </c>
      <c r="C86" s="97" t="n">
        <f aca="false">SUMPRODUCT((ROUND($C$36:$H$36*4,0)=A86)*$C$40:$H$40)</f>
        <v>0</v>
      </c>
      <c r="D86" s="97" t="n">
        <f aca="false">IF(A86=ROUND($H$35*4,0),$C$48,0)</f>
        <v>0</v>
      </c>
      <c r="E86" s="97" t="n">
        <f aca="false">IF(A86=ROUND($H$35*4,0),$C$51,0)</f>
        <v>0</v>
      </c>
      <c r="F86" s="97" t="n">
        <f aca="false">C86+D86</f>
        <v>0</v>
      </c>
      <c r="G86" s="97" t="n">
        <f aca="false">C86+D86</f>
        <v>0</v>
      </c>
      <c r="H86" s="97" t="n">
        <f aca="false">C86+D86</f>
        <v>0</v>
      </c>
      <c r="I86" s="97" t="n">
        <f aca="false">C86+E86</f>
        <v>0</v>
      </c>
    </row>
    <row r="87" customFormat="false" ht="15" hidden="false" customHeight="true" outlineLevel="0" collapsed="false">
      <c r="A87" s="108" t="n">
        <v>6</v>
      </c>
      <c r="B87" s="101" t="n">
        <f aca="false">A87/4</f>
        <v>1.5</v>
      </c>
      <c r="C87" s="97" t="n">
        <f aca="false">SUMPRODUCT((ROUND($C$36:$H$36*4,0)=A87)*$C$40:$H$40)</f>
        <v>0</v>
      </c>
      <c r="D87" s="97" t="n">
        <f aca="false">IF(A87=ROUND($H$35*4,0),$C$48,0)</f>
        <v>0</v>
      </c>
      <c r="E87" s="97" t="n">
        <f aca="false">IF(A87=ROUND($H$35*4,0),$C$51,0)</f>
        <v>0</v>
      </c>
      <c r="F87" s="97" t="n">
        <f aca="false">C87+D87</f>
        <v>0</v>
      </c>
      <c r="G87" s="97" t="n">
        <f aca="false">C87+D87</f>
        <v>0</v>
      </c>
      <c r="H87" s="97" t="n">
        <f aca="false">C87+D87</f>
        <v>0</v>
      </c>
      <c r="I87" s="97" t="n">
        <f aca="false">C87+E87</f>
        <v>0</v>
      </c>
    </row>
    <row r="88" customFormat="false" ht="15" hidden="false" customHeight="true" outlineLevel="0" collapsed="false">
      <c r="A88" s="108" t="n">
        <v>7</v>
      </c>
      <c r="B88" s="101" t="n">
        <f aca="false">A88/4</f>
        <v>1.75</v>
      </c>
      <c r="C88" s="97" t="n">
        <f aca="false">SUMPRODUCT((ROUND($C$36:$H$36*4,0)=A88)*$C$40:$H$40)</f>
        <v>0</v>
      </c>
      <c r="D88" s="97" t="n">
        <f aca="false">IF(A88=ROUND($H$35*4,0),$C$48,0)</f>
        <v>0</v>
      </c>
      <c r="E88" s="97" t="n">
        <f aca="false">IF(A88=ROUND($H$35*4,0),$C$51,0)</f>
        <v>0</v>
      </c>
      <c r="F88" s="97" t="n">
        <f aca="false">C88+D88</f>
        <v>0</v>
      </c>
      <c r="G88" s="97" t="n">
        <f aca="false">C88+D88</f>
        <v>0</v>
      </c>
      <c r="H88" s="97" t="n">
        <f aca="false">C88+D88</f>
        <v>0</v>
      </c>
      <c r="I88" s="97" t="n">
        <f aca="false">C88+E88</f>
        <v>0</v>
      </c>
    </row>
    <row r="89" customFormat="false" ht="15" hidden="false" customHeight="true" outlineLevel="0" collapsed="false">
      <c r="A89" s="108" t="n">
        <v>8</v>
      </c>
      <c r="B89" s="101" t="n">
        <f aca="false">A89/4</f>
        <v>2</v>
      </c>
      <c r="C89" s="97" t="n">
        <f aca="false">SUMPRODUCT((ROUND($C$36:$H$36*4,0)=A89)*$C$40:$H$40)</f>
        <v>406731.040266232</v>
      </c>
      <c r="D89" s="97" t="n">
        <f aca="false">IF(A89=ROUND($H$35*4,0),$C$48,0)</f>
        <v>0</v>
      </c>
      <c r="E89" s="97" t="n">
        <f aca="false">IF(A89=ROUND($H$35*4,0),$C$51,0)</f>
        <v>0</v>
      </c>
      <c r="F89" s="97" t="n">
        <f aca="false">C89+D89</f>
        <v>406731.040266232</v>
      </c>
      <c r="G89" s="97" t="n">
        <f aca="false">C89+D89</f>
        <v>406731.040266232</v>
      </c>
      <c r="H89" s="97" t="n">
        <f aca="false">C89+D89</f>
        <v>406731.040266232</v>
      </c>
      <c r="I89" s="97" t="n">
        <f aca="false">C89+E89</f>
        <v>406731.040266232</v>
      </c>
    </row>
    <row r="90" customFormat="false" ht="15" hidden="false" customHeight="true" outlineLevel="0" collapsed="false">
      <c r="A90" s="108" t="n">
        <v>9</v>
      </c>
      <c r="B90" s="101" t="n">
        <f aca="false">A90/4</f>
        <v>2.25</v>
      </c>
      <c r="C90" s="97" t="n">
        <f aca="false">SUMPRODUCT((ROUND($C$36:$H$36*4,0)=A90)*$C$40:$H$40)</f>
        <v>0</v>
      </c>
      <c r="D90" s="97" t="n">
        <f aca="false">IF(A90=ROUND($H$35*4,0),$C$48,0)</f>
        <v>0</v>
      </c>
      <c r="E90" s="97" t="n">
        <f aca="false">IF(A90=ROUND($H$35*4,0),$C$51,0)</f>
        <v>0</v>
      </c>
      <c r="F90" s="97" t="n">
        <f aca="false">C90+D90</f>
        <v>0</v>
      </c>
      <c r="G90" s="97" t="n">
        <f aca="false">C90+D90</f>
        <v>0</v>
      </c>
      <c r="H90" s="97" t="n">
        <f aca="false">C90+D90</f>
        <v>0</v>
      </c>
      <c r="I90" s="97" t="n">
        <f aca="false">C90+E90</f>
        <v>0</v>
      </c>
    </row>
    <row r="91" customFormat="false" ht="15" hidden="false" customHeight="true" outlineLevel="0" collapsed="false">
      <c r="A91" s="108" t="n">
        <v>10</v>
      </c>
      <c r="B91" s="101" t="n">
        <f aca="false">A91/4</f>
        <v>2.5</v>
      </c>
      <c r="C91" s="97" t="n">
        <f aca="false">SUMPRODUCT((ROUND($C$36:$H$36*4,0)=A91)*$C$40:$H$40)</f>
        <v>0</v>
      </c>
      <c r="D91" s="97" t="n">
        <f aca="false">IF(A91=ROUND($H$35*4,0),$C$48,0)</f>
        <v>0</v>
      </c>
      <c r="E91" s="97" t="n">
        <f aca="false">IF(A91=ROUND($H$35*4,0),$C$51,0)</f>
        <v>0</v>
      </c>
      <c r="F91" s="97" t="n">
        <f aca="false">C91+D91</f>
        <v>0</v>
      </c>
      <c r="G91" s="97" t="n">
        <f aca="false">C91+D91</f>
        <v>0</v>
      </c>
      <c r="H91" s="97" t="n">
        <f aca="false">C91+D91</f>
        <v>0</v>
      </c>
      <c r="I91" s="97" t="n">
        <f aca="false">C91+E91</f>
        <v>0</v>
      </c>
    </row>
    <row r="92" customFormat="false" ht="15" hidden="false" customHeight="true" outlineLevel="0" collapsed="false">
      <c r="A92" s="108" t="n">
        <v>11</v>
      </c>
      <c r="B92" s="101" t="n">
        <f aca="false">A92/4</f>
        <v>2.75</v>
      </c>
      <c r="C92" s="97" t="n">
        <f aca="false">SUMPRODUCT((ROUND($C$36:$H$36*4,0)=A92)*$C$40:$H$40)</f>
        <v>0</v>
      </c>
      <c r="D92" s="97" t="n">
        <f aca="false">IF(A92=ROUND($H$35*4,0),$C$48,0)</f>
        <v>0</v>
      </c>
      <c r="E92" s="97" t="n">
        <f aca="false">IF(A92=ROUND($H$35*4,0),$C$51,0)</f>
        <v>0</v>
      </c>
      <c r="F92" s="97" t="n">
        <f aca="false">C92+D92</f>
        <v>0</v>
      </c>
      <c r="G92" s="97" t="n">
        <f aca="false">C92+D92</f>
        <v>0</v>
      </c>
      <c r="H92" s="97" t="n">
        <f aca="false">C92+D92</f>
        <v>0</v>
      </c>
      <c r="I92" s="97" t="n">
        <f aca="false">C92+E92</f>
        <v>0</v>
      </c>
    </row>
    <row r="93" customFormat="false" ht="15" hidden="false" customHeight="true" outlineLevel="0" collapsed="false">
      <c r="A93" s="108" t="n">
        <v>12</v>
      </c>
      <c r="B93" s="101" t="n">
        <f aca="false">A93/4</f>
        <v>3</v>
      </c>
      <c r="C93" s="97" t="n">
        <f aca="false">SUMPRODUCT((ROUND($C$36:$H$36*4,0)=A93)*$C$40:$H$40)</f>
        <v>587880.353994509</v>
      </c>
      <c r="D93" s="97" t="n">
        <f aca="false">IF(A93=ROUND($H$35*4,0),$C$48,0)</f>
        <v>0</v>
      </c>
      <c r="E93" s="97" t="n">
        <f aca="false">IF(A93=ROUND($H$35*4,0),$C$51,0)</f>
        <v>0</v>
      </c>
      <c r="F93" s="97" t="n">
        <f aca="false">C93+D93</f>
        <v>587880.353994509</v>
      </c>
      <c r="G93" s="97" t="n">
        <f aca="false">C93+D93</f>
        <v>587880.353994509</v>
      </c>
      <c r="H93" s="97" t="n">
        <f aca="false">C93+D93</f>
        <v>587880.353994509</v>
      </c>
      <c r="I93" s="97" t="n">
        <f aca="false">C93+E93</f>
        <v>587880.353994509</v>
      </c>
    </row>
    <row r="94" customFormat="false" ht="15" hidden="false" customHeight="true" outlineLevel="0" collapsed="false">
      <c r="A94" s="108" t="n">
        <v>13</v>
      </c>
      <c r="B94" s="101" t="n">
        <f aca="false">A94/4</f>
        <v>3.25</v>
      </c>
      <c r="C94" s="97" t="n">
        <f aca="false">SUMPRODUCT((ROUND($C$36:$H$36*4,0)=A94)*$C$40:$H$40)</f>
        <v>0</v>
      </c>
      <c r="D94" s="97" t="n">
        <f aca="false">IF(A94=ROUND($H$35*4,0),$C$48,0)</f>
        <v>0</v>
      </c>
      <c r="E94" s="97" t="n">
        <f aca="false">IF(A94=ROUND($H$35*4,0),$C$51,0)</f>
        <v>0</v>
      </c>
      <c r="F94" s="97" t="n">
        <f aca="false">C94+D94</f>
        <v>0</v>
      </c>
      <c r="G94" s="97" t="n">
        <f aca="false">C94+D94</f>
        <v>0</v>
      </c>
      <c r="H94" s="97" t="n">
        <f aca="false">C94+D94</f>
        <v>0</v>
      </c>
      <c r="I94" s="97" t="n">
        <f aca="false">C94+E94</f>
        <v>0</v>
      </c>
    </row>
    <row r="95" customFormat="false" ht="15" hidden="false" customHeight="true" outlineLevel="0" collapsed="false">
      <c r="A95" s="108" t="n">
        <v>14</v>
      </c>
      <c r="B95" s="101" t="n">
        <f aca="false">A95/4</f>
        <v>3.5</v>
      </c>
      <c r="C95" s="97" t="n">
        <f aca="false">SUMPRODUCT((ROUND($C$36:$H$36*4,0)=A95)*$C$40:$H$40)</f>
        <v>0</v>
      </c>
      <c r="D95" s="97" t="n">
        <f aca="false">IF(A95=ROUND($H$35*4,0),$C$48,0)</f>
        <v>0</v>
      </c>
      <c r="E95" s="97" t="n">
        <f aca="false">IF(A95=ROUND($H$35*4,0),$C$51,0)</f>
        <v>0</v>
      </c>
      <c r="F95" s="97" t="n">
        <f aca="false">C95+D95</f>
        <v>0</v>
      </c>
      <c r="G95" s="97" t="n">
        <f aca="false">C95+D95</f>
        <v>0</v>
      </c>
      <c r="H95" s="97" t="n">
        <f aca="false">C95+D95</f>
        <v>0</v>
      </c>
      <c r="I95" s="97" t="n">
        <f aca="false">C95+E95</f>
        <v>0</v>
      </c>
    </row>
    <row r="96" customFormat="false" ht="15" hidden="false" customHeight="true" outlineLevel="0" collapsed="false">
      <c r="A96" s="108" t="n">
        <v>15</v>
      </c>
      <c r="B96" s="101" t="n">
        <f aca="false">A96/4</f>
        <v>3.75</v>
      </c>
      <c r="C96" s="97" t="n">
        <f aca="false">SUMPRODUCT((ROUND($C$36:$H$36*4,0)=A96)*$C$40:$H$40)</f>
        <v>0</v>
      </c>
      <c r="D96" s="97" t="n">
        <f aca="false">IF(A96=ROUND($H$35*4,0),$C$48,0)</f>
        <v>0</v>
      </c>
      <c r="E96" s="97" t="n">
        <f aca="false">IF(A96=ROUND($H$35*4,0),$C$51,0)</f>
        <v>0</v>
      </c>
      <c r="F96" s="97" t="n">
        <f aca="false">C96+D96</f>
        <v>0</v>
      </c>
      <c r="G96" s="97" t="n">
        <f aca="false">C96+D96</f>
        <v>0</v>
      </c>
      <c r="H96" s="97" t="n">
        <f aca="false">C96+D96</f>
        <v>0</v>
      </c>
      <c r="I96" s="97" t="n">
        <f aca="false">C96+E96</f>
        <v>0</v>
      </c>
    </row>
    <row r="97" customFormat="false" ht="15" hidden="false" customHeight="true" outlineLevel="0" collapsed="false">
      <c r="A97" s="108" t="n">
        <v>16</v>
      </c>
      <c r="B97" s="101" t="n">
        <f aca="false">A97/4</f>
        <v>4</v>
      </c>
      <c r="C97" s="97" t="n">
        <f aca="false">SUMPRODUCT((ROUND($C$36:$H$36*4,0)=A97)*$C$40:$H$40)</f>
        <v>572408.301034732</v>
      </c>
      <c r="D97" s="97" t="n">
        <f aca="false">IF(A97=ROUND($H$35*4,0),$C$48,0)</f>
        <v>0</v>
      </c>
      <c r="E97" s="97" t="n">
        <f aca="false">IF(A97=ROUND($H$35*4,0),$C$51,0)</f>
        <v>0</v>
      </c>
      <c r="F97" s="97" t="n">
        <f aca="false">C97+D97</f>
        <v>572408.301034732</v>
      </c>
      <c r="G97" s="97" t="n">
        <f aca="false">C97+D97</f>
        <v>572408.301034732</v>
      </c>
      <c r="H97" s="97" t="n">
        <f aca="false">C97+D97</f>
        <v>572408.301034732</v>
      </c>
      <c r="I97" s="97" t="n">
        <f aca="false">C97+E97</f>
        <v>572408.301034732</v>
      </c>
    </row>
    <row r="98" customFormat="false" ht="15" hidden="false" customHeight="true" outlineLevel="0" collapsed="false">
      <c r="A98" s="108" t="n">
        <v>17</v>
      </c>
      <c r="B98" s="101" t="n">
        <f aca="false">A98/4</f>
        <v>4.25</v>
      </c>
      <c r="C98" s="97" t="n">
        <f aca="false">SUMPRODUCT((ROUND($C$36:$H$36*4,0)=A98)*$C$40:$H$40)</f>
        <v>0</v>
      </c>
      <c r="D98" s="97" t="n">
        <f aca="false">IF(A98=ROUND($H$35*4,0),$C$48,0)</f>
        <v>0</v>
      </c>
      <c r="E98" s="97" t="n">
        <f aca="false">IF(A98=ROUND($H$35*4,0),$C$51,0)</f>
        <v>0</v>
      </c>
      <c r="F98" s="97" t="n">
        <f aca="false">C98+D98</f>
        <v>0</v>
      </c>
      <c r="G98" s="97" t="n">
        <f aca="false">C98+D98</f>
        <v>0</v>
      </c>
      <c r="H98" s="97" t="n">
        <f aca="false">C98+D98</f>
        <v>0</v>
      </c>
      <c r="I98" s="97" t="n">
        <f aca="false">C98+E98</f>
        <v>0</v>
      </c>
    </row>
    <row r="99" customFormat="false" ht="15" hidden="false" customHeight="true" outlineLevel="0" collapsed="false">
      <c r="A99" s="108" t="n">
        <v>18</v>
      </c>
      <c r="B99" s="101" t="n">
        <f aca="false">A99/4</f>
        <v>4.5</v>
      </c>
      <c r="C99" s="97" t="n">
        <f aca="false">SUMPRODUCT((ROUND($C$36:$H$36*4,0)=A99)*$C$40:$H$40)</f>
        <v>0</v>
      </c>
      <c r="D99" s="97" t="n">
        <f aca="false">IF(A99=ROUND($H$35*4,0),$C$48,0)</f>
        <v>0</v>
      </c>
      <c r="E99" s="97" t="n">
        <f aca="false">IF(A99=ROUND($H$35*4,0),$C$51,0)</f>
        <v>0</v>
      </c>
      <c r="F99" s="97" t="n">
        <f aca="false">C99+D99</f>
        <v>0</v>
      </c>
      <c r="G99" s="97" t="n">
        <f aca="false">C99+D99</f>
        <v>0</v>
      </c>
      <c r="H99" s="97" t="n">
        <f aca="false">C99+D99</f>
        <v>0</v>
      </c>
      <c r="I99" s="97" t="n">
        <f aca="false">C99+E99</f>
        <v>0</v>
      </c>
    </row>
    <row r="100" customFormat="false" ht="15" hidden="false" customHeight="true" outlineLevel="0" collapsed="false">
      <c r="A100" s="108" t="n">
        <v>19</v>
      </c>
      <c r="B100" s="101" t="n">
        <f aca="false">A100/4</f>
        <v>4.75</v>
      </c>
      <c r="C100" s="97" t="n">
        <f aca="false">SUMPRODUCT((ROUND($C$36:$H$36*4,0)=A100)*$C$40:$H$40)</f>
        <v>0</v>
      </c>
      <c r="D100" s="97" t="n">
        <f aca="false">IF(A100=ROUND($H$35*4,0),$C$48,0)</f>
        <v>0</v>
      </c>
      <c r="E100" s="97" t="n">
        <f aca="false">IF(A100=ROUND($H$35*4,0),$C$51,0)</f>
        <v>0</v>
      </c>
      <c r="F100" s="97" t="n">
        <f aca="false">C100+D100</f>
        <v>0</v>
      </c>
      <c r="G100" s="97" t="n">
        <f aca="false">C100+D100</f>
        <v>0</v>
      </c>
      <c r="H100" s="97" t="n">
        <f aca="false">C100+D100</f>
        <v>0</v>
      </c>
      <c r="I100" s="97" t="n">
        <f aca="false">C100+E100</f>
        <v>0</v>
      </c>
    </row>
    <row r="101" customFormat="false" ht="15" hidden="false" customHeight="true" outlineLevel="0" collapsed="false">
      <c r="A101" s="108" t="n">
        <v>20</v>
      </c>
      <c r="B101" s="101" t="n">
        <f aca="false">A101/4</f>
        <v>5</v>
      </c>
      <c r="C101" s="97" t="n">
        <f aca="false">SUMPRODUCT((ROUND($C$36:$H$36*4,0)=A101)*$C$40:$H$40)</f>
        <v>592959.725787147</v>
      </c>
      <c r="D101" s="97" t="n">
        <f aca="false">IF(A101=ROUND($H$35*4,0),$C$48,0)</f>
        <v>0</v>
      </c>
      <c r="E101" s="97" t="n">
        <f aca="false">IF(A101=ROUND($H$35*4,0),$C$51,0)</f>
        <v>0</v>
      </c>
      <c r="F101" s="97" t="n">
        <f aca="false">C101+D101</f>
        <v>592959.725787147</v>
      </c>
      <c r="G101" s="97" t="n">
        <f aca="false">C101+D101</f>
        <v>592959.725787147</v>
      </c>
      <c r="H101" s="97" t="n">
        <f aca="false">C101+D101</f>
        <v>592959.725787147</v>
      </c>
      <c r="I101" s="97" t="n">
        <f aca="false">C101+E101</f>
        <v>592959.725787147</v>
      </c>
    </row>
    <row r="102" customFormat="false" ht="15" hidden="false" customHeight="true" outlineLevel="0" collapsed="false">
      <c r="A102" s="108" t="n">
        <v>21</v>
      </c>
      <c r="B102" s="101" t="n">
        <f aca="false">A102/4</f>
        <v>5.25</v>
      </c>
      <c r="C102" s="97" t="n">
        <f aca="false">SUMPRODUCT((ROUND($C$36:$H$36*4,0)=A102)*$C$40:$H$40)</f>
        <v>0</v>
      </c>
      <c r="D102" s="97" t="n">
        <f aca="false">IF(A102=ROUND($H$35*4,0),$C$48,0)</f>
        <v>0</v>
      </c>
      <c r="E102" s="97" t="n">
        <f aca="false">IF(A102=ROUND($H$35*4,0),$C$51,0)</f>
        <v>0</v>
      </c>
      <c r="F102" s="97" t="n">
        <f aca="false">C102+D102</f>
        <v>0</v>
      </c>
      <c r="G102" s="97" t="n">
        <f aca="false">C102+D102</f>
        <v>0</v>
      </c>
      <c r="H102" s="97" t="n">
        <f aca="false">C102+D102</f>
        <v>0</v>
      </c>
      <c r="I102" s="97" t="n">
        <f aca="false">C102+E102</f>
        <v>0</v>
      </c>
    </row>
    <row r="103" customFormat="false" ht="15" hidden="false" customHeight="true" outlineLevel="0" collapsed="false">
      <c r="A103" s="108" t="n">
        <v>22</v>
      </c>
      <c r="B103" s="101" t="n">
        <f aca="false">A103/4</f>
        <v>5.5</v>
      </c>
      <c r="C103" s="97" t="n">
        <f aca="false">SUMPRODUCT((ROUND($C$36:$H$36*4,0)=A103)*$C$40:$H$40)</f>
        <v>0</v>
      </c>
      <c r="D103" s="97" t="n">
        <f aca="false">IF(A103=ROUND($H$35*4,0),$C$48,0)</f>
        <v>4498767.67057988</v>
      </c>
      <c r="E103" s="97" t="n">
        <f aca="false">IF(A103=ROUND($H$35*4,0),$C$51,0)</f>
        <v>8930624.76601701</v>
      </c>
      <c r="F103" s="97" t="n">
        <f aca="false">C103+D103</f>
        <v>4498767.67057988</v>
      </c>
      <c r="G103" s="97" t="n">
        <f aca="false">C103+D103</f>
        <v>4498767.67057988</v>
      </c>
      <c r="H103" s="97" t="n">
        <f aca="false">C103+D103</f>
        <v>4498767.67057988</v>
      </c>
      <c r="I103" s="97" t="n">
        <f aca="false">C103+E103</f>
        <v>8930624.76601701</v>
      </c>
    </row>
    <row r="104" customFormat="false" ht="15" hidden="false" customHeight="true" outlineLevel="0" collapsed="false">
      <c r="A104" s="88" t="s">
        <v>801</v>
      </c>
      <c r="F104" s="103" t="n">
        <f aca="false">IRR(F81:F103,0.01)</f>
        <v>-0.00456327613666016</v>
      </c>
      <c r="G104" s="103" t="n">
        <f aca="false">IRR(G81:G103,0.01)</f>
        <v>0.0255366913121788</v>
      </c>
      <c r="H104" s="103" t="n">
        <f aca="false">IRR(H81:H103,0.01)</f>
        <v>0.0321460459593659</v>
      </c>
      <c r="I104" s="103" t="n">
        <f aca="false">IRR(I81:I103,0.01)</f>
        <v>0.0205689300867916</v>
      </c>
    </row>
    <row r="105" customFormat="false" ht="15" hidden="false" customHeight="true" outlineLevel="0" collapsed="false">
      <c r="A105" s="88" t="s">
        <v>802</v>
      </c>
      <c r="F105" s="104" t="n">
        <f aca="false">(1+F104)^4-1</f>
        <v>-0.0181285432717502</v>
      </c>
      <c r="G105" s="104" t="n">
        <f aca="false">(1+G104)^4-1</f>
        <v>0.106126538346106</v>
      </c>
      <c r="H105" s="104" t="n">
        <f aca="false">(1+H104)^4-1</f>
        <v>0.134918336128084</v>
      </c>
      <c r="I105" s="104" t="n">
        <f aca="false">(1+I104)^4-1</f>
        <v>0.0848491939386646</v>
      </c>
    </row>
    <row r="106" customFormat="false" ht="15" hidden="false" customHeight="true" outlineLevel="0" collapsed="false">
      <c r="A106" s="88" t="s">
        <v>803</v>
      </c>
      <c r="F106" s="104" t="n">
        <f aca="false">(1+F105)/(1+$C$17)-1</f>
        <v>-0.0467267410405342</v>
      </c>
      <c r="G106" s="104" t="n">
        <f aca="false">(1+G105)/(1+$C$17)-1</f>
        <v>0.0739092605301996</v>
      </c>
      <c r="H106" s="104" t="n">
        <f aca="false">(1+H105)/(1+$C$17)-1</f>
        <v>0.101862462260275</v>
      </c>
      <c r="I106" s="104" t="n">
        <f aca="false">(1+I105)/(1+$C$17)-1</f>
        <v>0.0532516446006452</v>
      </c>
    </row>
    <row r="107" customFormat="false" ht="15" hidden="false" customHeight="true" outlineLevel="0" collapsed="false">
      <c r="A107" s="94" t="s">
        <v>804</v>
      </c>
      <c r="F107" s="107" t="n">
        <f aca="false">NPV(F104,F82:F103)+F81</f>
        <v>3.31923365592957E-006</v>
      </c>
      <c r="G107" s="107" t="n">
        <f aca="false">NPV(G104,G82:G103)+G81</f>
        <v>5.65312802791596E-007</v>
      </c>
      <c r="H107" s="107" t="n">
        <f aca="false">NPV(H104,H82:H103)+H81</f>
        <v>0</v>
      </c>
      <c r="I107" s="107" t="n">
        <f aca="false">NPV(I104,I82:I103)+I81</f>
        <v>0</v>
      </c>
    </row>
    <row r="110" customFormat="false" ht="15" hidden="false" customHeight="true" outlineLevel="0" collapsed="false">
      <c r="A110" s="11" t="s">
        <v>805</v>
      </c>
      <c r="B110" s="11"/>
      <c r="C110" s="11"/>
      <c r="D110" s="11"/>
      <c r="E110" s="11"/>
      <c r="F110" s="11"/>
      <c r="G110" s="11"/>
      <c r="H110" s="11"/>
      <c r="I110" s="11"/>
      <c r="J110" s="11"/>
    </row>
    <row r="111" customFormat="false" ht="15" hidden="false" customHeight="true" outlineLevel="0" collapsed="false">
      <c r="A111" s="87" t="s">
        <v>806</v>
      </c>
    </row>
    <row r="113" customFormat="false" ht="39.75" hidden="false" customHeight="true" outlineLevel="0" collapsed="false">
      <c r="A113" s="88" t="s">
        <v>807</v>
      </c>
      <c r="C113" s="89" t="s">
        <v>808</v>
      </c>
      <c r="D113" s="89" t="s">
        <v>709</v>
      </c>
      <c r="E113" s="89" t="s">
        <v>809</v>
      </c>
      <c r="F113" s="89" t="s">
        <v>810</v>
      </c>
      <c r="G113" s="89" t="s">
        <v>712</v>
      </c>
      <c r="H113" s="89" t="s">
        <v>713</v>
      </c>
      <c r="I113" s="89" t="s">
        <v>811</v>
      </c>
    </row>
    <row r="114" customFormat="false" ht="15" hidden="false" customHeight="true" outlineLevel="0" collapsed="false">
      <c r="A114" s="94" t="s">
        <v>812</v>
      </c>
      <c r="C114" s="90" t="n">
        <f aca="false">C126</f>
        <v>0.0695356055308772</v>
      </c>
      <c r="D114" s="91" t="n">
        <f aca="false">(1+C114)/(1+$C$17)-1</f>
        <v>0.0383840830396864</v>
      </c>
      <c r="E114" s="91" t="n">
        <f aca="false">C123</f>
        <v>0.114138867416108</v>
      </c>
      <c r="F114" s="91" t="n">
        <f aca="false">(1+E114)/(1+$C$17)-1</f>
        <v>0.0816882207923382</v>
      </c>
      <c r="G114" s="97" t="n">
        <f aca="false">(C114-E114)*10000</f>
        <v>-446.032618852313</v>
      </c>
      <c r="H114" s="97" t="n">
        <f aca="false">(D114-F114)*10000</f>
        <v>-433.041377526517</v>
      </c>
      <c r="I114" s="109" t="n">
        <v>1189.95433378278</v>
      </c>
    </row>
    <row r="115" customFormat="false" ht="15" hidden="false" customHeight="true" outlineLevel="0" collapsed="false">
      <c r="A115" s="94" t="s">
        <v>813</v>
      </c>
      <c r="C115" s="90" t="n">
        <f aca="false">C136</f>
        <v>0.076113417608375</v>
      </c>
      <c r="D115" s="91" t="n">
        <f aca="false">(1+C115)/(1+$C$17)-1</f>
        <v>0.0447703083576456</v>
      </c>
      <c r="E115" s="91" t="n">
        <f aca="false">C133</f>
        <v>0.104138867416108</v>
      </c>
      <c r="F115" s="91" t="n">
        <f aca="false">(1+E115)/(1+$C$17)-1</f>
        <v>0.0719794829282607</v>
      </c>
      <c r="G115" s="97" t="n">
        <f aca="false">(C115-E115)*10000</f>
        <v>-280.254498077335</v>
      </c>
      <c r="H115" s="97" t="n">
        <f aca="false">(D115-F115)*10000</f>
        <v>-272.091745706151</v>
      </c>
      <c r="I115" s="109" t="n">
        <v>1858.65339722933</v>
      </c>
    </row>
    <row r="116" customFormat="false" ht="15" hidden="false" customHeight="true" outlineLevel="0" collapsed="false">
      <c r="A116" s="94" t="s">
        <v>814</v>
      </c>
      <c r="C116" s="90" t="n">
        <f aca="false">C146</f>
        <v>0.0850898813240255</v>
      </c>
      <c r="D116" s="91" t="n">
        <f aca="false">(1+C116)/(1+$C$17)-1</f>
        <v>0.0534853216738112</v>
      </c>
      <c r="E116" s="91" t="n">
        <f aca="false">C143</f>
        <v>0.0941388674161085</v>
      </c>
      <c r="F116" s="91" t="n">
        <f aca="false">(1+E116)/(1+$C$17)-1</f>
        <v>0.0622707450641831</v>
      </c>
      <c r="G116" s="97" t="n">
        <f aca="false">(C116-E116)*10000</f>
        <v>-90.4898609208298</v>
      </c>
      <c r="H116" s="97" t="n">
        <f aca="false">(D116-F116)*10000</f>
        <v>-87.8542339037192</v>
      </c>
      <c r="I116" s="109" t="n">
        <v>2906.20988859394</v>
      </c>
    </row>
    <row r="119" customFormat="false" ht="15" hidden="false" customHeight="true" outlineLevel="0" collapsed="false">
      <c r="A119" s="11" t="s">
        <v>815</v>
      </c>
      <c r="B119" s="11"/>
      <c r="C119" s="11"/>
      <c r="D119" s="11"/>
      <c r="E119" s="11"/>
      <c r="F119" s="11"/>
      <c r="G119" s="11"/>
      <c r="H119" s="11"/>
      <c r="I119" s="11"/>
      <c r="J119" s="11"/>
    </row>
    <row r="120" customFormat="false" ht="15" hidden="false" customHeight="true" outlineLevel="0" collapsed="false">
      <c r="A120" s="94" t="s">
        <v>816</v>
      </c>
      <c r="C120" s="110" t="n">
        <v>70086.3502362331</v>
      </c>
      <c r="D120" s="110" t="n">
        <v>104682.481430996</v>
      </c>
      <c r="E120" s="110" t="n">
        <v>157141.052911947</v>
      </c>
      <c r="F120" s="110" t="n">
        <v>319372.784805912</v>
      </c>
      <c r="G120" s="110" t="n">
        <v>319181.234174213</v>
      </c>
      <c r="H120" s="110" t="n">
        <v>335774.245020731</v>
      </c>
      <c r="I120" s="110" t="n">
        <v>461950.839587071</v>
      </c>
    </row>
    <row r="121" customFormat="false" ht="15" hidden="false" customHeight="true" outlineLevel="0" collapsed="false">
      <c r="A121" s="94" t="s">
        <v>817</v>
      </c>
      <c r="C121" s="111" t="n">
        <v>0.03</v>
      </c>
    </row>
    <row r="122" customFormat="false" ht="15" hidden="false" customHeight="true" outlineLevel="0" collapsed="false">
      <c r="A122" s="94" t="s">
        <v>818</v>
      </c>
      <c r="C122" s="112" t="n">
        <v>100</v>
      </c>
    </row>
    <row r="123" customFormat="false" ht="15" hidden="false" customHeight="true" outlineLevel="0" collapsed="false">
      <c r="A123" s="94" t="s">
        <v>819</v>
      </c>
      <c r="C123" s="91" t="n">
        <f aca="false">$C$27+C122/10000</f>
        <v>0.114138867416108</v>
      </c>
    </row>
    <row r="124" customFormat="false" ht="15" hidden="false" customHeight="true" outlineLevel="0" collapsed="false">
      <c r="A124" s="94" t="s">
        <v>820</v>
      </c>
    </row>
    <row r="125" customFormat="false" ht="15" hidden="false" customHeight="true" outlineLevel="0" collapsed="false">
      <c r="A125" s="94" t="s">
        <v>821</v>
      </c>
      <c r="C125" s="113" t="n">
        <f aca="false">$C$121+0.01</f>
        <v>0.04</v>
      </c>
      <c r="D125" s="113" t="n">
        <f aca="false">C125-((SUMPRODUCT($C$120:$H$120,(1+C125)^(-$C$36:$H$36))+$I$120/(C125-$C$121)*(1+C125)^(-$H$35))-$C$25)/(-SUMPRODUCT($C$120:$H$120,$C$36:$H$36,(1+C125)^(-$C$36:$H$36-1))-$I$120*((1+C125)^(-$H$35)/(C125-$C$121)^2+$H$35*(1+C125)^(-$H$35-1)/(C125-$C$121)))</f>
        <v>0.0474567550668415</v>
      </c>
      <c r="E125" s="113" t="n">
        <f aca="false">D125-((SUMPRODUCT($C$120:$H$120,(1+D125)^(-$C$36:$H$36))+$I$120/(D125-$C$121)*(1+D125)^(-$H$35))-$C$25)/(-SUMPRODUCT($C$120:$H$120,$C$36:$H$36,(1+D125)^(-$C$36:$H$36-1))-$I$120*((1+D125)^(-$H$35)/(D125-$C$121)^2+$H$35*(1+D125)^(-$H$35-1)/(D125-$C$121)))</f>
        <v>0.0571827545065998</v>
      </c>
      <c r="F125" s="113" t="n">
        <f aca="false">E125-((SUMPRODUCT($C$120:$H$120,(1+E125)^(-$C$36:$H$36))+$I$120/(E125-$C$121)*(1+E125)^(-$H$35))-$C$25)/(-SUMPRODUCT($C$120:$H$120,$C$36:$H$36,(1+E125)^(-$C$36:$H$36-1))-$I$120*((1+E125)^(-$H$35)/(E125-$C$121)^2+$H$35*(1+E125)^(-$H$35-1)/(E125-$C$121)))</f>
        <v>0.0656594184829991</v>
      </c>
      <c r="G125" s="113" t="n">
        <f aca="false">F125-((SUMPRODUCT($C$120:$H$120,(1+F125)^(-$C$36:$H$36))+$I$120/(F125-$C$121)*(1+F125)^(-$H$35))-$C$25)/(-SUMPRODUCT($C$120:$H$120,$C$36:$H$36,(1+F125)^(-$C$36:$H$36-1))-$I$120*((1+F125)^(-$H$35)/(F125-$C$121)^2+$H$35*(1+F125)^(-$H$35-1)/(F125-$C$121)))</f>
        <v>0.0691528716355581</v>
      </c>
      <c r="H125" s="113" t="n">
        <f aca="false">G125-((SUMPRODUCT($C$120:$H$120,(1+G125)^(-$C$36:$H$36))+$I$120/(G125-$C$121)*(1+G125)^(-$H$35))-$C$25)/(-SUMPRODUCT($C$120:$H$120,$C$36:$H$36,(1+G125)^(-$C$36:$H$36-1))-$I$120*((1+G125)^(-$H$35)/(G125-$C$121)^2+$H$35*(1+G125)^(-$H$35-1)/(G125-$C$121)))</f>
        <v>0.0695318691163388</v>
      </c>
      <c r="I125" s="113" t="n">
        <f aca="false">H125-((SUMPRODUCT($C$120:$H$120,(1+H125)^(-$C$36:$H$36))+$I$120/(H125-$C$121)*(1+H125)^(-$H$35))-$C$25)/(-SUMPRODUCT($C$120:$H$120,$C$36:$H$36,(1+H125)^(-$C$36:$H$36-1))-$I$120*((1+H125)^(-$H$35)/(H125-$C$121)^2+$H$35*(1+H125)^(-$H$35-1)/(H125-$C$121)))</f>
        <v>0.0695356051747247</v>
      </c>
      <c r="J125" s="113" t="n">
        <f aca="false">I125-((SUMPRODUCT($C$120:$H$120,(1+I125)^(-$C$36:$H$36))+$I$120/(I125-$C$121)*(1+I125)^(-$H$35))-$C$25)/(-SUMPRODUCT($C$120:$H$120,$C$36:$H$36,(1+I125)^(-$C$36:$H$36-1))-$I$120*((1+I125)^(-$H$35)/(I125-$C$121)^2+$H$35*(1+I125)^(-$H$35-1)/(I125-$C$121)))</f>
        <v>0.0695356055308772</v>
      </c>
      <c r="K125" s="113" t="n">
        <f aca="false">J125-((SUMPRODUCT($C$120:$H$120,(1+J125)^(-$C$36:$H$36))+$I$120/(J125-$C$121)*(1+J125)^(-$H$35))-$C$25)/(-SUMPRODUCT($C$120:$H$120,$C$36:$H$36,(1+J125)^(-$C$36:$H$36-1))-$I$120*((1+J125)^(-$H$35)/(J125-$C$121)^2+$H$35*(1+J125)^(-$H$35-1)/(J125-$C$121)))</f>
        <v>0.0695356055308772</v>
      </c>
      <c r="L125" s="113" t="n">
        <f aca="false">K125-((SUMPRODUCT($C$120:$H$120,(1+K125)^(-$C$36:$H$36))+$I$120/(K125-$C$121)*(1+K125)^(-$H$35))-$C$25)/(-SUMPRODUCT($C$120:$H$120,$C$36:$H$36,(1+K125)^(-$C$36:$H$36-1))-$I$120*((1+K125)^(-$H$35)/(K125-$C$121)^2+$H$35*(1+K125)^(-$H$35-1)/(K125-$C$121)))</f>
        <v>0.0695356055308772</v>
      </c>
      <c r="M125" s="113" t="n">
        <f aca="false">L125-((SUMPRODUCT($C$120:$H$120,(1+L125)^(-$C$36:$H$36))+$I$120/(L125-$C$121)*(1+L125)^(-$H$35))-$C$25)/(-SUMPRODUCT($C$120:$H$120,$C$36:$H$36,(1+L125)^(-$C$36:$H$36-1))-$I$120*((1+L125)^(-$H$35)/(L125-$C$121)^2+$H$35*(1+L125)^(-$H$35-1)/(L125-$C$121)))</f>
        <v>0.0695356055308772</v>
      </c>
      <c r="N125" s="113" t="n">
        <f aca="false">M125-((SUMPRODUCT($C$120:$H$120,(1+M125)^(-$C$36:$H$36))+$I$120/(M125-$C$121)*(1+M125)^(-$H$35))-$C$25)/(-SUMPRODUCT($C$120:$H$120,$C$36:$H$36,(1+M125)^(-$C$36:$H$36-1))-$I$120*((1+M125)^(-$H$35)/(M125-$C$121)^2+$H$35*(1+M125)^(-$H$35-1)/(M125-$C$121)))</f>
        <v>0.0695356055308772</v>
      </c>
      <c r="O125" s="113" t="n">
        <f aca="false">N125-((SUMPRODUCT($C$120:$H$120,(1+N125)^(-$C$36:$H$36))+$I$120/(N125-$C$121)*(1+N125)^(-$H$35))-$C$25)/(-SUMPRODUCT($C$120:$H$120,$C$36:$H$36,(1+N125)^(-$C$36:$H$36-1))-$I$120*((1+N125)^(-$H$35)/(N125-$C$121)^2+$H$35*(1+N125)^(-$H$35-1)/(N125-$C$121)))</f>
        <v>0.0695356055308772</v>
      </c>
      <c r="P125" s="113" t="n">
        <f aca="false">O125-((SUMPRODUCT($C$120:$H$120,(1+O125)^(-$C$36:$H$36))+$I$120/(O125-$C$121)*(1+O125)^(-$H$35))-$C$25)/(-SUMPRODUCT($C$120:$H$120,$C$36:$H$36,(1+O125)^(-$C$36:$H$36-1))-$I$120*((1+O125)^(-$H$35)/(O125-$C$121)^2+$H$35*(1+O125)^(-$H$35-1)/(O125-$C$121)))</f>
        <v>0.0695356055308772</v>
      </c>
      <c r="Q125" s="113" t="n">
        <f aca="false">P125-((SUMPRODUCT($C$120:$H$120,(1+P125)^(-$C$36:$H$36))+$I$120/(P125-$C$121)*(1+P125)^(-$H$35))-$C$25)/(-SUMPRODUCT($C$120:$H$120,$C$36:$H$36,(1+P125)^(-$C$36:$H$36-1))-$I$120*((1+P125)^(-$H$35)/(P125-$C$121)^2+$H$35*(1+P125)^(-$H$35-1)/(P125-$C$121)))</f>
        <v>0.0695356055308772</v>
      </c>
    </row>
    <row r="126" customFormat="false" ht="15" hidden="false" customHeight="true" outlineLevel="0" collapsed="false">
      <c r="A126" s="88" t="s">
        <v>822</v>
      </c>
      <c r="C126" s="104" t="n">
        <f aca="false">Q125</f>
        <v>0.0695356055308772</v>
      </c>
    </row>
    <row r="129" customFormat="false" ht="15" hidden="false" customHeight="true" outlineLevel="0" collapsed="false">
      <c r="A129" s="11" t="s">
        <v>823</v>
      </c>
      <c r="B129" s="11"/>
      <c r="C129" s="11"/>
      <c r="D129" s="11"/>
      <c r="E129" s="11"/>
      <c r="F129" s="11"/>
      <c r="G129" s="11"/>
      <c r="H129" s="11"/>
      <c r="I129" s="11"/>
      <c r="J129" s="11"/>
    </row>
    <row r="130" customFormat="false" ht="15" hidden="false" customHeight="true" outlineLevel="0" collapsed="false">
      <c r="A130" s="94" t="s">
        <v>816</v>
      </c>
      <c r="C130" s="97" t="n">
        <f aca="false">C37</f>
        <v>88513.7757682451</v>
      </c>
      <c r="D130" s="97" t="n">
        <f aca="false">D37</f>
        <v>149981.042268561</v>
      </c>
      <c r="E130" s="97" t="n">
        <f aca="false">E37</f>
        <v>213232.848434386</v>
      </c>
      <c r="F130" s="97" t="n">
        <f aca="false">F37</f>
        <v>382939.927132123</v>
      </c>
      <c r="G130" s="97" t="n">
        <f aca="false">G37</f>
        <v>387083.935683766</v>
      </c>
      <c r="H130" s="97" t="n">
        <f aca="false">H37</f>
        <v>409692.860572193</v>
      </c>
      <c r="I130" s="97" t="n">
        <f aca="false">I37</f>
        <v>540637.80850638</v>
      </c>
    </row>
    <row r="131" customFormat="false" ht="15" hidden="false" customHeight="true" outlineLevel="0" collapsed="false">
      <c r="A131" s="94" t="s">
        <v>817</v>
      </c>
      <c r="C131" s="91" t="n">
        <f aca="false">C26</f>
        <v>0.03</v>
      </c>
    </row>
    <row r="132" customFormat="false" ht="15" hidden="false" customHeight="true" outlineLevel="0" collapsed="false">
      <c r="A132" s="94" t="s">
        <v>818</v>
      </c>
      <c r="C132" s="112" t="n">
        <v>0</v>
      </c>
    </row>
    <row r="133" customFormat="false" ht="15" hidden="false" customHeight="true" outlineLevel="0" collapsed="false">
      <c r="A133" s="94" t="s">
        <v>819</v>
      </c>
      <c r="C133" s="91" t="n">
        <f aca="false">$C$27+C132/10000</f>
        <v>0.104138867416108</v>
      </c>
    </row>
    <row r="134" customFormat="false" ht="15" hidden="false" customHeight="true" outlineLevel="0" collapsed="false">
      <c r="A134" s="94" t="s">
        <v>820</v>
      </c>
    </row>
    <row r="135" customFormat="false" ht="15" hidden="false" customHeight="true" outlineLevel="0" collapsed="false">
      <c r="A135" s="94" t="s">
        <v>821</v>
      </c>
      <c r="C135" s="113" t="n">
        <f aca="false">$C$131+0.01</f>
        <v>0.04</v>
      </c>
      <c r="D135" s="113" t="n">
        <f aca="false">C135-((SUMPRODUCT($C$130:$H$130,(1+C135)^(-$C$36:$H$36))+$I$130/(C135-$C$131)*(1+C135)^(-$H$35))-$C$25)/(-SUMPRODUCT($C$130:$H$130,$C$36:$H$36,(1+C135)^(-$C$36:$H$36-1))-$I$130*((1+C135)^(-$H$35)/(C135-$C$131)^2+$H$35*(1+C135)^(-$H$35-1)/(C135-$C$131)))</f>
        <v>0.0478151093503791</v>
      </c>
      <c r="E135" s="113" t="n">
        <f aca="false">D135-((SUMPRODUCT($C$130:$H$130,(1+D135)^(-$C$36:$H$36))+$I$130/(D135-$C$131)*(1+D135)^(-$H$35))-$C$25)/(-SUMPRODUCT($C$130:$H$130,$C$36:$H$36,(1+D135)^(-$C$36:$H$36-1))-$I$130*((1+D135)^(-$H$35)/(D135-$C$131)^2+$H$35*(1+D135)^(-$H$35-1)/(D135-$C$131)))</f>
        <v>0.0587170324908494</v>
      </c>
      <c r="F135" s="113" t="n">
        <f aca="false">E135-((SUMPRODUCT($C$130:$H$130,(1+E135)^(-$C$36:$H$36))+$I$130/(E135-$C$131)*(1+E135)^(-$H$35))-$C$25)/(-SUMPRODUCT($C$130:$H$130,$C$36:$H$36,(1+E135)^(-$C$36:$H$36-1))-$I$130*((1+E135)^(-$H$35)/(E135-$C$131)^2+$H$35*(1+E135)^(-$H$35-1)/(E135-$C$131)))</f>
        <v>0.0695220103006015</v>
      </c>
      <c r="G135" s="113" t="n">
        <f aca="false">F135-((SUMPRODUCT($C$130:$H$130,(1+F135)^(-$C$36:$H$36))+$I$130/(F135-$C$131)*(1+F135)^(-$H$35))-$C$25)/(-SUMPRODUCT($C$130:$H$130,$C$36:$H$36,(1+F135)^(-$C$36:$H$36-1))-$I$130*((1+F135)^(-$H$35)/(F135-$C$131)^2+$H$35*(1+F135)^(-$H$35-1)/(F135-$C$131)))</f>
        <v>0.0751638449453466</v>
      </c>
      <c r="H135" s="113" t="n">
        <f aca="false">G135-((SUMPRODUCT($C$130:$H$130,(1+G135)^(-$C$36:$H$36))+$I$130/(G135-$C$131)*(1+G135)^(-$H$35))-$C$25)/(-SUMPRODUCT($C$130:$H$130,$C$36:$H$36,(1+G135)^(-$C$36:$H$36-1))-$I$130*((1+G135)^(-$H$35)/(G135-$C$131)^2+$H$35*(1+G135)^(-$H$35-1)/(G135-$C$131)))</f>
        <v>0.0760936681577386</v>
      </c>
      <c r="I135" s="113" t="n">
        <f aca="false">H135-((SUMPRODUCT($C$130:$H$130,(1+H135)^(-$C$36:$H$36))+$I$130/(H135-$C$131)*(1+H135)^(-$H$35))-$C$25)/(-SUMPRODUCT($C$130:$H$130,$C$36:$H$36,(1+H135)^(-$C$36:$H$36-1))-$I$130*((1+H135)^(-$H$35)/(H135-$C$131)^2+$H$35*(1+H135)^(-$H$35-1)/(H135-$C$131)))</f>
        <v>0.0761134090622422</v>
      </c>
      <c r="J135" s="113" t="n">
        <f aca="false">I135-((SUMPRODUCT($C$130:$H$130,(1+I135)^(-$C$36:$H$36))+$I$130/(I135-$C$131)*(1+I135)^(-$H$35))-$C$25)/(-SUMPRODUCT($C$130:$H$130,$C$36:$H$36,(1+I135)^(-$C$36:$H$36-1))-$I$130*((1+I135)^(-$H$35)/(I135-$C$131)^2+$H$35*(1+I135)^(-$H$35-1)/(I135-$C$131)))</f>
        <v>0.0761134176083734</v>
      </c>
      <c r="K135" s="113" t="n">
        <f aca="false">J135-((SUMPRODUCT($C$130:$H$130,(1+J135)^(-$C$36:$H$36))+$I$130/(J135-$C$131)*(1+J135)^(-$H$35))-$C$25)/(-SUMPRODUCT($C$130:$H$130,$C$36:$H$36,(1+J135)^(-$C$36:$H$36-1))-$I$130*((1+J135)^(-$H$35)/(J135-$C$131)^2+$H$35*(1+J135)^(-$H$35-1)/(J135-$C$131)))</f>
        <v>0.076113417608375</v>
      </c>
      <c r="L135" s="113" t="n">
        <f aca="false">K135-((SUMPRODUCT($C$130:$H$130,(1+K135)^(-$C$36:$H$36))+$I$130/(K135-$C$131)*(1+K135)^(-$H$35))-$C$25)/(-SUMPRODUCT($C$130:$H$130,$C$36:$H$36,(1+K135)^(-$C$36:$H$36-1))-$I$130*((1+K135)^(-$H$35)/(K135-$C$131)^2+$H$35*(1+K135)^(-$H$35-1)/(K135-$C$131)))</f>
        <v>0.076113417608375</v>
      </c>
      <c r="M135" s="113" t="n">
        <f aca="false">L135-((SUMPRODUCT($C$130:$H$130,(1+L135)^(-$C$36:$H$36))+$I$130/(L135-$C$131)*(1+L135)^(-$H$35))-$C$25)/(-SUMPRODUCT($C$130:$H$130,$C$36:$H$36,(1+L135)^(-$C$36:$H$36-1))-$I$130*((1+L135)^(-$H$35)/(L135-$C$131)^2+$H$35*(1+L135)^(-$H$35-1)/(L135-$C$131)))</f>
        <v>0.076113417608375</v>
      </c>
      <c r="N135" s="113" t="n">
        <f aca="false">M135-((SUMPRODUCT($C$130:$H$130,(1+M135)^(-$C$36:$H$36))+$I$130/(M135-$C$131)*(1+M135)^(-$H$35))-$C$25)/(-SUMPRODUCT($C$130:$H$130,$C$36:$H$36,(1+M135)^(-$C$36:$H$36-1))-$I$130*((1+M135)^(-$H$35)/(M135-$C$131)^2+$H$35*(1+M135)^(-$H$35-1)/(M135-$C$131)))</f>
        <v>0.076113417608375</v>
      </c>
      <c r="O135" s="113" t="n">
        <f aca="false">N135-((SUMPRODUCT($C$130:$H$130,(1+N135)^(-$C$36:$H$36))+$I$130/(N135-$C$131)*(1+N135)^(-$H$35))-$C$25)/(-SUMPRODUCT($C$130:$H$130,$C$36:$H$36,(1+N135)^(-$C$36:$H$36-1))-$I$130*((1+N135)^(-$H$35)/(N135-$C$131)^2+$H$35*(1+N135)^(-$H$35-1)/(N135-$C$131)))</f>
        <v>0.076113417608375</v>
      </c>
      <c r="P135" s="113" t="n">
        <f aca="false">O135-((SUMPRODUCT($C$130:$H$130,(1+O135)^(-$C$36:$H$36))+$I$130/(O135-$C$131)*(1+O135)^(-$H$35))-$C$25)/(-SUMPRODUCT($C$130:$H$130,$C$36:$H$36,(1+O135)^(-$C$36:$H$36-1))-$I$130*((1+O135)^(-$H$35)/(O135-$C$131)^2+$H$35*(1+O135)^(-$H$35-1)/(O135-$C$131)))</f>
        <v>0.076113417608375</v>
      </c>
      <c r="Q135" s="113" t="n">
        <f aca="false">P135-((SUMPRODUCT($C$130:$H$130,(1+P135)^(-$C$36:$H$36))+$I$130/(P135-$C$131)*(1+P135)^(-$H$35))-$C$25)/(-SUMPRODUCT($C$130:$H$130,$C$36:$H$36,(1+P135)^(-$C$36:$H$36-1))-$I$130*((1+P135)^(-$H$35)/(P135-$C$131)^2+$H$35*(1+P135)^(-$H$35-1)/(P135-$C$131)))</f>
        <v>0.076113417608375</v>
      </c>
    </row>
    <row r="136" customFormat="false" ht="15" hidden="false" customHeight="true" outlineLevel="0" collapsed="false">
      <c r="A136" s="88" t="s">
        <v>822</v>
      </c>
      <c r="C136" s="104" t="n">
        <f aca="false">Q135</f>
        <v>0.076113417608375</v>
      </c>
    </row>
    <row r="139" customFormat="false" ht="15" hidden="false" customHeight="true" outlineLevel="0" collapsed="false">
      <c r="A139" s="11" t="s">
        <v>824</v>
      </c>
      <c r="B139" s="11"/>
      <c r="C139" s="11"/>
      <c r="D139" s="11"/>
      <c r="E139" s="11"/>
      <c r="F139" s="11"/>
      <c r="G139" s="11"/>
      <c r="H139" s="11"/>
      <c r="I139" s="11"/>
      <c r="J139" s="11"/>
    </row>
    <row r="140" customFormat="false" ht="15" hidden="false" customHeight="true" outlineLevel="0" collapsed="false">
      <c r="A140" s="94" t="s">
        <v>816</v>
      </c>
      <c r="C140" s="110" t="n">
        <v>93100.4391184619</v>
      </c>
      <c r="D140" s="110" t="n">
        <v>178777.54614399</v>
      </c>
      <c r="E140" s="110" t="n">
        <v>267202.835066267</v>
      </c>
      <c r="F140" s="110" t="n">
        <v>453925.170894769</v>
      </c>
      <c r="G140" s="110" t="n">
        <v>486637.659299777</v>
      </c>
      <c r="H140" s="110" t="n">
        <v>517548.089121338</v>
      </c>
      <c r="I140" s="110" t="n">
        <v>655093.113204764</v>
      </c>
    </row>
    <row r="141" customFormat="false" ht="15" hidden="false" customHeight="true" outlineLevel="0" collapsed="false">
      <c r="A141" s="94" t="s">
        <v>817</v>
      </c>
      <c r="C141" s="111" t="n">
        <v>0.03</v>
      </c>
    </row>
    <row r="142" customFormat="false" ht="15" hidden="false" customHeight="true" outlineLevel="0" collapsed="false">
      <c r="A142" s="94" t="s">
        <v>818</v>
      </c>
      <c r="C142" s="112" t="n">
        <v>-100</v>
      </c>
    </row>
    <row r="143" customFormat="false" ht="15" hidden="false" customHeight="true" outlineLevel="0" collapsed="false">
      <c r="A143" s="94" t="s">
        <v>819</v>
      </c>
      <c r="C143" s="91" t="n">
        <f aca="false">$C$27+C142/10000</f>
        <v>0.0941388674161085</v>
      </c>
    </row>
    <row r="144" customFormat="false" ht="15" hidden="false" customHeight="true" outlineLevel="0" collapsed="false">
      <c r="A144" s="94" t="s">
        <v>820</v>
      </c>
    </row>
    <row r="145" customFormat="false" ht="15" hidden="false" customHeight="true" outlineLevel="0" collapsed="false">
      <c r="A145" s="94" t="s">
        <v>821</v>
      </c>
      <c r="C145" s="113" t="n">
        <f aca="false">$C$141+0.01</f>
        <v>0.04</v>
      </c>
      <c r="D145" s="113" t="n">
        <f aca="false">C145-((SUMPRODUCT($C$140:$H$140,(1+C145)^(-$C$36:$H$36))+$I$140/(C145-$C$141)*(1+C145)^(-$H$35))-$C$25)/(-SUMPRODUCT($C$140:$H$140,$C$36:$H$36,(1+C145)^(-$C$36:$H$36-1))-$I$140*((1+C145)^(-$H$35)/(C145-$C$141)^2+$H$35*(1+C145)^(-$H$35-1)/(C145-$C$141)))</f>
        <v>0.0481646356842935</v>
      </c>
      <c r="E145" s="113" t="n">
        <f aca="false">D145-((SUMPRODUCT($C$140:$H$140,(1+D145)^(-$C$36:$H$36))+$I$140/(D145-$C$141)*(1+D145)^(-$H$35))-$C$25)/(-SUMPRODUCT($C$140:$H$140,$C$36:$H$36,(1+D145)^(-$C$36:$H$36-1))-$I$140*((1+D145)^(-$H$35)/(D145-$C$141)^2+$H$35*(1+D145)^(-$H$35-1)/(D145-$C$141)))</f>
        <v>0.0602970350873567</v>
      </c>
      <c r="F145" s="113" t="n">
        <f aca="false">E145-((SUMPRODUCT($C$140:$H$140,(1+E145)^(-$C$36:$H$36))+$I$140/(E145-$C$141)*(1+E145)^(-$H$35))-$C$25)/(-SUMPRODUCT($C$140:$H$140,$C$36:$H$36,(1+E145)^(-$C$36:$H$36-1))-$I$140*((1+E145)^(-$H$35)/(E145-$C$141)^2+$H$35*(1+E145)^(-$H$35-1)/(E145-$C$141)))</f>
        <v>0.0738812201768522</v>
      </c>
      <c r="G145" s="113" t="n">
        <f aca="false">F145-((SUMPRODUCT($C$140:$H$140,(1+F145)^(-$C$36:$H$36))+$I$140/(F145-$C$141)*(1+F145)^(-$H$35))-$C$25)/(-SUMPRODUCT($C$140:$H$140,$C$36:$H$36,(1+F145)^(-$C$36:$H$36-1))-$I$140*((1+F145)^(-$H$35)/(F145-$C$141)^2+$H$35*(1+F145)^(-$H$35-1)/(F145-$C$141)))</f>
        <v>0.0827888513356577</v>
      </c>
      <c r="H145" s="113" t="n">
        <f aca="false">G145-((SUMPRODUCT($C$140:$H$140,(1+G145)^(-$C$36:$H$36))+$I$140/(G145-$C$141)*(1+G145)^(-$H$35))-$C$25)/(-SUMPRODUCT($C$140:$H$140,$C$36:$H$36,(1+G145)^(-$C$36:$H$36-1))-$I$140*((1+G145)^(-$H$35)/(G145-$C$141)^2+$H$35*(1+G145)^(-$H$35-1)/(G145-$C$141)))</f>
        <v>0.0849925670618067</v>
      </c>
      <c r="I145" s="113" t="n">
        <f aca="false">H145-((SUMPRODUCT($C$140:$H$140,(1+H145)^(-$C$36:$H$36))+$I$140/(H145-$C$141)*(1+H145)^(-$H$35))-$C$25)/(-SUMPRODUCT($C$140:$H$140,$C$36:$H$36,(1+H145)^(-$C$36:$H$36-1))-$I$140*((1+H145)^(-$H$35)/(H145-$C$141)^2+$H$35*(1+H145)^(-$H$35-1)/(H145-$C$141)))</f>
        <v>0.085089707107881</v>
      </c>
      <c r="J145" s="113" t="n">
        <f aca="false">I145-((SUMPRODUCT($C$140:$H$140,(1+I145)^(-$C$36:$H$36))+$I$140/(I145-$C$141)*(1+I145)^(-$H$35))-$C$25)/(-SUMPRODUCT($C$140:$H$140,$C$36:$H$36,(1+I145)^(-$C$36:$H$36-1))-$I$140*((1+I145)^(-$H$35)/(I145-$C$141)^2+$H$35*(1+I145)^(-$H$35-1)/(I145-$C$141)))</f>
        <v>0.0850898813234671</v>
      </c>
      <c r="K145" s="113" t="n">
        <f aca="false">J145-((SUMPRODUCT($C$140:$H$140,(1+J145)^(-$C$36:$H$36))+$I$140/(J145-$C$141)*(1+J145)^(-$H$35))-$C$25)/(-SUMPRODUCT($C$140:$H$140,$C$36:$H$36,(1+J145)^(-$C$36:$H$36-1))-$I$140*((1+J145)^(-$H$35)/(J145-$C$141)^2+$H$35*(1+J145)^(-$H$35-1)/(J145-$C$141)))</f>
        <v>0.0850898813240255</v>
      </c>
      <c r="L145" s="113" t="n">
        <f aca="false">K145-((SUMPRODUCT($C$140:$H$140,(1+K145)^(-$C$36:$H$36))+$I$140/(K145-$C$141)*(1+K145)^(-$H$35))-$C$25)/(-SUMPRODUCT($C$140:$H$140,$C$36:$H$36,(1+K145)^(-$C$36:$H$36-1))-$I$140*((1+K145)^(-$H$35)/(K145-$C$141)^2+$H$35*(1+K145)^(-$H$35-1)/(K145-$C$141)))</f>
        <v>0.0850898813240255</v>
      </c>
      <c r="M145" s="113" t="n">
        <f aca="false">L145-((SUMPRODUCT($C$140:$H$140,(1+L145)^(-$C$36:$H$36))+$I$140/(L145-$C$141)*(1+L145)^(-$H$35))-$C$25)/(-SUMPRODUCT($C$140:$H$140,$C$36:$H$36,(1+L145)^(-$C$36:$H$36-1))-$I$140*((1+L145)^(-$H$35)/(L145-$C$141)^2+$H$35*(1+L145)^(-$H$35-1)/(L145-$C$141)))</f>
        <v>0.0850898813240255</v>
      </c>
      <c r="N145" s="113" t="n">
        <f aca="false">M145-((SUMPRODUCT($C$140:$H$140,(1+M145)^(-$C$36:$H$36))+$I$140/(M145-$C$141)*(1+M145)^(-$H$35))-$C$25)/(-SUMPRODUCT($C$140:$H$140,$C$36:$H$36,(1+M145)^(-$C$36:$H$36-1))-$I$140*((1+M145)^(-$H$35)/(M145-$C$141)^2+$H$35*(1+M145)^(-$H$35-1)/(M145-$C$141)))</f>
        <v>0.0850898813240255</v>
      </c>
      <c r="O145" s="113" t="n">
        <f aca="false">N145-((SUMPRODUCT($C$140:$H$140,(1+N145)^(-$C$36:$H$36))+$I$140/(N145-$C$141)*(1+N145)^(-$H$35))-$C$25)/(-SUMPRODUCT($C$140:$H$140,$C$36:$H$36,(1+N145)^(-$C$36:$H$36-1))-$I$140*((1+N145)^(-$H$35)/(N145-$C$141)^2+$H$35*(1+N145)^(-$H$35-1)/(N145-$C$141)))</f>
        <v>0.0850898813240255</v>
      </c>
      <c r="P145" s="113" t="n">
        <f aca="false">O145-((SUMPRODUCT($C$140:$H$140,(1+O145)^(-$C$36:$H$36))+$I$140/(O145-$C$141)*(1+O145)^(-$H$35))-$C$25)/(-SUMPRODUCT($C$140:$H$140,$C$36:$H$36,(1+O145)^(-$C$36:$H$36-1))-$I$140*((1+O145)^(-$H$35)/(O145-$C$141)^2+$H$35*(1+O145)^(-$H$35-1)/(O145-$C$141)))</f>
        <v>0.0850898813240255</v>
      </c>
      <c r="Q145" s="113" t="n">
        <f aca="false">P145-((SUMPRODUCT($C$140:$H$140,(1+P145)^(-$C$36:$H$36))+$I$140/(P145-$C$141)*(1+P145)^(-$H$35))-$C$25)/(-SUMPRODUCT($C$140:$H$140,$C$36:$H$36,(1+P145)^(-$C$36:$H$36-1))-$I$140*((1+P145)^(-$H$35)/(P145-$C$141)^2+$H$35*(1+P145)^(-$H$35-1)/(P145-$C$141)))</f>
        <v>0.0850898813240255</v>
      </c>
    </row>
    <row r="146" customFormat="false" ht="15" hidden="false" customHeight="true" outlineLevel="0" collapsed="false">
      <c r="A146" s="88" t="s">
        <v>822</v>
      </c>
      <c r="C146" s="104" t="n">
        <f aca="false">Q145</f>
        <v>0.0850898813240255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14" t="s">
        <v>825</v>
      </c>
    </row>
    <row r="2" customFormat="false" ht="15" hidden="false" customHeight="true" outlineLevel="0" collapsed="false">
      <c r="A2" s="1" t="s">
        <v>826</v>
      </c>
    </row>
    <row r="4" customFormat="false" ht="15" hidden="false" customHeight="true" outlineLevel="0" collapsed="false">
      <c r="A4" s="1" t="s">
        <v>827</v>
      </c>
      <c r="B4" s="115" t="n">
        <f aca="false">Supuestos!B34</f>
        <v>0.03</v>
      </c>
    </row>
    <row r="5" customFormat="false" ht="15" hidden="false" customHeight="true" outlineLevel="0" collapsed="false">
      <c r="A5" s="1" t="s">
        <v>828</v>
      </c>
      <c r="B5" s="115" t="n">
        <f aca="false">Supuestos!B59</f>
        <v>0.27</v>
      </c>
    </row>
    <row r="6" customFormat="false" ht="15" hidden="false" customHeight="true" outlineLevel="0" collapsed="false">
      <c r="A6" s="1" t="s">
        <v>146</v>
      </c>
      <c r="B6" s="115" t="n">
        <f aca="false">Supuestos!B57</f>
        <v>0.00703642078564015</v>
      </c>
    </row>
    <row r="7" customFormat="false" ht="15" hidden="false" customHeight="true" outlineLevel="0" collapsed="false">
      <c r="A7" s="1" t="s">
        <v>829</v>
      </c>
      <c r="B7" s="115" t="n">
        <f aca="false">Supuestos!B58</f>
        <v>0.055</v>
      </c>
    </row>
    <row r="8" customFormat="false" ht="15" hidden="false" customHeight="true" outlineLevel="0" collapsed="false">
      <c r="A8" s="1" t="s">
        <v>830</v>
      </c>
      <c r="B8" s="1" t="n">
        <f aca="false">Supuestos!B85*Supuestos!B84</f>
        <v>0.156043408047884</v>
      </c>
    </row>
    <row r="9" customFormat="false" ht="15" hidden="false" customHeight="true" outlineLevel="0" collapsed="false">
      <c r="A9" s="1" t="s">
        <v>344</v>
      </c>
      <c r="B9" s="115" t="n">
        <f aca="false">Expansion!C9</f>
        <v>0.806556991774383</v>
      </c>
    </row>
    <row r="10" customFormat="false" ht="15" hidden="false" customHeight="true" outlineLevel="0" collapsed="false">
      <c r="A10" s="1" t="s">
        <v>831</v>
      </c>
      <c r="B10" s="1" t="n">
        <f aca="false">Expansion!C7*1000000</f>
        <v>3318197.41480611</v>
      </c>
    </row>
    <row r="11" customFormat="false" ht="15" hidden="false" customHeight="true" outlineLevel="0" collapsed="false">
      <c r="A11" s="1" t="s">
        <v>832</v>
      </c>
      <c r="B11" s="115" t="n">
        <f aca="false">Supuestos!B68</f>
        <v>0.5</v>
      </c>
    </row>
    <row r="12" customFormat="false" ht="15" hidden="false" customHeight="true" outlineLevel="0" collapsed="false">
      <c r="A12" s="1" t="s">
        <v>833</v>
      </c>
      <c r="B12" s="115" t="n">
        <f aca="false">Supuestos!B78</f>
        <v>0.35</v>
      </c>
    </row>
    <row r="13" customFormat="false" ht="15" hidden="false" customHeight="true" outlineLevel="0" collapsed="false">
      <c r="A13" s="1" t="s">
        <v>834</v>
      </c>
      <c r="B13" s="115" t="n">
        <f aca="false">Supuestos!B79</f>
        <v>0.9</v>
      </c>
    </row>
    <row r="14" customFormat="false" ht="15" hidden="false" customHeight="true" outlineLevel="0" collapsed="false">
      <c r="A14" s="1" t="s">
        <v>835</v>
      </c>
      <c r="B14" s="115" t="n">
        <f aca="false">Supuestos!B80</f>
        <v>1</v>
      </c>
    </row>
    <row r="15" customFormat="false" ht="15" hidden="false" customHeight="true" outlineLevel="0" collapsed="false">
      <c r="A15" s="1" t="s">
        <v>608</v>
      </c>
      <c r="B15" s="115" t="n">
        <f aca="false">DCF!I25</f>
        <v>0.104138867416108</v>
      </c>
    </row>
    <row r="16" customFormat="false" ht="15" hidden="false" customHeight="true" outlineLevel="0" collapsed="false">
      <c r="A16" s="1" t="s">
        <v>460</v>
      </c>
      <c r="B16" s="115" t="n">
        <f aca="false">WACC!I44</f>
        <v>0.0719794829282607</v>
      </c>
    </row>
    <row r="18" customFormat="false" ht="15" hidden="false" customHeight="true" outlineLevel="0" collapsed="false">
      <c r="A18" s="1" t="s">
        <v>2</v>
      </c>
      <c r="B18" s="1" t="s">
        <v>729</v>
      </c>
      <c r="C18" s="1" t="s">
        <v>728</v>
      </c>
      <c r="D18" s="1" t="s">
        <v>836</v>
      </c>
    </row>
    <row r="19" customFormat="false" ht="15" hidden="false" customHeight="true" outlineLevel="0" collapsed="false">
      <c r="A19" s="12" t="s">
        <v>837</v>
      </c>
      <c r="B19" s="12" t="n">
        <f aca="false">O84</f>
        <v>0.0483612671094415</v>
      </c>
      <c r="C19" s="12" t="n">
        <f aca="false">(1+B19)*(1+B4)-1</f>
        <v>0.0798121051227247</v>
      </c>
      <c r="D19" s="12" t="n">
        <f aca="false">(B19-B16)*10000</f>
        <v>-236.182158188193</v>
      </c>
      <c r="E19" s="12" t="n">
        <f aca="false">(C19-B15)*10000</f>
        <v>-243.267622933837</v>
      </c>
    </row>
    <row r="20" customFormat="false" ht="15" hidden="false" customHeight="true" outlineLevel="0" collapsed="false">
      <c r="A20" s="1" t="s">
        <v>838</v>
      </c>
      <c r="B20" s="1" t="n">
        <f aca="false">T84</f>
        <v>0.0541440759743052</v>
      </c>
      <c r="C20" s="1" t="n">
        <f aca="false">(1+B20)*(1+B4)-1</f>
        <v>0.0857683982535344</v>
      </c>
      <c r="D20" s="1" t="n">
        <f aca="false">(B20-B16)*10000</f>
        <v>-178.354069539555</v>
      </c>
      <c r="E20" s="1" t="n">
        <f aca="false">(C20-B15)*10000</f>
        <v>-183.70469162574</v>
      </c>
    </row>
    <row r="21" customFormat="false" ht="15" hidden="false" customHeight="true" outlineLevel="0" collapsed="false">
      <c r="A21" s="1" t="s">
        <v>839</v>
      </c>
      <c r="B21" s="115" t="n">
        <f aca="false">Expansion!C38</f>
        <v>0.053042034259624</v>
      </c>
    </row>
    <row r="22" customFormat="false" ht="15" hidden="false" customHeight="true" outlineLevel="0" collapsed="false">
      <c r="A22" s="1" t="s">
        <v>840</v>
      </c>
      <c r="B22" s="115" t="n">
        <f aca="false">Expansion!C37</f>
        <v>0.0726603209035945</v>
      </c>
    </row>
    <row r="24" customFormat="false" ht="15" hidden="false" customHeight="true" outlineLevel="0" collapsed="false">
      <c r="A24" s="1" t="s">
        <v>841</v>
      </c>
    </row>
    <row r="25" customFormat="false" ht="15" hidden="false" customHeight="true" outlineLevel="0" collapsed="false">
      <c r="A25" s="1" t="s">
        <v>842</v>
      </c>
      <c r="B25" s="1" t="s">
        <v>843</v>
      </c>
      <c r="C25" s="1" t="s">
        <v>844</v>
      </c>
      <c r="D25" s="1" t="s">
        <v>845</v>
      </c>
    </row>
    <row r="26" customFormat="false" ht="15" hidden="false" customHeight="true" outlineLevel="0" collapsed="false">
      <c r="A26" s="1" t="n">
        <v>2026</v>
      </c>
      <c r="B26" s="82" t="n">
        <f aca="false">Expansion!C6</f>
        <v>1</v>
      </c>
      <c r="C26" s="80" t="n">
        <f aca="false">Expansion!C8</f>
        <v>298926.537665838</v>
      </c>
      <c r="D26" s="1" t="n">
        <f aca="false">C26/B26</f>
        <v>298926.537665838</v>
      </c>
    </row>
    <row r="27" customFormat="false" ht="15" hidden="false" customHeight="true" outlineLevel="0" collapsed="false">
      <c r="A27" s="1" t="n">
        <v>2027</v>
      </c>
      <c r="B27" s="82" t="n">
        <f aca="false">Expansion!D6</f>
        <v>1.03</v>
      </c>
      <c r="C27" s="80" t="n">
        <f aca="false">Expansion!D8</f>
        <v>317620.12106889</v>
      </c>
      <c r="D27" s="1" t="n">
        <f aca="false">C27/B27</f>
        <v>308369.049581446</v>
      </c>
    </row>
    <row r="28" customFormat="false" ht="15" hidden="false" customHeight="true" outlineLevel="0" collapsed="false">
      <c r="A28" s="1" t="n">
        <v>2028</v>
      </c>
      <c r="B28" s="82" t="n">
        <f aca="false">Expansion!E6</f>
        <v>1.0609</v>
      </c>
      <c r="C28" s="80" t="n">
        <f aca="false">Expansion!E8</f>
        <v>333824.968707013</v>
      </c>
      <c r="D28" s="1" t="n">
        <f aca="false">C28/B28</f>
        <v>314662.049869934</v>
      </c>
    </row>
    <row r="29" customFormat="false" ht="15" hidden="false" customHeight="true" outlineLevel="0" collapsed="false">
      <c r="A29" s="1" t="n">
        <v>2029</v>
      </c>
      <c r="B29" s="82" t="n">
        <f aca="false">Expansion!F6</f>
        <v>1.092727</v>
      </c>
      <c r="C29" s="80" t="n">
        <f aca="false">Expansion!F8</f>
        <v>349220.164653651</v>
      </c>
      <c r="D29" s="1" t="n">
        <f aca="false">C29/B29</f>
        <v>319585.920960726</v>
      </c>
    </row>
    <row r="30" customFormat="false" ht="15" hidden="false" customHeight="true" outlineLevel="0" collapsed="false">
      <c r="A30" s="1" t="n">
        <v>2030</v>
      </c>
      <c r="B30" s="82" t="n">
        <f aca="false">Expansion!G6</f>
        <v>1.12550881</v>
      </c>
      <c r="C30" s="80" t="n">
        <f aca="false">Expansion!G8</f>
        <v>363261.727875927</v>
      </c>
      <c r="D30" s="1" t="n">
        <f aca="false">C30/B30</f>
        <v>322753.340221235</v>
      </c>
    </row>
    <row r="31" customFormat="false" ht="15" hidden="false" customHeight="true" outlineLevel="0" collapsed="false">
      <c r="A31" s="1" t="n">
        <v>2031</v>
      </c>
      <c r="B31" s="82" t="n">
        <f aca="false">Expansion!H6</f>
        <v>1.1592740743</v>
      </c>
      <c r="C31" s="80" t="n">
        <f aca="false">Expansion!H8</f>
        <v>376890.493561756</v>
      </c>
      <c r="D31" s="1" t="n">
        <f aca="false">C31/B31</f>
        <v>325109.050497254</v>
      </c>
    </row>
    <row r="34" customFormat="false" ht="15" hidden="false" customHeight="true" outlineLevel="0" collapsed="false">
      <c r="A34" s="1" t="s">
        <v>842</v>
      </c>
      <c r="B34" s="1" t="s">
        <v>846</v>
      </c>
      <c r="C34" s="1" t="s">
        <v>847</v>
      </c>
      <c r="D34" s="1" t="s">
        <v>399</v>
      </c>
      <c r="E34" s="1" t="s">
        <v>414</v>
      </c>
      <c r="F34" s="1" t="s">
        <v>417</v>
      </c>
      <c r="G34" s="1" t="s">
        <v>848</v>
      </c>
      <c r="H34" s="1" t="s">
        <v>849</v>
      </c>
      <c r="I34" s="1" t="s">
        <v>850</v>
      </c>
      <c r="J34" s="1" t="s">
        <v>851</v>
      </c>
      <c r="L34" s="1" t="s">
        <v>852</v>
      </c>
      <c r="M34" s="1" t="s">
        <v>853</v>
      </c>
      <c r="N34" s="1" t="s">
        <v>854</v>
      </c>
      <c r="O34" s="1" t="s">
        <v>855</v>
      </c>
      <c r="P34" s="1" t="s">
        <v>856</v>
      </c>
      <c r="Q34" s="1" t="s">
        <v>857</v>
      </c>
      <c r="R34" s="1" t="s">
        <v>853</v>
      </c>
      <c r="S34" s="1" t="s">
        <v>854</v>
      </c>
      <c r="T34" s="1" t="s">
        <v>855</v>
      </c>
      <c r="U34" s="1" t="s">
        <v>856</v>
      </c>
    </row>
    <row r="35" customFormat="false" ht="15" hidden="false" customHeight="true" outlineLevel="0" collapsed="false">
      <c r="A35" s="1" t="n">
        <v>2027</v>
      </c>
      <c r="B35" s="1" t="n">
        <f aca="false">IF(A35&lt;2029,0,IF(A35=2029,$B$12,IF(A35=2030,$B$13,$B$14)))</f>
        <v>0</v>
      </c>
      <c r="C35" s="1" t="n">
        <f aca="false">INDEX($D$26:$D$31,MIN(A35-2025,6))*B35</f>
        <v>0</v>
      </c>
      <c r="D35" s="1" t="n">
        <f aca="false">C35*$B$9</f>
        <v>0</v>
      </c>
      <c r="E35" s="1" t="n">
        <f aca="false">D35-C35*$B$6</f>
        <v>0</v>
      </c>
      <c r="F35" s="1" t="n">
        <f aca="false">E35*(1-$B$5)</f>
        <v>0</v>
      </c>
      <c r="G35" s="1" t="n">
        <f aca="false">$B$8*(C35-0/(1+$B$4))</f>
        <v>0</v>
      </c>
      <c r="H35" s="1" t="n">
        <f aca="false">IF(A35=2027,$B$11,IF(A35=2028,1-$B$11,0))*$B$10</f>
        <v>1659098.70740306</v>
      </c>
      <c r="I35" s="1" t="n">
        <f aca="false">F35+C35*$B$6-C35*$B$7-G35-H35</f>
        <v>-1659098.70740306</v>
      </c>
      <c r="J35" s="1" t="n">
        <f aca="false">F35+C35*$B$6-H35</f>
        <v>-1659098.70740306</v>
      </c>
      <c r="L35" s="1" t="n">
        <v>1</v>
      </c>
      <c r="M35" s="1" t="n">
        <v>0</v>
      </c>
      <c r="N35" s="1" t="n">
        <v>0.2</v>
      </c>
      <c r="O35" s="1" t="n">
        <f aca="false">(M35+N35)/2</f>
        <v>0.1</v>
      </c>
      <c r="P35" s="116" t="n">
        <f aca="false">NPV(O35,I$35:I$194)</f>
        <v>-1584465.30569029</v>
      </c>
      <c r="Q35" s="1" t="n">
        <v>1</v>
      </c>
      <c r="R35" s="1" t="n">
        <v>0</v>
      </c>
      <c r="S35" s="1" t="n">
        <v>0.2</v>
      </c>
      <c r="T35" s="1" t="n">
        <f aca="false">(R35+S35)/2</f>
        <v>0.1</v>
      </c>
      <c r="U35" s="116" t="n">
        <f aca="false">NPV(T35,J$35:J$194)</f>
        <v>-1400953.21122743</v>
      </c>
    </row>
    <row r="36" customFormat="false" ht="15" hidden="false" customHeight="true" outlineLevel="0" collapsed="false">
      <c r="A36" s="1" t="n">
        <v>2028</v>
      </c>
      <c r="B36" s="1" t="n">
        <f aca="false">IF(A36&lt;2029,0,IF(A36=2029,$B$12,IF(A36=2030,$B$13,$B$14)))</f>
        <v>0</v>
      </c>
      <c r="C36" s="1" t="n">
        <f aca="false">INDEX($D$26:$D$31,MIN(A36-2025,6))*B36</f>
        <v>0</v>
      </c>
      <c r="D36" s="1" t="n">
        <f aca="false">C36*$B$9</f>
        <v>0</v>
      </c>
      <c r="E36" s="1" t="n">
        <f aca="false">D36-C36*$B$6</f>
        <v>0</v>
      </c>
      <c r="F36" s="1" t="n">
        <f aca="false">E36*(1-$B$5)</f>
        <v>0</v>
      </c>
      <c r="G36" s="1" t="n">
        <f aca="false">$B$8*(C36-C35/(1+$B$4))</f>
        <v>0</v>
      </c>
      <c r="H36" s="1" t="n">
        <f aca="false">IF(A36=2027,$B$11,IF(A36=2028,1-$B$11,0))*$B$10</f>
        <v>1659098.70740306</v>
      </c>
      <c r="I36" s="1" t="n">
        <f aca="false">F36+C36*$B$6-C36*$B$7-G36-H36</f>
        <v>-1659098.70740306</v>
      </c>
      <c r="J36" s="1" t="n">
        <f aca="false">F36+C36*$B$6-H36</f>
        <v>-1659098.70740306</v>
      </c>
      <c r="L36" s="1" t="n">
        <v>2</v>
      </c>
      <c r="M36" s="1" t="n">
        <f aca="false">IF(P35&gt;0,O35,M35)</f>
        <v>0</v>
      </c>
      <c r="N36" s="1" t="n">
        <f aca="false">IF(P35&gt;0,N35,O35)</f>
        <v>0.1</v>
      </c>
      <c r="O36" s="1" t="n">
        <f aca="false">(M36+N36)/2</f>
        <v>0.05</v>
      </c>
      <c r="P36" s="116" t="n">
        <f aca="false">NPV(O36,I$35:I$194)</f>
        <v>-107844.798406688</v>
      </c>
      <c r="Q36" s="1" t="n">
        <v>2</v>
      </c>
      <c r="R36" s="1" t="n">
        <f aca="false">IF(U35&gt;0,T35,R35)</f>
        <v>0</v>
      </c>
      <c r="S36" s="1" t="n">
        <f aca="false">IF(U35&gt;0,S35,T35)</f>
        <v>0.1</v>
      </c>
      <c r="T36" s="1" t="n">
        <f aca="false">(R36+S36)/2</f>
        <v>0.05</v>
      </c>
      <c r="U36" s="116" t="n">
        <f aca="false">NPV(T36,J$35:J$194)</f>
        <v>271520.900266623</v>
      </c>
    </row>
    <row r="37" customFormat="false" ht="15" hidden="false" customHeight="true" outlineLevel="0" collapsed="false">
      <c r="A37" s="1" t="n">
        <v>2029</v>
      </c>
      <c r="B37" s="115" t="n">
        <f aca="false">IF(A37&lt;2029,0,IF(A37=2029,$B$12,IF(A37=2030,$B$13,$B$14)))</f>
        <v>0.35</v>
      </c>
      <c r="C37" s="1" t="n">
        <f aca="false">INDEX($D$26:$D$31,MIN(A37-2025,6))*B37</f>
        <v>111855.072336254</v>
      </c>
      <c r="D37" s="1" t="n">
        <f aca="false">C37*$B$9</f>
        <v>90217.4906582351</v>
      </c>
      <c r="E37" s="1" t="n">
        <f aca="false">D37-C37*$B$6</f>
        <v>89430.431302269</v>
      </c>
      <c r="F37" s="1" t="n">
        <f aca="false">E37*(1-$B$5)</f>
        <v>65284.2148506564</v>
      </c>
      <c r="G37" s="1" t="n">
        <f aca="false">$B$8*(C37-C36/(1+$B$4))</f>
        <v>17454.2466947917</v>
      </c>
      <c r="H37" s="1" t="n">
        <f aca="false">IF(A37=2027,$B$11,IF(A37=2028,1-$B$11,0))*$B$10</f>
        <v>0</v>
      </c>
      <c r="I37" s="1" t="n">
        <f aca="false">F37+C37*$B$6-C37*$B$7-G37-H37</f>
        <v>42464.9985333368</v>
      </c>
      <c r="J37" s="1" t="n">
        <f aca="false">F37+C37*$B$6-H37</f>
        <v>66071.2742066225</v>
      </c>
      <c r="L37" s="1" t="n">
        <v>3</v>
      </c>
      <c r="M37" s="1" t="n">
        <f aca="false">IF(P36&gt;0,O36,M36)</f>
        <v>0</v>
      </c>
      <c r="N37" s="1" t="n">
        <f aca="false">IF(P36&gt;0,N36,O36)</f>
        <v>0.05</v>
      </c>
      <c r="O37" s="1" t="n">
        <f aca="false">(M37+N37)/2</f>
        <v>0.025</v>
      </c>
      <c r="P37" s="116" t="n">
        <f aca="false">NPV(O37,I$35:I$194)</f>
        <v>3076923.44600378</v>
      </c>
      <c r="Q37" s="1" t="n">
        <v>3</v>
      </c>
      <c r="R37" s="1" t="n">
        <f aca="false">IF(U36&gt;0,T36,R36)</f>
        <v>0.05</v>
      </c>
      <c r="S37" s="1" t="n">
        <f aca="false">IF(U36&gt;0,S36,T36)</f>
        <v>0.1</v>
      </c>
      <c r="T37" s="1" t="n">
        <f aca="false">(R37+S37)/2</f>
        <v>0.075</v>
      </c>
      <c r="U37" s="116" t="n">
        <f aca="false">NPV(T37,J$35:J$194)</f>
        <v>-880075.153345868</v>
      </c>
    </row>
    <row r="38" customFormat="false" ht="15" hidden="false" customHeight="true" outlineLevel="0" collapsed="false">
      <c r="A38" s="1" t="n">
        <v>2030</v>
      </c>
      <c r="B38" s="115" t="n">
        <f aca="false">IF(A38&lt;2029,0,IF(A38=2029,$B$12,IF(A38=2030,$B$13,$B$14)))</f>
        <v>0.9</v>
      </c>
      <c r="C38" s="1" t="n">
        <f aca="false">INDEX($D$26:$D$31,MIN(A38-2025,6))*B38</f>
        <v>290478.006199111</v>
      </c>
      <c r="D38" s="1" t="n">
        <f aca="false">C38*$B$9</f>
        <v>234287.066856576</v>
      </c>
      <c r="E38" s="1" t="n">
        <f aca="false">D38-C38*$B$6</f>
        <v>232243.141375985</v>
      </c>
      <c r="F38" s="1" t="n">
        <f aca="false">E38*(1-$B$5)</f>
        <v>169537.493204469</v>
      </c>
      <c r="G38" s="1" t="n">
        <f aca="false">$B$8*(C38-C37/(1+$B$4))</f>
        <v>28381.3074727961</v>
      </c>
      <c r="H38" s="1" t="n">
        <f aca="false">IF(A38=2027,$B$11,IF(A38=2028,1-$B$11,0))*$B$10</f>
        <v>0</v>
      </c>
      <c r="I38" s="1" t="n">
        <f aca="false">F38+C38*$B$6-C38*$B$7-G38-H38</f>
        <v>127223.820871313</v>
      </c>
      <c r="J38" s="1" t="n">
        <f aca="false">F38+C38*$B$6-H38</f>
        <v>171581.41868506</v>
      </c>
      <c r="L38" s="1" t="n">
        <v>4</v>
      </c>
      <c r="M38" s="1" t="n">
        <f aca="false">IF(P37&gt;0,O37,M37)</f>
        <v>0.025</v>
      </c>
      <c r="N38" s="1" t="n">
        <f aca="false">IF(P37&gt;0,N37,O37)</f>
        <v>0.05</v>
      </c>
      <c r="O38" s="1" t="n">
        <f aca="false">(M38+N38)/2</f>
        <v>0.0375</v>
      </c>
      <c r="P38" s="116" t="n">
        <f aca="false">NPV(O38,I$35:I$194)</f>
        <v>964516.577204898</v>
      </c>
      <c r="Q38" s="1" t="n">
        <v>4</v>
      </c>
      <c r="R38" s="1" t="n">
        <f aca="false">IF(U37&gt;0,T37,R37)</f>
        <v>0.05</v>
      </c>
      <c r="S38" s="1" t="n">
        <f aca="false">IF(U37&gt;0,S37,T37)</f>
        <v>0.075</v>
      </c>
      <c r="T38" s="1" t="n">
        <f aca="false">(R38+S38)/2</f>
        <v>0.0625</v>
      </c>
      <c r="U38" s="116" t="n">
        <f aca="false">NPV(T38,J$35:J$194)</f>
        <v>-430664.889815389</v>
      </c>
    </row>
    <row r="39" customFormat="false" ht="15" hidden="false" customHeight="true" outlineLevel="0" collapsed="false">
      <c r="A39" s="1" t="n">
        <v>2031</v>
      </c>
      <c r="B39" s="115" t="n">
        <f aca="false">IF(A39&lt;2029,0,IF(A39=2029,$B$12,IF(A39=2030,$B$13,$B$14)))</f>
        <v>1</v>
      </c>
      <c r="C39" s="1" t="n">
        <f aca="false">INDEX($D$26:$D$31,MIN(A39-2025,6))*B39</f>
        <v>325109.050497254</v>
      </c>
      <c r="D39" s="1" t="n">
        <f aca="false">C39*$B$9</f>
        <v>262218.977767691</v>
      </c>
      <c r="E39" s="1" t="n">
        <f aca="false">D39-C39*$B$6</f>
        <v>259931.373687173</v>
      </c>
      <c r="F39" s="1" t="n">
        <f aca="false">E39*(1-$B$5)</f>
        <v>189749.902791636</v>
      </c>
      <c r="G39" s="1" t="n">
        <f aca="false">$B$8*(C39-C38/(1+$B$4))</f>
        <v>6724.15524596462</v>
      </c>
      <c r="H39" s="1" t="n">
        <f aca="false">IF(A39=2027,$B$11,IF(A39=2028,1-$B$11,0))*$B$10</f>
        <v>0</v>
      </c>
      <c r="I39" s="1" t="n">
        <f aca="false">F39+C39*$B$6-C39*$B$7-G39-H39</f>
        <v>167432.353848841</v>
      </c>
      <c r="J39" s="1" t="n">
        <f aca="false">F39+C39*$B$6-H39</f>
        <v>192037.506872155</v>
      </c>
      <c r="L39" s="1" t="n">
        <v>5</v>
      </c>
      <c r="M39" s="1" t="n">
        <f aca="false">IF(P38&gt;0,O38,M38)</f>
        <v>0.0375</v>
      </c>
      <c r="N39" s="1" t="n">
        <f aca="false">IF(P38&gt;0,N38,O38)</f>
        <v>0.05</v>
      </c>
      <c r="O39" s="1" t="n">
        <f aca="false">(M39+N39)/2</f>
        <v>0.04375</v>
      </c>
      <c r="P39" s="116" t="n">
        <f aca="false">NPV(O39,I$35:I$194)</f>
        <v>349287.841116053</v>
      </c>
      <c r="Q39" s="1" t="n">
        <v>5</v>
      </c>
      <c r="R39" s="1" t="n">
        <f aca="false">IF(U38&gt;0,T38,R38)</f>
        <v>0.05</v>
      </c>
      <c r="S39" s="1" t="n">
        <f aca="false">IF(U38&gt;0,S38,T38)</f>
        <v>0.0625</v>
      </c>
      <c r="T39" s="1" t="n">
        <f aca="false">(R39+S39)/2</f>
        <v>0.05625</v>
      </c>
      <c r="U39" s="116" t="n">
        <f aca="false">NPV(T39,J$35:J$194)</f>
        <v>-121644.926558074</v>
      </c>
    </row>
    <row r="40" customFormat="false" ht="15" hidden="false" customHeight="true" outlineLevel="0" collapsed="false">
      <c r="A40" s="1" t="n">
        <v>2032</v>
      </c>
      <c r="B40" s="115" t="n">
        <f aca="false">IF(A40&lt;2029,0,IF(A40=2029,$B$12,IF(A40=2030,$B$13,$B$14)))</f>
        <v>1</v>
      </c>
      <c r="C40" s="1" t="n">
        <f aca="false">INDEX($D$26:$D$31,MIN(A40-2025,6))*B40</f>
        <v>325109.050497254</v>
      </c>
      <c r="D40" s="1" t="n">
        <f aca="false">C40*$B$9</f>
        <v>262218.977767691</v>
      </c>
      <c r="E40" s="1" t="n">
        <f aca="false">D40-C40*$B$6</f>
        <v>259931.373687173</v>
      </c>
      <c r="F40" s="1" t="n">
        <f aca="false">E40*(1-$B$5)</f>
        <v>189749.902791636</v>
      </c>
      <c r="G40" s="1" t="n">
        <f aca="false">$B$8*(C40-C39/(1+$B$4))</f>
        <v>1477.60556000398</v>
      </c>
      <c r="H40" s="1" t="n">
        <f aca="false">IF(A40=2027,$B$11,IF(A40=2028,1-$B$11,0))*$B$10</f>
        <v>0</v>
      </c>
      <c r="I40" s="1" t="n">
        <f aca="false">F40+C40*$B$6-C40*$B$7-G40-H40</f>
        <v>172678.903534802</v>
      </c>
      <c r="J40" s="1" t="n">
        <f aca="false">F40+C40*$B$6-H40</f>
        <v>192037.506872155</v>
      </c>
      <c r="L40" s="1" t="n">
        <v>6</v>
      </c>
      <c r="M40" s="1" t="n">
        <f aca="false">IF(P39&gt;0,O39,M39)</f>
        <v>0.04375</v>
      </c>
      <c r="N40" s="1" t="n">
        <f aca="false">IF(P39&gt;0,N39,O39)</f>
        <v>0.05</v>
      </c>
      <c r="O40" s="1" t="n">
        <f aca="false">(M40+N40)/2</f>
        <v>0.046875</v>
      </c>
      <c r="P40" s="116" t="n">
        <f aca="false">NPV(O40,I$35:I$194)</f>
        <v>104721.318132867</v>
      </c>
      <c r="Q40" s="1" t="n">
        <v>6</v>
      </c>
      <c r="R40" s="1" t="n">
        <f aca="false">IF(U39&gt;0,T39,R39)</f>
        <v>0.05</v>
      </c>
      <c r="S40" s="1" t="n">
        <f aca="false">IF(U39&gt;0,S39,T39)</f>
        <v>0.05625</v>
      </c>
      <c r="T40" s="1" t="n">
        <f aca="false">(R40+S40)/2</f>
        <v>0.053125</v>
      </c>
      <c r="U40" s="116" t="n">
        <f aca="false">NPV(T40,J$35:J$194)</f>
        <v>62589.1867190483</v>
      </c>
    </row>
    <row r="41" customFormat="false" ht="15" hidden="false" customHeight="true" outlineLevel="0" collapsed="false">
      <c r="A41" s="1" t="n">
        <v>2033</v>
      </c>
      <c r="B41" s="115" t="n">
        <f aca="false">IF(A41&lt;2029,0,IF(A41=2029,$B$12,IF(A41=2030,$B$13,$B$14)))</f>
        <v>1</v>
      </c>
      <c r="C41" s="1" t="n">
        <f aca="false">INDEX($D$26:$D$31,MIN(A41-2025,6))*B41</f>
        <v>325109.050497254</v>
      </c>
      <c r="D41" s="1" t="n">
        <f aca="false">C41*$B$9</f>
        <v>262218.977767691</v>
      </c>
      <c r="E41" s="1" t="n">
        <f aca="false">D41-C41*$B$6</f>
        <v>259931.373687173</v>
      </c>
      <c r="F41" s="1" t="n">
        <f aca="false">E41*(1-$B$5)</f>
        <v>189749.902791636</v>
      </c>
      <c r="G41" s="1" t="n">
        <f aca="false">$B$8*(C41-C40/(1+$B$4))</f>
        <v>1477.60556000398</v>
      </c>
      <c r="H41" s="1" t="n">
        <f aca="false">IF(A41=2027,$B$11,IF(A41=2028,1-$B$11,0))*$B$10</f>
        <v>0</v>
      </c>
      <c r="I41" s="1" t="n">
        <f aca="false">F41+C41*$B$6-C41*$B$7-G41-H41</f>
        <v>172678.903534802</v>
      </c>
      <c r="J41" s="1" t="n">
        <f aca="false">F41+C41*$B$6-H41</f>
        <v>192037.506872155</v>
      </c>
      <c r="L41" s="1" t="n">
        <v>7</v>
      </c>
      <c r="M41" s="1" t="n">
        <f aca="false">IF(P40&gt;0,O40,M40)</f>
        <v>0.046875</v>
      </c>
      <c r="N41" s="1" t="n">
        <f aca="false">IF(P40&gt;0,N40,O40)</f>
        <v>0.05</v>
      </c>
      <c r="O41" s="1" t="n">
        <f aca="false">(M41+N41)/2</f>
        <v>0.0484375</v>
      </c>
      <c r="P41" s="116" t="n">
        <f aca="false">NPV(O41,I$35:I$194)</f>
        <v>-5188.56135509928</v>
      </c>
      <c r="Q41" s="1" t="n">
        <v>7</v>
      </c>
      <c r="R41" s="1" t="n">
        <f aca="false">IF(U40&gt;0,T40,R40)</f>
        <v>0.053125</v>
      </c>
      <c r="S41" s="1" t="n">
        <f aca="false">IF(U40&gt;0,S40,T40)</f>
        <v>0.05625</v>
      </c>
      <c r="T41" s="1" t="n">
        <f aca="false">(R41+S41)/2</f>
        <v>0.0546875</v>
      </c>
      <c r="U41" s="116" t="n">
        <f aca="false">NPV(T41,J$35:J$194)</f>
        <v>-32354.8946658424</v>
      </c>
    </row>
    <row r="42" customFormat="false" ht="15" hidden="false" customHeight="true" outlineLevel="0" collapsed="false">
      <c r="A42" s="1" t="n">
        <v>2034</v>
      </c>
      <c r="B42" s="115" t="n">
        <f aca="false">IF(A42&lt;2029,0,IF(A42=2029,$B$12,IF(A42=2030,$B$13,$B$14)))</f>
        <v>1</v>
      </c>
      <c r="C42" s="1" t="n">
        <f aca="false">INDEX($D$26:$D$31,MIN(A42-2025,6))*B42</f>
        <v>325109.050497254</v>
      </c>
      <c r="D42" s="1" t="n">
        <f aca="false">C42*$B$9</f>
        <v>262218.977767691</v>
      </c>
      <c r="E42" s="1" t="n">
        <f aca="false">D42-C42*$B$6</f>
        <v>259931.373687173</v>
      </c>
      <c r="F42" s="1" t="n">
        <f aca="false">E42*(1-$B$5)</f>
        <v>189749.902791636</v>
      </c>
      <c r="G42" s="1" t="n">
        <f aca="false">$B$8*(C42-C41/(1+$B$4))</f>
        <v>1477.60556000398</v>
      </c>
      <c r="H42" s="1" t="n">
        <f aca="false">IF(A42=2027,$B$11,IF(A42=2028,1-$B$11,0))*$B$10</f>
        <v>0</v>
      </c>
      <c r="I42" s="1" t="n">
        <f aca="false">F42+C42*$B$6-C42*$B$7-G42-H42</f>
        <v>172678.903534802</v>
      </c>
      <c r="J42" s="1" t="n">
        <f aca="false">F42+C42*$B$6-H42</f>
        <v>192037.506872155</v>
      </c>
      <c r="L42" s="1" t="n">
        <v>8</v>
      </c>
      <c r="M42" s="1" t="n">
        <f aca="false">IF(P41&gt;0,O41,M41)</f>
        <v>0.046875</v>
      </c>
      <c r="N42" s="1" t="n">
        <f aca="false">IF(P41&gt;0,N41,O41)</f>
        <v>0.0484375</v>
      </c>
      <c r="O42" s="1" t="n">
        <f aca="false">(M42+N42)/2</f>
        <v>0.04765625</v>
      </c>
      <c r="P42" s="116" t="n">
        <f aca="false">NPV(O42,I$35:I$194)</f>
        <v>48816.5506463111</v>
      </c>
      <c r="Q42" s="1" t="n">
        <v>8</v>
      </c>
      <c r="R42" s="1" t="n">
        <f aca="false">IF(U41&gt;0,T41,R41)</f>
        <v>0.053125</v>
      </c>
      <c r="S42" s="1" t="n">
        <f aca="false">IF(U41&gt;0,S41,T41)</f>
        <v>0.0546875</v>
      </c>
      <c r="T42" s="1" t="n">
        <f aca="false">(R42+S42)/2</f>
        <v>0.05390625</v>
      </c>
      <c r="U42" s="116" t="n">
        <f aca="false">NPV(T42,J$35:J$194)</f>
        <v>14380.1165390441</v>
      </c>
    </row>
    <row r="43" customFormat="false" ht="15" hidden="false" customHeight="true" outlineLevel="0" collapsed="false">
      <c r="A43" s="1" t="n">
        <v>2035</v>
      </c>
      <c r="B43" s="115" t="n">
        <f aca="false">IF(A43&lt;2029,0,IF(A43=2029,$B$12,IF(A43=2030,$B$13,$B$14)))</f>
        <v>1</v>
      </c>
      <c r="C43" s="1" t="n">
        <f aca="false">INDEX($D$26:$D$31,MIN(A43-2025,6))*B43</f>
        <v>325109.050497254</v>
      </c>
      <c r="D43" s="1" t="n">
        <f aca="false">C43*$B$9</f>
        <v>262218.977767691</v>
      </c>
      <c r="E43" s="1" t="n">
        <f aca="false">D43-C43*$B$6</f>
        <v>259931.373687173</v>
      </c>
      <c r="F43" s="1" t="n">
        <f aca="false">E43*(1-$B$5)</f>
        <v>189749.902791636</v>
      </c>
      <c r="G43" s="1" t="n">
        <f aca="false">$B$8*(C43-C42/(1+$B$4))</f>
        <v>1477.60556000398</v>
      </c>
      <c r="H43" s="1" t="n">
        <f aca="false">IF(A43=2027,$B$11,IF(A43=2028,1-$B$11,0))*$B$10</f>
        <v>0</v>
      </c>
      <c r="I43" s="1" t="n">
        <f aca="false">F43+C43*$B$6-C43*$B$7-G43-H43</f>
        <v>172678.903534802</v>
      </c>
      <c r="J43" s="1" t="n">
        <f aca="false">F43+C43*$B$6-H43</f>
        <v>192037.506872155</v>
      </c>
      <c r="L43" s="1" t="n">
        <v>9</v>
      </c>
      <c r="M43" s="1" t="n">
        <f aca="false">IF(P42&gt;0,O42,M42)</f>
        <v>0.04765625</v>
      </c>
      <c r="N43" s="1" t="n">
        <f aca="false">IF(P42&gt;0,N42,O42)</f>
        <v>0.0484375</v>
      </c>
      <c r="O43" s="1" t="n">
        <f aca="false">(M43+N43)/2</f>
        <v>0.048046875</v>
      </c>
      <c r="P43" s="116" t="n">
        <f aca="false">NPV(O43,I$35:I$194)</f>
        <v>21582.1313809751</v>
      </c>
      <c r="Q43" s="1" t="n">
        <v>9</v>
      </c>
      <c r="R43" s="1" t="n">
        <f aca="false">IF(U42&gt;0,T42,R42)</f>
        <v>0.05390625</v>
      </c>
      <c r="S43" s="1" t="n">
        <f aca="false">IF(U42&gt;0,S42,T42)</f>
        <v>0.0546875</v>
      </c>
      <c r="T43" s="1" t="n">
        <f aca="false">(R43+S43)/2</f>
        <v>0.054296875</v>
      </c>
      <c r="U43" s="116" t="n">
        <f aca="false">NPV(T43,J$35:J$194)</f>
        <v>-9167.73197137773</v>
      </c>
    </row>
    <row r="44" customFormat="false" ht="15" hidden="false" customHeight="true" outlineLevel="0" collapsed="false">
      <c r="A44" s="1" t="n">
        <v>2036</v>
      </c>
      <c r="B44" s="115" t="n">
        <f aca="false">IF(A44&lt;2029,0,IF(A44=2029,$B$12,IF(A44=2030,$B$13,$B$14)))</f>
        <v>1</v>
      </c>
      <c r="C44" s="1" t="n">
        <f aca="false">INDEX($D$26:$D$31,MIN(A44-2025,6))*B44</f>
        <v>325109.050497254</v>
      </c>
      <c r="D44" s="1" t="n">
        <f aca="false">C44*$B$9</f>
        <v>262218.977767691</v>
      </c>
      <c r="E44" s="1" t="n">
        <f aca="false">D44-C44*$B$6</f>
        <v>259931.373687173</v>
      </c>
      <c r="F44" s="1" t="n">
        <f aca="false">E44*(1-$B$5)</f>
        <v>189749.902791636</v>
      </c>
      <c r="G44" s="1" t="n">
        <f aca="false">$B$8*(C44-C43/(1+$B$4))</f>
        <v>1477.60556000398</v>
      </c>
      <c r="H44" s="1" t="n">
        <f aca="false">IF(A44=2027,$B$11,IF(A44=2028,1-$B$11,0))*$B$10</f>
        <v>0</v>
      </c>
      <c r="I44" s="1" t="n">
        <f aca="false">F44+C44*$B$6-C44*$B$7-G44-H44</f>
        <v>172678.903534802</v>
      </c>
      <c r="J44" s="1" t="n">
        <f aca="false">F44+C44*$B$6-H44</f>
        <v>192037.506872155</v>
      </c>
      <c r="L44" s="1" t="n">
        <v>10</v>
      </c>
      <c r="M44" s="1" t="n">
        <f aca="false">IF(P43&gt;0,O43,M43)</f>
        <v>0.048046875</v>
      </c>
      <c r="N44" s="1" t="n">
        <f aca="false">IF(P43&gt;0,N43,O43)</f>
        <v>0.0484375</v>
      </c>
      <c r="O44" s="1" t="n">
        <f aca="false">(M44+N44)/2</f>
        <v>0.0482421875</v>
      </c>
      <c r="P44" s="116" t="n">
        <f aca="false">NPV(O44,I$35:I$194)</f>
        <v>8139.5000383873</v>
      </c>
      <c r="Q44" s="1" t="n">
        <v>10</v>
      </c>
      <c r="R44" s="1" t="n">
        <f aca="false">IF(U43&gt;0,T43,R43)</f>
        <v>0.05390625</v>
      </c>
      <c r="S44" s="1" t="n">
        <f aca="false">IF(U43&gt;0,S43,T43)</f>
        <v>0.054296875</v>
      </c>
      <c r="T44" s="1" t="n">
        <f aca="false">(R44+S44)/2</f>
        <v>0.0541015625</v>
      </c>
      <c r="U44" s="116" t="n">
        <f aca="false">NPV(T44,J$35:J$194)</f>
        <v>2560.62569126172</v>
      </c>
    </row>
    <row r="45" customFormat="false" ht="15" hidden="false" customHeight="true" outlineLevel="0" collapsed="false">
      <c r="A45" s="1" t="n">
        <v>2037</v>
      </c>
      <c r="B45" s="115" t="n">
        <f aca="false">IF(A45&lt;2029,0,IF(A45=2029,$B$12,IF(A45=2030,$B$13,$B$14)))</f>
        <v>1</v>
      </c>
      <c r="C45" s="1" t="n">
        <f aca="false">INDEX($D$26:$D$31,MIN(A45-2025,6))*B45</f>
        <v>325109.050497254</v>
      </c>
      <c r="D45" s="1" t="n">
        <f aca="false">C45*$B$9</f>
        <v>262218.977767691</v>
      </c>
      <c r="E45" s="1" t="n">
        <f aca="false">D45-C45*$B$6</f>
        <v>259931.373687173</v>
      </c>
      <c r="F45" s="1" t="n">
        <f aca="false">E45*(1-$B$5)</f>
        <v>189749.902791636</v>
      </c>
      <c r="G45" s="1" t="n">
        <f aca="false">$B$8*(C45-C44/(1+$B$4))</f>
        <v>1477.60556000398</v>
      </c>
      <c r="H45" s="1" t="n">
        <f aca="false">IF(A45=2027,$B$11,IF(A45=2028,1-$B$11,0))*$B$10</f>
        <v>0</v>
      </c>
      <c r="I45" s="1" t="n">
        <f aca="false">F45+C45*$B$6-C45*$B$7-G45-H45</f>
        <v>172678.903534802</v>
      </c>
      <c r="J45" s="1" t="n">
        <f aca="false">F45+C45*$B$6-H45</f>
        <v>192037.506872155</v>
      </c>
      <c r="L45" s="1" t="n">
        <v>11</v>
      </c>
      <c r="M45" s="1" t="n">
        <f aca="false">IF(P44&gt;0,O44,M44)</f>
        <v>0.0482421875</v>
      </c>
      <c r="N45" s="1" t="n">
        <f aca="false">IF(P44&gt;0,N44,O44)</f>
        <v>0.0484375</v>
      </c>
      <c r="O45" s="1" t="n">
        <f aca="false">(M45+N45)/2</f>
        <v>0.04833984375</v>
      </c>
      <c r="P45" s="116" t="n">
        <f aca="false">NPV(O45,I$35:I$194)</f>
        <v>1461.23208593845</v>
      </c>
      <c r="Q45" s="1" t="n">
        <v>11</v>
      </c>
      <c r="R45" s="1" t="n">
        <f aca="false">IF(U44&gt;0,T44,R44)</f>
        <v>0.0541015625</v>
      </c>
      <c r="S45" s="1" t="n">
        <f aca="false">IF(U44&gt;0,S44,T44)</f>
        <v>0.054296875</v>
      </c>
      <c r="T45" s="1" t="n">
        <f aca="false">(R45+S45)/2</f>
        <v>0.05419921875</v>
      </c>
      <c r="U45" s="116" t="n">
        <f aca="false">NPV(T45,J$35:J$194)</f>
        <v>-3314.88416199398</v>
      </c>
    </row>
    <row r="46" customFormat="false" ht="15" hidden="false" customHeight="true" outlineLevel="0" collapsed="false">
      <c r="A46" s="1" t="n">
        <v>2038</v>
      </c>
      <c r="B46" s="115" t="n">
        <f aca="false">IF(A46&lt;2029,0,IF(A46=2029,$B$12,IF(A46=2030,$B$13,$B$14)))</f>
        <v>1</v>
      </c>
      <c r="C46" s="1" t="n">
        <f aca="false">INDEX($D$26:$D$31,MIN(A46-2025,6))*B46</f>
        <v>325109.050497254</v>
      </c>
      <c r="D46" s="1" t="n">
        <f aca="false">C46*$B$9</f>
        <v>262218.977767691</v>
      </c>
      <c r="E46" s="1" t="n">
        <f aca="false">D46-C46*$B$6</f>
        <v>259931.373687173</v>
      </c>
      <c r="F46" s="1" t="n">
        <f aca="false">E46*(1-$B$5)</f>
        <v>189749.902791636</v>
      </c>
      <c r="G46" s="1" t="n">
        <f aca="false">$B$8*(C46-C45/(1+$B$4))</f>
        <v>1477.60556000398</v>
      </c>
      <c r="H46" s="1" t="n">
        <f aca="false">IF(A46=2027,$B$11,IF(A46=2028,1-$B$11,0))*$B$10</f>
        <v>0</v>
      </c>
      <c r="I46" s="1" t="n">
        <f aca="false">F46+C46*$B$6-C46*$B$7-G46-H46</f>
        <v>172678.903534802</v>
      </c>
      <c r="J46" s="1" t="n">
        <f aca="false">F46+C46*$B$6-H46</f>
        <v>192037.506872155</v>
      </c>
      <c r="L46" s="1" t="n">
        <v>12</v>
      </c>
      <c r="M46" s="1" t="n">
        <f aca="false">IF(P45&gt;0,O45,M45)</f>
        <v>0.04833984375</v>
      </c>
      <c r="N46" s="1" t="n">
        <f aca="false">IF(P45&gt;0,N45,O45)</f>
        <v>0.0484375</v>
      </c>
      <c r="O46" s="1" t="n">
        <f aca="false">(M46+N46)/2</f>
        <v>0.048388671875</v>
      </c>
      <c r="P46" s="116" t="n">
        <f aca="false">NPV(O46,I$35:I$194)</f>
        <v>-1867.21351891124</v>
      </c>
      <c r="Q46" s="1" t="n">
        <v>12</v>
      </c>
      <c r="R46" s="1" t="n">
        <f aca="false">IF(U45&gt;0,T45,R45)</f>
        <v>0.0541015625</v>
      </c>
      <c r="S46" s="1" t="n">
        <f aca="false">IF(U45&gt;0,S45,T45)</f>
        <v>0.05419921875</v>
      </c>
      <c r="T46" s="1" t="n">
        <f aca="false">(R46+S46)/2</f>
        <v>0.054150390625</v>
      </c>
      <c r="U46" s="116" t="n">
        <f aca="false">NPV(T46,J$35:J$194)</f>
        <v>-379.969536454077</v>
      </c>
    </row>
    <row r="47" customFormat="false" ht="15" hidden="false" customHeight="true" outlineLevel="0" collapsed="false">
      <c r="A47" s="1" t="n">
        <v>2039</v>
      </c>
      <c r="B47" s="115" t="n">
        <f aca="false">IF(A47&lt;2029,0,IF(A47=2029,$B$12,IF(A47=2030,$B$13,$B$14)))</f>
        <v>1</v>
      </c>
      <c r="C47" s="1" t="n">
        <f aca="false">INDEX($D$26:$D$31,MIN(A47-2025,6))*B47</f>
        <v>325109.050497254</v>
      </c>
      <c r="D47" s="1" t="n">
        <f aca="false">C47*$B$9</f>
        <v>262218.977767691</v>
      </c>
      <c r="E47" s="1" t="n">
        <f aca="false">D47-C47*$B$6</f>
        <v>259931.373687173</v>
      </c>
      <c r="F47" s="1" t="n">
        <f aca="false">E47*(1-$B$5)</f>
        <v>189749.902791636</v>
      </c>
      <c r="G47" s="1" t="n">
        <f aca="false">$B$8*(C47-C46/(1+$B$4))</f>
        <v>1477.60556000398</v>
      </c>
      <c r="H47" s="1" t="n">
        <f aca="false">IF(A47=2027,$B$11,IF(A47=2028,1-$B$11,0))*$B$10</f>
        <v>0</v>
      </c>
      <c r="I47" s="1" t="n">
        <f aca="false">F47+C47*$B$6-C47*$B$7-G47-H47</f>
        <v>172678.903534802</v>
      </c>
      <c r="J47" s="1" t="n">
        <f aca="false">F47+C47*$B$6-H47</f>
        <v>192037.506872155</v>
      </c>
      <c r="L47" s="1" t="n">
        <v>13</v>
      </c>
      <c r="M47" s="1" t="n">
        <f aca="false">IF(P46&gt;0,O46,M46)</f>
        <v>0.04833984375</v>
      </c>
      <c r="N47" s="1" t="n">
        <f aca="false">IF(P46&gt;0,N46,O46)</f>
        <v>0.048388671875</v>
      </c>
      <c r="O47" s="1" t="n">
        <f aca="false">(M47+N47)/2</f>
        <v>0.0483642578125</v>
      </c>
      <c r="P47" s="116" t="n">
        <f aca="false">NPV(O47,I$35:I$194)</f>
        <v>-203.879238218442</v>
      </c>
      <c r="Q47" s="1" t="n">
        <v>13</v>
      </c>
      <c r="R47" s="1" t="n">
        <f aca="false">IF(U46&gt;0,T46,R46)</f>
        <v>0.0541015625</v>
      </c>
      <c r="S47" s="1" t="n">
        <f aca="false">IF(U46&gt;0,S46,T46)</f>
        <v>0.054150390625</v>
      </c>
      <c r="T47" s="1" t="n">
        <f aca="false">(R47+S47)/2</f>
        <v>0.0541259765625</v>
      </c>
      <c r="U47" s="116" t="n">
        <f aca="false">NPV(T47,J$35:J$194)</f>
        <v>1089.6170560904</v>
      </c>
    </row>
    <row r="48" customFormat="false" ht="15" hidden="false" customHeight="true" outlineLevel="0" collapsed="false">
      <c r="A48" s="1" t="n">
        <v>2040</v>
      </c>
      <c r="B48" s="115" t="n">
        <f aca="false">IF(A48&lt;2029,0,IF(A48=2029,$B$12,IF(A48=2030,$B$13,$B$14)))</f>
        <v>1</v>
      </c>
      <c r="C48" s="1" t="n">
        <f aca="false">INDEX($D$26:$D$31,MIN(A48-2025,6))*B48</f>
        <v>325109.050497254</v>
      </c>
      <c r="D48" s="1" t="n">
        <f aca="false">C48*$B$9</f>
        <v>262218.977767691</v>
      </c>
      <c r="E48" s="1" t="n">
        <f aca="false">D48-C48*$B$6</f>
        <v>259931.373687173</v>
      </c>
      <c r="F48" s="1" t="n">
        <f aca="false">E48*(1-$B$5)</f>
        <v>189749.902791636</v>
      </c>
      <c r="G48" s="1" t="n">
        <f aca="false">$B$8*(C48-C47/(1+$B$4))</f>
        <v>1477.60556000398</v>
      </c>
      <c r="H48" s="1" t="n">
        <f aca="false">IF(A48=2027,$B$11,IF(A48=2028,1-$B$11,0))*$B$10</f>
        <v>0</v>
      </c>
      <c r="I48" s="1" t="n">
        <f aca="false">F48+C48*$B$6-C48*$B$7-G48-H48</f>
        <v>172678.903534802</v>
      </c>
      <c r="J48" s="1" t="n">
        <f aca="false">F48+C48*$B$6-H48</f>
        <v>192037.506872155</v>
      </c>
      <c r="L48" s="1" t="n">
        <v>14</v>
      </c>
      <c r="M48" s="1" t="n">
        <f aca="false">IF(P47&gt;0,O47,M47)</f>
        <v>0.04833984375</v>
      </c>
      <c r="N48" s="1" t="n">
        <f aca="false">IF(P47&gt;0,N47,O47)</f>
        <v>0.0483642578125</v>
      </c>
      <c r="O48" s="1" t="n">
        <f aca="false">(M48+N48)/2</f>
        <v>0.04835205078125</v>
      </c>
      <c r="P48" s="116" t="n">
        <f aca="false">NPV(O48,I$35:I$194)</f>
        <v>628.454130581517</v>
      </c>
      <c r="Q48" s="1" t="n">
        <v>14</v>
      </c>
      <c r="R48" s="1" t="n">
        <f aca="false">IF(U47&gt;0,T47,R47)</f>
        <v>0.0541259765625</v>
      </c>
      <c r="S48" s="1" t="n">
        <f aca="false">IF(U47&gt;0,S47,T47)</f>
        <v>0.054150390625</v>
      </c>
      <c r="T48" s="1" t="n">
        <f aca="false">(R48+S48)/2</f>
        <v>0.05413818359375</v>
      </c>
      <c r="U48" s="116" t="n">
        <f aca="false">NPV(T48,J$35:J$194)</f>
        <v>354.646122871645</v>
      </c>
    </row>
    <row r="49" customFormat="false" ht="15" hidden="false" customHeight="true" outlineLevel="0" collapsed="false">
      <c r="A49" s="1" t="n">
        <v>2041</v>
      </c>
      <c r="B49" s="115" t="n">
        <f aca="false">IF(A49&lt;2029,0,IF(A49=2029,$B$12,IF(A49=2030,$B$13,$B$14)))</f>
        <v>1</v>
      </c>
      <c r="C49" s="1" t="n">
        <f aca="false">INDEX($D$26:$D$31,MIN(A49-2025,6))*B49</f>
        <v>325109.050497254</v>
      </c>
      <c r="D49" s="1" t="n">
        <f aca="false">C49*$B$9</f>
        <v>262218.977767691</v>
      </c>
      <c r="E49" s="1" t="n">
        <f aca="false">D49-C49*$B$6</f>
        <v>259931.373687173</v>
      </c>
      <c r="F49" s="1" t="n">
        <f aca="false">E49*(1-$B$5)</f>
        <v>189749.902791636</v>
      </c>
      <c r="G49" s="1" t="n">
        <f aca="false">$B$8*(C49-C48/(1+$B$4))</f>
        <v>1477.60556000398</v>
      </c>
      <c r="H49" s="1" t="n">
        <f aca="false">IF(A49=2027,$B$11,IF(A49=2028,1-$B$11,0))*$B$10</f>
        <v>0</v>
      </c>
      <c r="I49" s="1" t="n">
        <f aca="false">F49+C49*$B$6-C49*$B$7-G49-H49</f>
        <v>172678.903534802</v>
      </c>
      <c r="J49" s="1" t="n">
        <f aca="false">F49+C49*$B$6-H49</f>
        <v>192037.506872155</v>
      </c>
      <c r="L49" s="1" t="n">
        <v>15</v>
      </c>
      <c r="M49" s="1" t="n">
        <f aca="false">IF(P48&gt;0,O48,M48)</f>
        <v>0.04835205078125</v>
      </c>
      <c r="N49" s="1" t="n">
        <f aca="false">IF(P48&gt;0,N48,O48)</f>
        <v>0.0483642578125</v>
      </c>
      <c r="O49" s="1" t="n">
        <f aca="false">(M49+N49)/2</f>
        <v>0.048358154296875</v>
      </c>
      <c r="P49" s="116" t="n">
        <f aca="false">NPV(O49,I$35:I$194)</f>
        <v>212.231893237668</v>
      </c>
      <c r="Q49" s="1" t="n">
        <v>15</v>
      </c>
      <c r="R49" s="1" t="n">
        <f aca="false">IF(U48&gt;0,T48,R48)</f>
        <v>0.05413818359375</v>
      </c>
      <c r="S49" s="1" t="n">
        <f aca="false">IF(U48&gt;0,S48,T48)</f>
        <v>0.054150390625</v>
      </c>
      <c r="T49" s="1" t="n">
        <f aca="false">(R49+S49)/2</f>
        <v>0.054144287109375</v>
      </c>
      <c r="U49" s="116" t="n">
        <f aca="false">NPV(T49,J$35:J$194)</f>
        <v>-12.7061012342956</v>
      </c>
    </row>
    <row r="50" customFormat="false" ht="15" hidden="false" customHeight="true" outlineLevel="0" collapsed="false">
      <c r="A50" s="1" t="n">
        <v>2042</v>
      </c>
      <c r="B50" s="115" t="n">
        <f aca="false">IF(A50&lt;2029,0,IF(A50=2029,$B$12,IF(A50=2030,$B$13,$B$14)))</f>
        <v>1</v>
      </c>
      <c r="C50" s="1" t="n">
        <f aca="false">INDEX($D$26:$D$31,MIN(A50-2025,6))*B50</f>
        <v>325109.050497254</v>
      </c>
      <c r="D50" s="1" t="n">
        <f aca="false">C50*$B$9</f>
        <v>262218.977767691</v>
      </c>
      <c r="E50" s="1" t="n">
        <f aca="false">D50-C50*$B$6</f>
        <v>259931.373687173</v>
      </c>
      <c r="F50" s="1" t="n">
        <f aca="false">E50*(1-$B$5)</f>
        <v>189749.902791636</v>
      </c>
      <c r="G50" s="1" t="n">
        <f aca="false">$B$8*(C50-C49/(1+$B$4))</f>
        <v>1477.60556000398</v>
      </c>
      <c r="H50" s="1" t="n">
        <f aca="false">IF(A50=2027,$B$11,IF(A50=2028,1-$B$11,0))*$B$10</f>
        <v>0</v>
      </c>
      <c r="I50" s="1" t="n">
        <f aca="false">F50+C50*$B$6-C50*$B$7-G50-H50</f>
        <v>172678.903534802</v>
      </c>
      <c r="J50" s="1" t="n">
        <f aca="false">F50+C50*$B$6-H50</f>
        <v>192037.506872155</v>
      </c>
      <c r="L50" s="1" t="n">
        <v>16</v>
      </c>
      <c r="M50" s="1" t="n">
        <f aca="false">IF(P49&gt;0,O49,M49)</f>
        <v>0.048358154296875</v>
      </c>
      <c r="N50" s="1" t="n">
        <f aca="false">IF(P49&gt;0,N49,O49)</f>
        <v>0.0483642578125</v>
      </c>
      <c r="O50" s="1" t="n">
        <f aca="false">(M50+N50)/2</f>
        <v>0.0483612060546875</v>
      </c>
      <c r="P50" s="116" t="n">
        <f aca="false">NPV(O50,I$35:I$194)</f>
        <v>4.16244182413047</v>
      </c>
      <c r="Q50" s="1" t="n">
        <v>16</v>
      </c>
      <c r="R50" s="1" t="n">
        <f aca="false">IF(U49&gt;0,T49,R49)</f>
        <v>0.05413818359375</v>
      </c>
      <c r="S50" s="1" t="n">
        <f aca="false">IF(U49&gt;0,S49,T49)</f>
        <v>0.054144287109375</v>
      </c>
      <c r="T50" s="1" t="n">
        <f aca="false">(R50+S50)/2</f>
        <v>0.0541412353515625</v>
      </c>
      <c r="U50" s="116" t="n">
        <f aca="false">NPV(T50,J$35:J$194)</f>
        <v>170.958910358281</v>
      </c>
    </row>
    <row r="51" customFormat="false" ht="15" hidden="false" customHeight="true" outlineLevel="0" collapsed="false">
      <c r="A51" s="1" t="n">
        <v>2043</v>
      </c>
      <c r="B51" s="115" t="n">
        <f aca="false">IF(A51&lt;2029,0,IF(A51=2029,$B$12,IF(A51=2030,$B$13,$B$14)))</f>
        <v>1</v>
      </c>
      <c r="C51" s="1" t="n">
        <f aca="false">INDEX($D$26:$D$31,MIN(A51-2025,6))*B51</f>
        <v>325109.050497254</v>
      </c>
      <c r="D51" s="1" t="n">
        <f aca="false">C51*$B$9</f>
        <v>262218.977767691</v>
      </c>
      <c r="E51" s="1" t="n">
        <f aca="false">D51-C51*$B$6</f>
        <v>259931.373687173</v>
      </c>
      <c r="F51" s="1" t="n">
        <f aca="false">E51*(1-$B$5)</f>
        <v>189749.902791636</v>
      </c>
      <c r="G51" s="1" t="n">
        <f aca="false">$B$8*(C51-C50/(1+$B$4))</f>
        <v>1477.60556000398</v>
      </c>
      <c r="H51" s="1" t="n">
        <f aca="false">IF(A51=2027,$B$11,IF(A51=2028,1-$B$11,0))*$B$10</f>
        <v>0</v>
      </c>
      <c r="I51" s="1" t="n">
        <f aca="false">F51+C51*$B$6-C51*$B$7-G51-H51</f>
        <v>172678.903534802</v>
      </c>
      <c r="J51" s="1" t="n">
        <f aca="false">F51+C51*$B$6-H51</f>
        <v>192037.506872155</v>
      </c>
      <c r="L51" s="1" t="n">
        <v>17</v>
      </c>
      <c r="M51" s="1" t="n">
        <f aca="false">IF(P50&gt;0,O50,M50)</f>
        <v>0.0483612060546875</v>
      </c>
      <c r="N51" s="1" t="n">
        <f aca="false">IF(P50&gt;0,N50,O50)</f>
        <v>0.0483642578125</v>
      </c>
      <c r="O51" s="1" t="n">
        <f aca="false">(M51+N51)/2</f>
        <v>0.0483627319335938</v>
      </c>
      <c r="P51" s="116" t="n">
        <f aca="false">NPV(O51,I$35:I$194)</f>
        <v>-99.8618693024111</v>
      </c>
      <c r="Q51" s="1" t="n">
        <v>17</v>
      </c>
      <c r="R51" s="1" t="n">
        <f aca="false">IF(U50&gt;0,T50,R50)</f>
        <v>0.0541412353515625</v>
      </c>
      <c r="S51" s="1" t="n">
        <f aca="false">IF(U50&gt;0,S50,T50)</f>
        <v>0.054144287109375</v>
      </c>
      <c r="T51" s="1" t="n">
        <f aca="false">(R51+S51)/2</f>
        <v>0.0541427612304688</v>
      </c>
      <c r="U51" s="116" t="n">
        <f aca="false">NPV(T51,J$35:J$194)</f>
        <v>79.1236296713761</v>
      </c>
    </row>
    <row r="52" customFormat="false" ht="15" hidden="false" customHeight="true" outlineLevel="0" collapsed="false">
      <c r="A52" s="1" t="n">
        <v>2044</v>
      </c>
      <c r="B52" s="115" t="n">
        <f aca="false">IF(A52&lt;2029,0,IF(A52=2029,$B$12,IF(A52=2030,$B$13,$B$14)))</f>
        <v>1</v>
      </c>
      <c r="C52" s="1" t="n">
        <f aca="false">INDEX($D$26:$D$31,MIN(A52-2025,6))*B52</f>
        <v>325109.050497254</v>
      </c>
      <c r="D52" s="1" t="n">
        <f aca="false">C52*$B$9</f>
        <v>262218.977767691</v>
      </c>
      <c r="E52" s="1" t="n">
        <f aca="false">D52-C52*$B$6</f>
        <v>259931.373687173</v>
      </c>
      <c r="F52" s="1" t="n">
        <f aca="false">E52*(1-$B$5)</f>
        <v>189749.902791636</v>
      </c>
      <c r="G52" s="1" t="n">
        <f aca="false">$B$8*(C52-C51/(1+$B$4))</f>
        <v>1477.60556000398</v>
      </c>
      <c r="H52" s="1" t="n">
        <f aca="false">IF(A52=2027,$B$11,IF(A52=2028,1-$B$11,0))*$B$10</f>
        <v>0</v>
      </c>
      <c r="I52" s="1" t="n">
        <f aca="false">F52+C52*$B$6-C52*$B$7-G52-H52</f>
        <v>172678.903534802</v>
      </c>
      <c r="J52" s="1" t="n">
        <f aca="false">F52+C52*$B$6-H52</f>
        <v>192037.506872155</v>
      </c>
      <c r="L52" s="1" t="n">
        <v>18</v>
      </c>
      <c r="M52" s="1" t="n">
        <f aca="false">IF(P51&gt;0,O51,M51)</f>
        <v>0.0483612060546875</v>
      </c>
      <c r="N52" s="1" t="n">
        <f aca="false">IF(P51&gt;0,N51,O51)</f>
        <v>0.0483627319335938</v>
      </c>
      <c r="O52" s="1" t="n">
        <f aca="false">(M52+N52)/2</f>
        <v>0.0483619689941406</v>
      </c>
      <c r="P52" s="116" t="n">
        <f aca="false">NPV(O52,I$35:I$194)</f>
        <v>-47.8505815551934</v>
      </c>
      <c r="Q52" s="1" t="n">
        <v>18</v>
      </c>
      <c r="R52" s="1" t="n">
        <f aca="false">IF(U51&gt;0,T51,R51)</f>
        <v>0.0541427612304688</v>
      </c>
      <c r="S52" s="1" t="n">
        <f aca="false">IF(U51&gt;0,S51,T51)</f>
        <v>0.054144287109375</v>
      </c>
      <c r="T52" s="1" t="n">
        <f aca="false">(R52+S52)/2</f>
        <v>0.0541435241699219</v>
      </c>
      <c r="U52" s="116" t="n">
        <f aca="false">NPV(T52,J$35:J$194)</f>
        <v>33.2080705195849</v>
      </c>
    </row>
    <row r="53" customFormat="false" ht="15" hidden="false" customHeight="true" outlineLevel="0" collapsed="false">
      <c r="A53" s="1" t="n">
        <v>2045</v>
      </c>
      <c r="B53" s="115" t="n">
        <f aca="false">IF(A53&lt;2029,0,IF(A53=2029,$B$12,IF(A53=2030,$B$13,$B$14)))</f>
        <v>1</v>
      </c>
      <c r="C53" s="1" t="n">
        <f aca="false">INDEX($D$26:$D$31,MIN(A53-2025,6))*B53</f>
        <v>325109.050497254</v>
      </c>
      <c r="D53" s="1" t="n">
        <f aca="false">C53*$B$9</f>
        <v>262218.977767691</v>
      </c>
      <c r="E53" s="1" t="n">
        <f aca="false">D53-C53*$B$6</f>
        <v>259931.373687173</v>
      </c>
      <c r="F53" s="1" t="n">
        <f aca="false">E53*(1-$B$5)</f>
        <v>189749.902791636</v>
      </c>
      <c r="G53" s="1" t="n">
        <f aca="false">$B$8*(C53-C52/(1+$B$4))</f>
        <v>1477.60556000398</v>
      </c>
      <c r="H53" s="1" t="n">
        <f aca="false">IF(A53=2027,$B$11,IF(A53=2028,1-$B$11,0))*$B$10</f>
        <v>0</v>
      </c>
      <c r="I53" s="1" t="n">
        <f aca="false">F53+C53*$B$6-C53*$B$7-G53-H53</f>
        <v>172678.903534802</v>
      </c>
      <c r="J53" s="1" t="n">
        <f aca="false">F53+C53*$B$6-H53</f>
        <v>192037.506872155</v>
      </c>
      <c r="L53" s="1" t="n">
        <v>19</v>
      </c>
      <c r="M53" s="1" t="n">
        <f aca="false">IF(P52&gt;0,O52,M52)</f>
        <v>0.0483612060546875</v>
      </c>
      <c r="N53" s="1" t="n">
        <f aca="false">IF(P52&gt;0,N52,O52)</f>
        <v>0.0483619689941406</v>
      </c>
      <c r="O53" s="1" t="n">
        <f aca="false">(M53+N53)/2</f>
        <v>0.0483615875244141</v>
      </c>
      <c r="P53" s="116" t="n">
        <f aca="false">NPV(O53,I$35:I$194)</f>
        <v>-21.8442868321233</v>
      </c>
      <c r="Q53" s="1" t="n">
        <v>19</v>
      </c>
      <c r="R53" s="1" t="n">
        <f aca="false">IF(U52&gt;0,T52,R52)</f>
        <v>0.0541435241699219</v>
      </c>
      <c r="S53" s="1" t="n">
        <f aca="false">IF(U52&gt;0,S52,T52)</f>
        <v>0.054144287109375</v>
      </c>
      <c r="T53" s="1" t="n">
        <f aca="false">(R53+S53)/2</f>
        <v>0.0541439056396484</v>
      </c>
      <c r="U53" s="116" t="n">
        <f aca="false">NPV(T53,J$35:J$194)</f>
        <v>10.2508112231103</v>
      </c>
    </row>
    <row r="54" customFormat="false" ht="15" hidden="false" customHeight="true" outlineLevel="0" collapsed="false">
      <c r="A54" s="1" t="n">
        <v>2046</v>
      </c>
      <c r="B54" s="115" t="n">
        <f aca="false">IF(A54&lt;2029,0,IF(A54=2029,$B$12,IF(A54=2030,$B$13,$B$14)))</f>
        <v>1</v>
      </c>
      <c r="C54" s="1" t="n">
        <f aca="false">INDEX($D$26:$D$31,MIN(A54-2025,6))*B54</f>
        <v>325109.050497254</v>
      </c>
      <c r="D54" s="1" t="n">
        <f aca="false">C54*$B$9</f>
        <v>262218.977767691</v>
      </c>
      <c r="E54" s="1" t="n">
        <f aca="false">D54-C54*$B$6</f>
        <v>259931.373687173</v>
      </c>
      <c r="F54" s="1" t="n">
        <f aca="false">E54*(1-$B$5)</f>
        <v>189749.902791636</v>
      </c>
      <c r="G54" s="1" t="n">
        <f aca="false">$B$8*(C54-C53/(1+$B$4))</f>
        <v>1477.60556000398</v>
      </c>
      <c r="H54" s="1" t="n">
        <f aca="false">IF(A54=2027,$B$11,IF(A54=2028,1-$B$11,0))*$B$10</f>
        <v>0</v>
      </c>
      <c r="I54" s="1" t="n">
        <f aca="false">F54+C54*$B$6-C54*$B$7-G54-H54</f>
        <v>172678.903534802</v>
      </c>
      <c r="J54" s="1" t="n">
        <f aca="false">F54+C54*$B$6-H54</f>
        <v>192037.506872155</v>
      </c>
      <c r="L54" s="1" t="n">
        <v>20</v>
      </c>
      <c r="M54" s="1" t="n">
        <f aca="false">IF(P53&gt;0,O53,M53)</f>
        <v>0.0483612060546875</v>
      </c>
      <c r="N54" s="1" t="n">
        <f aca="false">IF(P53&gt;0,N53,O53)</f>
        <v>0.0483615875244141</v>
      </c>
      <c r="O54" s="1" t="n">
        <f aca="false">(M54+N54)/2</f>
        <v>0.0483613967895508</v>
      </c>
      <c r="P54" s="116" t="n">
        <f aca="false">NPV(O54,I$35:I$194)</f>
        <v>-8.84097675169799</v>
      </c>
      <c r="Q54" s="1" t="n">
        <v>20</v>
      </c>
      <c r="R54" s="1" t="n">
        <f aca="false">IF(U53&gt;0,T53,R53)</f>
        <v>0.0541439056396484</v>
      </c>
      <c r="S54" s="1" t="n">
        <f aca="false">IF(U53&gt;0,S53,T53)</f>
        <v>0.054144287109375</v>
      </c>
      <c r="T54" s="1" t="n">
        <f aca="false">(R54+S54)/2</f>
        <v>0.0541440963745117</v>
      </c>
      <c r="U54" s="116" t="n">
        <f aca="false">NPV(T54,J$35:J$194)</f>
        <v>-1.22768836012882</v>
      </c>
    </row>
    <row r="55" customFormat="false" ht="15" hidden="false" customHeight="true" outlineLevel="0" collapsed="false">
      <c r="A55" s="1" t="n">
        <v>2047</v>
      </c>
      <c r="B55" s="115" t="n">
        <f aca="false">IF(A55&lt;2029,0,IF(A55=2029,$B$12,IF(A55=2030,$B$13,$B$14)))</f>
        <v>1</v>
      </c>
      <c r="C55" s="1" t="n">
        <f aca="false">INDEX($D$26:$D$31,MIN(A55-2025,6))*B55</f>
        <v>325109.050497254</v>
      </c>
      <c r="D55" s="1" t="n">
        <f aca="false">C55*$B$9</f>
        <v>262218.977767691</v>
      </c>
      <c r="E55" s="1" t="n">
        <f aca="false">D55-C55*$B$6</f>
        <v>259931.373687173</v>
      </c>
      <c r="F55" s="1" t="n">
        <f aca="false">E55*(1-$B$5)</f>
        <v>189749.902791636</v>
      </c>
      <c r="G55" s="1" t="n">
        <f aca="false">$B$8*(C55-C54/(1+$B$4))</f>
        <v>1477.60556000398</v>
      </c>
      <c r="H55" s="1" t="n">
        <f aca="false">IF(A55=2027,$B$11,IF(A55=2028,1-$B$11,0))*$B$10</f>
        <v>0</v>
      </c>
      <c r="I55" s="1" t="n">
        <f aca="false">F55+C55*$B$6-C55*$B$7-G55-H55</f>
        <v>172678.903534802</v>
      </c>
      <c r="J55" s="1" t="n">
        <f aca="false">F55+C55*$B$6-H55</f>
        <v>192037.506872155</v>
      </c>
      <c r="L55" s="1" t="n">
        <v>21</v>
      </c>
      <c r="M55" s="1" t="n">
        <f aca="false">IF(P54&gt;0,O54,M54)</f>
        <v>0.0483612060546875</v>
      </c>
      <c r="N55" s="1" t="n">
        <f aca="false">IF(P54&gt;0,N54,O54)</f>
        <v>0.0483613967895508</v>
      </c>
      <c r="O55" s="1" t="n">
        <f aca="false">(M55+N55)/2</f>
        <v>0.0483613014221191</v>
      </c>
      <c r="P55" s="116" t="n">
        <f aca="false">NPV(O55,I$35:I$194)</f>
        <v>-2.33928102408278</v>
      </c>
      <c r="Q55" s="1" t="n">
        <v>21</v>
      </c>
      <c r="R55" s="1" t="n">
        <f aca="false">IF(U54&gt;0,T54,R54)</f>
        <v>0.0541439056396484</v>
      </c>
      <c r="S55" s="1" t="n">
        <f aca="false">IF(U54&gt;0,S54,T54)</f>
        <v>0.0541440963745117</v>
      </c>
      <c r="T55" s="1" t="n">
        <f aca="false">(R55+S55)/2</f>
        <v>0.0541440010070801</v>
      </c>
      <c r="U55" s="116" t="n">
        <f aca="false">NPV(T55,J$35:J$194)</f>
        <v>4.51155058652648</v>
      </c>
    </row>
    <row r="56" customFormat="false" ht="15" hidden="false" customHeight="true" outlineLevel="0" collapsed="false">
      <c r="A56" s="1" t="n">
        <v>2048</v>
      </c>
      <c r="B56" s="115" t="n">
        <f aca="false">IF(A56&lt;2029,0,IF(A56=2029,$B$12,IF(A56=2030,$B$13,$B$14)))</f>
        <v>1</v>
      </c>
      <c r="C56" s="1" t="n">
        <f aca="false">INDEX($D$26:$D$31,MIN(A56-2025,6))*B56</f>
        <v>325109.050497254</v>
      </c>
      <c r="D56" s="1" t="n">
        <f aca="false">C56*$B$9</f>
        <v>262218.977767691</v>
      </c>
      <c r="E56" s="1" t="n">
        <f aca="false">D56-C56*$B$6</f>
        <v>259931.373687173</v>
      </c>
      <c r="F56" s="1" t="n">
        <f aca="false">E56*(1-$B$5)</f>
        <v>189749.902791636</v>
      </c>
      <c r="G56" s="1" t="n">
        <f aca="false">$B$8*(C56-C55/(1+$B$4))</f>
        <v>1477.60556000398</v>
      </c>
      <c r="H56" s="1" t="n">
        <f aca="false">IF(A56=2027,$B$11,IF(A56=2028,1-$B$11,0))*$B$10</f>
        <v>0</v>
      </c>
      <c r="I56" s="1" t="n">
        <f aca="false">F56+C56*$B$6-C56*$B$7-G56-H56</f>
        <v>172678.903534802</v>
      </c>
      <c r="J56" s="1" t="n">
        <f aca="false">F56+C56*$B$6-H56</f>
        <v>192037.506872155</v>
      </c>
      <c r="L56" s="1" t="n">
        <v>22</v>
      </c>
      <c r="M56" s="1" t="n">
        <f aca="false">IF(P55&gt;0,O55,M55)</f>
        <v>0.0483612060546875</v>
      </c>
      <c r="N56" s="1" t="n">
        <f aca="false">IF(P55&gt;0,N55,O55)</f>
        <v>0.0483613014221191</v>
      </c>
      <c r="O56" s="1" t="n">
        <f aca="false">(M56+N56)/2</f>
        <v>0.0483612537384033</v>
      </c>
      <c r="P56" s="116" t="n">
        <f aca="false">NPV(O56,I$35:I$194)</f>
        <v>0.911577010106257</v>
      </c>
      <c r="Q56" s="1" t="n">
        <v>22</v>
      </c>
      <c r="R56" s="1" t="n">
        <f aca="false">IF(U55&gt;0,T55,R55)</f>
        <v>0.0541440010070801</v>
      </c>
      <c r="S56" s="1" t="n">
        <f aca="false">IF(U55&gt;0,S55,T55)</f>
        <v>0.0541440963745117</v>
      </c>
      <c r="T56" s="1" t="n">
        <f aca="false">(R56+S56)/2</f>
        <v>0.0541440486907959</v>
      </c>
      <c r="U56" s="116" t="n">
        <f aca="false">NPV(T56,J$35:J$194)</f>
        <v>1.64192841002866</v>
      </c>
    </row>
    <row r="57" customFormat="false" ht="15" hidden="false" customHeight="true" outlineLevel="0" collapsed="false">
      <c r="A57" s="1" t="n">
        <v>2049</v>
      </c>
      <c r="B57" s="115" t="n">
        <f aca="false">IF(A57&lt;2029,0,IF(A57=2029,$B$12,IF(A57=2030,$B$13,$B$14)))</f>
        <v>1</v>
      </c>
      <c r="C57" s="1" t="n">
        <f aca="false">INDEX($D$26:$D$31,MIN(A57-2025,6))*B57</f>
        <v>325109.050497254</v>
      </c>
      <c r="D57" s="1" t="n">
        <f aca="false">C57*$B$9</f>
        <v>262218.977767691</v>
      </c>
      <c r="E57" s="1" t="n">
        <f aca="false">D57-C57*$B$6</f>
        <v>259931.373687173</v>
      </c>
      <c r="F57" s="1" t="n">
        <f aca="false">E57*(1-$B$5)</f>
        <v>189749.902791636</v>
      </c>
      <c r="G57" s="1" t="n">
        <f aca="false">$B$8*(C57-C56/(1+$B$4))</f>
        <v>1477.60556000398</v>
      </c>
      <c r="H57" s="1" t="n">
        <f aca="false">IF(A57=2027,$B$11,IF(A57=2028,1-$B$11,0))*$B$10</f>
        <v>0</v>
      </c>
      <c r="I57" s="1" t="n">
        <f aca="false">F57+C57*$B$6-C57*$B$7-G57-H57</f>
        <v>172678.903534802</v>
      </c>
      <c r="J57" s="1" t="n">
        <f aca="false">F57+C57*$B$6-H57</f>
        <v>192037.506872155</v>
      </c>
      <c r="L57" s="1" t="n">
        <v>23</v>
      </c>
      <c r="M57" s="1" t="n">
        <f aca="false">IF(P56&gt;0,O56,M56)</f>
        <v>0.0483612537384033</v>
      </c>
      <c r="N57" s="1" t="n">
        <f aca="false">IF(P56&gt;0,N56,O56)</f>
        <v>0.0483613014221191</v>
      </c>
      <c r="O57" s="1" t="n">
        <f aca="false">(M57+N57)/2</f>
        <v>0.0483612775802612</v>
      </c>
      <c r="P57" s="116" t="n">
        <f aca="false">NPV(O57,I$35:I$194)</f>
        <v>-0.713852862145387</v>
      </c>
      <c r="Q57" s="1" t="n">
        <v>23</v>
      </c>
      <c r="R57" s="1" t="n">
        <f aca="false">IF(U56&gt;0,T56,R56)</f>
        <v>0.0541440486907959</v>
      </c>
      <c r="S57" s="1" t="n">
        <f aca="false">IF(U56&gt;0,S56,T56)</f>
        <v>0.0541440963745117</v>
      </c>
      <c r="T57" s="1" t="n">
        <f aca="false">(R57+S57)/2</f>
        <v>0.0541440725326538</v>
      </c>
      <c r="U57" s="116" t="n">
        <f aca="false">NPV(T57,J$35:J$194)</f>
        <v>0.207119341019698</v>
      </c>
    </row>
    <row r="58" customFormat="false" ht="15" hidden="false" customHeight="true" outlineLevel="0" collapsed="false">
      <c r="A58" s="1" t="n">
        <v>2050</v>
      </c>
      <c r="B58" s="115" t="n">
        <f aca="false">IF(A58&lt;2029,0,IF(A58=2029,$B$12,IF(A58=2030,$B$13,$B$14)))</f>
        <v>1</v>
      </c>
      <c r="C58" s="1" t="n">
        <f aca="false">INDEX($D$26:$D$31,MIN(A58-2025,6))*B58</f>
        <v>325109.050497254</v>
      </c>
      <c r="D58" s="1" t="n">
        <f aca="false">C58*$B$9</f>
        <v>262218.977767691</v>
      </c>
      <c r="E58" s="1" t="n">
        <f aca="false">D58-C58*$B$6</f>
        <v>259931.373687173</v>
      </c>
      <c r="F58" s="1" t="n">
        <f aca="false">E58*(1-$B$5)</f>
        <v>189749.902791636</v>
      </c>
      <c r="G58" s="1" t="n">
        <f aca="false">$B$8*(C58-C57/(1+$B$4))</f>
        <v>1477.60556000398</v>
      </c>
      <c r="H58" s="1" t="n">
        <f aca="false">IF(A58=2027,$B$11,IF(A58=2028,1-$B$11,0))*$B$10</f>
        <v>0</v>
      </c>
      <c r="I58" s="1" t="n">
        <f aca="false">F58+C58*$B$6-C58*$B$7-G58-H58</f>
        <v>172678.903534802</v>
      </c>
      <c r="J58" s="1" t="n">
        <f aca="false">F58+C58*$B$6-H58</f>
        <v>192037.506872155</v>
      </c>
      <c r="L58" s="1" t="n">
        <v>24</v>
      </c>
      <c r="M58" s="1" t="n">
        <f aca="false">IF(P57&gt;0,O57,M57)</f>
        <v>0.0483612537384033</v>
      </c>
      <c r="N58" s="1" t="n">
        <f aca="false">IF(P57&gt;0,N57,O57)</f>
        <v>0.0483612775802612</v>
      </c>
      <c r="O58" s="1" t="n">
        <f aca="false">(M58+N58)/2</f>
        <v>0.0483612656593323</v>
      </c>
      <c r="P58" s="116" t="n">
        <f aca="false">NPV(O58,I$35:I$194)</f>
        <v>0.0988618695803467</v>
      </c>
      <c r="Q58" s="1" t="n">
        <v>24</v>
      </c>
      <c r="R58" s="1" t="n">
        <f aca="false">IF(U57&gt;0,T57,R57)</f>
        <v>0.0541440725326538</v>
      </c>
      <c r="S58" s="1" t="n">
        <f aca="false">IF(U57&gt;0,S57,T57)</f>
        <v>0.0541440963745117</v>
      </c>
      <c r="T58" s="1" t="n">
        <f aca="false">(R58+S58)/2</f>
        <v>0.0541440844535828</v>
      </c>
      <c r="U58" s="116" t="n">
        <f aca="false">NPV(T58,J$35:J$194)</f>
        <v>-0.510284678702639</v>
      </c>
    </row>
    <row r="59" customFormat="false" ht="15" hidden="false" customHeight="true" outlineLevel="0" collapsed="false">
      <c r="A59" s="1" t="n">
        <v>2051</v>
      </c>
      <c r="B59" s="115" t="n">
        <f aca="false">IF(A59&lt;2029,0,IF(A59=2029,$B$12,IF(A59=2030,$B$13,$B$14)))</f>
        <v>1</v>
      </c>
      <c r="C59" s="1" t="n">
        <f aca="false">INDEX($D$26:$D$31,MIN(A59-2025,6))*B59</f>
        <v>325109.050497254</v>
      </c>
      <c r="D59" s="1" t="n">
        <f aca="false">C59*$B$9</f>
        <v>262218.977767691</v>
      </c>
      <c r="E59" s="1" t="n">
        <f aca="false">D59-C59*$B$6</f>
        <v>259931.373687173</v>
      </c>
      <c r="F59" s="1" t="n">
        <f aca="false">E59*(1-$B$5)</f>
        <v>189749.902791636</v>
      </c>
      <c r="G59" s="1" t="n">
        <f aca="false">$B$8*(C59-C58/(1+$B$4))</f>
        <v>1477.60556000398</v>
      </c>
      <c r="H59" s="1" t="n">
        <f aca="false">IF(A59=2027,$B$11,IF(A59=2028,1-$B$11,0))*$B$10</f>
        <v>0</v>
      </c>
      <c r="I59" s="1" t="n">
        <f aca="false">F59+C59*$B$6-C59*$B$7-G59-H59</f>
        <v>172678.903534802</v>
      </c>
      <c r="J59" s="1" t="n">
        <f aca="false">F59+C59*$B$6-H59</f>
        <v>192037.506872155</v>
      </c>
      <c r="L59" s="1" t="n">
        <v>25</v>
      </c>
      <c r="M59" s="1" t="n">
        <f aca="false">IF(P58&gt;0,O58,M58)</f>
        <v>0.0483612656593323</v>
      </c>
      <c r="N59" s="1" t="n">
        <f aca="false">IF(P58&gt;0,N58,O58)</f>
        <v>0.0483612775802612</v>
      </c>
      <c r="O59" s="1" t="n">
        <f aca="false">(M59+N59)/2</f>
        <v>0.0483612716197967</v>
      </c>
      <c r="P59" s="116" t="n">
        <f aca="false">NPV(O59,I$35:I$194)</f>
        <v>-0.307495549090021</v>
      </c>
      <c r="Q59" s="1" t="n">
        <v>25</v>
      </c>
      <c r="R59" s="1" t="n">
        <f aca="false">IF(U58&gt;0,T58,R58)</f>
        <v>0.0541440725326538</v>
      </c>
      <c r="S59" s="1" t="n">
        <f aca="false">IF(U58&gt;0,S58,T58)</f>
        <v>0.0541440844535828</v>
      </c>
      <c r="T59" s="1" t="n">
        <f aca="false">(R59+S59)/2</f>
        <v>0.0541440784931183</v>
      </c>
      <c r="U59" s="116" t="n">
        <f aca="false">NPV(T59,J$35:J$194)</f>
        <v>-0.151582704477875</v>
      </c>
    </row>
    <row r="60" customFormat="false" ht="15" hidden="false" customHeight="true" outlineLevel="0" collapsed="false">
      <c r="A60" s="1" t="n">
        <v>2052</v>
      </c>
      <c r="B60" s="115" t="n">
        <f aca="false">IF(A60&lt;2029,0,IF(A60=2029,$B$12,IF(A60=2030,$B$13,$B$14)))</f>
        <v>1</v>
      </c>
      <c r="C60" s="1" t="n">
        <f aca="false">INDEX($D$26:$D$31,MIN(A60-2025,6))*B60</f>
        <v>325109.050497254</v>
      </c>
      <c r="D60" s="1" t="n">
        <f aca="false">C60*$B$9</f>
        <v>262218.977767691</v>
      </c>
      <c r="E60" s="1" t="n">
        <f aca="false">D60-C60*$B$6</f>
        <v>259931.373687173</v>
      </c>
      <c r="F60" s="1" t="n">
        <f aca="false">E60*(1-$B$5)</f>
        <v>189749.902791636</v>
      </c>
      <c r="G60" s="1" t="n">
        <f aca="false">$B$8*(C60-C59/(1+$B$4))</f>
        <v>1477.60556000398</v>
      </c>
      <c r="H60" s="1" t="n">
        <f aca="false">IF(A60=2027,$B$11,IF(A60=2028,1-$B$11,0))*$B$10</f>
        <v>0</v>
      </c>
      <c r="I60" s="1" t="n">
        <f aca="false">F60+C60*$B$6-C60*$B$7-G60-H60</f>
        <v>172678.903534802</v>
      </c>
      <c r="J60" s="1" t="n">
        <f aca="false">F60+C60*$B$6-H60</f>
        <v>192037.506872155</v>
      </c>
      <c r="L60" s="1" t="n">
        <v>26</v>
      </c>
      <c r="M60" s="1" t="n">
        <f aca="false">IF(P59&gt;0,O59,M59)</f>
        <v>0.0483612656593323</v>
      </c>
      <c r="N60" s="1" t="n">
        <f aca="false">IF(P59&gt;0,N59,O59)</f>
        <v>0.0483612716197967</v>
      </c>
      <c r="O60" s="1" t="n">
        <f aca="false">(M60+N60)/2</f>
        <v>0.0483612686395645</v>
      </c>
      <c r="P60" s="116" t="n">
        <f aca="false">NPV(O60,I$35:I$194)</f>
        <v>-0.104316852924853</v>
      </c>
      <c r="Q60" s="1" t="n">
        <v>26</v>
      </c>
      <c r="R60" s="1" t="n">
        <f aca="false">IF(U59&gt;0,T59,R59)</f>
        <v>0.0541440725326538</v>
      </c>
      <c r="S60" s="1" t="n">
        <f aca="false">IF(U59&gt;0,S59,T59)</f>
        <v>0.0541440784931183</v>
      </c>
      <c r="T60" s="1" t="n">
        <f aca="false">(R60+S60)/2</f>
        <v>0.054144075512886</v>
      </c>
      <c r="U60" s="116" t="n">
        <f aca="false">NPV(T60,J$35:J$194)</f>
        <v>0.0277683010258016</v>
      </c>
    </row>
    <row r="61" customFormat="false" ht="15" hidden="false" customHeight="true" outlineLevel="0" collapsed="false">
      <c r="A61" s="1" t="n">
        <v>2053</v>
      </c>
      <c r="B61" s="115" t="n">
        <f aca="false">IF(A61&lt;2029,0,IF(A61=2029,$B$12,IF(A61=2030,$B$13,$B$14)))</f>
        <v>1</v>
      </c>
      <c r="C61" s="1" t="n">
        <f aca="false">INDEX($D$26:$D$31,MIN(A61-2025,6))*B61</f>
        <v>325109.050497254</v>
      </c>
      <c r="D61" s="1" t="n">
        <f aca="false">C61*$B$9</f>
        <v>262218.977767691</v>
      </c>
      <c r="E61" s="1" t="n">
        <f aca="false">D61-C61*$B$6</f>
        <v>259931.373687173</v>
      </c>
      <c r="F61" s="1" t="n">
        <f aca="false">E61*(1-$B$5)</f>
        <v>189749.902791636</v>
      </c>
      <c r="G61" s="1" t="n">
        <f aca="false">$B$8*(C61-C60/(1+$B$4))</f>
        <v>1477.60556000398</v>
      </c>
      <c r="H61" s="1" t="n">
        <f aca="false">IF(A61=2027,$B$11,IF(A61=2028,1-$B$11,0))*$B$10</f>
        <v>0</v>
      </c>
      <c r="I61" s="1" t="n">
        <f aca="false">F61+C61*$B$6-C61*$B$7-G61-H61</f>
        <v>172678.903534802</v>
      </c>
      <c r="J61" s="1" t="n">
        <f aca="false">F61+C61*$B$6-H61</f>
        <v>192037.506872155</v>
      </c>
      <c r="L61" s="1" t="n">
        <v>27</v>
      </c>
      <c r="M61" s="1" t="n">
        <f aca="false">IF(P60&gt;0,O60,M60)</f>
        <v>0.0483612656593323</v>
      </c>
      <c r="N61" s="1" t="n">
        <f aca="false">IF(P60&gt;0,N60,O60)</f>
        <v>0.0483612686395645</v>
      </c>
      <c r="O61" s="1" t="n">
        <f aca="false">(M61+N61)/2</f>
        <v>0.0483612671494484</v>
      </c>
      <c r="P61" s="116" t="n">
        <f aca="false">NPV(O61,I$35:I$194)</f>
        <v>-0.00272750243044584</v>
      </c>
      <c r="Q61" s="1" t="n">
        <v>27</v>
      </c>
      <c r="R61" s="1" t="n">
        <f aca="false">IF(U60&gt;0,T60,R60)</f>
        <v>0.054144075512886</v>
      </c>
      <c r="S61" s="1" t="n">
        <f aca="false">IF(U60&gt;0,S60,T60)</f>
        <v>0.0541440784931183</v>
      </c>
      <c r="T61" s="1" t="n">
        <f aca="false">(R61+S61)/2</f>
        <v>0.0541440770030022</v>
      </c>
      <c r="U61" s="116" t="n">
        <f aca="false">NPV(T61,J$35:J$194)</f>
        <v>-0.0619072046565137</v>
      </c>
    </row>
    <row r="62" customFormat="false" ht="15" hidden="false" customHeight="true" outlineLevel="0" collapsed="false">
      <c r="A62" s="1" t="n">
        <v>2054</v>
      </c>
      <c r="B62" s="115" t="n">
        <f aca="false">IF(A62&lt;2029,0,IF(A62=2029,$B$12,IF(A62=2030,$B$13,$B$14)))</f>
        <v>1</v>
      </c>
      <c r="C62" s="1" t="n">
        <f aca="false">INDEX($D$26:$D$31,MIN(A62-2025,6))*B62</f>
        <v>325109.050497254</v>
      </c>
      <c r="D62" s="1" t="n">
        <f aca="false">C62*$B$9</f>
        <v>262218.977767691</v>
      </c>
      <c r="E62" s="1" t="n">
        <f aca="false">D62-C62*$B$6</f>
        <v>259931.373687173</v>
      </c>
      <c r="F62" s="1" t="n">
        <f aca="false">E62*(1-$B$5)</f>
        <v>189749.902791636</v>
      </c>
      <c r="G62" s="1" t="n">
        <f aca="false">$B$8*(C62-C61/(1+$B$4))</f>
        <v>1477.60556000398</v>
      </c>
      <c r="H62" s="1" t="n">
        <f aca="false">IF(A62=2027,$B$11,IF(A62=2028,1-$B$11,0))*$B$10</f>
        <v>0</v>
      </c>
      <c r="I62" s="1" t="n">
        <f aca="false">F62+C62*$B$6-C62*$B$7-G62-H62</f>
        <v>172678.903534802</v>
      </c>
      <c r="J62" s="1" t="n">
        <f aca="false">F62+C62*$B$6-H62</f>
        <v>192037.506872155</v>
      </c>
      <c r="L62" s="1" t="n">
        <v>28</v>
      </c>
      <c r="M62" s="1" t="n">
        <f aca="false">IF(P61&gt;0,O61,M61)</f>
        <v>0.0483612656593323</v>
      </c>
      <c r="N62" s="1" t="n">
        <f aca="false">IF(P61&gt;0,N61,O61)</f>
        <v>0.0483612671494484</v>
      </c>
      <c r="O62" s="1" t="n">
        <f aca="false">(M62+N62)/2</f>
        <v>0.0483612664043903</v>
      </c>
      <c r="P62" s="116" t="n">
        <f aca="false">NPV(O62,I$35:I$194)</f>
        <v>0.0480671750848103</v>
      </c>
      <c r="Q62" s="1" t="n">
        <v>28</v>
      </c>
      <c r="R62" s="1" t="n">
        <f aca="false">IF(U61&gt;0,T61,R61)</f>
        <v>0.054144075512886</v>
      </c>
      <c r="S62" s="1" t="n">
        <f aca="false">IF(U61&gt;0,S61,T61)</f>
        <v>0.0541440770030022</v>
      </c>
      <c r="T62" s="1" t="n">
        <f aca="false">(R62+S62)/2</f>
        <v>0.0541440762579441</v>
      </c>
      <c r="U62" s="116" t="n">
        <f aca="false">NPV(T62,J$35:J$194)</f>
        <v>-0.0170694523831259</v>
      </c>
    </row>
    <row r="63" customFormat="false" ht="15" hidden="false" customHeight="true" outlineLevel="0" collapsed="false">
      <c r="A63" s="1" t="n">
        <v>2055</v>
      </c>
      <c r="B63" s="115" t="n">
        <f aca="false">IF(A63&lt;2029,0,IF(A63=2029,$B$12,IF(A63=2030,$B$13,$B$14)))</f>
        <v>1</v>
      </c>
      <c r="C63" s="1" t="n">
        <f aca="false">INDEX($D$26:$D$31,MIN(A63-2025,6))*B63</f>
        <v>325109.050497254</v>
      </c>
      <c r="D63" s="1" t="n">
        <f aca="false">C63*$B$9</f>
        <v>262218.977767691</v>
      </c>
      <c r="E63" s="1" t="n">
        <f aca="false">D63-C63*$B$6</f>
        <v>259931.373687173</v>
      </c>
      <c r="F63" s="1" t="n">
        <f aca="false">E63*(1-$B$5)</f>
        <v>189749.902791636</v>
      </c>
      <c r="G63" s="1" t="n">
        <f aca="false">$B$8*(C63-C62/(1+$B$4))</f>
        <v>1477.60556000398</v>
      </c>
      <c r="H63" s="1" t="n">
        <f aca="false">IF(A63=2027,$B$11,IF(A63=2028,1-$B$11,0))*$B$10</f>
        <v>0</v>
      </c>
      <c r="I63" s="1" t="n">
        <f aca="false">F63+C63*$B$6-C63*$B$7-G63-H63</f>
        <v>172678.903534802</v>
      </c>
      <c r="J63" s="1" t="n">
        <f aca="false">F63+C63*$B$6-H63</f>
        <v>192037.506872155</v>
      </c>
      <c r="L63" s="1" t="n">
        <v>29</v>
      </c>
      <c r="M63" s="1" t="n">
        <f aca="false">IF(P62&gt;0,O62,M62)</f>
        <v>0.0483612664043903</v>
      </c>
      <c r="N63" s="1" t="n">
        <f aca="false">IF(P62&gt;0,N62,O62)</f>
        <v>0.0483612671494484</v>
      </c>
      <c r="O63" s="1" t="n">
        <f aca="false">(M63+N63)/2</f>
        <v>0.0483612667769194</v>
      </c>
      <c r="P63" s="116" t="n">
        <f aca="false">NPV(O63,I$35:I$194)</f>
        <v>0.0226698438481066</v>
      </c>
      <c r="Q63" s="1" t="n">
        <v>29</v>
      </c>
      <c r="R63" s="1" t="n">
        <f aca="false">IF(U62&gt;0,T62,R62)</f>
        <v>0.054144075512886</v>
      </c>
      <c r="S63" s="1" t="n">
        <f aca="false">IF(U62&gt;0,S62,T62)</f>
        <v>0.0541440762579441</v>
      </c>
      <c r="T63" s="1" t="n">
        <f aca="false">(R63+S63)/2</f>
        <v>0.0541440758854151</v>
      </c>
      <c r="U63" s="116" t="n">
        <f aca="false">NPV(T63,J$35:J$194)</f>
        <v>0.00534943064121762</v>
      </c>
    </row>
    <row r="64" customFormat="false" ht="15" hidden="false" customHeight="true" outlineLevel="0" collapsed="false">
      <c r="A64" s="1" t="n">
        <v>2056</v>
      </c>
      <c r="B64" s="115" t="n">
        <f aca="false">IF(A64&lt;2029,0,IF(A64=2029,$B$12,IF(A64=2030,$B$13,$B$14)))</f>
        <v>1</v>
      </c>
      <c r="C64" s="1" t="n">
        <f aca="false">INDEX($D$26:$D$31,MIN(A64-2025,6))*B64</f>
        <v>325109.050497254</v>
      </c>
      <c r="D64" s="1" t="n">
        <f aca="false">C64*$B$9</f>
        <v>262218.977767691</v>
      </c>
      <c r="E64" s="1" t="n">
        <f aca="false">D64-C64*$B$6</f>
        <v>259931.373687173</v>
      </c>
      <c r="F64" s="1" t="n">
        <f aca="false">E64*(1-$B$5)</f>
        <v>189749.902791636</v>
      </c>
      <c r="G64" s="1" t="n">
        <f aca="false">$B$8*(C64-C63/(1+$B$4))</f>
        <v>1477.60556000398</v>
      </c>
      <c r="H64" s="1" t="n">
        <f aca="false">IF(A64=2027,$B$11,IF(A64=2028,1-$B$11,0))*$B$10</f>
        <v>0</v>
      </c>
      <c r="I64" s="1" t="n">
        <f aca="false">F64+C64*$B$6-C64*$B$7-G64-H64</f>
        <v>172678.903534802</v>
      </c>
      <c r="J64" s="1" t="n">
        <f aca="false">F64+C64*$B$6-H64</f>
        <v>192037.506872155</v>
      </c>
      <c r="L64" s="1" t="n">
        <v>30</v>
      </c>
      <c r="M64" s="1" t="n">
        <f aca="false">IF(P63&gt;0,O63,M63)</f>
        <v>0.0483612667769194</v>
      </c>
      <c r="N64" s="1" t="n">
        <f aca="false">IF(P63&gt;0,N63,O63)</f>
        <v>0.0483612671494484</v>
      </c>
      <c r="O64" s="1" t="n">
        <f aca="false">(M64+N64)/2</f>
        <v>0.0483612669631839</v>
      </c>
      <c r="P64" s="116" t="n">
        <f aca="false">NPV(O64,I$35:I$194)</f>
        <v>0.00997117051112184</v>
      </c>
      <c r="Q64" s="1" t="n">
        <v>30</v>
      </c>
      <c r="R64" s="1" t="n">
        <f aca="false">IF(U63&gt;0,T63,R63)</f>
        <v>0.0541440758854151</v>
      </c>
      <c r="S64" s="1" t="n">
        <f aca="false">IF(U63&gt;0,S63,T63)</f>
        <v>0.0541440762579441</v>
      </c>
      <c r="T64" s="1" t="n">
        <f aca="false">(R64+S64)/2</f>
        <v>0.0541440760716796</v>
      </c>
      <c r="U64" s="116" t="n">
        <f aca="false">NPV(T64,J$35:J$194)</f>
        <v>-0.00586001080681342</v>
      </c>
    </row>
    <row r="65" customFormat="false" ht="15" hidden="false" customHeight="true" outlineLevel="0" collapsed="false">
      <c r="A65" s="1" t="n">
        <v>2057</v>
      </c>
      <c r="B65" s="115" t="n">
        <f aca="false">IF(A65&lt;2029,0,IF(A65=2029,$B$12,IF(A65=2030,$B$13,$B$14)))</f>
        <v>1</v>
      </c>
      <c r="C65" s="1" t="n">
        <f aca="false">INDEX($D$26:$D$31,MIN(A65-2025,6))*B65</f>
        <v>325109.050497254</v>
      </c>
      <c r="D65" s="1" t="n">
        <f aca="false">C65*$B$9</f>
        <v>262218.977767691</v>
      </c>
      <c r="E65" s="1" t="n">
        <f aca="false">D65-C65*$B$6</f>
        <v>259931.373687173</v>
      </c>
      <c r="F65" s="1" t="n">
        <f aca="false">E65*(1-$B$5)</f>
        <v>189749.902791636</v>
      </c>
      <c r="G65" s="1" t="n">
        <f aca="false">$B$8*(C65-C64/(1+$B$4))</f>
        <v>1477.60556000398</v>
      </c>
      <c r="H65" s="1" t="n">
        <f aca="false">IF(A65=2027,$B$11,IF(A65=2028,1-$B$11,0))*$B$10</f>
        <v>0</v>
      </c>
      <c r="I65" s="1" t="n">
        <f aca="false">F65+C65*$B$6-C65*$B$7-G65-H65</f>
        <v>172678.903534802</v>
      </c>
      <c r="J65" s="1" t="n">
        <f aca="false">F65+C65*$B$6-H65</f>
        <v>192037.506872155</v>
      </c>
      <c r="L65" s="1" t="n">
        <v>31</v>
      </c>
      <c r="M65" s="1" t="n">
        <f aca="false">IF(P64&gt;0,O64,M64)</f>
        <v>0.0483612669631839</v>
      </c>
      <c r="N65" s="1" t="n">
        <f aca="false">IF(P64&gt;0,N64,O64)</f>
        <v>0.0483612671494484</v>
      </c>
      <c r="O65" s="1" t="n">
        <f aca="false">(M65+N65)/2</f>
        <v>0.0483612670563161</v>
      </c>
      <c r="P65" s="116" t="n">
        <f aca="false">NPV(O65,I$35:I$194)</f>
        <v>0.00362184158380785</v>
      </c>
      <c r="Q65" s="1" t="n">
        <v>31</v>
      </c>
      <c r="R65" s="1" t="n">
        <f aca="false">IF(U64&gt;0,T64,R64)</f>
        <v>0.0541440758854151</v>
      </c>
      <c r="S65" s="1" t="n">
        <f aca="false">IF(U64&gt;0,S64,T64)</f>
        <v>0.0541440760716796</v>
      </c>
      <c r="T65" s="1" t="n">
        <f aca="false">(R65+S65)/2</f>
        <v>0.0541440759785473</v>
      </c>
      <c r="U65" s="116" t="n">
        <f aca="false">NPV(T65,J$35:J$194)</f>
        <v>-0.000255296695719665</v>
      </c>
    </row>
    <row r="66" customFormat="false" ht="15" hidden="false" customHeight="true" outlineLevel="0" collapsed="false">
      <c r="A66" s="1" t="n">
        <v>2058</v>
      </c>
      <c r="B66" s="115" t="n">
        <f aca="false">IF(A66&lt;2029,0,IF(A66=2029,$B$12,IF(A66=2030,$B$13,$B$14)))</f>
        <v>1</v>
      </c>
      <c r="C66" s="1" t="n">
        <f aca="false">INDEX($D$26:$D$31,MIN(A66-2025,6))*B66</f>
        <v>325109.050497254</v>
      </c>
      <c r="D66" s="1" t="n">
        <f aca="false">C66*$B$9</f>
        <v>262218.977767691</v>
      </c>
      <c r="E66" s="1" t="n">
        <f aca="false">D66-C66*$B$6</f>
        <v>259931.373687173</v>
      </c>
      <c r="F66" s="1" t="n">
        <f aca="false">E66*(1-$B$5)</f>
        <v>189749.902791636</v>
      </c>
      <c r="G66" s="1" t="n">
        <f aca="false">$B$8*(C66-C65/(1+$B$4))</f>
        <v>1477.60556000398</v>
      </c>
      <c r="H66" s="1" t="n">
        <f aca="false">IF(A66=2027,$B$11,IF(A66=2028,1-$B$11,0))*$B$10</f>
        <v>0</v>
      </c>
      <c r="I66" s="1" t="n">
        <f aca="false">F66+C66*$B$6-C66*$B$7-G66-H66</f>
        <v>172678.903534802</v>
      </c>
      <c r="J66" s="1" t="n">
        <f aca="false">F66+C66*$B$6-H66</f>
        <v>192037.506872155</v>
      </c>
      <c r="L66" s="1" t="n">
        <v>32</v>
      </c>
      <c r="M66" s="1" t="n">
        <f aca="false">IF(P65&gt;0,O65,M65)</f>
        <v>0.0483612670563161</v>
      </c>
      <c r="N66" s="1" t="n">
        <f aca="false">IF(P65&gt;0,N65,O65)</f>
        <v>0.0483612671494484</v>
      </c>
      <c r="O66" s="1" t="n">
        <f aca="false">(M66+N66)/2</f>
        <v>0.0483612671028823</v>
      </c>
      <c r="P66" s="116" t="n">
        <f aca="false">NPV(O66,I$35:I$194)</f>
        <v>0.000447161851326428</v>
      </c>
      <c r="Q66" s="1" t="n">
        <v>32</v>
      </c>
      <c r="R66" s="1" t="n">
        <f aca="false">IF(U65&gt;0,T65,R65)</f>
        <v>0.0541440758854151</v>
      </c>
      <c r="S66" s="1" t="n">
        <f aca="false">IF(U65&gt;0,S65,T65)</f>
        <v>0.0541440759785473</v>
      </c>
      <c r="T66" s="1" t="n">
        <f aca="false">(R66+S66)/2</f>
        <v>0.0541440759319812</v>
      </c>
      <c r="U66" s="116" t="n">
        <f aca="false">NPV(T66,J$35:J$194)</f>
        <v>0.00254707377321495</v>
      </c>
    </row>
    <row r="67" customFormat="false" ht="15" hidden="false" customHeight="true" outlineLevel="0" collapsed="false">
      <c r="A67" s="1" t="n">
        <v>2059</v>
      </c>
      <c r="B67" s="115" t="n">
        <f aca="false">IF(A67&lt;2029,0,IF(A67=2029,$B$12,IF(A67=2030,$B$13,$B$14)))</f>
        <v>1</v>
      </c>
      <c r="C67" s="1" t="n">
        <f aca="false">INDEX($D$26:$D$31,MIN(A67-2025,6))*B67</f>
        <v>325109.050497254</v>
      </c>
      <c r="D67" s="1" t="n">
        <f aca="false">C67*$B$9</f>
        <v>262218.977767691</v>
      </c>
      <c r="E67" s="1" t="n">
        <f aca="false">D67-C67*$B$6</f>
        <v>259931.373687173</v>
      </c>
      <c r="F67" s="1" t="n">
        <f aca="false">E67*(1-$B$5)</f>
        <v>189749.902791636</v>
      </c>
      <c r="G67" s="1" t="n">
        <f aca="false">$B$8*(C67-C66/(1+$B$4))</f>
        <v>1477.60556000398</v>
      </c>
      <c r="H67" s="1" t="n">
        <f aca="false">IF(A67=2027,$B$11,IF(A67=2028,1-$B$11,0))*$B$10</f>
        <v>0</v>
      </c>
      <c r="I67" s="1" t="n">
        <f aca="false">F67+C67*$B$6-C67*$B$7-G67-H67</f>
        <v>172678.903534802</v>
      </c>
      <c r="J67" s="1" t="n">
        <f aca="false">F67+C67*$B$6-H67</f>
        <v>192037.506872155</v>
      </c>
      <c r="L67" s="1" t="n">
        <v>33</v>
      </c>
      <c r="M67" s="1" t="n">
        <f aca="false">IF(P66&gt;0,O66,M66)</f>
        <v>0.0483612671028823</v>
      </c>
      <c r="N67" s="1" t="n">
        <f aca="false">IF(P66&gt;0,N66,O66)</f>
        <v>0.0483612671494484</v>
      </c>
      <c r="O67" s="1" t="n">
        <f aca="false">(M67+N67)/2</f>
        <v>0.0483612671261653</v>
      </c>
      <c r="P67" s="116" t="n">
        <f aca="false">NPV(O67,I$35:I$194)</f>
        <v>-0.00114016283357898</v>
      </c>
      <c r="Q67" s="1" t="n">
        <v>33</v>
      </c>
      <c r="R67" s="1" t="n">
        <f aca="false">IF(U66&gt;0,T66,R66)</f>
        <v>0.0541440759319812</v>
      </c>
      <c r="S67" s="1" t="n">
        <f aca="false">IF(U66&gt;0,S66,T66)</f>
        <v>0.0541440759785473</v>
      </c>
      <c r="T67" s="1" t="n">
        <f aca="false">(R67+S67)/2</f>
        <v>0.0541440759552643</v>
      </c>
      <c r="U67" s="116" t="n">
        <f aca="false">NPV(T67,J$35:J$194)</f>
        <v>0.00114588860119369</v>
      </c>
    </row>
    <row r="68" customFormat="false" ht="15" hidden="false" customHeight="true" outlineLevel="0" collapsed="false">
      <c r="A68" s="1" t="n">
        <v>2060</v>
      </c>
      <c r="B68" s="115" t="n">
        <f aca="false">IF(A68&lt;2029,0,IF(A68=2029,$B$12,IF(A68=2030,$B$13,$B$14)))</f>
        <v>1</v>
      </c>
      <c r="C68" s="1" t="n">
        <f aca="false">INDEX($D$26:$D$31,MIN(A68-2025,6))*B68</f>
        <v>325109.050497254</v>
      </c>
      <c r="D68" s="1" t="n">
        <f aca="false">C68*$B$9</f>
        <v>262218.977767691</v>
      </c>
      <c r="E68" s="1" t="n">
        <f aca="false">D68-C68*$B$6</f>
        <v>259931.373687173</v>
      </c>
      <c r="F68" s="1" t="n">
        <f aca="false">E68*(1-$B$5)</f>
        <v>189749.902791636</v>
      </c>
      <c r="G68" s="1" t="n">
        <f aca="false">$B$8*(C68-C67/(1+$B$4))</f>
        <v>1477.60556000398</v>
      </c>
      <c r="H68" s="1" t="n">
        <f aca="false">IF(A68=2027,$B$11,IF(A68=2028,1-$B$11,0))*$B$10</f>
        <v>0</v>
      </c>
      <c r="I68" s="1" t="n">
        <f aca="false">F68+C68*$B$6-C68*$B$7-G68-H68</f>
        <v>172678.903534802</v>
      </c>
      <c r="J68" s="1" t="n">
        <f aca="false">F68+C68*$B$6-H68</f>
        <v>192037.506872155</v>
      </c>
      <c r="L68" s="1" t="n">
        <v>34</v>
      </c>
      <c r="M68" s="1" t="n">
        <f aca="false">IF(P67&gt;0,O67,M67)</f>
        <v>0.0483612671028823</v>
      </c>
      <c r="N68" s="1" t="n">
        <f aca="false">IF(P67&gt;0,N67,O67)</f>
        <v>0.0483612671261653</v>
      </c>
      <c r="O68" s="1" t="n">
        <f aca="false">(M68+N68)/2</f>
        <v>0.0483612671145238</v>
      </c>
      <c r="P68" s="116" t="n">
        <f aca="false">NPV(O68,I$35:I$194)</f>
        <v>-0.000346492753820371</v>
      </c>
      <c r="Q68" s="1" t="n">
        <v>34</v>
      </c>
      <c r="R68" s="1" t="n">
        <f aca="false">IF(U67&gt;0,T67,R67)</f>
        <v>0.0541440759552643</v>
      </c>
      <c r="S68" s="1" t="n">
        <f aca="false">IF(U67&gt;0,S67,T67)</f>
        <v>0.0541440759785473</v>
      </c>
      <c r="T68" s="1" t="n">
        <f aca="false">(R68+S68)/2</f>
        <v>0.0541440759669058</v>
      </c>
      <c r="U68" s="116" t="n">
        <f aca="false">NPV(T68,J$35:J$194)</f>
        <v>0.000445295827503855</v>
      </c>
    </row>
    <row r="69" customFormat="false" ht="15" hidden="false" customHeight="true" outlineLevel="0" collapsed="false">
      <c r="A69" s="1" t="n">
        <v>2061</v>
      </c>
      <c r="B69" s="115" t="n">
        <f aca="false">IF(A69&lt;2029,0,IF(A69=2029,$B$12,IF(A69=2030,$B$13,$B$14)))</f>
        <v>1</v>
      </c>
      <c r="C69" s="1" t="n">
        <f aca="false">INDEX($D$26:$D$31,MIN(A69-2025,6))*B69</f>
        <v>325109.050497254</v>
      </c>
      <c r="D69" s="1" t="n">
        <f aca="false">C69*$B$9</f>
        <v>262218.977767691</v>
      </c>
      <c r="E69" s="1" t="n">
        <f aca="false">D69-C69*$B$6</f>
        <v>259931.373687173</v>
      </c>
      <c r="F69" s="1" t="n">
        <f aca="false">E69*(1-$B$5)</f>
        <v>189749.902791636</v>
      </c>
      <c r="G69" s="1" t="n">
        <f aca="false">$B$8*(C69-C68/(1+$B$4))</f>
        <v>1477.60556000398</v>
      </c>
      <c r="H69" s="1" t="n">
        <f aca="false">IF(A69=2027,$B$11,IF(A69=2028,1-$B$11,0))*$B$10</f>
        <v>0</v>
      </c>
      <c r="I69" s="1" t="n">
        <f aca="false">F69+C69*$B$6-C69*$B$7-G69-H69</f>
        <v>172678.903534802</v>
      </c>
      <c r="J69" s="1" t="n">
        <f aca="false">F69+C69*$B$6-H69</f>
        <v>192037.506872155</v>
      </c>
      <c r="L69" s="1" t="n">
        <v>35</v>
      </c>
      <c r="M69" s="1" t="n">
        <f aca="false">IF(P68&gt;0,O68,M68)</f>
        <v>0.0483612671028823</v>
      </c>
      <c r="N69" s="1" t="n">
        <f aca="false">IF(P68&gt;0,N68,O68)</f>
        <v>0.0483612671145238</v>
      </c>
      <c r="O69" s="1" t="n">
        <f aca="false">(M69+N69)/2</f>
        <v>0.048361267108703</v>
      </c>
      <c r="P69" s="116" t="n">
        <f aca="false">NPV(O69,I$35:I$194)</f>
        <v>5.0334561635168E-005</v>
      </c>
      <c r="Q69" s="1" t="n">
        <v>35</v>
      </c>
      <c r="R69" s="1" t="n">
        <f aca="false">IF(U68&gt;0,T68,R68)</f>
        <v>0.0541440759669058</v>
      </c>
      <c r="S69" s="1" t="n">
        <f aca="false">IF(U68&gt;0,S68,T68)</f>
        <v>0.0541440759785473</v>
      </c>
      <c r="T69" s="1" t="n">
        <f aca="false">(R69+S69)/2</f>
        <v>0.0541440759727266</v>
      </c>
      <c r="U69" s="116" t="n">
        <f aca="false">NPV(T69,J$35:J$194)</f>
        <v>9.50061851483497E-005</v>
      </c>
    </row>
    <row r="70" customFormat="false" ht="15" hidden="false" customHeight="true" outlineLevel="0" collapsed="false">
      <c r="A70" s="1" t="n">
        <v>2062</v>
      </c>
      <c r="B70" s="115" t="n">
        <f aca="false">IF(A70&lt;2029,0,IF(A70=2029,$B$12,IF(A70=2030,$B$13,$B$14)))</f>
        <v>1</v>
      </c>
      <c r="C70" s="1" t="n">
        <f aca="false">INDEX($D$26:$D$31,MIN(A70-2025,6))*B70</f>
        <v>325109.050497254</v>
      </c>
      <c r="D70" s="1" t="n">
        <f aca="false">C70*$B$9</f>
        <v>262218.977767691</v>
      </c>
      <c r="E70" s="1" t="n">
        <f aca="false">D70-C70*$B$6</f>
        <v>259931.373687173</v>
      </c>
      <c r="F70" s="1" t="n">
        <f aca="false">E70*(1-$B$5)</f>
        <v>189749.902791636</v>
      </c>
      <c r="G70" s="1" t="n">
        <f aca="false">$B$8*(C70-C69/(1+$B$4))</f>
        <v>1477.60556000398</v>
      </c>
      <c r="H70" s="1" t="n">
        <f aca="false">IF(A70=2027,$B$11,IF(A70=2028,1-$B$11,0))*$B$10</f>
        <v>0</v>
      </c>
      <c r="I70" s="1" t="n">
        <f aca="false">F70+C70*$B$6-C70*$B$7-G70-H70</f>
        <v>172678.903534802</v>
      </c>
      <c r="J70" s="1" t="n">
        <f aca="false">F70+C70*$B$6-H70</f>
        <v>192037.506872155</v>
      </c>
      <c r="L70" s="1" t="n">
        <v>36</v>
      </c>
      <c r="M70" s="1" t="n">
        <f aca="false">IF(P69&gt;0,O69,M69)</f>
        <v>0.048361267108703</v>
      </c>
      <c r="N70" s="1" t="n">
        <f aca="false">IF(P69&gt;0,N69,O69)</f>
        <v>0.0483612671145238</v>
      </c>
      <c r="O70" s="1" t="n">
        <f aca="false">(M70+N70)/2</f>
        <v>0.0483612671116134</v>
      </c>
      <c r="P70" s="116" t="n">
        <f aca="false">NPV(O70,I$35:I$194)</f>
        <v>-0.000148079042091354</v>
      </c>
      <c r="Q70" s="1" t="n">
        <v>36</v>
      </c>
      <c r="R70" s="1" t="n">
        <f aca="false">IF(U69&gt;0,T69,R69)</f>
        <v>0.0541440759727266</v>
      </c>
      <c r="S70" s="1" t="n">
        <f aca="false">IF(U69&gt;0,S69,T69)</f>
        <v>0.0541440759785473</v>
      </c>
      <c r="T70" s="1" t="n">
        <f aca="false">(R70+S70)/2</f>
        <v>0.0541440759756369</v>
      </c>
      <c r="U70" s="116" t="n">
        <f aca="false">NPV(T70,J$35:J$194)</f>
        <v>-8.01386813620297E-005</v>
      </c>
    </row>
    <row r="71" customFormat="false" ht="15" hidden="false" customHeight="true" outlineLevel="0" collapsed="false">
      <c r="A71" s="1" t="n">
        <v>2063</v>
      </c>
      <c r="B71" s="115" t="n">
        <f aca="false">IF(A71&lt;2029,0,IF(A71=2029,$B$12,IF(A71=2030,$B$13,$B$14)))</f>
        <v>1</v>
      </c>
      <c r="C71" s="1" t="n">
        <f aca="false">INDEX($D$26:$D$31,MIN(A71-2025,6))*B71</f>
        <v>325109.050497254</v>
      </c>
      <c r="D71" s="1" t="n">
        <f aca="false">C71*$B$9</f>
        <v>262218.977767691</v>
      </c>
      <c r="E71" s="1" t="n">
        <f aca="false">D71-C71*$B$6</f>
        <v>259931.373687173</v>
      </c>
      <c r="F71" s="1" t="n">
        <f aca="false">E71*(1-$B$5)</f>
        <v>189749.902791636</v>
      </c>
      <c r="G71" s="1" t="n">
        <f aca="false">$B$8*(C71-C70/(1+$B$4))</f>
        <v>1477.60556000398</v>
      </c>
      <c r="H71" s="1" t="n">
        <f aca="false">IF(A71=2027,$B$11,IF(A71=2028,1-$B$11,0))*$B$10</f>
        <v>0</v>
      </c>
      <c r="I71" s="1" t="n">
        <f aca="false">F71+C71*$B$6-C71*$B$7-G71-H71</f>
        <v>172678.903534802</v>
      </c>
      <c r="J71" s="1" t="n">
        <f aca="false">F71+C71*$B$6-H71</f>
        <v>192037.506872155</v>
      </c>
      <c r="L71" s="1" t="n">
        <v>37</v>
      </c>
      <c r="M71" s="1" t="n">
        <f aca="false">IF(P70&gt;0,O70,M70)</f>
        <v>0.048361267108703</v>
      </c>
      <c r="N71" s="1" t="n">
        <f aca="false">IF(P70&gt;0,N70,O70)</f>
        <v>0.0483612671116134</v>
      </c>
      <c r="O71" s="1" t="n">
        <f aca="false">(M71+N71)/2</f>
        <v>0.0483612671101582</v>
      </c>
      <c r="P71" s="116" t="n">
        <f aca="false">NPV(O71,I$35:I$194)</f>
        <v>-4.88799856270816E-005</v>
      </c>
      <c r="Q71" s="1" t="n">
        <v>37</v>
      </c>
      <c r="R71" s="1" t="n">
        <f aca="false">IF(U70&gt;0,T70,R70)</f>
        <v>0.0541440759727266</v>
      </c>
      <c r="S71" s="1" t="n">
        <f aca="false">IF(U70&gt;0,S70,T70)</f>
        <v>0.0541440759756369</v>
      </c>
      <c r="T71" s="1" t="n">
        <f aca="false">(R71+S71)/2</f>
        <v>0.0541440759741818</v>
      </c>
      <c r="U71" s="116" t="n">
        <f aca="false">NPV(T71,J$35:J$194)</f>
        <v>7.4269121697057E-006</v>
      </c>
    </row>
    <row r="72" customFormat="false" ht="15" hidden="false" customHeight="true" outlineLevel="0" collapsed="false">
      <c r="A72" s="1" t="n">
        <v>2064</v>
      </c>
      <c r="B72" s="115" t="n">
        <f aca="false">IF(A72&lt;2029,0,IF(A72=2029,$B$12,IF(A72=2030,$B$13,$B$14)))</f>
        <v>1</v>
      </c>
      <c r="C72" s="1" t="n">
        <f aca="false">INDEX($D$26:$D$31,MIN(A72-2025,6))*B72</f>
        <v>325109.050497254</v>
      </c>
      <c r="D72" s="1" t="n">
        <f aca="false">C72*$B$9</f>
        <v>262218.977767691</v>
      </c>
      <c r="E72" s="1" t="n">
        <f aca="false">D72-C72*$B$6</f>
        <v>259931.373687173</v>
      </c>
      <c r="F72" s="1" t="n">
        <f aca="false">E72*(1-$B$5)</f>
        <v>189749.902791636</v>
      </c>
      <c r="G72" s="1" t="n">
        <f aca="false">$B$8*(C72-C71/(1+$B$4))</f>
        <v>1477.60556000398</v>
      </c>
      <c r="H72" s="1" t="n">
        <f aca="false">IF(A72=2027,$B$11,IF(A72=2028,1-$B$11,0))*$B$10</f>
        <v>0</v>
      </c>
      <c r="I72" s="1" t="n">
        <f aca="false">F72+C72*$B$6-C72*$B$7-G72-H72</f>
        <v>172678.903534802</v>
      </c>
      <c r="J72" s="1" t="n">
        <f aca="false">F72+C72*$B$6-H72</f>
        <v>192037.506872155</v>
      </c>
      <c r="L72" s="1" t="n">
        <v>38</v>
      </c>
      <c r="M72" s="1" t="n">
        <f aca="false">IF(P71&gt;0,O71,M71)</f>
        <v>0.048361267108703</v>
      </c>
      <c r="N72" s="1" t="n">
        <f aca="false">IF(P71&gt;0,N71,O71)</f>
        <v>0.0483612671101582</v>
      </c>
      <c r="O72" s="1" t="n">
        <f aca="false">(M72+N72)/2</f>
        <v>0.0483612671094306</v>
      </c>
      <c r="P72" s="116" t="n">
        <f aca="false">NPV(O72,I$35:I$194)</f>
        <v>7.27244199083543E-007</v>
      </c>
      <c r="Q72" s="1" t="n">
        <v>38</v>
      </c>
      <c r="R72" s="1" t="n">
        <f aca="false">IF(U71&gt;0,T71,R71)</f>
        <v>0.0541440759741818</v>
      </c>
      <c r="S72" s="1" t="n">
        <f aca="false">IF(U71&gt;0,S71,T71)</f>
        <v>0.0541440759756369</v>
      </c>
      <c r="T72" s="1" t="n">
        <f aca="false">(R72+S72)/2</f>
        <v>0.0541440759749094</v>
      </c>
      <c r="U72" s="116" t="n">
        <f aca="false">NPV(T72,J$35:J$194)</f>
        <v>-3.63623812162928E-005</v>
      </c>
    </row>
    <row r="73" customFormat="false" ht="15" hidden="false" customHeight="true" outlineLevel="0" collapsed="false">
      <c r="A73" s="1" t="n">
        <v>2065</v>
      </c>
      <c r="B73" s="115" t="n">
        <f aca="false">IF(A73&lt;2029,0,IF(A73=2029,$B$12,IF(A73=2030,$B$13,$B$14)))</f>
        <v>1</v>
      </c>
      <c r="C73" s="1" t="n">
        <f aca="false">INDEX($D$26:$D$31,MIN(A73-2025,6))*B73</f>
        <v>325109.050497254</v>
      </c>
      <c r="D73" s="1" t="n">
        <f aca="false">C73*$B$9</f>
        <v>262218.977767691</v>
      </c>
      <c r="E73" s="1" t="n">
        <f aca="false">D73-C73*$B$6</f>
        <v>259931.373687173</v>
      </c>
      <c r="F73" s="1" t="n">
        <f aca="false">E73*(1-$B$5)</f>
        <v>189749.902791636</v>
      </c>
      <c r="G73" s="1" t="n">
        <f aca="false">$B$8*(C73-C72/(1+$B$4))</f>
        <v>1477.60556000398</v>
      </c>
      <c r="H73" s="1" t="n">
        <f aca="false">IF(A73=2027,$B$11,IF(A73=2028,1-$B$11,0))*$B$10</f>
        <v>0</v>
      </c>
      <c r="I73" s="1" t="n">
        <f aca="false">F73+C73*$B$6-C73*$B$7-G73-H73</f>
        <v>172678.903534802</v>
      </c>
      <c r="J73" s="1" t="n">
        <f aca="false">F73+C73*$B$6-H73</f>
        <v>192037.506872155</v>
      </c>
      <c r="L73" s="1" t="n">
        <v>39</v>
      </c>
      <c r="M73" s="1" t="n">
        <f aca="false">IF(P72&gt;0,O72,M72)</f>
        <v>0.0483612671094306</v>
      </c>
      <c r="N73" s="1" t="n">
        <f aca="false">IF(P72&gt;0,N72,O72)</f>
        <v>0.0483612671101582</v>
      </c>
      <c r="O73" s="1" t="n">
        <f aca="false">(M73+N73)/2</f>
        <v>0.0483612671097944</v>
      </c>
      <c r="P73" s="116" t="n">
        <f aca="false">NPV(O73,I$35:I$194)</f>
        <v>-2.4068789514331E-005</v>
      </c>
      <c r="Q73" s="1" t="n">
        <v>39</v>
      </c>
      <c r="R73" s="1" t="n">
        <f aca="false">IF(U72&gt;0,T72,R72)</f>
        <v>0.0541440759741818</v>
      </c>
      <c r="S73" s="1" t="n">
        <f aca="false">IF(U72&gt;0,S72,T72)</f>
        <v>0.0541440759749094</v>
      </c>
      <c r="T73" s="1" t="n">
        <f aca="false">(R73+S73)/2</f>
        <v>0.0541440759745456</v>
      </c>
      <c r="U73" s="116" t="n">
        <f aca="false">NPV(T73,J$35:J$194)</f>
        <v>-1.44607639498417E-005</v>
      </c>
    </row>
    <row r="74" customFormat="false" ht="15" hidden="false" customHeight="true" outlineLevel="0" collapsed="false">
      <c r="A74" s="1" t="n">
        <v>2066</v>
      </c>
      <c r="B74" s="115" t="n">
        <f aca="false">IF(A74&lt;2029,0,IF(A74=2029,$B$12,IF(A74=2030,$B$13,$B$14)))</f>
        <v>1</v>
      </c>
      <c r="C74" s="1" t="n">
        <f aca="false">INDEX($D$26:$D$31,MIN(A74-2025,6))*B74</f>
        <v>325109.050497254</v>
      </c>
      <c r="D74" s="1" t="n">
        <f aca="false">C74*$B$9</f>
        <v>262218.977767691</v>
      </c>
      <c r="E74" s="1" t="n">
        <f aca="false">D74-C74*$B$6</f>
        <v>259931.373687173</v>
      </c>
      <c r="F74" s="1" t="n">
        <f aca="false">E74*(1-$B$5)</f>
        <v>189749.902791636</v>
      </c>
      <c r="G74" s="1" t="n">
        <f aca="false">$B$8*(C74-C73/(1+$B$4))</f>
        <v>1477.60556000398</v>
      </c>
      <c r="H74" s="1" t="n">
        <f aca="false">IF(A74=2027,$B$11,IF(A74=2028,1-$B$11,0))*$B$10</f>
        <v>0</v>
      </c>
      <c r="I74" s="1" t="n">
        <f aca="false">F74+C74*$B$6-C74*$B$7-G74-H74</f>
        <v>172678.903534802</v>
      </c>
      <c r="J74" s="1" t="n">
        <f aca="false">F74+C74*$B$6-H74</f>
        <v>192037.506872155</v>
      </c>
      <c r="L74" s="1" t="n">
        <v>40</v>
      </c>
      <c r="M74" s="1" t="n">
        <f aca="false">IF(P73&gt;0,O73,M73)</f>
        <v>0.0483612671094306</v>
      </c>
      <c r="N74" s="1" t="n">
        <f aca="false">IF(P73&gt;0,N73,O73)</f>
        <v>0.0483612671097944</v>
      </c>
      <c r="O74" s="1" t="n">
        <f aca="false">(M74+N74)/2</f>
        <v>0.0483612671096125</v>
      </c>
      <c r="P74" s="116" t="n">
        <f aca="false">NPV(O74,I$35:I$194)</f>
        <v>-1.16706643353837E-005</v>
      </c>
      <c r="Q74" s="1" t="n">
        <v>40</v>
      </c>
      <c r="R74" s="1" t="n">
        <f aca="false">IF(U73&gt;0,T73,R73)</f>
        <v>0.0541440759741818</v>
      </c>
      <c r="S74" s="1" t="n">
        <f aca="false">IF(U73&gt;0,S73,T73)</f>
        <v>0.0541440759745456</v>
      </c>
      <c r="T74" s="1" t="n">
        <f aca="false">(R74+S74)/2</f>
        <v>0.0541440759743636</v>
      </c>
      <c r="U74" s="116" t="n">
        <f aca="false">NPV(T74,J$35:J$194)</f>
        <v>-3.51676693099989E-006</v>
      </c>
    </row>
    <row r="75" customFormat="false" ht="15" hidden="false" customHeight="true" outlineLevel="0" collapsed="false">
      <c r="A75" s="1" t="n">
        <v>2067</v>
      </c>
      <c r="B75" s="115" t="n">
        <f aca="false">IF(A75&lt;2029,0,IF(A75=2029,$B$12,IF(A75=2030,$B$13,$B$14)))</f>
        <v>1</v>
      </c>
      <c r="C75" s="1" t="n">
        <f aca="false">INDEX($D$26:$D$31,MIN(A75-2025,6))*B75</f>
        <v>325109.050497254</v>
      </c>
      <c r="D75" s="1" t="n">
        <f aca="false">C75*$B$9</f>
        <v>262218.977767691</v>
      </c>
      <c r="E75" s="1" t="n">
        <f aca="false">D75-C75*$B$6</f>
        <v>259931.373687173</v>
      </c>
      <c r="F75" s="1" t="n">
        <f aca="false">E75*(1-$B$5)</f>
        <v>189749.902791636</v>
      </c>
      <c r="G75" s="1" t="n">
        <f aca="false">$B$8*(C75-C74/(1+$B$4))</f>
        <v>1477.60556000398</v>
      </c>
      <c r="H75" s="1" t="n">
        <f aca="false">IF(A75=2027,$B$11,IF(A75=2028,1-$B$11,0))*$B$10</f>
        <v>0</v>
      </c>
      <c r="I75" s="1" t="n">
        <f aca="false">F75+C75*$B$6-C75*$B$7-G75-H75</f>
        <v>172678.903534802</v>
      </c>
      <c r="J75" s="1" t="n">
        <f aca="false">F75+C75*$B$6-H75</f>
        <v>192037.506872155</v>
      </c>
      <c r="L75" s="1" t="n">
        <v>41</v>
      </c>
      <c r="M75" s="1" t="n">
        <f aca="false">IF(P74&gt;0,O74,M74)</f>
        <v>0.0483612671094306</v>
      </c>
      <c r="N75" s="1" t="n">
        <f aca="false">IF(P74&gt;0,N74,O74)</f>
        <v>0.0483612671096125</v>
      </c>
      <c r="O75" s="1" t="n">
        <f aca="false">(M75+N75)/2</f>
        <v>0.0483612671095216</v>
      </c>
      <c r="P75" s="116" t="n">
        <f aca="false">NPV(O75,I$35:I$194)</f>
        <v>-5.46399451195612E-006</v>
      </c>
      <c r="Q75" s="1" t="n">
        <v>41</v>
      </c>
      <c r="R75" s="1" t="n">
        <f aca="false">IF(U74&gt;0,T74,R74)</f>
        <v>0.0541440759741818</v>
      </c>
      <c r="S75" s="1" t="n">
        <f aca="false">IF(U74&gt;0,S74,T74)</f>
        <v>0.0541440759743636</v>
      </c>
      <c r="T75" s="1" t="n">
        <f aca="false">(R75+S75)/2</f>
        <v>0.0541440759742727</v>
      </c>
      <c r="U75" s="116" t="n">
        <f aca="false">NPV(T75,J$35:J$194)</f>
        <v>1.9620114315444E-006</v>
      </c>
    </row>
    <row r="76" customFormat="false" ht="15" hidden="false" customHeight="true" outlineLevel="0" collapsed="false">
      <c r="A76" s="1" t="n">
        <v>2068</v>
      </c>
      <c r="B76" s="115" t="n">
        <f aca="false">IF(A76&lt;2029,0,IF(A76=2029,$B$12,IF(A76=2030,$B$13,$B$14)))</f>
        <v>1</v>
      </c>
      <c r="C76" s="1" t="n">
        <f aca="false">INDEX($D$26:$D$31,MIN(A76-2025,6))*B76</f>
        <v>325109.050497254</v>
      </c>
      <c r="D76" s="1" t="n">
        <f aca="false">C76*$B$9</f>
        <v>262218.977767691</v>
      </c>
      <c r="E76" s="1" t="n">
        <f aca="false">D76-C76*$B$6</f>
        <v>259931.373687173</v>
      </c>
      <c r="F76" s="1" t="n">
        <f aca="false">E76*(1-$B$5)</f>
        <v>189749.902791636</v>
      </c>
      <c r="G76" s="1" t="n">
        <f aca="false">$B$8*(C76-C75/(1+$B$4))</f>
        <v>1477.60556000398</v>
      </c>
      <c r="H76" s="1" t="n">
        <f aca="false">IF(A76=2027,$B$11,IF(A76=2028,1-$B$11,0))*$B$10</f>
        <v>0</v>
      </c>
      <c r="I76" s="1" t="n">
        <f aca="false">F76+C76*$B$6-C76*$B$7-G76-H76</f>
        <v>172678.903534802</v>
      </c>
      <c r="J76" s="1" t="n">
        <f aca="false">F76+C76*$B$6-H76</f>
        <v>192037.506872155</v>
      </c>
      <c r="L76" s="1" t="n">
        <v>42</v>
      </c>
      <c r="M76" s="1" t="n">
        <f aca="false">IF(P75&gt;0,O75,M75)</f>
        <v>0.0483612671094306</v>
      </c>
      <c r="N76" s="1" t="n">
        <f aca="false">IF(P75&gt;0,N75,O75)</f>
        <v>0.0483612671095216</v>
      </c>
      <c r="O76" s="1" t="n">
        <f aca="false">(M76+N76)/2</f>
        <v>0.0483612671094761</v>
      </c>
      <c r="P76" s="116" t="n">
        <f aca="false">NPV(O76,I$35:I$194)</f>
        <v>-2.37615002163238E-006</v>
      </c>
      <c r="Q76" s="1" t="n">
        <v>42</v>
      </c>
      <c r="R76" s="1" t="n">
        <f aca="false">IF(U75&gt;0,T75,R75)</f>
        <v>0.0541440759742727</v>
      </c>
      <c r="S76" s="1" t="n">
        <f aca="false">IF(U75&gt;0,S75,T75)</f>
        <v>0.0541440759743636</v>
      </c>
      <c r="T76" s="1" t="n">
        <f aca="false">(R76+S76)/2</f>
        <v>0.0541440759743182</v>
      </c>
      <c r="U76" s="116" t="n">
        <f aca="false">NPV(T76,J$35:J$194)</f>
        <v>-7.77477353608447E-007</v>
      </c>
    </row>
    <row r="77" customFormat="false" ht="15" hidden="false" customHeight="true" outlineLevel="0" collapsed="false">
      <c r="A77" s="1" t="n">
        <v>2069</v>
      </c>
      <c r="B77" s="115" t="n">
        <f aca="false">IF(A77&lt;2029,0,IF(A77=2029,$B$12,IF(A77=2030,$B$13,$B$14)))</f>
        <v>1</v>
      </c>
      <c r="C77" s="1" t="n">
        <f aca="false">INDEX($D$26:$D$31,MIN(A77-2025,6))*B77</f>
        <v>325109.050497254</v>
      </c>
      <c r="D77" s="1" t="n">
        <f aca="false">C77*$B$9</f>
        <v>262218.977767691</v>
      </c>
      <c r="E77" s="1" t="n">
        <f aca="false">D77-C77*$B$6</f>
        <v>259931.373687173</v>
      </c>
      <c r="F77" s="1" t="n">
        <f aca="false">E77*(1-$B$5)</f>
        <v>189749.902791636</v>
      </c>
      <c r="G77" s="1" t="n">
        <f aca="false">$B$8*(C77-C76/(1+$B$4))</f>
        <v>1477.60556000398</v>
      </c>
      <c r="H77" s="1" t="n">
        <f aca="false">IF(A77=2027,$B$11,IF(A77=2028,1-$B$11,0))*$B$10</f>
        <v>0</v>
      </c>
      <c r="I77" s="1" t="n">
        <f aca="false">F77+C77*$B$6-C77*$B$7-G77-H77</f>
        <v>172678.903534802</v>
      </c>
      <c r="J77" s="1" t="n">
        <f aca="false">F77+C77*$B$6-H77</f>
        <v>192037.506872155</v>
      </c>
      <c r="L77" s="1" t="n">
        <v>43</v>
      </c>
      <c r="M77" s="1" t="n">
        <f aca="false">IF(P76&gt;0,O76,M76)</f>
        <v>0.0483612671094306</v>
      </c>
      <c r="N77" s="1" t="n">
        <f aca="false">IF(P76&gt;0,N76,O76)</f>
        <v>0.0483612671094761</v>
      </c>
      <c r="O77" s="1" t="n">
        <f aca="false">(M77+N77)/2</f>
        <v>0.0483612671094534</v>
      </c>
      <c r="P77" s="116" t="n">
        <f aca="false">NPV(O77,I$35:I$194)</f>
        <v>-8.16895251887218E-007</v>
      </c>
      <c r="Q77" s="1" t="n">
        <v>43</v>
      </c>
      <c r="R77" s="1" t="n">
        <f aca="false">IF(U76&gt;0,T76,R76)</f>
        <v>0.0541440759742727</v>
      </c>
      <c r="S77" s="1" t="n">
        <f aca="false">IF(U76&gt;0,S76,T76)</f>
        <v>0.0541440759743182</v>
      </c>
      <c r="T77" s="1" t="n">
        <f aca="false">(R77+S77)/2</f>
        <v>0.0541440759742954</v>
      </c>
      <c r="U77" s="116" t="n">
        <f aca="false">NPV(T77,J$35:J$194)</f>
        <v>5.854358349211E-007</v>
      </c>
    </row>
    <row r="78" customFormat="false" ht="15" hidden="false" customHeight="true" outlineLevel="0" collapsed="false">
      <c r="A78" s="1" t="n">
        <v>2070</v>
      </c>
      <c r="B78" s="115" t="n">
        <f aca="false">IF(A78&lt;2029,0,IF(A78=2029,$B$12,IF(A78=2030,$B$13,$B$14)))</f>
        <v>1</v>
      </c>
      <c r="C78" s="1" t="n">
        <f aca="false">INDEX($D$26:$D$31,MIN(A78-2025,6))*B78</f>
        <v>325109.050497254</v>
      </c>
      <c r="D78" s="1" t="n">
        <f aca="false">C78*$B$9</f>
        <v>262218.977767691</v>
      </c>
      <c r="E78" s="1" t="n">
        <f aca="false">D78-C78*$B$6</f>
        <v>259931.373687173</v>
      </c>
      <c r="F78" s="1" t="n">
        <f aca="false">E78*(1-$B$5)</f>
        <v>189749.902791636</v>
      </c>
      <c r="G78" s="1" t="n">
        <f aca="false">$B$8*(C78-C77/(1+$B$4))</f>
        <v>1477.60556000398</v>
      </c>
      <c r="H78" s="1" t="n">
        <f aca="false">IF(A78=2027,$B$11,IF(A78=2028,1-$B$11,0))*$B$10</f>
        <v>0</v>
      </c>
      <c r="I78" s="1" t="n">
        <f aca="false">F78+C78*$B$6-C78*$B$7-G78-H78</f>
        <v>172678.903534802</v>
      </c>
      <c r="J78" s="1" t="n">
        <f aca="false">F78+C78*$B$6-H78</f>
        <v>192037.506872155</v>
      </c>
      <c r="L78" s="1" t="n">
        <v>44</v>
      </c>
      <c r="M78" s="1" t="n">
        <f aca="false">IF(P77&gt;0,O77,M77)</f>
        <v>0.0483612671094306</v>
      </c>
      <c r="N78" s="1" t="n">
        <f aca="false">IF(P77&gt;0,N77,O77)</f>
        <v>0.0483612671094534</v>
      </c>
      <c r="O78" s="1" t="n">
        <f aca="false">(M78+N78)/2</f>
        <v>0.048361267109442</v>
      </c>
      <c r="P78" s="116" t="n">
        <f aca="false">NPV(O78,I$35:I$194)</f>
        <v>-4.47097647793271E-008</v>
      </c>
      <c r="Q78" s="1" t="n">
        <v>44</v>
      </c>
      <c r="R78" s="1" t="n">
        <f aca="false">IF(U77&gt;0,T77,R77)</f>
        <v>0.0541440759742954</v>
      </c>
      <c r="S78" s="1" t="n">
        <f aca="false">IF(U77&gt;0,S77,T77)</f>
        <v>0.0541440759743182</v>
      </c>
      <c r="T78" s="1" t="n">
        <f aca="false">(R78+S78)/2</f>
        <v>0.0541440759743068</v>
      </c>
      <c r="U78" s="116" t="n">
        <f aca="false">NPV(T78,J$35:J$194)</f>
        <v>-9.61907034024989E-008</v>
      </c>
    </row>
    <row r="79" customFormat="false" ht="15" hidden="false" customHeight="true" outlineLevel="0" collapsed="false">
      <c r="A79" s="1" t="n">
        <v>2071</v>
      </c>
      <c r="B79" s="115" t="n">
        <f aca="false">IF(A79&lt;2029,0,IF(A79=2029,$B$12,IF(A79=2030,$B$13,$B$14)))</f>
        <v>1</v>
      </c>
      <c r="C79" s="1" t="n">
        <f aca="false">INDEX($D$26:$D$31,MIN(A79-2025,6))*B79</f>
        <v>325109.050497254</v>
      </c>
      <c r="D79" s="1" t="n">
        <f aca="false">C79*$B$9</f>
        <v>262218.977767691</v>
      </c>
      <c r="E79" s="1" t="n">
        <f aca="false">D79-C79*$B$6</f>
        <v>259931.373687173</v>
      </c>
      <c r="F79" s="1" t="n">
        <f aca="false">E79*(1-$B$5)</f>
        <v>189749.902791636</v>
      </c>
      <c r="G79" s="1" t="n">
        <f aca="false">$B$8*(C79-C78/(1+$B$4))</f>
        <v>1477.60556000398</v>
      </c>
      <c r="H79" s="1" t="n">
        <f aca="false">IF(A79=2027,$B$11,IF(A79=2028,1-$B$11,0))*$B$10</f>
        <v>0</v>
      </c>
      <c r="I79" s="1" t="n">
        <f aca="false">F79+C79*$B$6-C79*$B$7-G79-H79</f>
        <v>172678.903534802</v>
      </c>
      <c r="J79" s="1" t="n">
        <f aca="false">F79+C79*$B$6-H79</f>
        <v>192037.506872155</v>
      </c>
      <c r="L79" s="1" t="n">
        <v>45</v>
      </c>
      <c r="M79" s="1" t="n">
        <f aca="false">IF(P78&gt;0,O78,M78)</f>
        <v>0.0483612671094306</v>
      </c>
      <c r="N79" s="1" t="n">
        <f aca="false">IF(P78&gt;0,N78,O78)</f>
        <v>0.048361267109442</v>
      </c>
      <c r="O79" s="1" t="n">
        <f aca="false">(M79+N79)/2</f>
        <v>0.0483612671094363</v>
      </c>
      <c r="P79" s="116" t="n">
        <f aca="false">NPV(O79,I$35:I$194)</f>
        <v>3.48875687450345E-007</v>
      </c>
      <c r="Q79" s="1" t="n">
        <v>45</v>
      </c>
      <c r="R79" s="1" t="n">
        <f aca="false">IF(U78&gt;0,T78,R78)</f>
        <v>0.0541440759742954</v>
      </c>
      <c r="S79" s="1" t="n">
        <f aca="false">IF(U78&gt;0,S78,T78)</f>
        <v>0.0541440759743068</v>
      </c>
      <c r="T79" s="1" t="n">
        <f aca="false">(R79+S79)/2</f>
        <v>0.0541440759743011</v>
      </c>
      <c r="U79" s="116" t="n">
        <f aca="false">NPV(T79,J$35:J$194)</f>
        <v>2.51613812451978E-007</v>
      </c>
    </row>
    <row r="80" customFormat="false" ht="15" hidden="false" customHeight="true" outlineLevel="0" collapsed="false">
      <c r="A80" s="1" t="n">
        <v>2072</v>
      </c>
      <c r="B80" s="115" t="n">
        <f aca="false">IF(A80&lt;2029,0,IF(A80=2029,$B$12,IF(A80=2030,$B$13,$B$14)))</f>
        <v>1</v>
      </c>
      <c r="C80" s="1" t="n">
        <f aca="false">INDEX($D$26:$D$31,MIN(A80-2025,6))*B80</f>
        <v>325109.050497254</v>
      </c>
      <c r="D80" s="1" t="n">
        <f aca="false">C80*$B$9</f>
        <v>262218.977767691</v>
      </c>
      <c r="E80" s="1" t="n">
        <f aca="false">D80-C80*$B$6</f>
        <v>259931.373687173</v>
      </c>
      <c r="F80" s="1" t="n">
        <f aca="false">E80*(1-$B$5)</f>
        <v>189749.902791636</v>
      </c>
      <c r="G80" s="1" t="n">
        <f aca="false">$B$8*(C80-C79/(1+$B$4))</f>
        <v>1477.60556000398</v>
      </c>
      <c r="H80" s="1" t="n">
        <f aca="false">IF(A80=2027,$B$11,IF(A80=2028,1-$B$11,0))*$B$10</f>
        <v>0</v>
      </c>
      <c r="I80" s="1" t="n">
        <f aca="false">F80+C80*$B$6-C80*$B$7-G80-H80</f>
        <v>172678.903534802</v>
      </c>
      <c r="J80" s="1" t="n">
        <f aca="false">F80+C80*$B$6-H80</f>
        <v>192037.506872155</v>
      </c>
      <c r="L80" s="1" t="n">
        <v>46</v>
      </c>
      <c r="M80" s="1" t="n">
        <f aca="false">IF(P79&gt;0,O79,M79)</f>
        <v>0.0483612671094363</v>
      </c>
      <c r="N80" s="1" t="n">
        <f aca="false">IF(P79&gt;0,N79,O79)</f>
        <v>0.048361267109442</v>
      </c>
      <c r="O80" s="1" t="n">
        <f aca="false">(M80+N80)/2</f>
        <v>0.0483612671094391</v>
      </c>
      <c r="P80" s="116" t="n">
        <f aca="false">NPV(O80,I$35:I$194)</f>
        <v>1.52177776158169E-007</v>
      </c>
      <c r="Q80" s="1" t="n">
        <v>46</v>
      </c>
      <c r="R80" s="1" t="n">
        <f aca="false">IF(U79&gt;0,T79,R79)</f>
        <v>0.0541440759743011</v>
      </c>
      <c r="S80" s="1" t="n">
        <f aca="false">IF(U79&gt;0,S79,T79)</f>
        <v>0.0541440759743068</v>
      </c>
      <c r="T80" s="1" t="n">
        <f aca="false">(R80+S80)/2</f>
        <v>0.054144075974304</v>
      </c>
      <c r="U80" s="116" t="n">
        <f aca="false">NPV(T80,J$35:J$194)</f>
        <v>7.77056143874688E-008</v>
      </c>
    </row>
    <row r="81" customFormat="false" ht="15" hidden="false" customHeight="true" outlineLevel="0" collapsed="false">
      <c r="A81" s="1" t="n">
        <v>2073</v>
      </c>
      <c r="B81" s="115" t="n">
        <f aca="false">IF(A81&lt;2029,0,IF(A81=2029,$B$12,IF(A81=2030,$B$13,$B$14)))</f>
        <v>1</v>
      </c>
      <c r="C81" s="1" t="n">
        <f aca="false">INDEX($D$26:$D$31,MIN(A81-2025,6))*B81</f>
        <v>325109.050497254</v>
      </c>
      <c r="D81" s="1" t="n">
        <f aca="false">C81*$B$9</f>
        <v>262218.977767691</v>
      </c>
      <c r="E81" s="1" t="n">
        <f aca="false">D81-C81*$B$6</f>
        <v>259931.373687173</v>
      </c>
      <c r="F81" s="1" t="n">
        <f aca="false">E81*(1-$B$5)</f>
        <v>189749.902791636</v>
      </c>
      <c r="G81" s="1" t="n">
        <f aca="false">$B$8*(C81-C80/(1+$B$4))</f>
        <v>1477.60556000398</v>
      </c>
      <c r="H81" s="1" t="n">
        <f aca="false">IF(A81=2027,$B$11,IF(A81=2028,1-$B$11,0))*$B$10</f>
        <v>0</v>
      </c>
      <c r="I81" s="1" t="n">
        <f aca="false">F81+C81*$B$6-C81*$B$7-G81-H81</f>
        <v>172678.903534802</v>
      </c>
      <c r="J81" s="1" t="n">
        <f aca="false">F81+C81*$B$6-H81</f>
        <v>192037.506872155</v>
      </c>
      <c r="L81" s="1" t="n">
        <v>47</v>
      </c>
      <c r="M81" s="1" t="n">
        <f aca="false">IF(P80&gt;0,O80,M80)</f>
        <v>0.0483612671094391</v>
      </c>
      <c r="N81" s="1" t="n">
        <f aca="false">IF(P80&gt;0,N80,O80)</f>
        <v>0.048361267109442</v>
      </c>
      <c r="O81" s="1" t="n">
        <f aca="false">(M81+N81)/2</f>
        <v>0.0483612671094406</v>
      </c>
      <c r="P81" s="116" t="n">
        <f aca="false">NPV(O81,I$35:I$194)</f>
        <v>4.61263027773384E-008</v>
      </c>
      <c r="Q81" s="1" t="n">
        <v>47</v>
      </c>
      <c r="R81" s="1" t="n">
        <f aca="false">IF(U80&gt;0,T80,R80)</f>
        <v>0.054144075974304</v>
      </c>
      <c r="S81" s="1" t="n">
        <f aca="false">IF(U80&gt;0,S80,T80)</f>
        <v>0.0541440759743068</v>
      </c>
      <c r="T81" s="1" t="n">
        <f aca="false">(R81+S81)/2</f>
        <v>0.0541440759743054</v>
      </c>
      <c r="U81" s="116" t="n">
        <f aca="false">NPV(T81,J$35:J$194)</f>
        <v>-1.55890305109097E-008</v>
      </c>
    </row>
    <row r="82" customFormat="false" ht="15" hidden="false" customHeight="true" outlineLevel="0" collapsed="false">
      <c r="A82" s="1" t="n">
        <v>2074</v>
      </c>
      <c r="B82" s="115" t="n">
        <f aca="false">IF(A82&lt;2029,0,IF(A82=2029,$B$12,IF(A82=2030,$B$13,$B$14)))</f>
        <v>1</v>
      </c>
      <c r="C82" s="1" t="n">
        <f aca="false">INDEX($D$26:$D$31,MIN(A82-2025,6))*B82</f>
        <v>325109.050497254</v>
      </c>
      <c r="D82" s="1" t="n">
        <f aca="false">C82*$B$9</f>
        <v>262218.977767691</v>
      </c>
      <c r="E82" s="1" t="n">
        <f aca="false">D82-C82*$B$6</f>
        <v>259931.373687173</v>
      </c>
      <c r="F82" s="1" t="n">
        <f aca="false">E82*(1-$B$5)</f>
        <v>189749.902791636</v>
      </c>
      <c r="G82" s="1" t="n">
        <f aca="false">$B$8*(C82-C81/(1+$B$4))</f>
        <v>1477.60556000398</v>
      </c>
      <c r="H82" s="1" t="n">
        <f aca="false">IF(A82=2027,$B$11,IF(A82=2028,1-$B$11,0))*$B$10</f>
        <v>0</v>
      </c>
      <c r="I82" s="1" t="n">
        <f aca="false">F82+C82*$B$6-C82*$B$7-G82-H82</f>
        <v>172678.903534802</v>
      </c>
      <c r="J82" s="1" t="n">
        <f aca="false">F82+C82*$B$6-H82</f>
        <v>192037.506872155</v>
      </c>
      <c r="L82" s="1" t="n">
        <v>48</v>
      </c>
      <c r="M82" s="1" t="n">
        <f aca="false">IF(P81&gt;0,O81,M81)</f>
        <v>0.0483612671094406</v>
      </c>
      <c r="N82" s="1" t="n">
        <f aca="false">IF(P81&gt;0,N81,O81)</f>
        <v>0.048361267109442</v>
      </c>
      <c r="O82" s="1" t="n">
        <f aca="false">(M82+N82)/2</f>
        <v>0.0483612671094413</v>
      </c>
      <c r="P82" s="116" t="n">
        <f aca="false">NPV(O82,I$35:I$194)</f>
        <v>6.15898443356855E-010</v>
      </c>
      <c r="Q82" s="1" t="n">
        <v>48</v>
      </c>
      <c r="R82" s="1" t="n">
        <f aca="false">IF(U81&gt;0,T81,R81)</f>
        <v>0.054144075974304</v>
      </c>
      <c r="S82" s="1" t="n">
        <f aca="false">IF(U81&gt;0,S81,T81)</f>
        <v>0.0541440759743054</v>
      </c>
      <c r="T82" s="1" t="n">
        <f aca="false">(R82+S82)/2</f>
        <v>0.0541440759743047</v>
      </c>
      <c r="U82" s="116" t="n">
        <f aca="false">NPV(T82,J$35:J$194)</f>
        <v>3.75524891182977E-008</v>
      </c>
    </row>
    <row r="83" customFormat="false" ht="15" hidden="false" customHeight="true" outlineLevel="0" collapsed="false">
      <c r="A83" s="1" t="n">
        <v>2075</v>
      </c>
      <c r="B83" s="115" t="n">
        <f aca="false">IF(A83&lt;2029,0,IF(A83=2029,$B$12,IF(A83=2030,$B$13,$B$14)))</f>
        <v>1</v>
      </c>
      <c r="C83" s="1" t="n">
        <f aca="false">INDEX($D$26:$D$31,MIN(A83-2025,6))*B83</f>
        <v>325109.050497254</v>
      </c>
      <c r="D83" s="1" t="n">
        <f aca="false">C83*$B$9</f>
        <v>262218.977767691</v>
      </c>
      <c r="E83" s="1" t="n">
        <f aca="false">D83-C83*$B$6</f>
        <v>259931.373687173</v>
      </c>
      <c r="F83" s="1" t="n">
        <f aca="false">E83*(1-$B$5)</f>
        <v>189749.902791636</v>
      </c>
      <c r="G83" s="1" t="n">
        <f aca="false">$B$8*(C83-C82/(1+$B$4))</f>
        <v>1477.60556000398</v>
      </c>
      <c r="H83" s="1" t="n">
        <f aca="false">IF(A83=2027,$B$11,IF(A83=2028,1-$B$11,0))*$B$10</f>
        <v>0</v>
      </c>
      <c r="I83" s="1" t="n">
        <f aca="false">F83+C83*$B$6-C83*$B$7-G83-H83</f>
        <v>172678.903534802</v>
      </c>
      <c r="J83" s="1" t="n">
        <f aca="false">F83+C83*$B$6-H83</f>
        <v>192037.506872155</v>
      </c>
      <c r="L83" s="1" t="n">
        <v>49</v>
      </c>
      <c r="M83" s="1" t="n">
        <f aca="false">IF(P82&gt;0,O82,M82)</f>
        <v>0.0483612671094413</v>
      </c>
      <c r="N83" s="1" t="n">
        <f aca="false">IF(P82&gt;0,N82,O82)</f>
        <v>0.048361267109442</v>
      </c>
      <c r="O83" s="1" t="n">
        <f aca="false">(M83+N83)/2</f>
        <v>0.0483612671094416</v>
      </c>
      <c r="P83" s="116" t="n">
        <f aca="false">NPV(O83,I$35:I$194)</f>
        <v>-1.44188589956684E-008</v>
      </c>
      <c r="Q83" s="1" t="n">
        <v>49</v>
      </c>
      <c r="R83" s="1" t="n">
        <f aca="false">IF(U82&gt;0,T82,R82)</f>
        <v>0.0541440759743047</v>
      </c>
      <c r="S83" s="1" t="n">
        <f aca="false">IF(U82&gt;0,S82,T82)</f>
        <v>0.0541440759743054</v>
      </c>
      <c r="T83" s="1" t="n">
        <f aca="false">(R83+S83)/2</f>
        <v>0.054144075974305</v>
      </c>
      <c r="U83" s="116" t="n">
        <f aca="false">NPV(T83,J$35:J$194)</f>
        <v>1.09529310066137E-008</v>
      </c>
    </row>
    <row r="84" customFormat="false" ht="15" hidden="false" customHeight="true" outlineLevel="0" collapsed="false">
      <c r="A84" s="1" t="n">
        <v>2076</v>
      </c>
      <c r="B84" s="115" t="n">
        <f aca="false">IF(A84&lt;2029,0,IF(A84=2029,$B$12,IF(A84=2030,$B$13,$B$14)))</f>
        <v>1</v>
      </c>
      <c r="C84" s="1" t="n">
        <f aca="false">INDEX($D$26:$D$31,MIN(A84-2025,6))*B84</f>
        <v>325109.050497254</v>
      </c>
      <c r="D84" s="1" t="n">
        <f aca="false">C84*$B$9</f>
        <v>262218.977767691</v>
      </c>
      <c r="E84" s="1" t="n">
        <f aca="false">D84-C84*$B$6</f>
        <v>259931.373687173</v>
      </c>
      <c r="F84" s="1" t="n">
        <f aca="false">E84*(1-$B$5)</f>
        <v>189749.902791636</v>
      </c>
      <c r="G84" s="1" t="n">
        <f aca="false">$B$8*(C84-C83/(1+$B$4))</f>
        <v>1477.60556000398</v>
      </c>
      <c r="H84" s="1" t="n">
        <f aca="false">IF(A84=2027,$B$11,IF(A84=2028,1-$B$11,0))*$B$10</f>
        <v>0</v>
      </c>
      <c r="I84" s="1" t="n">
        <f aca="false">F84+C84*$B$6-C84*$B$7-G84-H84</f>
        <v>172678.903534802</v>
      </c>
      <c r="J84" s="1" t="n">
        <f aca="false">F84+C84*$B$6-H84</f>
        <v>192037.506872155</v>
      </c>
      <c r="L84" s="1" t="n">
        <v>50</v>
      </c>
      <c r="M84" s="1" t="n">
        <f aca="false">IF(P83&gt;0,O83,M83)</f>
        <v>0.0483612671094413</v>
      </c>
      <c r="N84" s="1" t="n">
        <f aca="false">IF(P83&gt;0,N83,O83)</f>
        <v>0.0483612671094416</v>
      </c>
      <c r="O84" s="1" t="n">
        <f aca="false">(M84+N84)/2</f>
        <v>0.0483612671094415</v>
      </c>
      <c r="P84" s="116" t="n">
        <f aca="false">NPV(O84,I$35:I$194)</f>
        <v>-1.44188589956684E-008</v>
      </c>
      <c r="Q84" s="1" t="n">
        <v>50</v>
      </c>
      <c r="R84" s="1" t="n">
        <f aca="false">IF(U83&gt;0,T83,R83)</f>
        <v>0.054144075974305</v>
      </c>
      <c r="S84" s="1" t="n">
        <f aca="false">IF(U83&gt;0,S83,T83)</f>
        <v>0.0541440759743054</v>
      </c>
      <c r="T84" s="1" t="n">
        <f aca="false">(R84+S84)/2</f>
        <v>0.0541440759743052</v>
      </c>
      <c r="U84" s="116" t="n">
        <f aca="false">NPV(T84,J$35:J$194)</f>
        <v>-2.35796449032932E-009</v>
      </c>
    </row>
    <row r="85" customFormat="false" ht="15" hidden="false" customHeight="true" outlineLevel="0" collapsed="false">
      <c r="A85" s="1" t="n">
        <v>2077</v>
      </c>
      <c r="B85" s="115" t="n">
        <f aca="false">IF(A85&lt;2029,0,IF(A85=2029,$B$12,IF(A85=2030,$B$13,$B$14)))</f>
        <v>1</v>
      </c>
      <c r="C85" s="1" t="n">
        <f aca="false">INDEX($D$26:$D$31,MIN(A85-2025,6))*B85</f>
        <v>325109.050497254</v>
      </c>
      <c r="D85" s="1" t="n">
        <f aca="false">C85*$B$9</f>
        <v>262218.977767691</v>
      </c>
      <c r="E85" s="1" t="n">
        <f aca="false">D85-C85*$B$6</f>
        <v>259931.373687173</v>
      </c>
      <c r="F85" s="1" t="n">
        <f aca="false">E85*(1-$B$5)</f>
        <v>189749.902791636</v>
      </c>
      <c r="G85" s="1" t="n">
        <f aca="false">$B$8*(C85-C84/(1+$B$4))</f>
        <v>1477.60556000398</v>
      </c>
      <c r="H85" s="1" t="n">
        <f aca="false">IF(A85=2027,$B$11,IF(A85=2028,1-$B$11,0))*$B$10</f>
        <v>0</v>
      </c>
      <c r="I85" s="1" t="n">
        <f aca="false">F85+C85*$B$6-C85*$B$7-G85-H85</f>
        <v>172678.903534802</v>
      </c>
      <c r="J85" s="1" t="n">
        <f aca="false">F85+C85*$B$6-H85</f>
        <v>192037.506872155</v>
      </c>
    </row>
    <row r="86" customFormat="false" ht="15" hidden="false" customHeight="true" outlineLevel="0" collapsed="false">
      <c r="A86" s="1" t="n">
        <v>2078</v>
      </c>
      <c r="B86" s="115" t="n">
        <f aca="false">IF(A86&lt;2029,0,IF(A86=2029,$B$12,IF(A86=2030,$B$13,$B$14)))</f>
        <v>1</v>
      </c>
      <c r="C86" s="1" t="n">
        <f aca="false">INDEX($D$26:$D$31,MIN(A86-2025,6))*B86</f>
        <v>325109.050497254</v>
      </c>
      <c r="D86" s="1" t="n">
        <f aca="false">C86*$B$9</f>
        <v>262218.977767691</v>
      </c>
      <c r="E86" s="1" t="n">
        <f aca="false">D86-C86*$B$6</f>
        <v>259931.373687173</v>
      </c>
      <c r="F86" s="1" t="n">
        <f aca="false">E86*(1-$B$5)</f>
        <v>189749.902791636</v>
      </c>
      <c r="G86" s="1" t="n">
        <f aca="false">$B$8*(C86-C85/(1+$B$4))</f>
        <v>1477.60556000398</v>
      </c>
      <c r="H86" s="1" t="n">
        <f aca="false">IF(A86=2027,$B$11,IF(A86=2028,1-$B$11,0))*$B$10</f>
        <v>0</v>
      </c>
      <c r="I86" s="1" t="n">
        <f aca="false">F86+C86*$B$6-C86*$B$7-G86-H86</f>
        <v>172678.903534802</v>
      </c>
      <c r="J86" s="1" t="n">
        <f aca="false">F86+C86*$B$6-H86</f>
        <v>192037.506872155</v>
      </c>
    </row>
    <row r="87" customFormat="false" ht="15" hidden="false" customHeight="true" outlineLevel="0" collapsed="false">
      <c r="A87" s="1" t="n">
        <v>2079</v>
      </c>
      <c r="B87" s="115" t="n">
        <f aca="false">IF(A87&lt;2029,0,IF(A87=2029,$B$12,IF(A87=2030,$B$13,$B$14)))</f>
        <v>1</v>
      </c>
      <c r="C87" s="1" t="n">
        <f aca="false">INDEX($D$26:$D$31,MIN(A87-2025,6))*B87</f>
        <v>325109.050497254</v>
      </c>
      <c r="D87" s="1" t="n">
        <f aca="false">C87*$B$9</f>
        <v>262218.977767691</v>
      </c>
      <c r="E87" s="1" t="n">
        <f aca="false">D87-C87*$B$6</f>
        <v>259931.373687173</v>
      </c>
      <c r="F87" s="1" t="n">
        <f aca="false">E87*(1-$B$5)</f>
        <v>189749.902791636</v>
      </c>
      <c r="G87" s="1" t="n">
        <f aca="false">$B$8*(C87-C86/(1+$B$4))</f>
        <v>1477.60556000398</v>
      </c>
      <c r="H87" s="1" t="n">
        <f aca="false">IF(A87=2027,$B$11,IF(A87=2028,1-$B$11,0))*$B$10</f>
        <v>0</v>
      </c>
      <c r="I87" s="1" t="n">
        <f aca="false">F87+C87*$B$6-C87*$B$7-G87-H87</f>
        <v>172678.903534802</v>
      </c>
      <c r="J87" s="1" t="n">
        <f aca="false">F87+C87*$B$6-H87</f>
        <v>192037.506872155</v>
      </c>
    </row>
    <row r="88" customFormat="false" ht="15" hidden="false" customHeight="true" outlineLevel="0" collapsed="false">
      <c r="A88" s="1" t="n">
        <v>2080</v>
      </c>
      <c r="B88" s="115" t="n">
        <f aca="false">IF(A88&lt;2029,0,IF(A88=2029,$B$12,IF(A88=2030,$B$13,$B$14)))</f>
        <v>1</v>
      </c>
      <c r="C88" s="1" t="n">
        <f aca="false">INDEX($D$26:$D$31,MIN(A88-2025,6))*B88</f>
        <v>325109.050497254</v>
      </c>
      <c r="D88" s="1" t="n">
        <f aca="false">C88*$B$9</f>
        <v>262218.977767691</v>
      </c>
      <c r="E88" s="1" t="n">
        <f aca="false">D88-C88*$B$6</f>
        <v>259931.373687173</v>
      </c>
      <c r="F88" s="1" t="n">
        <f aca="false">E88*(1-$B$5)</f>
        <v>189749.902791636</v>
      </c>
      <c r="G88" s="1" t="n">
        <f aca="false">$B$8*(C88-C87/(1+$B$4))</f>
        <v>1477.60556000398</v>
      </c>
      <c r="H88" s="1" t="n">
        <f aca="false">IF(A88=2027,$B$11,IF(A88=2028,1-$B$11,0))*$B$10</f>
        <v>0</v>
      </c>
      <c r="I88" s="1" t="n">
        <f aca="false">F88+C88*$B$6-C88*$B$7-G88-H88</f>
        <v>172678.903534802</v>
      </c>
      <c r="J88" s="1" t="n">
        <f aca="false">F88+C88*$B$6-H88</f>
        <v>192037.506872155</v>
      </c>
    </row>
    <row r="89" customFormat="false" ht="15" hidden="false" customHeight="true" outlineLevel="0" collapsed="false">
      <c r="A89" s="1" t="n">
        <v>2081</v>
      </c>
      <c r="B89" s="115" t="n">
        <f aca="false">IF(A89&lt;2029,0,IF(A89=2029,$B$12,IF(A89=2030,$B$13,$B$14)))</f>
        <v>1</v>
      </c>
      <c r="C89" s="1" t="n">
        <f aca="false">INDEX($D$26:$D$31,MIN(A89-2025,6))*B89</f>
        <v>325109.050497254</v>
      </c>
      <c r="D89" s="1" t="n">
        <f aca="false">C89*$B$9</f>
        <v>262218.977767691</v>
      </c>
      <c r="E89" s="1" t="n">
        <f aca="false">D89-C89*$B$6</f>
        <v>259931.373687173</v>
      </c>
      <c r="F89" s="1" t="n">
        <f aca="false">E89*(1-$B$5)</f>
        <v>189749.902791636</v>
      </c>
      <c r="G89" s="1" t="n">
        <f aca="false">$B$8*(C89-C88/(1+$B$4))</f>
        <v>1477.60556000398</v>
      </c>
      <c r="H89" s="1" t="n">
        <f aca="false">IF(A89=2027,$B$11,IF(A89=2028,1-$B$11,0))*$B$10</f>
        <v>0</v>
      </c>
      <c r="I89" s="1" t="n">
        <f aca="false">F89+C89*$B$6-C89*$B$7-G89-H89</f>
        <v>172678.903534802</v>
      </c>
      <c r="J89" s="1" t="n">
        <f aca="false">F89+C89*$B$6-H89</f>
        <v>192037.506872155</v>
      </c>
    </row>
    <row r="90" customFormat="false" ht="15" hidden="false" customHeight="true" outlineLevel="0" collapsed="false">
      <c r="A90" s="1" t="n">
        <v>2082</v>
      </c>
      <c r="B90" s="115" t="n">
        <f aca="false">IF(A90&lt;2029,0,IF(A90=2029,$B$12,IF(A90=2030,$B$13,$B$14)))</f>
        <v>1</v>
      </c>
      <c r="C90" s="1" t="n">
        <f aca="false">INDEX($D$26:$D$31,MIN(A90-2025,6))*B90</f>
        <v>325109.050497254</v>
      </c>
      <c r="D90" s="1" t="n">
        <f aca="false">C90*$B$9</f>
        <v>262218.977767691</v>
      </c>
      <c r="E90" s="1" t="n">
        <f aca="false">D90-C90*$B$6</f>
        <v>259931.373687173</v>
      </c>
      <c r="F90" s="1" t="n">
        <f aca="false">E90*(1-$B$5)</f>
        <v>189749.902791636</v>
      </c>
      <c r="G90" s="1" t="n">
        <f aca="false">$B$8*(C90-C89/(1+$B$4))</f>
        <v>1477.60556000398</v>
      </c>
      <c r="H90" s="1" t="n">
        <f aca="false">IF(A90=2027,$B$11,IF(A90=2028,1-$B$11,0))*$B$10</f>
        <v>0</v>
      </c>
      <c r="I90" s="1" t="n">
        <f aca="false">F90+C90*$B$6-C90*$B$7-G90-H90</f>
        <v>172678.903534802</v>
      </c>
      <c r="J90" s="1" t="n">
        <f aca="false">F90+C90*$B$6-H90</f>
        <v>192037.506872155</v>
      </c>
    </row>
    <row r="91" customFormat="false" ht="15" hidden="false" customHeight="true" outlineLevel="0" collapsed="false">
      <c r="A91" s="1" t="n">
        <v>2083</v>
      </c>
      <c r="B91" s="115" t="n">
        <f aca="false">IF(A91&lt;2029,0,IF(A91=2029,$B$12,IF(A91=2030,$B$13,$B$14)))</f>
        <v>1</v>
      </c>
      <c r="C91" s="1" t="n">
        <f aca="false">INDEX($D$26:$D$31,MIN(A91-2025,6))*B91</f>
        <v>325109.050497254</v>
      </c>
      <c r="D91" s="1" t="n">
        <f aca="false">C91*$B$9</f>
        <v>262218.977767691</v>
      </c>
      <c r="E91" s="1" t="n">
        <f aca="false">D91-C91*$B$6</f>
        <v>259931.373687173</v>
      </c>
      <c r="F91" s="1" t="n">
        <f aca="false">E91*(1-$B$5)</f>
        <v>189749.902791636</v>
      </c>
      <c r="G91" s="1" t="n">
        <f aca="false">$B$8*(C91-C90/(1+$B$4))</f>
        <v>1477.60556000398</v>
      </c>
      <c r="H91" s="1" t="n">
        <f aca="false">IF(A91=2027,$B$11,IF(A91=2028,1-$B$11,0))*$B$10</f>
        <v>0</v>
      </c>
      <c r="I91" s="1" t="n">
        <f aca="false">F91+C91*$B$6-C91*$B$7-G91-H91</f>
        <v>172678.903534802</v>
      </c>
      <c r="J91" s="1" t="n">
        <f aca="false">F91+C91*$B$6-H91</f>
        <v>192037.506872155</v>
      </c>
    </row>
    <row r="92" customFormat="false" ht="15" hidden="false" customHeight="true" outlineLevel="0" collapsed="false">
      <c r="A92" s="1" t="n">
        <v>2084</v>
      </c>
      <c r="B92" s="115" t="n">
        <f aca="false">IF(A92&lt;2029,0,IF(A92=2029,$B$12,IF(A92=2030,$B$13,$B$14)))</f>
        <v>1</v>
      </c>
      <c r="C92" s="1" t="n">
        <f aca="false">INDEX($D$26:$D$31,MIN(A92-2025,6))*B92</f>
        <v>325109.050497254</v>
      </c>
      <c r="D92" s="1" t="n">
        <f aca="false">C92*$B$9</f>
        <v>262218.977767691</v>
      </c>
      <c r="E92" s="1" t="n">
        <f aca="false">D92-C92*$B$6</f>
        <v>259931.373687173</v>
      </c>
      <c r="F92" s="1" t="n">
        <f aca="false">E92*(1-$B$5)</f>
        <v>189749.902791636</v>
      </c>
      <c r="G92" s="1" t="n">
        <f aca="false">$B$8*(C92-C91/(1+$B$4))</f>
        <v>1477.60556000398</v>
      </c>
      <c r="H92" s="1" t="n">
        <f aca="false">IF(A92=2027,$B$11,IF(A92=2028,1-$B$11,0))*$B$10</f>
        <v>0</v>
      </c>
      <c r="I92" s="1" t="n">
        <f aca="false">F92+C92*$B$6-C92*$B$7-G92-H92</f>
        <v>172678.903534802</v>
      </c>
      <c r="J92" s="1" t="n">
        <f aca="false">F92+C92*$B$6-H92</f>
        <v>192037.506872155</v>
      </c>
    </row>
    <row r="93" customFormat="false" ht="15" hidden="false" customHeight="true" outlineLevel="0" collapsed="false">
      <c r="A93" s="1" t="n">
        <v>2085</v>
      </c>
      <c r="B93" s="115" t="n">
        <f aca="false">IF(A93&lt;2029,0,IF(A93=2029,$B$12,IF(A93=2030,$B$13,$B$14)))</f>
        <v>1</v>
      </c>
      <c r="C93" s="1" t="n">
        <f aca="false">INDEX($D$26:$D$31,MIN(A93-2025,6))*B93</f>
        <v>325109.050497254</v>
      </c>
      <c r="D93" s="1" t="n">
        <f aca="false">C93*$B$9</f>
        <v>262218.977767691</v>
      </c>
      <c r="E93" s="1" t="n">
        <f aca="false">D93-C93*$B$6</f>
        <v>259931.373687173</v>
      </c>
      <c r="F93" s="1" t="n">
        <f aca="false">E93*(1-$B$5)</f>
        <v>189749.902791636</v>
      </c>
      <c r="G93" s="1" t="n">
        <f aca="false">$B$8*(C93-C92/(1+$B$4))</f>
        <v>1477.60556000398</v>
      </c>
      <c r="H93" s="1" t="n">
        <f aca="false">IF(A93=2027,$B$11,IF(A93=2028,1-$B$11,0))*$B$10</f>
        <v>0</v>
      </c>
      <c r="I93" s="1" t="n">
        <f aca="false">F93+C93*$B$6-C93*$B$7-G93-H93</f>
        <v>172678.903534802</v>
      </c>
      <c r="J93" s="1" t="n">
        <f aca="false">F93+C93*$B$6-H93</f>
        <v>192037.506872155</v>
      </c>
    </row>
    <row r="94" customFormat="false" ht="15" hidden="false" customHeight="true" outlineLevel="0" collapsed="false">
      <c r="A94" s="1" t="n">
        <v>2086</v>
      </c>
      <c r="B94" s="115" t="n">
        <f aca="false">IF(A94&lt;2029,0,IF(A94=2029,$B$12,IF(A94=2030,$B$13,$B$14)))</f>
        <v>1</v>
      </c>
      <c r="C94" s="1" t="n">
        <f aca="false">INDEX($D$26:$D$31,MIN(A94-2025,6))*B94</f>
        <v>325109.050497254</v>
      </c>
      <c r="D94" s="1" t="n">
        <f aca="false">C94*$B$9</f>
        <v>262218.977767691</v>
      </c>
      <c r="E94" s="1" t="n">
        <f aca="false">D94-C94*$B$6</f>
        <v>259931.373687173</v>
      </c>
      <c r="F94" s="1" t="n">
        <f aca="false">E94*(1-$B$5)</f>
        <v>189749.902791636</v>
      </c>
      <c r="G94" s="1" t="n">
        <f aca="false">$B$8*(C94-C93/(1+$B$4))</f>
        <v>1477.60556000398</v>
      </c>
      <c r="H94" s="1" t="n">
        <f aca="false">IF(A94=2027,$B$11,IF(A94=2028,1-$B$11,0))*$B$10</f>
        <v>0</v>
      </c>
      <c r="I94" s="1" t="n">
        <f aca="false">F94+C94*$B$6-C94*$B$7-G94-H94</f>
        <v>172678.903534802</v>
      </c>
      <c r="J94" s="1" t="n">
        <f aca="false">F94+C94*$B$6-H94</f>
        <v>192037.506872155</v>
      </c>
    </row>
    <row r="95" customFormat="false" ht="15" hidden="false" customHeight="true" outlineLevel="0" collapsed="false">
      <c r="A95" s="1" t="n">
        <v>2087</v>
      </c>
      <c r="B95" s="115" t="n">
        <f aca="false">IF(A95&lt;2029,0,IF(A95=2029,$B$12,IF(A95=2030,$B$13,$B$14)))</f>
        <v>1</v>
      </c>
      <c r="C95" s="1" t="n">
        <f aca="false">INDEX($D$26:$D$31,MIN(A95-2025,6))*B95</f>
        <v>325109.050497254</v>
      </c>
      <c r="D95" s="1" t="n">
        <f aca="false">C95*$B$9</f>
        <v>262218.977767691</v>
      </c>
      <c r="E95" s="1" t="n">
        <f aca="false">D95-C95*$B$6</f>
        <v>259931.373687173</v>
      </c>
      <c r="F95" s="1" t="n">
        <f aca="false">E95*(1-$B$5)</f>
        <v>189749.902791636</v>
      </c>
      <c r="G95" s="1" t="n">
        <f aca="false">$B$8*(C95-C94/(1+$B$4))</f>
        <v>1477.60556000398</v>
      </c>
      <c r="H95" s="1" t="n">
        <f aca="false">IF(A95=2027,$B$11,IF(A95=2028,1-$B$11,0))*$B$10</f>
        <v>0</v>
      </c>
      <c r="I95" s="1" t="n">
        <f aca="false">F95+C95*$B$6-C95*$B$7-G95-H95</f>
        <v>172678.903534802</v>
      </c>
      <c r="J95" s="1" t="n">
        <f aca="false">F95+C95*$B$6-H95</f>
        <v>192037.506872155</v>
      </c>
    </row>
    <row r="96" customFormat="false" ht="15" hidden="false" customHeight="true" outlineLevel="0" collapsed="false">
      <c r="A96" s="1" t="n">
        <v>2088</v>
      </c>
      <c r="B96" s="115" t="n">
        <f aca="false">IF(A96&lt;2029,0,IF(A96=2029,$B$12,IF(A96=2030,$B$13,$B$14)))</f>
        <v>1</v>
      </c>
      <c r="C96" s="1" t="n">
        <f aca="false">INDEX($D$26:$D$31,MIN(A96-2025,6))*B96</f>
        <v>325109.050497254</v>
      </c>
      <c r="D96" s="1" t="n">
        <f aca="false">C96*$B$9</f>
        <v>262218.977767691</v>
      </c>
      <c r="E96" s="1" t="n">
        <f aca="false">D96-C96*$B$6</f>
        <v>259931.373687173</v>
      </c>
      <c r="F96" s="1" t="n">
        <f aca="false">E96*(1-$B$5)</f>
        <v>189749.902791636</v>
      </c>
      <c r="G96" s="1" t="n">
        <f aca="false">$B$8*(C96-C95/(1+$B$4))</f>
        <v>1477.60556000398</v>
      </c>
      <c r="H96" s="1" t="n">
        <f aca="false">IF(A96=2027,$B$11,IF(A96=2028,1-$B$11,0))*$B$10</f>
        <v>0</v>
      </c>
      <c r="I96" s="1" t="n">
        <f aca="false">F96+C96*$B$6-C96*$B$7-G96-H96</f>
        <v>172678.903534802</v>
      </c>
      <c r="J96" s="1" t="n">
        <f aca="false">F96+C96*$B$6-H96</f>
        <v>192037.506872155</v>
      </c>
    </row>
    <row r="97" customFormat="false" ht="15" hidden="false" customHeight="true" outlineLevel="0" collapsed="false">
      <c r="A97" s="1" t="n">
        <v>2089</v>
      </c>
      <c r="B97" s="115" t="n">
        <f aca="false">IF(A97&lt;2029,0,IF(A97=2029,$B$12,IF(A97=2030,$B$13,$B$14)))</f>
        <v>1</v>
      </c>
      <c r="C97" s="1" t="n">
        <f aca="false">INDEX($D$26:$D$31,MIN(A97-2025,6))*B97</f>
        <v>325109.050497254</v>
      </c>
      <c r="D97" s="1" t="n">
        <f aca="false">C97*$B$9</f>
        <v>262218.977767691</v>
      </c>
      <c r="E97" s="1" t="n">
        <f aca="false">D97-C97*$B$6</f>
        <v>259931.373687173</v>
      </c>
      <c r="F97" s="1" t="n">
        <f aca="false">E97*(1-$B$5)</f>
        <v>189749.902791636</v>
      </c>
      <c r="G97" s="1" t="n">
        <f aca="false">$B$8*(C97-C96/(1+$B$4))</f>
        <v>1477.60556000398</v>
      </c>
      <c r="H97" s="1" t="n">
        <f aca="false">IF(A97=2027,$B$11,IF(A97=2028,1-$B$11,0))*$B$10</f>
        <v>0</v>
      </c>
      <c r="I97" s="1" t="n">
        <f aca="false">F97+C97*$B$6-C97*$B$7-G97-H97</f>
        <v>172678.903534802</v>
      </c>
      <c r="J97" s="1" t="n">
        <f aca="false">F97+C97*$B$6-H97</f>
        <v>192037.506872155</v>
      </c>
    </row>
    <row r="98" customFormat="false" ht="15" hidden="false" customHeight="true" outlineLevel="0" collapsed="false">
      <c r="A98" s="1" t="n">
        <v>2090</v>
      </c>
      <c r="B98" s="115" t="n">
        <f aca="false">IF(A98&lt;2029,0,IF(A98=2029,$B$12,IF(A98=2030,$B$13,$B$14)))</f>
        <v>1</v>
      </c>
      <c r="C98" s="1" t="n">
        <f aca="false">INDEX($D$26:$D$31,MIN(A98-2025,6))*B98</f>
        <v>325109.050497254</v>
      </c>
      <c r="D98" s="1" t="n">
        <f aca="false">C98*$B$9</f>
        <v>262218.977767691</v>
      </c>
      <c r="E98" s="1" t="n">
        <f aca="false">D98-C98*$B$6</f>
        <v>259931.373687173</v>
      </c>
      <c r="F98" s="1" t="n">
        <f aca="false">E98*(1-$B$5)</f>
        <v>189749.902791636</v>
      </c>
      <c r="G98" s="1" t="n">
        <f aca="false">$B$8*(C98-C97/(1+$B$4))</f>
        <v>1477.60556000398</v>
      </c>
      <c r="H98" s="1" t="n">
        <f aca="false">IF(A98=2027,$B$11,IF(A98=2028,1-$B$11,0))*$B$10</f>
        <v>0</v>
      </c>
      <c r="I98" s="1" t="n">
        <f aca="false">F98+C98*$B$6-C98*$B$7-G98-H98</f>
        <v>172678.903534802</v>
      </c>
      <c r="J98" s="1" t="n">
        <f aca="false">F98+C98*$B$6-H98</f>
        <v>192037.506872155</v>
      </c>
    </row>
    <row r="99" customFormat="false" ht="15" hidden="false" customHeight="true" outlineLevel="0" collapsed="false">
      <c r="A99" s="1" t="n">
        <v>2091</v>
      </c>
      <c r="B99" s="115" t="n">
        <f aca="false">IF(A99&lt;2029,0,IF(A99=2029,$B$12,IF(A99=2030,$B$13,$B$14)))</f>
        <v>1</v>
      </c>
      <c r="C99" s="1" t="n">
        <f aca="false">INDEX($D$26:$D$31,MIN(A99-2025,6))*B99</f>
        <v>325109.050497254</v>
      </c>
      <c r="D99" s="1" t="n">
        <f aca="false">C99*$B$9</f>
        <v>262218.977767691</v>
      </c>
      <c r="E99" s="1" t="n">
        <f aca="false">D99-C99*$B$6</f>
        <v>259931.373687173</v>
      </c>
      <c r="F99" s="1" t="n">
        <f aca="false">E99*(1-$B$5)</f>
        <v>189749.902791636</v>
      </c>
      <c r="G99" s="1" t="n">
        <f aca="false">$B$8*(C99-C98/(1+$B$4))</f>
        <v>1477.60556000398</v>
      </c>
      <c r="H99" s="1" t="n">
        <f aca="false">IF(A99=2027,$B$11,IF(A99=2028,1-$B$11,0))*$B$10</f>
        <v>0</v>
      </c>
      <c r="I99" s="1" t="n">
        <f aca="false">F99+C99*$B$6-C99*$B$7-G99-H99</f>
        <v>172678.903534802</v>
      </c>
      <c r="J99" s="1" t="n">
        <f aca="false">F99+C99*$B$6-H99</f>
        <v>192037.506872155</v>
      </c>
    </row>
    <row r="100" customFormat="false" ht="15" hidden="false" customHeight="true" outlineLevel="0" collapsed="false">
      <c r="A100" s="1" t="n">
        <v>2092</v>
      </c>
      <c r="B100" s="115" t="n">
        <f aca="false">IF(A100&lt;2029,0,IF(A100=2029,$B$12,IF(A100=2030,$B$13,$B$14)))</f>
        <v>1</v>
      </c>
      <c r="C100" s="1" t="n">
        <f aca="false">INDEX($D$26:$D$31,MIN(A100-2025,6))*B100</f>
        <v>325109.050497254</v>
      </c>
      <c r="D100" s="1" t="n">
        <f aca="false">C100*$B$9</f>
        <v>262218.977767691</v>
      </c>
      <c r="E100" s="1" t="n">
        <f aca="false">D100-C100*$B$6</f>
        <v>259931.373687173</v>
      </c>
      <c r="F100" s="1" t="n">
        <f aca="false">E100*(1-$B$5)</f>
        <v>189749.902791636</v>
      </c>
      <c r="G100" s="1" t="n">
        <f aca="false">$B$8*(C100-C99/(1+$B$4))</f>
        <v>1477.60556000398</v>
      </c>
      <c r="H100" s="1" t="n">
        <f aca="false">IF(A100=2027,$B$11,IF(A100=2028,1-$B$11,0))*$B$10</f>
        <v>0</v>
      </c>
      <c r="I100" s="1" t="n">
        <f aca="false">F100+C100*$B$6-C100*$B$7-G100-H100</f>
        <v>172678.903534802</v>
      </c>
      <c r="J100" s="1" t="n">
        <f aca="false">F100+C100*$B$6-H100</f>
        <v>192037.506872155</v>
      </c>
    </row>
    <row r="101" customFormat="false" ht="15" hidden="false" customHeight="true" outlineLevel="0" collapsed="false">
      <c r="A101" s="1" t="n">
        <v>2093</v>
      </c>
      <c r="B101" s="115" t="n">
        <f aca="false">IF(A101&lt;2029,0,IF(A101=2029,$B$12,IF(A101=2030,$B$13,$B$14)))</f>
        <v>1</v>
      </c>
      <c r="C101" s="1" t="n">
        <f aca="false">INDEX($D$26:$D$31,MIN(A101-2025,6))*B101</f>
        <v>325109.050497254</v>
      </c>
      <c r="D101" s="1" t="n">
        <f aca="false">C101*$B$9</f>
        <v>262218.977767691</v>
      </c>
      <c r="E101" s="1" t="n">
        <f aca="false">D101-C101*$B$6</f>
        <v>259931.373687173</v>
      </c>
      <c r="F101" s="1" t="n">
        <f aca="false">E101*(1-$B$5)</f>
        <v>189749.902791636</v>
      </c>
      <c r="G101" s="1" t="n">
        <f aca="false">$B$8*(C101-C100/(1+$B$4))</f>
        <v>1477.60556000398</v>
      </c>
      <c r="H101" s="1" t="n">
        <f aca="false">IF(A101=2027,$B$11,IF(A101=2028,1-$B$11,0))*$B$10</f>
        <v>0</v>
      </c>
      <c r="I101" s="1" t="n">
        <f aca="false">F101+C101*$B$6-C101*$B$7-G101-H101</f>
        <v>172678.903534802</v>
      </c>
      <c r="J101" s="1" t="n">
        <f aca="false">F101+C101*$B$6-H101</f>
        <v>192037.506872155</v>
      </c>
    </row>
    <row r="102" customFormat="false" ht="15" hidden="false" customHeight="true" outlineLevel="0" collapsed="false">
      <c r="A102" s="1" t="n">
        <v>2094</v>
      </c>
      <c r="B102" s="115" t="n">
        <f aca="false">IF(A102&lt;2029,0,IF(A102=2029,$B$12,IF(A102=2030,$B$13,$B$14)))</f>
        <v>1</v>
      </c>
      <c r="C102" s="1" t="n">
        <f aca="false">INDEX($D$26:$D$31,MIN(A102-2025,6))*B102</f>
        <v>325109.050497254</v>
      </c>
      <c r="D102" s="1" t="n">
        <f aca="false">C102*$B$9</f>
        <v>262218.977767691</v>
      </c>
      <c r="E102" s="1" t="n">
        <f aca="false">D102-C102*$B$6</f>
        <v>259931.373687173</v>
      </c>
      <c r="F102" s="1" t="n">
        <f aca="false">E102*(1-$B$5)</f>
        <v>189749.902791636</v>
      </c>
      <c r="G102" s="1" t="n">
        <f aca="false">$B$8*(C102-C101/(1+$B$4))</f>
        <v>1477.60556000398</v>
      </c>
      <c r="H102" s="1" t="n">
        <f aca="false">IF(A102=2027,$B$11,IF(A102=2028,1-$B$11,0))*$B$10</f>
        <v>0</v>
      </c>
      <c r="I102" s="1" t="n">
        <f aca="false">F102+C102*$B$6-C102*$B$7-G102-H102</f>
        <v>172678.903534802</v>
      </c>
      <c r="J102" s="1" t="n">
        <f aca="false">F102+C102*$B$6-H102</f>
        <v>192037.506872155</v>
      </c>
    </row>
    <row r="103" customFormat="false" ht="15" hidden="false" customHeight="true" outlineLevel="0" collapsed="false">
      <c r="A103" s="1" t="n">
        <v>2095</v>
      </c>
      <c r="B103" s="115" t="n">
        <f aca="false">IF(A103&lt;2029,0,IF(A103=2029,$B$12,IF(A103=2030,$B$13,$B$14)))</f>
        <v>1</v>
      </c>
      <c r="C103" s="1" t="n">
        <f aca="false">INDEX($D$26:$D$31,MIN(A103-2025,6))*B103</f>
        <v>325109.050497254</v>
      </c>
      <c r="D103" s="1" t="n">
        <f aca="false">C103*$B$9</f>
        <v>262218.977767691</v>
      </c>
      <c r="E103" s="1" t="n">
        <f aca="false">D103-C103*$B$6</f>
        <v>259931.373687173</v>
      </c>
      <c r="F103" s="1" t="n">
        <f aca="false">E103*(1-$B$5)</f>
        <v>189749.902791636</v>
      </c>
      <c r="G103" s="1" t="n">
        <f aca="false">$B$8*(C103-C102/(1+$B$4))</f>
        <v>1477.60556000398</v>
      </c>
      <c r="H103" s="1" t="n">
        <f aca="false">IF(A103=2027,$B$11,IF(A103=2028,1-$B$11,0))*$B$10</f>
        <v>0</v>
      </c>
      <c r="I103" s="1" t="n">
        <f aca="false">F103+C103*$B$6-C103*$B$7-G103-H103</f>
        <v>172678.903534802</v>
      </c>
      <c r="J103" s="1" t="n">
        <f aca="false">F103+C103*$B$6-H103</f>
        <v>192037.506872155</v>
      </c>
    </row>
    <row r="104" customFormat="false" ht="15" hidden="false" customHeight="true" outlineLevel="0" collapsed="false">
      <c r="A104" s="1" t="n">
        <v>2096</v>
      </c>
      <c r="B104" s="115" t="n">
        <f aca="false">IF(A104&lt;2029,0,IF(A104=2029,$B$12,IF(A104=2030,$B$13,$B$14)))</f>
        <v>1</v>
      </c>
      <c r="C104" s="1" t="n">
        <f aca="false">INDEX($D$26:$D$31,MIN(A104-2025,6))*B104</f>
        <v>325109.050497254</v>
      </c>
      <c r="D104" s="1" t="n">
        <f aca="false">C104*$B$9</f>
        <v>262218.977767691</v>
      </c>
      <c r="E104" s="1" t="n">
        <f aca="false">D104-C104*$B$6</f>
        <v>259931.373687173</v>
      </c>
      <c r="F104" s="1" t="n">
        <f aca="false">E104*(1-$B$5)</f>
        <v>189749.902791636</v>
      </c>
      <c r="G104" s="1" t="n">
        <f aca="false">$B$8*(C104-C103/(1+$B$4))</f>
        <v>1477.60556000398</v>
      </c>
      <c r="H104" s="1" t="n">
        <f aca="false">IF(A104=2027,$B$11,IF(A104=2028,1-$B$11,0))*$B$10</f>
        <v>0</v>
      </c>
      <c r="I104" s="1" t="n">
        <f aca="false">F104+C104*$B$6-C104*$B$7-G104-H104</f>
        <v>172678.903534802</v>
      </c>
      <c r="J104" s="1" t="n">
        <f aca="false">F104+C104*$B$6-H104</f>
        <v>192037.506872155</v>
      </c>
    </row>
    <row r="105" customFormat="false" ht="15" hidden="false" customHeight="true" outlineLevel="0" collapsed="false">
      <c r="A105" s="1" t="n">
        <v>2097</v>
      </c>
      <c r="B105" s="115" t="n">
        <f aca="false">IF(A105&lt;2029,0,IF(A105=2029,$B$12,IF(A105=2030,$B$13,$B$14)))</f>
        <v>1</v>
      </c>
      <c r="C105" s="1" t="n">
        <f aca="false">INDEX($D$26:$D$31,MIN(A105-2025,6))*B105</f>
        <v>325109.050497254</v>
      </c>
      <c r="D105" s="1" t="n">
        <f aca="false">C105*$B$9</f>
        <v>262218.977767691</v>
      </c>
      <c r="E105" s="1" t="n">
        <f aca="false">D105-C105*$B$6</f>
        <v>259931.373687173</v>
      </c>
      <c r="F105" s="1" t="n">
        <f aca="false">E105*(1-$B$5)</f>
        <v>189749.902791636</v>
      </c>
      <c r="G105" s="1" t="n">
        <f aca="false">$B$8*(C105-C104/(1+$B$4))</f>
        <v>1477.60556000398</v>
      </c>
      <c r="H105" s="1" t="n">
        <f aca="false">IF(A105=2027,$B$11,IF(A105=2028,1-$B$11,0))*$B$10</f>
        <v>0</v>
      </c>
      <c r="I105" s="1" t="n">
        <f aca="false">F105+C105*$B$6-C105*$B$7-G105-H105</f>
        <v>172678.903534802</v>
      </c>
      <c r="J105" s="1" t="n">
        <f aca="false">F105+C105*$B$6-H105</f>
        <v>192037.506872155</v>
      </c>
    </row>
    <row r="106" customFormat="false" ht="15" hidden="false" customHeight="true" outlineLevel="0" collapsed="false">
      <c r="A106" s="1" t="n">
        <v>2098</v>
      </c>
      <c r="B106" s="115" t="n">
        <f aca="false">IF(A106&lt;2029,0,IF(A106=2029,$B$12,IF(A106=2030,$B$13,$B$14)))</f>
        <v>1</v>
      </c>
      <c r="C106" s="1" t="n">
        <f aca="false">INDEX($D$26:$D$31,MIN(A106-2025,6))*B106</f>
        <v>325109.050497254</v>
      </c>
      <c r="D106" s="1" t="n">
        <f aca="false">C106*$B$9</f>
        <v>262218.977767691</v>
      </c>
      <c r="E106" s="1" t="n">
        <f aca="false">D106-C106*$B$6</f>
        <v>259931.373687173</v>
      </c>
      <c r="F106" s="1" t="n">
        <f aca="false">E106*(1-$B$5)</f>
        <v>189749.902791636</v>
      </c>
      <c r="G106" s="1" t="n">
        <f aca="false">$B$8*(C106-C105/(1+$B$4))</f>
        <v>1477.60556000398</v>
      </c>
      <c r="H106" s="1" t="n">
        <f aca="false">IF(A106=2027,$B$11,IF(A106=2028,1-$B$11,0))*$B$10</f>
        <v>0</v>
      </c>
      <c r="I106" s="1" t="n">
        <f aca="false">F106+C106*$B$6-C106*$B$7-G106-H106</f>
        <v>172678.903534802</v>
      </c>
      <c r="J106" s="1" t="n">
        <f aca="false">F106+C106*$B$6-H106</f>
        <v>192037.506872155</v>
      </c>
    </row>
    <row r="107" customFormat="false" ht="15" hidden="false" customHeight="true" outlineLevel="0" collapsed="false">
      <c r="A107" s="1" t="n">
        <v>2099</v>
      </c>
      <c r="B107" s="115" t="n">
        <f aca="false">IF(A107&lt;2029,0,IF(A107=2029,$B$12,IF(A107=2030,$B$13,$B$14)))</f>
        <v>1</v>
      </c>
      <c r="C107" s="1" t="n">
        <f aca="false">INDEX($D$26:$D$31,MIN(A107-2025,6))*B107</f>
        <v>325109.050497254</v>
      </c>
      <c r="D107" s="1" t="n">
        <f aca="false">C107*$B$9</f>
        <v>262218.977767691</v>
      </c>
      <c r="E107" s="1" t="n">
        <f aca="false">D107-C107*$B$6</f>
        <v>259931.373687173</v>
      </c>
      <c r="F107" s="1" t="n">
        <f aca="false">E107*(1-$B$5)</f>
        <v>189749.902791636</v>
      </c>
      <c r="G107" s="1" t="n">
        <f aca="false">$B$8*(C107-C106/(1+$B$4))</f>
        <v>1477.60556000398</v>
      </c>
      <c r="H107" s="1" t="n">
        <f aca="false">IF(A107=2027,$B$11,IF(A107=2028,1-$B$11,0))*$B$10</f>
        <v>0</v>
      </c>
      <c r="I107" s="1" t="n">
        <f aca="false">F107+C107*$B$6-C107*$B$7-G107-H107</f>
        <v>172678.903534802</v>
      </c>
      <c r="J107" s="1" t="n">
        <f aca="false">F107+C107*$B$6-H107</f>
        <v>192037.506872155</v>
      </c>
    </row>
    <row r="108" customFormat="false" ht="15" hidden="false" customHeight="true" outlineLevel="0" collapsed="false">
      <c r="A108" s="1" t="n">
        <v>2100</v>
      </c>
      <c r="B108" s="115" t="n">
        <f aca="false">IF(A108&lt;2029,0,IF(A108=2029,$B$12,IF(A108=2030,$B$13,$B$14)))</f>
        <v>1</v>
      </c>
      <c r="C108" s="1" t="n">
        <f aca="false">INDEX($D$26:$D$31,MIN(A108-2025,6))*B108</f>
        <v>325109.050497254</v>
      </c>
      <c r="D108" s="1" t="n">
        <f aca="false">C108*$B$9</f>
        <v>262218.977767691</v>
      </c>
      <c r="E108" s="1" t="n">
        <f aca="false">D108-C108*$B$6</f>
        <v>259931.373687173</v>
      </c>
      <c r="F108" s="1" t="n">
        <f aca="false">E108*(1-$B$5)</f>
        <v>189749.902791636</v>
      </c>
      <c r="G108" s="1" t="n">
        <f aca="false">$B$8*(C108-C107/(1+$B$4))</f>
        <v>1477.60556000398</v>
      </c>
      <c r="H108" s="1" t="n">
        <f aca="false">IF(A108=2027,$B$11,IF(A108=2028,1-$B$11,0))*$B$10</f>
        <v>0</v>
      </c>
      <c r="I108" s="1" t="n">
        <f aca="false">F108+C108*$B$6-C108*$B$7-G108-H108</f>
        <v>172678.903534802</v>
      </c>
      <c r="J108" s="1" t="n">
        <f aca="false">F108+C108*$B$6-H108</f>
        <v>192037.506872155</v>
      </c>
    </row>
    <row r="109" customFormat="false" ht="15" hidden="false" customHeight="true" outlineLevel="0" collapsed="false">
      <c r="A109" s="1" t="n">
        <v>2101</v>
      </c>
      <c r="B109" s="115" t="n">
        <f aca="false">IF(A109&lt;2029,0,IF(A109=2029,$B$12,IF(A109=2030,$B$13,$B$14)))</f>
        <v>1</v>
      </c>
      <c r="C109" s="1" t="n">
        <f aca="false">INDEX($D$26:$D$31,MIN(A109-2025,6))*B109</f>
        <v>325109.050497254</v>
      </c>
      <c r="D109" s="1" t="n">
        <f aca="false">C109*$B$9</f>
        <v>262218.977767691</v>
      </c>
      <c r="E109" s="1" t="n">
        <f aca="false">D109-C109*$B$6</f>
        <v>259931.373687173</v>
      </c>
      <c r="F109" s="1" t="n">
        <f aca="false">E109*(1-$B$5)</f>
        <v>189749.902791636</v>
      </c>
      <c r="G109" s="1" t="n">
        <f aca="false">$B$8*(C109-C108/(1+$B$4))</f>
        <v>1477.60556000398</v>
      </c>
      <c r="H109" s="1" t="n">
        <f aca="false">IF(A109=2027,$B$11,IF(A109=2028,1-$B$11,0))*$B$10</f>
        <v>0</v>
      </c>
      <c r="I109" s="1" t="n">
        <f aca="false">F109+C109*$B$6-C109*$B$7-G109-H109</f>
        <v>172678.903534802</v>
      </c>
      <c r="J109" s="1" t="n">
        <f aca="false">F109+C109*$B$6-H109</f>
        <v>192037.506872155</v>
      </c>
    </row>
    <row r="110" customFormat="false" ht="15" hidden="false" customHeight="true" outlineLevel="0" collapsed="false">
      <c r="A110" s="1" t="n">
        <v>2102</v>
      </c>
      <c r="B110" s="115" t="n">
        <f aca="false">IF(A110&lt;2029,0,IF(A110=2029,$B$12,IF(A110=2030,$B$13,$B$14)))</f>
        <v>1</v>
      </c>
      <c r="C110" s="1" t="n">
        <f aca="false">INDEX($D$26:$D$31,MIN(A110-2025,6))*B110</f>
        <v>325109.050497254</v>
      </c>
      <c r="D110" s="1" t="n">
        <f aca="false">C110*$B$9</f>
        <v>262218.977767691</v>
      </c>
      <c r="E110" s="1" t="n">
        <f aca="false">D110-C110*$B$6</f>
        <v>259931.373687173</v>
      </c>
      <c r="F110" s="1" t="n">
        <f aca="false">E110*(1-$B$5)</f>
        <v>189749.902791636</v>
      </c>
      <c r="G110" s="1" t="n">
        <f aca="false">$B$8*(C110-C109/(1+$B$4))</f>
        <v>1477.60556000398</v>
      </c>
      <c r="H110" s="1" t="n">
        <f aca="false">IF(A110=2027,$B$11,IF(A110=2028,1-$B$11,0))*$B$10</f>
        <v>0</v>
      </c>
      <c r="I110" s="1" t="n">
        <f aca="false">F110+C110*$B$6-C110*$B$7-G110-H110</f>
        <v>172678.903534802</v>
      </c>
      <c r="J110" s="1" t="n">
        <f aca="false">F110+C110*$B$6-H110</f>
        <v>192037.506872155</v>
      </c>
    </row>
    <row r="111" customFormat="false" ht="15" hidden="false" customHeight="true" outlineLevel="0" collapsed="false">
      <c r="A111" s="1" t="n">
        <v>2103</v>
      </c>
      <c r="B111" s="115" t="n">
        <f aca="false">IF(A111&lt;2029,0,IF(A111=2029,$B$12,IF(A111=2030,$B$13,$B$14)))</f>
        <v>1</v>
      </c>
      <c r="C111" s="1" t="n">
        <f aca="false">INDEX($D$26:$D$31,MIN(A111-2025,6))*B111</f>
        <v>325109.050497254</v>
      </c>
      <c r="D111" s="1" t="n">
        <f aca="false">C111*$B$9</f>
        <v>262218.977767691</v>
      </c>
      <c r="E111" s="1" t="n">
        <f aca="false">D111-C111*$B$6</f>
        <v>259931.373687173</v>
      </c>
      <c r="F111" s="1" t="n">
        <f aca="false">E111*(1-$B$5)</f>
        <v>189749.902791636</v>
      </c>
      <c r="G111" s="1" t="n">
        <f aca="false">$B$8*(C111-C110/(1+$B$4))</f>
        <v>1477.60556000398</v>
      </c>
      <c r="H111" s="1" t="n">
        <f aca="false">IF(A111=2027,$B$11,IF(A111=2028,1-$B$11,0))*$B$10</f>
        <v>0</v>
      </c>
      <c r="I111" s="1" t="n">
        <f aca="false">F111+C111*$B$6-C111*$B$7-G111-H111</f>
        <v>172678.903534802</v>
      </c>
      <c r="J111" s="1" t="n">
        <f aca="false">F111+C111*$B$6-H111</f>
        <v>192037.506872155</v>
      </c>
    </row>
    <row r="112" customFormat="false" ht="15" hidden="false" customHeight="true" outlineLevel="0" collapsed="false">
      <c r="A112" s="1" t="n">
        <v>2104</v>
      </c>
      <c r="B112" s="115" t="n">
        <f aca="false">IF(A112&lt;2029,0,IF(A112=2029,$B$12,IF(A112=2030,$B$13,$B$14)))</f>
        <v>1</v>
      </c>
      <c r="C112" s="1" t="n">
        <f aca="false">INDEX($D$26:$D$31,MIN(A112-2025,6))*B112</f>
        <v>325109.050497254</v>
      </c>
      <c r="D112" s="1" t="n">
        <f aca="false">C112*$B$9</f>
        <v>262218.977767691</v>
      </c>
      <c r="E112" s="1" t="n">
        <f aca="false">D112-C112*$B$6</f>
        <v>259931.373687173</v>
      </c>
      <c r="F112" s="1" t="n">
        <f aca="false">E112*(1-$B$5)</f>
        <v>189749.902791636</v>
      </c>
      <c r="G112" s="1" t="n">
        <f aca="false">$B$8*(C112-C111/(1+$B$4))</f>
        <v>1477.60556000398</v>
      </c>
      <c r="H112" s="1" t="n">
        <f aca="false">IF(A112=2027,$B$11,IF(A112=2028,1-$B$11,0))*$B$10</f>
        <v>0</v>
      </c>
      <c r="I112" s="1" t="n">
        <f aca="false">F112+C112*$B$6-C112*$B$7-G112-H112</f>
        <v>172678.903534802</v>
      </c>
      <c r="J112" s="1" t="n">
        <f aca="false">F112+C112*$B$6-H112</f>
        <v>192037.506872155</v>
      </c>
    </row>
    <row r="113" customFormat="false" ht="15" hidden="false" customHeight="true" outlineLevel="0" collapsed="false">
      <c r="A113" s="1" t="n">
        <v>2105</v>
      </c>
      <c r="B113" s="115" t="n">
        <f aca="false">IF(A113&lt;2029,0,IF(A113=2029,$B$12,IF(A113=2030,$B$13,$B$14)))</f>
        <v>1</v>
      </c>
      <c r="C113" s="1" t="n">
        <f aca="false">INDEX($D$26:$D$31,MIN(A113-2025,6))*B113</f>
        <v>325109.050497254</v>
      </c>
      <c r="D113" s="1" t="n">
        <f aca="false">C113*$B$9</f>
        <v>262218.977767691</v>
      </c>
      <c r="E113" s="1" t="n">
        <f aca="false">D113-C113*$B$6</f>
        <v>259931.373687173</v>
      </c>
      <c r="F113" s="1" t="n">
        <f aca="false">E113*(1-$B$5)</f>
        <v>189749.902791636</v>
      </c>
      <c r="G113" s="1" t="n">
        <f aca="false">$B$8*(C113-C112/(1+$B$4))</f>
        <v>1477.60556000398</v>
      </c>
      <c r="H113" s="1" t="n">
        <f aca="false">IF(A113=2027,$B$11,IF(A113=2028,1-$B$11,0))*$B$10</f>
        <v>0</v>
      </c>
      <c r="I113" s="1" t="n">
        <f aca="false">F113+C113*$B$6-C113*$B$7-G113-H113</f>
        <v>172678.903534802</v>
      </c>
      <c r="J113" s="1" t="n">
        <f aca="false">F113+C113*$B$6-H113</f>
        <v>192037.506872155</v>
      </c>
    </row>
    <row r="114" customFormat="false" ht="15" hidden="false" customHeight="true" outlineLevel="0" collapsed="false">
      <c r="A114" s="1" t="n">
        <v>2106</v>
      </c>
      <c r="B114" s="115" t="n">
        <f aca="false">IF(A114&lt;2029,0,IF(A114=2029,$B$12,IF(A114=2030,$B$13,$B$14)))</f>
        <v>1</v>
      </c>
      <c r="C114" s="1" t="n">
        <f aca="false">INDEX($D$26:$D$31,MIN(A114-2025,6))*B114</f>
        <v>325109.050497254</v>
      </c>
      <c r="D114" s="1" t="n">
        <f aca="false">C114*$B$9</f>
        <v>262218.977767691</v>
      </c>
      <c r="E114" s="1" t="n">
        <f aca="false">D114-C114*$B$6</f>
        <v>259931.373687173</v>
      </c>
      <c r="F114" s="1" t="n">
        <f aca="false">E114*(1-$B$5)</f>
        <v>189749.902791636</v>
      </c>
      <c r="G114" s="1" t="n">
        <f aca="false">$B$8*(C114-C113/(1+$B$4))</f>
        <v>1477.60556000398</v>
      </c>
      <c r="H114" s="1" t="n">
        <f aca="false">IF(A114=2027,$B$11,IF(A114=2028,1-$B$11,0))*$B$10</f>
        <v>0</v>
      </c>
      <c r="I114" s="1" t="n">
        <f aca="false">F114+C114*$B$6-C114*$B$7-G114-H114</f>
        <v>172678.903534802</v>
      </c>
      <c r="J114" s="1" t="n">
        <f aca="false">F114+C114*$B$6-H114</f>
        <v>192037.506872155</v>
      </c>
    </row>
    <row r="115" customFormat="false" ht="15" hidden="false" customHeight="true" outlineLevel="0" collapsed="false">
      <c r="A115" s="1" t="n">
        <v>2107</v>
      </c>
      <c r="B115" s="115" t="n">
        <f aca="false">IF(A115&lt;2029,0,IF(A115=2029,$B$12,IF(A115=2030,$B$13,$B$14)))</f>
        <v>1</v>
      </c>
      <c r="C115" s="1" t="n">
        <f aca="false">INDEX($D$26:$D$31,MIN(A115-2025,6))*B115</f>
        <v>325109.050497254</v>
      </c>
      <c r="D115" s="1" t="n">
        <f aca="false">C115*$B$9</f>
        <v>262218.977767691</v>
      </c>
      <c r="E115" s="1" t="n">
        <f aca="false">D115-C115*$B$6</f>
        <v>259931.373687173</v>
      </c>
      <c r="F115" s="1" t="n">
        <f aca="false">E115*(1-$B$5)</f>
        <v>189749.902791636</v>
      </c>
      <c r="G115" s="1" t="n">
        <f aca="false">$B$8*(C115-C114/(1+$B$4))</f>
        <v>1477.60556000398</v>
      </c>
      <c r="H115" s="1" t="n">
        <f aca="false">IF(A115=2027,$B$11,IF(A115=2028,1-$B$11,0))*$B$10</f>
        <v>0</v>
      </c>
      <c r="I115" s="1" t="n">
        <f aca="false">F115+C115*$B$6-C115*$B$7-G115-H115</f>
        <v>172678.903534802</v>
      </c>
      <c r="J115" s="1" t="n">
        <f aca="false">F115+C115*$B$6-H115</f>
        <v>192037.506872155</v>
      </c>
    </row>
    <row r="116" customFormat="false" ht="15" hidden="false" customHeight="true" outlineLevel="0" collapsed="false">
      <c r="A116" s="1" t="n">
        <v>2108</v>
      </c>
      <c r="B116" s="115" t="n">
        <f aca="false">IF(A116&lt;2029,0,IF(A116=2029,$B$12,IF(A116=2030,$B$13,$B$14)))</f>
        <v>1</v>
      </c>
      <c r="C116" s="1" t="n">
        <f aca="false">INDEX($D$26:$D$31,MIN(A116-2025,6))*B116</f>
        <v>325109.050497254</v>
      </c>
      <c r="D116" s="1" t="n">
        <f aca="false">C116*$B$9</f>
        <v>262218.977767691</v>
      </c>
      <c r="E116" s="1" t="n">
        <f aca="false">D116-C116*$B$6</f>
        <v>259931.373687173</v>
      </c>
      <c r="F116" s="1" t="n">
        <f aca="false">E116*(1-$B$5)</f>
        <v>189749.902791636</v>
      </c>
      <c r="G116" s="1" t="n">
        <f aca="false">$B$8*(C116-C115/(1+$B$4))</f>
        <v>1477.60556000398</v>
      </c>
      <c r="H116" s="1" t="n">
        <f aca="false">IF(A116=2027,$B$11,IF(A116=2028,1-$B$11,0))*$B$10</f>
        <v>0</v>
      </c>
      <c r="I116" s="1" t="n">
        <f aca="false">F116+C116*$B$6-C116*$B$7-G116-H116</f>
        <v>172678.903534802</v>
      </c>
      <c r="J116" s="1" t="n">
        <f aca="false">F116+C116*$B$6-H116</f>
        <v>192037.506872155</v>
      </c>
    </row>
    <row r="117" customFormat="false" ht="15" hidden="false" customHeight="true" outlineLevel="0" collapsed="false">
      <c r="A117" s="1" t="n">
        <v>2109</v>
      </c>
      <c r="B117" s="115" t="n">
        <f aca="false">IF(A117&lt;2029,0,IF(A117=2029,$B$12,IF(A117=2030,$B$13,$B$14)))</f>
        <v>1</v>
      </c>
      <c r="C117" s="1" t="n">
        <f aca="false">INDEX($D$26:$D$31,MIN(A117-2025,6))*B117</f>
        <v>325109.050497254</v>
      </c>
      <c r="D117" s="1" t="n">
        <f aca="false">C117*$B$9</f>
        <v>262218.977767691</v>
      </c>
      <c r="E117" s="1" t="n">
        <f aca="false">D117-C117*$B$6</f>
        <v>259931.373687173</v>
      </c>
      <c r="F117" s="1" t="n">
        <f aca="false">E117*(1-$B$5)</f>
        <v>189749.902791636</v>
      </c>
      <c r="G117" s="1" t="n">
        <f aca="false">$B$8*(C117-C116/(1+$B$4))</f>
        <v>1477.60556000398</v>
      </c>
      <c r="H117" s="1" t="n">
        <f aca="false">IF(A117=2027,$B$11,IF(A117=2028,1-$B$11,0))*$B$10</f>
        <v>0</v>
      </c>
      <c r="I117" s="1" t="n">
        <f aca="false">F117+C117*$B$6-C117*$B$7-G117-H117</f>
        <v>172678.903534802</v>
      </c>
      <c r="J117" s="1" t="n">
        <f aca="false">F117+C117*$B$6-H117</f>
        <v>192037.506872155</v>
      </c>
    </row>
    <row r="118" customFormat="false" ht="15" hidden="false" customHeight="true" outlineLevel="0" collapsed="false">
      <c r="A118" s="1" t="n">
        <v>2110</v>
      </c>
      <c r="B118" s="115" t="n">
        <f aca="false">IF(A118&lt;2029,0,IF(A118=2029,$B$12,IF(A118=2030,$B$13,$B$14)))</f>
        <v>1</v>
      </c>
      <c r="C118" s="1" t="n">
        <f aca="false">INDEX($D$26:$D$31,MIN(A118-2025,6))*B118</f>
        <v>325109.050497254</v>
      </c>
      <c r="D118" s="1" t="n">
        <f aca="false">C118*$B$9</f>
        <v>262218.977767691</v>
      </c>
      <c r="E118" s="1" t="n">
        <f aca="false">D118-C118*$B$6</f>
        <v>259931.373687173</v>
      </c>
      <c r="F118" s="1" t="n">
        <f aca="false">E118*(1-$B$5)</f>
        <v>189749.902791636</v>
      </c>
      <c r="G118" s="1" t="n">
        <f aca="false">$B$8*(C118-C117/(1+$B$4))</f>
        <v>1477.60556000398</v>
      </c>
      <c r="H118" s="1" t="n">
        <f aca="false">IF(A118=2027,$B$11,IF(A118=2028,1-$B$11,0))*$B$10</f>
        <v>0</v>
      </c>
      <c r="I118" s="1" t="n">
        <f aca="false">F118+C118*$B$6-C118*$B$7-G118-H118</f>
        <v>172678.903534802</v>
      </c>
      <c r="J118" s="1" t="n">
        <f aca="false">F118+C118*$B$6-H118</f>
        <v>192037.506872155</v>
      </c>
    </row>
    <row r="119" customFormat="false" ht="15" hidden="false" customHeight="true" outlineLevel="0" collapsed="false">
      <c r="A119" s="1" t="n">
        <v>2111</v>
      </c>
      <c r="B119" s="115" t="n">
        <f aca="false">IF(A119&lt;2029,0,IF(A119=2029,$B$12,IF(A119=2030,$B$13,$B$14)))</f>
        <v>1</v>
      </c>
      <c r="C119" s="1" t="n">
        <f aca="false">INDEX($D$26:$D$31,MIN(A119-2025,6))*B119</f>
        <v>325109.050497254</v>
      </c>
      <c r="D119" s="1" t="n">
        <f aca="false">C119*$B$9</f>
        <v>262218.977767691</v>
      </c>
      <c r="E119" s="1" t="n">
        <f aca="false">D119-C119*$B$6</f>
        <v>259931.373687173</v>
      </c>
      <c r="F119" s="1" t="n">
        <f aca="false">E119*(1-$B$5)</f>
        <v>189749.902791636</v>
      </c>
      <c r="G119" s="1" t="n">
        <f aca="false">$B$8*(C119-C118/(1+$B$4))</f>
        <v>1477.60556000398</v>
      </c>
      <c r="H119" s="1" t="n">
        <f aca="false">IF(A119=2027,$B$11,IF(A119=2028,1-$B$11,0))*$B$10</f>
        <v>0</v>
      </c>
      <c r="I119" s="1" t="n">
        <f aca="false">F119+C119*$B$6-C119*$B$7-G119-H119</f>
        <v>172678.903534802</v>
      </c>
      <c r="J119" s="1" t="n">
        <f aca="false">F119+C119*$B$6-H119</f>
        <v>192037.506872155</v>
      </c>
    </row>
    <row r="120" customFormat="false" ht="15" hidden="false" customHeight="true" outlineLevel="0" collapsed="false">
      <c r="A120" s="1" t="n">
        <v>2112</v>
      </c>
      <c r="B120" s="115" t="n">
        <f aca="false">IF(A120&lt;2029,0,IF(A120=2029,$B$12,IF(A120=2030,$B$13,$B$14)))</f>
        <v>1</v>
      </c>
      <c r="C120" s="1" t="n">
        <f aca="false">INDEX($D$26:$D$31,MIN(A120-2025,6))*B120</f>
        <v>325109.050497254</v>
      </c>
      <c r="D120" s="1" t="n">
        <f aca="false">C120*$B$9</f>
        <v>262218.977767691</v>
      </c>
      <c r="E120" s="1" t="n">
        <f aca="false">D120-C120*$B$6</f>
        <v>259931.373687173</v>
      </c>
      <c r="F120" s="1" t="n">
        <f aca="false">E120*(1-$B$5)</f>
        <v>189749.902791636</v>
      </c>
      <c r="G120" s="1" t="n">
        <f aca="false">$B$8*(C120-C119/(1+$B$4))</f>
        <v>1477.60556000398</v>
      </c>
      <c r="H120" s="1" t="n">
        <f aca="false">IF(A120=2027,$B$11,IF(A120=2028,1-$B$11,0))*$B$10</f>
        <v>0</v>
      </c>
      <c r="I120" s="1" t="n">
        <f aca="false">F120+C120*$B$6-C120*$B$7-G120-H120</f>
        <v>172678.903534802</v>
      </c>
      <c r="J120" s="1" t="n">
        <f aca="false">F120+C120*$B$6-H120</f>
        <v>192037.506872155</v>
      </c>
    </row>
    <row r="121" customFormat="false" ht="15" hidden="false" customHeight="true" outlineLevel="0" collapsed="false">
      <c r="A121" s="1" t="n">
        <v>2113</v>
      </c>
      <c r="B121" s="115" t="n">
        <f aca="false">IF(A121&lt;2029,0,IF(A121=2029,$B$12,IF(A121=2030,$B$13,$B$14)))</f>
        <v>1</v>
      </c>
      <c r="C121" s="1" t="n">
        <f aca="false">INDEX($D$26:$D$31,MIN(A121-2025,6))*B121</f>
        <v>325109.050497254</v>
      </c>
      <c r="D121" s="1" t="n">
        <f aca="false">C121*$B$9</f>
        <v>262218.977767691</v>
      </c>
      <c r="E121" s="1" t="n">
        <f aca="false">D121-C121*$B$6</f>
        <v>259931.373687173</v>
      </c>
      <c r="F121" s="1" t="n">
        <f aca="false">E121*(1-$B$5)</f>
        <v>189749.902791636</v>
      </c>
      <c r="G121" s="1" t="n">
        <f aca="false">$B$8*(C121-C120/(1+$B$4))</f>
        <v>1477.60556000398</v>
      </c>
      <c r="H121" s="1" t="n">
        <f aca="false">IF(A121=2027,$B$11,IF(A121=2028,1-$B$11,0))*$B$10</f>
        <v>0</v>
      </c>
      <c r="I121" s="1" t="n">
        <f aca="false">F121+C121*$B$6-C121*$B$7-G121-H121</f>
        <v>172678.903534802</v>
      </c>
      <c r="J121" s="1" t="n">
        <f aca="false">F121+C121*$B$6-H121</f>
        <v>192037.506872155</v>
      </c>
    </row>
    <row r="122" customFormat="false" ht="15" hidden="false" customHeight="true" outlineLevel="0" collapsed="false">
      <c r="A122" s="1" t="n">
        <v>2114</v>
      </c>
      <c r="B122" s="115" t="n">
        <f aca="false">IF(A122&lt;2029,0,IF(A122=2029,$B$12,IF(A122=2030,$B$13,$B$14)))</f>
        <v>1</v>
      </c>
      <c r="C122" s="1" t="n">
        <f aca="false">INDEX($D$26:$D$31,MIN(A122-2025,6))*B122</f>
        <v>325109.050497254</v>
      </c>
      <c r="D122" s="1" t="n">
        <f aca="false">C122*$B$9</f>
        <v>262218.977767691</v>
      </c>
      <c r="E122" s="1" t="n">
        <f aca="false">D122-C122*$B$6</f>
        <v>259931.373687173</v>
      </c>
      <c r="F122" s="1" t="n">
        <f aca="false">E122*(1-$B$5)</f>
        <v>189749.902791636</v>
      </c>
      <c r="G122" s="1" t="n">
        <f aca="false">$B$8*(C122-C121/(1+$B$4))</f>
        <v>1477.60556000398</v>
      </c>
      <c r="H122" s="1" t="n">
        <f aca="false">IF(A122=2027,$B$11,IF(A122=2028,1-$B$11,0))*$B$10</f>
        <v>0</v>
      </c>
      <c r="I122" s="1" t="n">
        <f aca="false">F122+C122*$B$6-C122*$B$7-G122-H122</f>
        <v>172678.903534802</v>
      </c>
      <c r="J122" s="1" t="n">
        <f aca="false">F122+C122*$B$6-H122</f>
        <v>192037.506872155</v>
      </c>
    </row>
    <row r="123" customFormat="false" ht="15" hidden="false" customHeight="true" outlineLevel="0" collapsed="false">
      <c r="A123" s="1" t="n">
        <v>2115</v>
      </c>
      <c r="B123" s="115" t="n">
        <f aca="false">IF(A123&lt;2029,0,IF(A123=2029,$B$12,IF(A123=2030,$B$13,$B$14)))</f>
        <v>1</v>
      </c>
      <c r="C123" s="1" t="n">
        <f aca="false">INDEX($D$26:$D$31,MIN(A123-2025,6))*B123</f>
        <v>325109.050497254</v>
      </c>
      <c r="D123" s="1" t="n">
        <f aca="false">C123*$B$9</f>
        <v>262218.977767691</v>
      </c>
      <c r="E123" s="1" t="n">
        <f aca="false">D123-C123*$B$6</f>
        <v>259931.373687173</v>
      </c>
      <c r="F123" s="1" t="n">
        <f aca="false">E123*(1-$B$5)</f>
        <v>189749.902791636</v>
      </c>
      <c r="G123" s="1" t="n">
        <f aca="false">$B$8*(C123-C122/(1+$B$4))</f>
        <v>1477.60556000398</v>
      </c>
      <c r="H123" s="1" t="n">
        <f aca="false">IF(A123=2027,$B$11,IF(A123=2028,1-$B$11,0))*$B$10</f>
        <v>0</v>
      </c>
      <c r="I123" s="1" t="n">
        <f aca="false">F123+C123*$B$6-C123*$B$7-G123-H123</f>
        <v>172678.903534802</v>
      </c>
      <c r="J123" s="1" t="n">
        <f aca="false">F123+C123*$B$6-H123</f>
        <v>192037.506872155</v>
      </c>
    </row>
    <row r="124" customFormat="false" ht="15" hidden="false" customHeight="true" outlineLevel="0" collapsed="false">
      <c r="A124" s="1" t="n">
        <v>2116</v>
      </c>
      <c r="B124" s="115" t="n">
        <f aca="false">IF(A124&lt;2029,0,IF(A124=2029,$B$12,IF(A124=2030,$B$13,$B$14)))</f>
        <v>1</v>
      </c>
      <c r="C124" s="1" t="n">
        <f aca="false">INDEX($D$26:$D$31,MIN(A124-2025,6))*B124</f>
        <v>325109.050497254</v>
      </c>
      <c r="D124" s="1" t="n">
        <f aca="false">C124*$B$9</f>
        <v>262218.977767691</v>
      </c>
      <c r="E124" s="1" t="n">
        <f aca="false">D124-C124*$B$6</f>
        <v>259931.373687173</v>
      </c>
      <c r="F124" s="1" t="n">
        <f aca="false">E124*(1-$B$5)</f>
        <v>189749.902791636</v>
      </c>
      <c r="G124" s="1" t="n">
        <f aca="false">$B$8*(C124-C123/(1+$B$4))</f>
        <v>1477.60556000398</v>
      </c>
      <c r="H124" s="1" t="n">
        <f aca="false">IF(A124=2027,$B$11,IF(A124=2028,1-$B$11,0))*$B$10</f>
        <v>0</v>
      </c>
      <c r="I124" s="1" t="n">
        <f aca="false">F124+C124*$B$6-C124*$B$7-G124-H124</f>
        <v>172678.903534802</v>
      </c>
      <c r="J124" s="1" t="n">
        <f aca="false">F124+C124*$B$6-H124</f>
        <v>192037.506872155</v>
      </c>
    </row>
    <row r="125" customFormat="false" ht="15" hidden="false" customHeight="true" outlineLevel="0" collapsed="false">
      <c r="A125" s="1" t="n">
        <v>2117</v>
      </c>
      <c r="B125" s="115" t="n">
        <f aca="false">IF(A125&lt;2029,0,IF(A125=2029,$B$12,IF(A125=2030,$B$13,$B$14)))</f>
        <v>1</v>
      </c>
      <c r="C125" s="1" t="n">
        <f aca="false">INDEX($D$26:$D$31,MIN(A125-2025,6))*B125</f>
        <v>325109.050497254</v>
      </c>
      <c r="D125" s="1" t="n">
        <f aca="false">C125*$B$9</f>
        <v>262218.977767691</v>
      </c>
      <c r="E125" s="1" t="n">
        <f aca="false">D125-C125*$B$6</f>
        <v>259931.373687173</v>
      </c>
      <c r="F125" s="1" t="n">
        <f aca="false">E125*(1-$B$5)</f>
        <v>189749.902791636</v>
      </c>
      <c r="G125" s="1" t="n">
        <f aca="false">$B$8*(C125-C124/(1+$B$4))</f>
        <v>1477.60556000398</v>
      </c>
      <c r="H125" s="1" t="n">
        <f aca="false">IF(A125=2027,$B$11,IF(A125=2028,1-$B$11,0))*$B$10</f>
        <v>0</v>
      </c>
      <c r="I125" s="1" t="n">
        <f aca="false">F125+C125*$B$6-C125*$B$7-G125-H125</f>
        <v>172678.903534802</v>
      </c>
      <c r="J125" s="1" t="n">
        <f aca="false">F125+C125*$B$6-H125</f>
        <v>192037.506872155</v>
      </c>
    </row>
    <row r="126" customFormat="false" ht="15" hidden="false" customHeight="true" outlineLevel="0" collapsed="false">
      <c r="A126" s="1" t="n">
        <v>2118</v>
      </c>
      <c r="B126" s="115" t="n">
        <f aca="false">IF(A126&lt;2029,0,IF(A126=2029,$B$12,IF(A126=2030,$B$13,$B$14)))</f>
        <v>1</v>
      </c>
      <c r="C126" s="1" t="n">
        <f aca="false">INDEX($D$26:$D$31,MIN(A126-2025,6))*B126</f>
        <v>325109.050497254</v>
      </c>
      <c r="D126" s="1" t="n">
        <f aca="false">C126*$B$9</f>
        <v>262218.977767691</v>
      </c>
      <c r="E126" s="1" t="n">
        <f aca="false">D126-C126*$B$6</f>
        <v>259931.373687173</v>
      </c>
      <c r="F126" s="1" t="n">
        <f aca="false">E126*(1-$B$5)</f>
        <v>189749.902791636</v>
      </c>
      <c r="G126" s="1" t="n">
        <f aca="false">$B$8*(C126-C125/(1+$B$4))</f>
        <v>1477.60556000398</v>
      </c>
      <c r="H126" s="1" t="n">
        <f aca="false">IF(A126=2027,$B$11,IF(A126=2028,1-$B$11,0))*$B$10</f>
        <v>0</v>
      </c>
      <c r="I126" s="1" t="n">
        <f aca="false">F126+C126*$B$6-C126*$B$7-G126-H126</f>
        <v>172678.903534802</v>
      </c>
      <c r="J126" s="1" t="n">
        <f aca="false">F126+C126*$B$6-H126</f>
        <v>192037.506872155</v>
      </c>
    </row>
    <row r="127" customFormat="false" ht="15" hidden="false" customHeight="true" outlineLevel="0" collapsed="false">
      <c r="A127" s="1" t="n">
        <v>2119</v>
      </c>
      <c r="B127" s="115" t="n">
        <f aca="false">IF(A127&lt;2029,0,IF(A127=2029,$B$12,IF(A127=2030,$B$13,$B$14)))</f>
        <v>1</v>
      </c>
      <c r="C127" s="1" t="n">
        <f aca="false">INDEX($D$26:$D$31,MIN(A127-2025,6))*B127</f>
        <v>325109.050497254</v>
      </c>
      <c r="D127" s="1" t="n">
        <f aca="false">C127*$B$9</f>
        <v>262218.977767691</v>
      </c>
      <c r="E127" s="1" t="n">
        <f aca="false">D127-C127*$B$6</f>
        <v>259931.373687173</v>
      </c>
      <c r="F127" s="1" t="n">
        <f aca="false">E127*(1-$B$5)</f>
        <v>189749.902791636</v>
      </c>
      <c r="G127" s="1" t="n">
        <f aca="false">$B$8*(C127-C126/(1+$B$4))</f>
        <v>1477.60556000398</v>
      </c>
      <c r="H127" s="1" t="n">
        <f aca="false">IF(A127=2027,$B$11,IF(A127=2028,1-$B$11,0))*$B$10</f>
        <v>0</v>
      </c>
      <c r="I127" s="1" t="n">
        <f aca="false">F127+C127*$B$6-C127*$B$7-G127-H127</f>
        <v>172678.903534802</v>
      </c>
      <c r="J127" s="1" t="n">
        <f aca="false">F127+C127*$B$6-H127</f>
        <v>192037.506872155</v>
      </c>
    </row>
    <row r="128" customFormat="false" ht="15" hidden="false" customHeight="true" outlineLevel="0" collapsed="false">
      <c r="A128" s="1" t="n">
        <v>2120</v>
      </c>
      <c r="B128" s="115" t="n">
        <f aca="false">IF(A128&lt;2029,0,IF(A128=2029,$B$12,IF(A128=2030,$B$13,$B$14)))</f>
        <v>1</v>
      </c>
      <c r="C128" s="1" t="n">
        <f aca="false">INDEX($D$26:$D$31,MIN(A128-2025,6))*B128</f>
        <v>325109.050497254</v>
      </c>
      <c r="D128" s="1" t="n">
        <f aca="false">C128*$B$9</f>
        <v>262218.977767691</v>
      </c>
      <c r="E128" s="1" t="n">
        <f aca="false">D128-C128*$B$6</f>
        <v>259931.373687173</v>
      </c>
      <c r="F128" s="1" t="n">
        <f aca="false">E128*(1-$B$5)</f>
        <v>189749.902791636</v>
      </c>
      <c r="G128" s="1" t="n">
        <f aca="false">$B$8*(C128-C127/(1+$B$4))</f>
        <v>1477.60556000398</v>
      </c>
      <c r="H128" s="1" t="n">
        <f aca="false">IF(A128=2027,$B$11,IF(A128=2028,1-$B$11,0))*$B$10</f>
        <v>0</v>
      </c>
      <c r="I128" s="1" t="n">
        <f aca="false">F128+C128*$B$6-C128*$B$7-G128-H128</f>
        <v>172678.903534802</v>
      </c>
      <c r="J128" s="1" t="n">
        <f aca="false">F128+C128*$B$6-H128</f>
        <v>192037.506872155</v>
      </c>
    </row>
    <row r="129" customFormat="false" ht="15" hidden="false" customHeight="true" outlineLevel="0" collapsed="false">
      <c r="A129" s="1" t="n">
        <v>2121</v>
      </c>
      <c r="B129" s="115" t="n">
        <f aca="false">IF(A129&lt;2029,0,IF(A129=2029,$B$12,IF(A129=2030,$B$13,$B$14)))</f>
        <v>1</v>
      </c>
      <c r="C129" s="1" t="n">
        <f aca="false">INDEX($D$26:$D$31,MIN(A129-2025,6))*B129</f>
        <v>325109.050497254</v>
      </c>
      <c r="D129" s="1" t="n">
        <f aca="false">C129*$B$9</f>
        <v>262218.977767691</v>
      </c>
      <c r="E129" s="1" t="n">
        <f aca="false">D129-C129*$B$6</f>
        <v>259931.373687173</v>
      </c>
      <c r="F129" s="1" t="n">
        <f aca="false">E129*(1-$B$5)</f>
        <v>189749.902791636</v>
      </c>
      <c r="G129" s="1" t="n">
        <f aca="false">$B$8*(C129-C128/(1+$B$4))</f>
        <v>1477.60556000398</v>
      </c>
      <c r="H129" s="1" t="n">
        <f aca="false">IF(A129=2027,$B$11,IF(A129=2028,1-$B$11,0))*$B$10</f>
        <v>0</v>
      </c>
      <c r="I129" s="1" t="n">
        <f aca="false">F129+C129*$B$6-C129*$B$7-G129-H129</f>
        <v>172678.903534802</v>
      </c>
      <c r="J129" s="1" t="n">
        <f aca="false">F129+C129*$B$6-H129</f>
        <v>192037.506872155</v>
      </c>
    </row>
    <row r="130" customFormat="false" ht="15" hidden="false" customHeight="true" outlineLevel="0" collapsed="false">
      <c r="A130" s="1" t="n">
        <v>2122</v>
      </c>
      <c r="B130" s="115" t="n">
        <f aca="false">IF(A130&lt;2029,0,IF(A130=2029,$B$12,IF(A130=2030,$B$13,$B$14)))</f>
        <v>1</v>
      </c>
      <c r="C130" s="1" t="n">
        <f aca="false">INDEX($D$26:$D$31,MIN(A130-2025,6))*B130</f>
        <v>325109.050497254</v>
      </c>
      <c r="D130" s="1" t="n">
        <f aca="false">C130*$B$9</f>
        <v>262218.977767691</v>
      </c>
      <c r="E130" s="1" t="n">
        <f aca="false">D130-C130*$B$6</f>
        <v>259931.373687173</v>
      </c>
      <c r="F130" s="1" t="n">
        <f aca="false">E130*(1-$B$5)</f>
        <v>189749.902791636</v>
      </c>
      <c r="G130" s="1" t="n">
        <f aca="false">$B$8*(C130-C129/(1+$B$4))</f>
        <v>1477.60556000398</v>
      </c>
      <c r="H130" s="1" t="n">
        <f aca="false">IF(A130=2027,$B$11,IF(A130=2028,1-$B$11,0))*$B$10</f>
        <v>0</v>
      </c>
      <c r="I130" s="1" t="n">
        <f aca="false">F130+C130*$B$6-C130*$B$7-G130-H130</f>
        <v>172678.903534802</v>
      </c>
      <c r="J130" s="1" t="n">
        <f aca="false">F130+C130*$B$6-H130</f>
        <v>192037.506872155</v>
      </c>
    </row>
    <row r="131" customFormat="false" ht="15" hidden="false" customHeight="true" outlineLevel="0" collapsed="false">
      <c r="A131" s="1" t="n">
        <v>2123</v>
      </c>
      <c r="B131" s="115" t="n">
        <f aca="false">IF(A131&lt;2029,0,IF(A131=2029,$B$12,IF(A131=2030,$B$13,$B$14)))</f>
        <v>1</v>
      </c>
      <c r="C131" s="1" t="n">
        <f aca="false">INDEX($D$26:$D$31,MIN(A131-2025,6))*B131</f>
        <v>325109.050497254</v>
      </c>
      <c r="D131" s="1" t="n">
        <f aca="false">C131*$B$9</f>
        <v>262218.977767691</v>
      </c>
      <c r="E131" s="1" t="n">
        <f aca="false">D131-C131*$B$6</f>
        <v>259931.373687173</v>
      </c>
      <c r="F131" s="1" t="n">
        <f aca="false">E131*(1-$B$5)</f>
        <v>189749.902791636</v>
      </c>
      <c r="G131" s="1" t="n">
        <f aca="false">$B$8*(C131-C130/(1+$B$4))</f>
        <v>1477.60556000398</v>
      </c>
      <c r="H131" s="1" t="n">
        <f aca="false">IF(A131=2027,$B$11,IF(A131=2028,1-$B$11,0))*$B$10</f>
        <v>0</v>
      </c>
      <c r="I131" s="1" t="n">
        <f aca="false">F131+C131*$B$6-C131*$B$7-G131-H131</f>
        <v>172678.903534802</v>
      </c>
      <c r="J131" s="1" t="n">
        <f aca="false">F131+C131*$B$6-H131</f>
        <v>192037.506872155</v>
      </c>
    </row>
    <row r="132" customFormat="false" ht="15" hidden="false" customHeight="true" outlineLevel="0" collapsed="false">
      <c r="A132" s="1" t="n">
        <v>2124</v>
      </c>
      <c r="B132" s="115" t="n">
        <f aca="false">IF(A132&lt;2029,0,IF(A132=2029,$B$12,IF(A132=2030,$B$13,$B$14)))</f>
        <v>1</v>
      </c>
      <c r="C132" s="1" t="n">
        <f aca="false">INDEX($D$26:$D$31,MIN(A132-2025,6))*B132</f>
        <v>325109.050497254</v>
      </c>
      <c r="D132" s="1" t="n">
        <f aca="false">C132*$B$9</f>
        <v>262218.977767691</v>
      </c>
      <c r="E132" s="1" t="n">
        <f aca="false">D132-C132*$B$6</f>
        <v>259931.373687173</v>
      </c>
      <c r="F132" s="1" t="n">
        <f aca="false">E132*(1-$B$5)</f>
        <v>189749.902791636</v>
      </c>
      <c r="G132" s="1" t="n">
        <f aca="false">$B$8*(C132-C131/(1+$B$4))</f>
        <v>1477.60556000398</v>
      </c>
      <c r="H132" s="1" t="n">
        <f aca="false">IF(A132=2027,$B$11,IF(A132=2028,1-$B$11,0))*$B$10</f>
        <v>0</v>
      </c>
      <c r="I132" s="1" t="n">
        <f aca="false">F132+C132*$B$6-C132*$B$7-G132-H132</f>
        <v>172678.903534802</v>
      </c>
      <c r="J132" s="1" t="n">
        <f aca="false">F132+C132*$B$6-H132</f>
        <v>192037.506872155</v>
      </c>
    </row>
    <row r="133" customFormat="false" ht="15" hidden="false" customHeight="true" outlineLevel="0" collapsed="false">
      <c r="A133" s="1" t="n">
        <v>2125</v>
      </c>
      <c r="B133" s="115" t="n">
        <f aca="false">IF(A133&lt;2029,0,IF(A133=2029,$B$12,IF(A133=2030,$B$13,$B$14)))</f>
        <v>1</v>
      </c>
      <c r="C133" s="1" t="n">
        <f aca="false">INDEX($D$26:$D$31,MIN(A133-2025,6))*B133</f>
        <v>325109.050497254</v>
      </c>
      <c r="D133" s="1" t="n">
        <f aca="false">C133*$B$9</f>
        <v>262218.977767691</v>
      </c>
      <c r="E133" s="1" t="n">
        <f aca="false">D133-C133*$B$6</f>
        <v>259931.373687173</v>
      </c>
      <c r="F133" s="1" t="n">
        <f aca="false">E133*(1-$B$5)</f>
        <v>189749.902791636</v>
      </c>
      <c r="G133" s="1" t="n">
        <f aca="false">$B$8*(C133-C132/(1+$B$4))</f>
        <v>1477.60556000398</v>
      </c>
      <c r="H133" s="1" t="n">
        <f aca="false">IF(A133=2027,$B$11,IF(A133=2028,1-$B$11,0))*$B$10</f>
        <v>0</v>
      </c>
      <c r="I133" s="1" t="n">
        <f aca="false">F133+C133*$B$6-C133*$B$7-G133-H133</f>
        <v>172678.903534802</v>
      </c>
      <c r="J133" s="1" t="n">
        <f aca="false">F133+C133*$B$6-H133</f>
        <v>192037.506872155</v>
      </c>
    </row>
    <row r="134" customFormat="false" ht="15" hidden="false" customHeight="true" outlineLevel="0" collapsed="false">
      <c r="A134" s="1" t="n">
        <v>2126</v>
      </c>
      <c r="B134" s="115" t="n">
        <f aca="false">IF(A134&lt;2029,0,IF(A134=2029,$B$12,IF(A134=2030,$B$13,$B$14)))</f>
        <v>1</v>
      </c>
      <c r="C134" s="1" t="n">
        <f aca="false">INDEX($D$26:$D$31,MIN(A134-2025,6))*B134</f>
        <v>325109.050497254</v>
      </c>
      <c r="D134" s="1" t="n">
        <f aca="false">C134*$B$9</f>
        <v>262218.977767691</v>
      </c>
      <c r="E134" s="1" t="n">
        <f aca="false">D134-C134*$B$6</f>
        <v>259931.373687173</v>
      </c>
      <c r="F134" s="1" t="n">
        <f aca="false">E134*(1-$B$5)</f>
        <v>189749.902791636</v>
      </c>
      <c r="G134" s="1" t="n">
        <f aca="false">$B$8*(C134-C133/(1+$B$4))</f>
        <v>1477.60556000398</v>
      </c>
      <c r="H134" s="1" t="n">
        <f aca="false">IF(A134=2027,$B$11,IF(A134=2028,1-$B$11,0))*$B$10</f>
        <v>0</v>
      </c>
      <c r="I134" s="1" t="n">
        <f aca="false">F134+C134*$B$6-C134*$B$7-G134-H134</f>
        <v>172678.903534802</v>
      </c>
      <c r="J134" s="1" t="n">
        <f aca="false">F134+C134*$B$6-H134</f>
        <v>192037.506872155</v>
      </c>
    </row>
    <row r="135" customFormat="false" ht="15" hidden="false" customHeight="true" outlineLevel="0" collapsed="false">
      <c r="A135" s="1" t="n">
        <v>2127</v>
      </c>
      <c r="B135" s="115" t="n">
        <f aca="false">IF(A135&lt;2029,0,IF(A135=2029,$B$12,IF(A135=2030,$B$13,$B$14)))</f>
        <v>1</v>
      </c>
      <c r="C135" s="1" t="n">
        <f aca="false">INDEX($D$26:$D$31,MIN(A135-2025,6))*B135</f>
        <v>325109.050497254</v>
      </c>
      <c r="D135" s="1" t="n">
        <f aca="false">C135*$B$9</f>
        <v>262218.977767691</v>
      </c>
      <c r="E135" s="1" t="n">
        <f aca="false">D135-C135*$B$6</f>
        <v>259931.373687173</v>
      </c>
      <c r="F135" s="1" t="n">
        <f aca="false">E135*(1-$B$5)</f>
        <v>189749.902791636</v>
      </c>
      <c r="G135" s="1" t="n">
        <f aca="false">$B$8*(C135-C134/(1+$B$4))</f>
        <v>1477.60556000398</v>
      </c>
      <c r="H135" s="1" t="n">
        <f aca="false">IF(A135=2027,$B$11,IF(A135=2028,1-$B$11,0))*$B$10</f>
        <v>0</v>
      </c>
      <c r="I135" s="1" t="n">
        <f aca="false">F135+C135*$B$6-C135*$B$7-G135-H135</f>
        <v>172678.903534802</v>
      </c>
      <c r="J135" s="1" t="n">
        <f aca="false">F135+C135*$B$6-H135</f>
        <v>192037.506872155</v>
      </c>
    </row>
    <row r="136" customFormat="false" ht="15" hidden="false" customHeight="true" outlineLevel="0" collapsed="false">
      <c r="A136" s="1" t="n">
        <v>2128</v>
      </c>
      <c r="B136" s="115" t="n">
        <f aca="false">IF(A136&lt;2029,0,IF(A136=2029,$B$12,IF(A136=2030,$B$13,$B$14)))</f>
        <v>1</v>
      </c>
      <c r="C136" s="1" t="n">
        <f aca="false">INDEX($D$26:$D$31,MIN(A136-2025,6))*B136</f>
        <v>325109.050497254</v>
      </c>
      <c r="D136" s="1" t="n">
        <f aca="false">C136*$B$9</f>
        <v>262218.977767691</v>
      </c>
      <c r="E136" s="1" t="n">
        <f aca="false">D136-C136*$B$6</f>
        <v>259931.373687173</v>
      </c>
      <c r="F136" s="1" t="n">
        <f aca="false">E136*(1-$B$5)</f>
        <v>189749.902791636</v>
      </c>
      <c r="G136" s="1" t="n">
        <f aca="false">$B$8*(C136-C135/(1+$B$4))</f>
        <v>1477.60556000398</v>
      </c>
      <c r="H136" s="1" t="n">
        <f aca="false">IF(A136=2027,$B$11,IF(A136=2028,1-$B$11,0))*$B$10</f>
        <v>0</v>
      </c>
      <c r="I136" s="1" t="n">
        <f aca="false">F136+C136*$B$6-C136*$B$7-G136-H136</f>
        <v>172678.903534802</v>
      </c>
      <c r="J136" s="1" t="n">
        <f aca="false">F136+C136*$B$6-H136</f>
        <v>192037.506872155</v>
      </c>
    </row>
    <row r="137" customFormat="false" ht="15" hidden="false" customHeight="true" outlineLevel="0" collapsed="false">
      <c r="A137" s="1" t="n">
        <v>2129</v>
      </c>
      <c r="B137" s="115" t="n">
        <f aca="false">IF(A137&lt;2029,0,IF(A137=2029,$B$12,IF(A137=2030,$B$13,$B$14)))</f>
        <v>1</v>
      </c>
      <c r="C137" s="1" t="n">
        <f aca="false">INDEX($D$26:$D$31,MIN(A137-2025,6))*B137</f>
        <v>325109.050497254</v>
      </c>
      <c r="D137" s="1" t="n">
        <f aca="false">C137*$B$9</f>
        <v>262218.977767691</v>
      </c>
      <c r="E137" s="1" t="n">
        <f aca="false">D137-C137*$B$6</f>
        <v>259931.373687173</v>
      </c>
      <c r="F137" s="1" t="n">
        <f aca="false">E137*(1-$B$5)</f>
        <v>189749.902791636</v>
      </c>
      <c r="G137" s="1" t="n">
        <f aca="false">$B$8*(C137-C136/(1+$B$4))</f>
        <v>1477.60556000398</v>
      </c>
      <c r="H137" s="1" t="n">
        <f aca="false">IF(A137=2027,$B$11,IF(A137=2028,1-$B$11,0))*$B$10</f>
        <v>0</v>
      </c>
      <c r="I137" s="1" t="n">
        <f aca="false">F137+C137*$B$6-C137*$B$7-G137-H137</f>
        <v>172678.903534802</v>
      </c>
      <c r="J137" s="1" t="n">
        <f aca="false">F137+C137*$B$6-H137</f>
        <v>192037.506872155</v>
      </c>
    </row>
    <row r="138" customFormat="false" ht="15" hidden="false" customHeight="true" outlineLevel="0" collapsed="false">
      <c r="A138" s="1" t="n">
        <v>2130</v>
      </c>
      <c r="B138" s="115" t="n">
        <f aca="false">IF(A138&lt;2029,0,IF(A138=2029,$B$12,IF(A138=2030,$B$13,$B$14)))</f>
        <v>1</v>
      </c>
      <c r="C138" s="1" t="n">
        <f aca="false">INDEX($D$26:$D$31,MIN(A138-2025,6))*B138</f>
        <v>325109.050497254</v>
      </c>
      <c r="D138" s="1" t="n">
        <f aca="false">C138*$B$9</f>
        <v>262218.977767691</v>
      </c>
      <c r="E138" s="1" t="n">
        <f aca="false">D138-C138*$B$6</f>
        <v>259931.373687173</v>
      </c>
      <c r="F138" s="1" t="n">
        <f aca="false">E138*(1-$B$5)</f>
        <v>189749.902791636</v>
      </c>
      <c r="G138" s="1" t="n">
        <f aca="false">$B$8*(C138-C137/(1+$B$4))</f>
        <v>1477.60556000398</v>
      </c>
      <c r="H138" s="1" t="n">
        <f aca="false">IF(A138=2027,$B$11,IF(A138=2028,1-$B$11,0))*$B$10</f>
        <v>0</v>
      </c>
      <c r="I138" s="1" t="n">
        <f aca="false">F138+C138*$B$6-C138*$B$7-G138-H138</f>
        <v>172678.903534802</v>
      </c>
      <c r="J138" s="1" t="n">
        <f aca="false">F138+C138*$B$6-H138</f>
        <v>192037.506872155</v>
      </c>
    </row>
    <row r="139" customFormat="false" ht="15" hidden="false" customHeight="true" outlineLevel="0" collapsed="false">
      <c r="A139" s="1" t="n">
        <v>2131</v>
      </c>
      <c r="B139" s="115" t="n">
        <f aca="false">IF(A139&lt;2029,0,IF(A139=2029,$B$12,IF(A139=2030,$B$13,$B$14)))</f>
        <v>1</v>
      </c>
      <c r="C139" s="1" t="n">
        <f aca="false">INDEX($D$26:$D$31,MIN(A139-2025,6))*B139</f>
        <v>325109.050497254</v>
      </c>
      <c r="D139" s="1" t="n">
        <f aca="false">C139*$B$9</f>
        <v>262218.977767691</v>
      </c>
      <c r="E139" s="1" t="n">
        <f aca="false">D139-C139*$B$6</f>
        <v>259931.373687173</v>
      </c>
      <c r="F139" s="1" t="n">
        <f aca="false">E139*(1-$B$5)</f>
        <v>189749.902791636</v>
      </c>
      <c r="G139" s="1" t="n">
        <f aca="false">$B$8*(C139-C138/(1+$B$4))</f>
        <v>1477.60556000398</v>
      </c>
      <c r="H139" s="1" t="n">
        <f aca="false">IF(A139=2027,$B$11,IF(A139=2028,1-$B$11,0))*$B$10</f>
        <v>0</v>
      </c>
      <c r="I139" s="1" t="n">
        <f aca="false">F139+C139*$B$6-C139*$B$7-G139-H139</f>
        <v>172678.903534802</v>
      </c>
      <c r="J139" s="1" t="n">
        <f aca="false">F139+C139*$B$6-H139</f>
        <v>192037.506872155</v>
      </c>
    </row>
    <row r="140" customFormat="false" ht="15" hidden="false" customHeight="true" outlineLevel="0" collapsed="false">
      <c r="A140" s="1" t="n">
        <v>2132</v>
      </c>
      <c r="B140" s="115" t="n">
        <f aca="false">IF(A140&lt;2029,0,IF(A140=2029,$B$12,IF(A140=2030,$B$13,$B$14)))</f>
        <v>1</v>
      </c>
      <c r="C140" s="1" t="n">
        <f aca="false">INDEX($D$26:$D$31,MIN(A140-2025,6))*B140</f>
        <v>325109.050497254</v>
      </c>
      <c r="D140" s="1" t="n">
        <f aca="false">C140*$B$9</f>
        <v>262218.977767691</v>
      </c>
      <c r="E140" s="1" t="n">
        <f aca="false">D140-C140*$B$6</f>
        <v>259931.373687173</v>
      </c>
      <c r="F140" s="1" t="n">
        <f aca="false">E140*(1-$B$5)</f>
        <v>189749.902791636</v>
      </c>
      <c r="G140" s="1" t="n">
        <f aca="false">$B$8*(C140-C139/(1+$B$4))</f>
        <v>1477.60556000398</v>
      </c>
      <c r="H140" s="1" t="n">
        <f aca="false">IF(A140=2027,$B$11,IF(A140=2028,1-$B$11,0))*$B$10</f>
        <v>0</v>
      </c>
      <c r="I140" s="1" t="n">
        <f aca="false">F140+C140*$B$6-C140*$B$7-G140-H140</f>
        <v>172678.903534802</v>
      </c>
      <c r="J140" s="1" t="n">
        <f aca="false">F140+C140*$B$6-H140</f>
        <v>192037.506872155</v>
      </c>
    </row>
    <row r="141" customFormat="false" ht="15" hidden="false" customHeight="true" outlineLevel="0" collapsed="false">
      <c r="A141" s="1" t="n">
        <v>2133</v>
      </c>
      <c r="B141" s="115" t="n">
        <f aca="false">IF(A141&lt;2029,0,IF(A141=2029,$B$12,IF(A141=2030,$B$13,$B$14)))</f>
        <v>1</v>
      </c>
      <c r="C141" s="1" t="n">
        <f aca="false">INDEX($D$26:$D$31,MIN(A141-2025,6))*B141</f>
        <v>325109.050497254</v>
      </c>
      <c r="D141" s="1" t="n">
        <f aca="false">C141*$B$9</f>
        <v>262218.977767691</v>
      </c>
      <c r="E141" s="1" t="n">
        <f aca="false">D141-C141*$B$6</f>
        <v>259931.373687173</v>
      </c>
      <c r="F141" s="1" t="n">
        <f aca="false">E141*(1-$B$5)</f>
        <v>189749.902791636</v>
      </c>
      <c r="G141" s="1" t="n">
        <f aca="false">$B$8*(C141-C140/(1+$B$4))</f>
        <v>1477.60556000398</v>
      </c>
      <c r="H141" s="1" t="n">
        <f aca="false">IF(A141=2027,$B$11,IF(A141=2028,1-$B$11,0))*$B$10</f>
        <v>0</v>
      </c>
      <c r="I141" s="1" t="n">
        <f aca="false">F141+C141*$B$6-C141*$B$7-G141-H141</f>
        <v>172678.903534802</v>
      </c>
      <c r="J141" s="1" t="n">
        <f aca="false">F141+C141*$B$6-H141</f>
        <v>192037.506872155</v>
      </c>
    </row>
    <row r="142" customFormat="false" ht="15" hidden="false" customHeight="true" outlineLevel="0" collapsed="false">
      <c r="A142" s="1" t="n">
        <v>2134</v>
      </c>
      <c r="B142" s="115" t="n">
        <f aca="false">IF(A142&lt;2029,0,IF(A142=2029,$B$12,IF(A142=2030,$B$13,$B$14)))</f>
        <v>1</v>
      </c>
      <c r="C142" s="1" t="n">
        <f aca="false">INDEX($D$26:$D$31,MIN(A142-2025,6))*B142</f>
        <v>325109.050497254</v>
      </c>
      <c r="D142" s="1" t="n">
        <f aca="false">C142*$B$9</f>
        <v>262218.977767691</v>
      </c>
      <c r="E142" s="1" t="n">
        <f aca="false">D142-C142*$B$6</f>
        <v>259931.373687173</v>
      </c>
      <c r="F142" s="1" t="n">
        <f aca="false">E142*(1-$B$5)</f>
        <v>189749.902791636</v>
      </c>
      <c r="G142" s="1" t="n">
        <f aca="false">$B$8*(C142-C141/(1+$B$4))</f>
        <v>1477.60556000398</v>
      </c>
      <c r="H142" s="1" t="n">
        <f aca="false">IF(A142=2027,$B$11,IF(A142=2028,1-$B$11,0))*$B$10</f>
        <v>0</v>
      </c>
      <c r="I142" s="1" t="n">
        <f aca="false">F142+C142*$B$6-C142*$B$7-G142-H142</f>
        <v>172678.903534802</v>
      </c>
      <c r="J142" s="1" t="n">
        <f aca="false">F142+C142*$B$6-H142</f>
        <v>192037.506872155</v>
      </c>
    </row>
    <row r="143" customFormat="false" ht="15" hidden="false" customHeight="true" outlineLevel="0" collapsed="false">
      <c r="A143" s="1" t="n">
        <v>2135</v>
      </c>
      <c r="B143" s="115" t="n">
        <f aca="false">IF(A143&lt;2029,0,IF(A143=2029,$B$12,IF(A143=2030,$B$13,$B$14)))</f>
        <v>1</v>
      </c>
      <c r="C143" s="1" t="n">
        <f aca="false">INDEX($D$26:$D$31,MIN(A143-2025,6))*B143</f>
        <v>325109.050497254</v>
      </c>
      <c r="D143" s="1" t="n">
        <f aca="false">C143*$B$9</f>
        <v>262218.977767691</v>
      </c>
      <c r="E143" s="1" t="n">
        <f aca="false">D143-C143*$B$6</f>
        <v>259931.373687173</v>
      </c>
      <c r="F143" s="1" t="n">
        <f aca="false">E143*(1-$B$5)</f>
        <v>189749.902791636</v>
      </c>
      <c r="G143" s="1" t="n">
        <f aca="false">$B$8*(C143-C142/(1+$B$4))</f>
        <v>1477.60556000398</v>
      </c>
      <c r="H143" s="1" t="n">
        <f aca="false">IF(A143=2027,$B$11,IF(A143=2028,1-$B$11,0))*$B$10</f>
        <v>0</v>
      </c>
      <c r="I143" s="1" t="n">
        <f aca="false">F143+C143*$B$6-C143*$B$7-G143-H143</f>
        <v>172678.903534802</v>
      </c>
      <c r="J143" s="1" t="n">
        <f aca="false">F143+C143*$B$6-H143</f>
        <v>192037.506872155</v>
      </c>
    </row>
    <row r="144" customFormat="false" ht="15" hidden="false" customHeight="true" outlineLevel="0" collapsed="false">
      <c r="A144" s="1" t="n">
        <v>2136</v>
      </c>
      <c r="B144" s="115" t="n">
        <f aca="false">IF(A144&lt;2029,0,IF(A144=2029,$B$12,IF(A144=2030,$B$13,$B$14)))</f>
        <v>1</v>
      </c>
      <c r="C144" s="1" t="n">
        <f aca="false">INDEX($D$26:$D$31,MIN(A144-2025,6))*B144</f>
        <v>325109.050497254</v>
      </c>
      <c r="D144" s="1" t="n">
        <f aca="false">C144*$B$9</f>
        <v>262218.977767691</v>
      </c>
      <c r="E144" s="1" t="n">
        <f aca="false">D144-C144*$B$6</f>
        <v>259931.373687173</v>
      </c>
      <c r="F144" s="1" t="n">
        <f aca="false">E144*(1-$B$5)</f>
        <v>189749.902791636</v>
      </c>
      <c r="G144" s="1" t="n">
        <f aca="false">$B$8*(C144-C143/(1+$B$4))</f>
        <v>1477.60556000398</v>
      </c>
      <c r="H144" s="1" t="n">
        <f aca="false">IF(A144=2027,$B$11,IF(A144=2028,1-$B$11,0))*$B$10</f>
        <v>0</v>
      </c>
      <c r="I144" s="1" t="n">
        <f aca="false">F144+C144*$B$6-C144*$B$7-G144-H144</f>
        <v>172678.903534802</v>
      </c>
      <c r="J144" s="1" t="n">
        <f aca="false">F144+C144*$B$6-H144</f>
        <v>192037.506872155</v>
      </c>
    </row>
    <row r="145" customFormat="false" ht="15" hidden="false" customHeight="true" outlineLevel="0" collapsed="false">
      <c r="A145" s="1" t="n">
        <v>2137</v>
      </c>
      <c r="B145" s="115" t="n">
        <f aca="false">IF(A145&lt;2029,0,IF(A145=2029,$B$12,IF(A145=2030,$B$13,$B$14)))</f>
        <v>1</v>
      </c>
      <c r="C145" s="1" t="n">
        <f aca="false">INDEX($D$26:$D$31,MIN(A145-2025,6))*B145</f>
        <v>325109.050497254</v>
      </c>
      <c r="D145" s="1" t="n">
        <f aca="false">C145*$B$9</f>
        <v>262218.977767691</v>
      </c>
      <c r="E145" s="1" t="n">
        <f aca="false">D145-C145*$B$6</f>
        <v>259931.373687173</v>
      </c>
      <c r="F145" s="1" t="n">
        <f aca="false">E145*(1-$B$5)</f>
        <v>189749.902791636</v>
      </c>
      <c r="G145" s="1" t="n">
        <f aca="false">$B$8*(C145-C144/(1+$B$4))</f>
        <v>1477.60556000398</v>
      </c>
      <c r="H145" s="1" t="n">
        <f aca="false">IF(A145=2027,$B$11,IF(A145=2028,1-$B$11,0))*$B$10</f>
        <v>0</v>
      </c>
      <c r="I145" s="1" t="n">
        <f aca="false">F145+C145*$B$6-C145*$B$7-G145-H145</f>
        <v>172678.903534802</v>
      </c>
      <c r="J145" s="1" t="n">
        <f aca="false">F145+C145*$B$6-H145</f>
        <v>192037.506872155</v>
      </c>
    </row>
    <row r="146" customFormat="false" ht="15" hidden="false" customHeight="true" outlineLevel="0" collapsed="false">
      <c r="A146" s="1" t="n">
        <v>2138</v>
      </c>
      <c r="B146" s="115" t="n">
        <f aca="false">IF(A146&lt;2029,0,IF(A146=2029,$B$12,IF(A146=2030,$B$13,$B$14)))</f>
        <v>1</v>
      </c>
      <c r="C146" s="1" t="n">
        <f aca="false">INDEX($D$26:$D$31,MIN(A146-2025,6))*B146</f>
        <v>325109.050497254</v>
      </c>
      <c r="D146" s="1" t="n">
        <f aca="false">C146*$B$9</f>
        <v>262218.977767691</v>
      </c>
      <c r="E146" s="1" t="n">
        <f aca="false">D146-C146*$B$6</f>
        <v>259931.373687173</v>
      </c>
      <c r="F146" s="1" t="n">
        <f aca="false">E146*(1-$B$5)</f>
        <v>189749.902791636</v>
      </c>
      <c r="G146" s="1" t="n">
        <f aca="false">$B$8*(C146-C145/(1+$B$4))</f>
        <v>1477.60556000398</v>
      </c>
      <c r="H146" s="1" t="n">
        <f aca="false">IF(A146=2027,$B$11,IF(A146=2028,1-$B$11,0))*$B$10</f>
        <v>0</v>
      </c>
      <c r="I146" s="1" t="n">
        <f aca="false">F146+C146*$B$6-C146*$B$7-G146-H146</f>
        <v>172678.903534802</v>
      </c>
      <c r="J146" s="1" t="n">
        <f aca="false">F146+C146*$B$6-H146</f>
        <v>192037.506872155</v>
      </c>
    </row>
    <row r="147" customFormat="false" ht="15" hidden="false" customHeight="true" outlineLevel="0" collapsed="false">
      <c r="A147" s="1" t="n">
        <v>2139</v>
      </c>
      <c r="B147" s="115" t="n">
        <f aca="false">IF(A147&lt;2029,0,IF(A147=2029,$B$12,IF(A147=2030,$B$13,$B$14)))</f>
        <v>1</v>
      </c>
      <c r="C147" s="1" t="n">
        <f aca="false">INDEX($D$26:$D$31,MIN(A147-2025,6))*B147</f>
        <v>325109.050497254</v>
      </c>
      <c r="D147" s="1" t="n">
        <f aca="false">C147*$B$9</f>
        <v>262218.977767691</v>
      </c>
      <c r="E147" s="1" t="n">
        <f aca="false">D147-C147*$B$6</f>
        <v>259931.373687173</v>
      </c>
      <c r="F147" s="1" t="n">
        <f aca="false">E147*(1-$B$5)</f>
        <v>189749.902791636</v>
      </c>
      <c r="G147" s="1" t="n">
        <f aca="false">$B$8*(C147-C146/(1+$B$4))</f>
        <v>1477.60556000398</v>
      </c>
      <c r="H147" s="1" t="n">
        <f aca="false">IF(A147=2027,$B$11,IF(A147=2028,1-$B$11,0))*$B$10</f>
        <v>0</v>
      </c>
      <c r="I147" s="1" t="n">
        <f aca="false">F147+C147*$B$6-C147*$B$7-G147-H147</f>
        <v>172678.903534802</v>
      </c>
      <c r="J147" s="1" t="n">
        <f aca="false">F147+C147*$B$6-H147</f>
        <v>192037.506872155</v>
      </c>
    </row>
    <row r="148" customFormat="false" ht="15" hidden="false" customHeight="true" outlineLevel="0" collapsed="false">
      <c r="A148" s="1" t="n">
        <v>2140</v>
      </c>
      <c r="B148" s="115" t="n">
        <f aca="false">IF(A148&lt;2029,0,IF(A148=2029,$B$12,IF(A148=2030,$B$13,$B$14)))</f>
        <v>1</v>
      </c>
      <c r="C148" s="1" t="n">
        <f aca="false">INDEX($D$26:$D$31,MIN(A148-2025,6))*B148</f>
        <v>325109.050497254</v>
      </c>
      <c r="D148" s="1" t="n">
        <f aca="false">C148*$B$9</f>
        <v>262218.977767691</v>
      </c>
      <c r="E148" s="1" t="n">
        <f aca="false">D148-C148*$B$6</f>
        <v>259931.373687173</v>
      </c>
      <c r="F148" s="1" t="n">
        <f aca="false">E148*(1-$B$5)</f>
        <v>189749.902791636</v>
      </c>
      <c r="G148" s="1" t="n">
        <f aca="false">$B$8*(C148-C147/(1+$B$4))</f>
        <v>1477.60556000398</v>
      </c>
      <c r="H148" s="1" t="n">
        <f aca="false">IF(A148=2027,$B$11,IF(A148=2028,1-$B$11,0))*$B$10</f>
        <v>0</v>
      </c>
      <c r="I148" s="1" t="n">
        <f aca="false">F148+C148*$B$6-C148*$B$7-G148-H148</f>
        <v>172678.903534802</v>
      </c>
      <c r="J148" s="1" t="n">
        <f aca="false">F148+C148*$B$6-H148</f>
        <v>192037.506872155</v>
      </c>
    </row>
    <row r="149" customFormat="false" ht="15" hidden="false" customHeight="true" outlineLevel="0" collapsed="false">
      <c r="A149" s="1" t="n">
        <v>2141</v>
      </c>
      <c r="B149" s="115" t="n">
        <f aca="false">IF(A149&lt;2029,0,IF(A149=2029,$B$12,IF(A149=2030,$B$13,$B$14)))</f>
        <v>1</v>
      </c>
      <c r="C149" s="1" t="n">
        <f aca="false">INDEX($D$26:$D$31,MIN(A149-2025,6))*B149</f>
        <v>325109.050497254</v>
      </c>
      <c r="D149" s="1" t="n">
        <f aca="false">C149*$B$9</f>
        <v>262218.977767691</v>
      </c>
      <c r="E149" s="1" t="n">
        <f aca="false">D149-C149*$B$6</f>
        <v>259931.373687173</v>
      </c>
      <c r="F149" s="1" t="n">
        <f aca="false">E149*(1-$B$5)</f>
        <v>189749.902791636</v>
      </c>
      <c r="G149" s="1" t="n">
        <f aca="false">$B$8*(C149-C148/(1+$B$4))</f>
        <v>1477.60556000398</v>
      </c>
      <c r="H149" s="1" t="n">
        <f aca="false">IF(A149=2027,$B$11,IF(A149=2028,1-$B$11,0))*$B$10</f>
        <v>0</v>
      </c>
      <c r="I149" s="1" t="n">
        <f aca="false">F149+C149*$B$6-C149*$B$7-G149-H149</f>
        <v>172678.903534802</v>
      </c>
      <c r="J149" s="1" t="n">
        <f aca="false">F149+C149*$B$6-H149</f>
        <v>192037.506872155</v>
      </c>
    </row>
    <row r="150" customFormat="false" ht="15" hidden="false" customHeight="true" outlineLevel="0" collapsed="false">
      <c r="A150" s="1" t="n">
        <v>2142</v>
      </c>
      <c r="B150" s="115" t="n">
        <f aca="false">IF(A150&lt;2029,0,IF(A150=2029,$B$12,IF(A150=2030,$B$13,$B$14)))</f>
        <v>1</v>
      </c>
      <c r="C150" s="1" t="n">
        <f aca="false">INDEX($D$26:$D$31,MIN(A150-2025,6))*B150</f>
        <v>325109.050497254</v>
      </c>
      <c r="D150" s="1" t="n">
        <f aca="false">C150*$B$9</f>
        <v>262218.977767691</v>
      </c>
      <c r="E150" s="1" t="n">
        <f aca="false">D150-C150*$B$6</f>
        <v>259931.373687173</v>
      </c>
      <c r="F150" s="1" t="n">
        <f aca="false">E150*(1-$B$5)</f>
        <v>189749.902791636</v>
      </c>
      <c r="G150" s="1" t="n">
        <f aca="false">$B$8*(C150-C149/(1+$B$4))</f>
        <v>1477.60556000398</v>
      </c>
      <c r="H150" s="1" t="n">
        <f aca="false">IF(A150=2027,$B$11,IF(A150=2028,1-$B$11,0))*$B$10</f>
        <v>0</v>
      </c>
      <c r="I150" s="1" t="n">
        <f aca="false">F150+C150*$B$6-C150*$B$7-G150-H150</f>
        <v>172678.903534802</v>
      </c>
      <c r="J150" s="1" t="n">
        <f aca="false">F150+C150*$B$6-H150</f>
        <v>192037.506872155</v>
      </c>
    </row>
    <row r="151" customFormat="false" ht="15" hidden="false" customHeight="true" outlineLevel="0" collapsed="false">
      <c r="A151" s="1" t="n">
        <v>2143</v>
      </c>
      <c r="B151" s="115" t="n">
        <f aca="false">IF(A151&lt;2029,0,IF(A151=2029,$B$12,IF(A151=2030,$B$13,$B$14)))</f>
        <v>1</v>
      </c>
      <c r="C151" s="1" t="n">
        <f aca="false">INDEX($D$26:$D$31,MIN(A151-2025,6))*B151</f>
        <v>325109.050497254</v>
      </c>
      <c r="D151" s="1" t="n">
        <f aca="false">C151*$B$9</f>
        <v>262218.977767691</v>
      </c>
      <c r="E151" s="1" t="n">
        <f aca="false">D151-C151*$B$6</f>
        <v>259931.373687173</v>
      </c>
      <c r="F151" s="1" t="n">
        <f aca="false">E151*(1-$B$5)</f>
        <v>189749.902791636</v>
      </c>
      <c r="G151" s="1" t="n">
        <f aca="false">$B$8*(C151-C150/(1+$B$4))</f>
        <v>1477.60556000398</v>
      </c>
      <c r="H151" s="1" t="n">
        <f aca="false">IF(A151=2027,$B$11,IF(A151=2028,1-$B$11,0))*$B$10</f>
        <v>0</v>
      </c>
      <c r="I151" s="1" t="n">
        <f aca="false">F151+C151*$B$6-C151*$B$7-G151-H151</f>
        <v>172678.903534802</v>
      </c>
      <c r="J151" s="1" t="n">
        <f aca="false">F151+C151*$B$6-H151</f>
        <v>192037.506872155</v>
      </c>
    </row>
    <row r="152" customFormat="false" ht="15" hidden="false" customHeight="true" outlineLevel="0" collapsed="false">
      <c r="A152" s="1" t="n">
        <v>2144</v>
      </c>
      <c r="B152" s="115" t="n">
        <f aca="false">IF(A152&lt;2029,0,IF(A152=2029,$B$12,IF(A152=2030,$B$13,$B$14)))</f>
        <v>1</v>
      </c>
      <c r="C152" s="1" t="n">
        <f aca="false">INDEX($D$26:$D$31,MIN(A152-2025,6))*B152</f>
        <v>325109.050497254</v>
      </c>
      <c r="D152" s="1" t="n">
        <f aca="false">C152*$B$9</f>
        <v>262218.977767691</v>
      </c>
      <c r="E152" s="1" t="n">
        <f aca="false">D152-C152*$B$6</f>
        <v>259931.373687173</v>
      </c>
      <c r="F152" s="1" t="n">
        <f aca="false">E152*(1-$B$5)</f>
        <v>189749.902791636</v>
      </c>
      <c r="G152" s="1" t="n">
        <f aca="false">$B$8*(C152-C151/(1+$B$4))</f>
        <v>1477.60556000398</v>
      </c>
      <c r="H152" s="1" t="n">
        <f aca="false">IF(A152=2027,$B$11,IF(A152=2028,1-$B$11,0))*$B$10</f>
        <v>0</v>
      </c>
      <c r="I152" s="1" t="n">
        <f aca="false">F152+C152*$B$6-C152*$B$7-G152-H152</f>
        <v>172678.903534802</v>
      </c>
      <c r="J152" s="1" t="n">
        <f aca="false">F152+C152*$B$6-H152</f>
        <v>192037.506872155</v>
      </c>
    </row>
    <row r="153" customFormat="false" ht="15" hidden="false" customHeight="true" outlineLevel="0" collapsed="false">
      <c r="A153" s="1" t="n">
        <v>2145</v>
      </c>
      <c r="B153" s="115" t="n">
        <f aca="false">IF(A153&lt;2029,0,IF(A153=2029,$B$12,IF(A153=2030,$B$13,$B$14)))</f>
        <v>1</v>
      </c>
      <c r="C153" s="1" t="n">
        <f aca="false">INDEX($D$26:$D$31,MIN(A153-2025,6))*B153</f>
        <v>325109.050497254</v>
      </c>
      <c r="D153" s="1" t="n">
        <f aca="false">C153*$B$9</f>
        <v>262218.977767691</v>
      </c>
      <c r="E153" s="1" t="n">
        <f aca="false">D153-C153*$B$6</f>
        <v>259931.373687173</v>
      </c>
      <c r="F153" s="1" t="n">
        <f aca="false">E153*(1-$B$5)</f>
        <v>189749.902791636</v>
      </c>
      <c r="G153" s="1" t="n">
        <f aca="false">$B$8*(C153-C152/(1+$B$4))</f>
        <v>1477.60556000398</v>
      </c>
      <c r="H153" s="1" t="n">
        <f aca="false">IF(A153=2027,$B$11,IF(A153=2028,1-$B$11,0))*$B$10</f>
        <v>0</v>
      </c>
      <c r="I153" s="1" t="n">
        <f aca="false">F153+C153*$B$6-C153*$B$7-G153-H153</f>
        <v>172678.903534802</v>
      </c>
      <c r="J153" s="1" t="n">
        <f aca="false">F153+C153*$B$6-H153</f>
        <v>192037.506872155</v>
      </c>
    </row>
    <row r="154" customFormat="false" ht="15" hidden="false" customHeight="true" outlineLevel="0" collapsed="false">
      <c r="A154" s="1" t="n">
        <v>2146</v>
      </c>
      <c r="B154" s="115" t="n">
        <f aca="false">IF(A154&lt;2029,0,IF(A154=2029,$B$12,IF(A154=2030,$B$13,$B$14)))</f>
        <v>1</v>
      </c>
      <c r="C154" s="1" t="n">
        <f aca="false">INDEX($D$26:$D$31,MIN(A154-2025,6))*B154</f>
        <v>325109.050497254</v>
      </c>
      <c r="D154" s="1" t="n">
        <f aca="false">C154*$B$9</f>
        <v>262218.977767691</v>
      </c>
      <c r="E154" s="1" t="n">
        <f aca="false">D154-C154*$B$6</f>
        <v>259931.373687173</v>
      </c>
      <c r="F154" s="1" t="n">
        <f aca="false">E154*(1-$B$5)</f>
        <v>189749.902791636</v>
      </c>
      <c r="G154" s="1" t="n">
        <f aca="false">$B$8*(C154-C153/(1+$B$4))</f>
        <v>1477.60556000398</v>
      </c>
      <c r="H154" s="1" t="n">
        <f aca="false">IF(A154=2027,$B$11,IF(A154=2028,1-$B$11,0))*$B$10</f>
        <v>0</v>
      </c>
      <c r="I154" s="1" t="n">
        <f aca="false">F154+C154*$B$6-C154*$B$7-G154-H154</f>
        <v>172678.903534802</v>
      </c>
      <c r="J154" s="1" t="n">
        <f aca="false">F154+C154*$B$6-H154</f>
        <v>192037.506872155</v>
      </c>
    </row>
    <row r="155" customFormat="false" ht="15" hidden="false" customHeight="true" outlineLevel="0" collapsed="false">
      <c r="A155" s="1" t="n">
        <v>2147</v>
      </c>
      <c r="B155" s="115" t="n">
        <f aca="false">IF(A155&lt;2029,0,IF(A155=2029,$B$12,IF(A155=2030,$B$13,$B$14)))</f>
        <v>1</v>
      </c>
      <c r="C155" s="1" t="n">
        <f aca="false">INDEX($D$26:$D$31,MIN(A155-2025,6))*B155</f>
        <v>325109.050497254</v>
      </c>
      <c r="D155" s="1" t="n">
        <f aca="false">C155*$B$9</f>
        <v>262218.977767691</v>
      </c>
      <c r="E155" s="1" t="n">
        <f aca="false">D155-C155*$B$6</f>
        <v>259931.373687173</v>
      </c>
      <c r="F155" s="1" t="n">
        <f aca="false">E155*(1-$B$5)</f>
        <v>189749.902791636</v>
      </c>
      <c r="G155" s="1" t="n">
        <f aca="false">$B$8*(C155-C154/(1+$B$4))</f>
        <v>1477.60556000398</v>
      </c>
      <c r="H155" s="1" t="n">
        <f aca="false">IF(A155=2027,$B$11,IF(A155=2028,1-$B$11,0))*$B$10</f>
        <v>0</v>
      </c>
      <c r="I155" s="1" t="n">
        <f aca="false">F155+C155*$B$6-C155*$B$7-G155-H155</f>
        <v>172678.903534802</v>
      </c>
      <c r="J155" s="1" t="n">
        <f aca="false">F155+C155*$B$6-H155</f>
        <v>192037.506872155</v>
      </c>
    </row>
    <row r="156" customFormat="false" ht="15" hidden="false" customHeight="true" outlineLevel="0" collapsed="false">
      <c r="A156" s="1" t="n">
        <v>2148</v>
      </c>
      <c r="B156" s="115" t="n">
        <f aca="false">IF(A156&lt;2029,0,IF(A156=2029,$B$12,IF(A156=2030,$B$13,$B$14)))</f>
        <v>1</v>
      </c>
      <c r="C156" s="1" t="n">
        <f aca="false">INDEX($D$26:$D$31,MIN(A156-2025,6))*B156</f>
        <v>325109.050497254</v>
      </c>
      <c r="D156" s="1" t="n">
        <f aca="false">C156*$B$9</f>
        <v>262218.977767691</v>
      </c>
      <c r="E156" s="1" t="n">
        <f aca="false">D156-C156*$B$6</f>
        <v>259931.373687173</v>
      </c>
      <c r="F156" s="1" t="n">
        <f aca="false">E156*(1-$B$5)</f>
        <v>189749.902791636</v>
      </c>
      <c r="G156" s="1" t="n">
        <f aca="false">$B$8*(C156-C155/(1+$B$4))</f>
        <v>1477.60556000398</v>
      </c>
      <c r="H156" s="1" t="n">
        <f aca="false">IF(A156=2027,$B$11,IF(A156=2028,1-$B$11,0))*$B$10</f>
        <v>0</v>
      </c>
      <c r="I156" s="1" t="n">
        <f aca="false">F156+C156*$B$6-C156*$B$7-G156-H156</f>
        <v>172678.903534802</v>
      </c>
      <c r="J156" s="1" t="n">
        <f aca="false">F156+C156*$B$6-H156</f>
        <v>192037.506872155</v>
      </c>
    </row>
    <row r="157" customFormat="false" ht="15" hidden="false" customHeight="true" outlineLevel="0" collapsed="false">
      <c r="A157" s="1" t="n">
        <v>2149</v>
      </c>
      <c r="B157" s="115" t="n">
        <f aca="false">IF(A157&lt;2029,0,IF(A157=2029,$B$12,IF(A157=2030,$B$13,$B$14)))</f>
        <v>1</v>
      </c>
      <c r="C157" s="1" t="n">
        <f aca="false">INDEX($D$26:$D$31,MIN(A157-2025,6))*B157</f>
        <v>325109.050497254</v>
      </c>
      <c r="D157" s="1" t="n">
        <f aca="false">C157*$B$9</f>
        <v>262218.977767691</v>
      </c>
      <c r="E157" s="1" t="n">
        <f aca="false">D157-C157*$B$6</f>
        <v>259931.373687173</v>
      </c>
      <c r="F157" s="1" t="n">
        <f aca="false">E157*(1-$B$5)</f>
        <v>189749.902791636</v>
      </c>
      <c r="G157" s="1" t="n">
        <f aca="false">$B$8*(C157-C156/(1+$B$4))</f>
        <v>1477.60556000398</v>
      </c>
      <c r="H157" s="1" t="n">
        <f aca="false">IF(A157=2027,$B$11,IF(A157=2028,1-$B$11,0))*$B$10</f>
        <v>0</v>
      </c>
      <c r="I157" s="1" t="n">
        <f aca="false">F157+C157*$B$6-C157*$B$7-G157-H157</f>
        <v>172678.903534802</v>
      </c>
      <c r="J157" s="1" t="n">
        <f aca="false">F157+C157*$B$6-H157</f>
        <v>192037.506872155</v>
      </c>
    </row>
    <row r="158" customFormat="false" ht="15" hidden="false" customHeight="true" outlineLevel="0" collapsed="false">
      <c r="A158" s="1" t="n">
        <v>2150</v>
      </c>
      <c r="B158" s="115" t="n">
        <f aca="false">IF(A158&lt;2029,0,IF(A158=2029,$B$12,IF(A158=2030,$B$13,$B$14)))</f>
        <v>1</v>
      </c>
      <c r="C158" s="1" t="n">
        <f aca="false">INDEX($D$26:$D$31,MIN(A158-2025,6))*B158</f>
        <v>325109.050497254</v>
      </c>
      <c r="D158" s="1" t="n">
        <f aca="false">C158*$B$9</f>
        <v>262218.977767691</v>
      </c>
      <c r="E158" s="1" t="n">
        <f aca="false">D158-C158*$B$6</f>
        <v>259931.373687173</v>
      </c>
      <c r="F158" s="1" t="n">
        <f aca="false">E158*(1-$B$5)</f>
        <v>189749.902791636</v>
      </c>
      <c r="G158" s="1" t="n">
        <f aca="false">$B$8*(C158-C157/(1+$B$4))</f>
        <v>1477.60556000398</v>
      </c>
      <c r="H158" s="1" t="n">
        <f aca="false">IF(A158=2027,$B$11,IF(A158=2028,1-$B$11,0))*$B$10</f>
        <v>0</v>
      </c>
      <c r="I158" s="1" t="n">
        <f aca="false">F158+C158*$B$6-C158*$B$7-G158-H158</f>
        <v>172678.903534802</v>
      </c>
      <c r="J158" s="1" t="n">
        <f aca="false">F158+C158*$B$6-H158</f>
        <v>192037.506872155</v>
      </c>
    </row>
    <row r="159" customFormat="false" ht="15" hidden="false" customHeight="true" outlineLevel="0" collapsed="false">
      <c r="A159" s="1" t="n">
        <v>2151</v>
      </c>
      <c r="B159" s="115" t="n">
        <f aca="false">IF(A159&lt;2029,0,IF(A159=2029,$B$12,IF(A159=2030,$B$13,$B$14)))</f>
        <v>1</v>
      </c>
      <c r="C159" s="1" t="n">
        <f aca="false">INDEX($D$26:$D$31,MIN(A159-2025,6))*B159</f>
        <v>325109.050497254</v>
      </c>
      <c r="D159" s="1" t="n">
        <f aca="false">C159*$B$9</f>
        <v>262218.977767691</v>
      </c>
      <c r="E159" s="1" t="n">
        <f aca="false">D159-C159*$B$6</f>
        <v>259931.373687173</v>
      </c>
      <c r="F159" s="1" t="n">
        <f aca="false">E159*(1-$B$5)</f>
        <v>189749.902791636</v>
      </c>
      <c r="G159" s="1" t="n">
        <f aca="false">$B$8*(C159-C158/(1+$B$4))</f>
        <v>1477.60556000398</v>
      </c>
      <c r="H159" s="1" t="n">
        <f aca="false">IF(A159=2027,$B$11,IF(A159=2028,1-$B$11,0))*$B$10</f>
        <v>0</v>
      </c>
      <c r="I159" s="1" t="n">
        <f aca="false">F159+C159*$B$6-C159*$B$7-G159-H159</f>
        <v>172678.903534802</v>
      </c>
      <c r="J159" s="1" t="n">
        <f aca="false">F159+C159*$B$6-H159</f>
        <v>192037.506872155</v>
      </c>
    </row>
    <row r="160" customFormat="false" ht="15" hidden="false" customHeight="true" outlineLevel="0" collapsed="false">
      <c r="A160" s="1" t="n">
        <v>2152</v>
      </c>
      <c r="B160" s="115" t="n">
        <f aca="false">IF(A160&lt;2029,0,IF(A160=2029,$B$12,IF(A160=2030,$B$13,$B$14)))</f>
        <v>1</v>
      </c>
      <c r="C160" s="1" t="n">
        <f aca="false">INDEX($D$26:$D$31,MIN(A160-2025,6))*B160</f>
        <v>325109.050497254</v>
      </c>
      <c r="D160" s="1" t="n">
        <f aca="false">C160*$B$9</f>
        <v>262218.977767691</v>
      </c>
      <c r="E160" s="1" t="n">
        <f aca="false">D160-C160*$B$6</f>
        <v>259931.373687173</v>
      </c>
      <c r="F160" s="1" t="n">
        <f aca="false">E160*(1-$B$5)</f>
        <v>189749.902791636</v>
      </c>
      <c r="G160" s="1" t="n">
        <f aca="false">$B$8*(C160-C159/(1+$B$4))</f>
        <v>1477.60556000398</v>
      </c>
      <c r="H160" s="1" t="n">
        <f aca="false">IF(A160=2027,$B$11,IF(A160=2028,1-$B$11,0))*$B$10</f>
        <v>0</v>
      </c>
      <c r="I160" s="1" t="n">
        <f aca="false">F160+C160*$B$6-C160*$B$7-G160-H160</f>
        <v>172678.903534802</v>
      </c>
      <c r="J160" s="1" t="n">
        <f aca="false">F160+C160*$B$6-H160</f>
        <v>192037.506872155</v>
      </c>
    </row>
    <row r="161" customFormat="false" ht="15" hidden="false" customHeight="true" outlineLevel="0" collapsed="false">
      <c r="A161" s="1" t="n">
        <v>2153</v>
      </c>
      <c r="B161" s="115" t="n">
        <f aca="false">IF(A161&lt;2029,0,IF(A161=2029,$B$12,IF(A161=2030,$B$13,$B$14)))</f>
        <v>1</v>
      </c>
      <c r="C161" s="1" t="n">
        <f aca="false">INDEX($D$26:$D$31,MIN(A161-2025,6))*B161</f>
        <v>325109.050497254</v>
      </c>
      <c r="D161" s="1" t="n">
        <f aca="false">C161*$B$9</f>
        <v>262218.977767691</v>
      </c>
      <c r="E161" s="1" t="n">
        <f aca="false">D161-C161*$B$6</f>
        <v>259931.373687173</v>
      </c>
      <c r="F161" s="1" t="n">
        <f aca="false">E161*(1-$B$5)</f>
        <v>189749.902791636</v>
      </c>
      <c r="G161" s="1" t="n">
        <f aca="false">$B$8*(C161-C160/(1+$B$4))</f>
        <v>1477.60556000398</v>
      </c>
      <c r="H161" s="1" t="n">
        <f aca="false">IF(A161=2027,$B$11,IF(A161=2028,1-$B$11,0))*$B$10</f>
        <v>0</v>
      </c>
      <c r="I161" s="1" t="n">
        <f aca="false">F161+C161*$B$6-C161*$B$7-G161-H161</f>
        <v>172678.903534802</v>
      </c>
      <c r="J161" s="1" t="n">
        <f aca="false">F161+C161*$B$6-H161</f>
        <v>192037.506872155</v>
      </c>
    </row>
    <row r="162" customFormat="false" ht="15" hidden="false" customHeight="true" outlineLevel="0" collapsed="false">
      <c r="A162" s="1" t="n">
        <v>2154</v>
      </c>
      <c r="B162" s="115" t="n">
        <f aca="false">IF(A162&lt;2029,0,IF(A162=2029,$B$12,IF(A162=2030,$B$13,$B$14)))</f>
        <v>1</v>
      </c>
      <c r="C162" s="1" t="n">
        <f aca="false">INDEX($D$26:$D$31,MIN(A162-2025,6))*B162</f>
        <v>325109.050497254</v>
      </c>
      <c r="D162" s="1" t="n">
        <f aca="false">C162*$B$9</f>
        <v>262218.977767691</v>
      </c>
      <c r="E162" s="1" t="n">
        <f aca="false">D162-C162*$B$6</f>
        <v>259931.373687173</v>
      </c>
      <c r="F162" s="1" t="n">
        <f aca="false">E162*(1-$B$5)</f>
        <v>189749.902791636</v>
      </c>
      <c r="G162" s="1" t="n">
        <f aca="false">$B$8*(C162-C161/(1+$B$4))</f>
        <v>1477.60556000398</v>
      </c>
      <c r="H162" s="1" t="n">
        <f aca="false">IF(A162=2027,$B$11,IF(A162=2028,1-$B$11,0))*$B$10</f>
        <v>0</v>
      </c>
      <c r="I162" s="1" t="n">
        <f aca="false">F162+C162*$B$6-C162*$B$7-G162-H162</f>
        <v>172678.903534802</v>
      </c>
      <c r="J162" s="1" t="n">
        <f aca="false">F162+C162*$B$6-H162</f>
        <v>192037.506872155</v>
      </c>
    </row>
    <row r="163" customFormat="false" ht="15" hidden="false" customHeight="true" outlineLevel="0" collapsed="false">
      <c r="A163" s="1" t="n">
        <v>2155</v>
      </c>
      <c r="B163" s="115" t="n">
        <f aca="false">IF(A163&lt;2029,0,IF(A163=2029,$B$12,IF(A163=2030,$B$13,$B$14)))</f>
        <v>1</v>
      </c>
      <c r="C163" s="1" t="n">
        <f aca="false">INDEX($D$26:$D$31,MIN(A163-2025,6))*B163</f>
        <v>325109.050497254</v>
      </c>
      <c r="D163" s="1" t="n">
        <f aca="false">C163*$B$9</f>
        <v>262218.977767691</v>
      </c>
      <c r="E163" s="1" t="n">
        <f aca="false">D163-C163*$B$6</f>
        <v>259931.373687173</v>
      </c>
      <c r="F163" s="1" t="n">
        <f aca="false">E163*(1-$B$5)</f>
        <v>189749.902791636</v>
      </c>
      <c r="G163" s="1" t="n">
        <f aca="false">$B$8*(C163-C162/(1+$B$4))</f>
        <v>1477.60556000398</v>
      </c>
      <c r="H163" s="1" t="n">
        <f aca="false">IF(A163=2027,$B$11,IF(A163=2028,1-$B$11,0))*$B$10</f>
        <v>0</v>
      </c>
      <c r="I163" s="1" t="n">
        <f aca="false">F163+C163*$B$6-C163*$B$7-G163-H163</f>
        <v>172678.903534802</v>
      </c>
      <c r="J163" s="1" t="n">
        <f aca="false">F163+C163*$B$6-H163</f>
        <v>192037.506872155</v>
      </c>
    </row>
    <row r="164" customFormat="false" ht="15" hidden="false" customHeight="true" outlineLevel="0" collapsed="false">
      <c r="A164" s="1" t="n">
        <v>2156</v>
      </c>
      <c r="B164" s="115" t="n">
        <f aca="false">IF(A164&lt;2029,0,IF(A164=2029,$B$12,IF(A164=2030,$B$13,$B$14)))</f>
        <v>1</v>
      </c>
      <c r="C164" s="1" t="n">
        <f aca="false">INDEX($D$26:$D$31,MIN(A164-2025,6))*B164</f>
        <v>325109.050497254</v>
      </c>
      <c r="D164" s="1" t="n">
        <f aca="false">C164*$B$9</f>
        <v>262218.977767691</v>
      </c>
      <c r="E164" s="1" t="n">
        <f aca="false">D164-C164*$B$6</f>
        <v>259931.373687173</v>
      </c>
      <c r="F164" s="1" t="n">
        <f aca="false">E164*(1-$B$5)</f>
        <v>189749.902791636</v>
      </c>
      <c r="G164" s="1" t="n">
        <f aca="false">$B$8*(C164-C163/(1+$B$4))</f>
        <v>1477.60556000398</v>
      </c>
      <c r="H164" s="1" t="n">
        <f aca="false">IF(A164=2027,$B$11,IF(A164=2028,1-$B$11,0))*$B$10</f>
        <v>0</v>
      </c>
      <c r="I164" s="1" t="n">
        <f aca="false">F164+C164*$B$6-C164*$B$7-G164-H164</f>
        <v>172678.903534802</v>
      </c>
      <c r="J164" s="1" t="n">
        <f aca="false">F164+C164*$B$6-H164</f>
        <v>192037.506872155</v>
      </c>
    </row>
    <row r="165" customFormat="false" ht="15" hidden="false" customHeight="true" outlineLevel="0" collapsed="false">
      <c r="A165" s="1" t="n">
        <v>2157</v>
      </c>
      <c r="B165" s="115" t="n">
        <f aca="false">IF(A165&lt;2029,0,IF(A165=2029,$B$12,IF(A165=2030,$B$13,$B$14)))</f>
        <v>1</v>
      </c>
      <c r="C165" s="1" t="n">
        <f aca="false">INDEX($D$26:$D$31,MIN(A165-2025,6))*B165</f>
        <v>325109.050497254</v>
      </c>
      <c r="D165" s="1" t="n">
        <f aca="false">C165*$B$9</f>
        <v>262218.977767691</v>
      </c>
      <c r="E165" s="1" t="n">
        <f aca="false">D165-C165*$B$6</f>
        <v>259931.373687173</v>
      </c>
      <c r="F165" s="1" t="n">
        <f aca="false">E165*(1-$B$5)</f>
        <v>189749.902791636</v>
      </c>
      <c r="G165" s="1" t="n">
        <f aca="false">$B$8*(C165-C164/(1+$B$4))</f>
        <v>1477.60556000398</v>
      </c>
      <c r="H165" s="1" t="n">
        <f aca="false">IF(A165=2027,$B$11,IF(A165=2028,1-$B$11,0))*$B$10</f>
        <v>0</v>
      </c>
      <c r="I165" s="1" t="n">
        <f aca="false">F165+C165*$B$6-C165*$B$7-G165-H165</f>
        <v>172678.903534802</v>
      </c>
      <c r="J165" s="1" t="n">
        <f aca="false">F165+C165*$B$6-H165</f>
        <v>192037.506872155</v>
      </c>
    </row>
    <row r="166" customFormat="false" ht="15" hidden="false" customHeight="true" outlineLevel="0" collapsed="false">
      <c r="A166" s="1" t="n">
        <v>2158</v>
      </c>
      <c r="B166" s="115" t="n">
        <f aca="false">IF(A166&lt;2029,0,IF(A166=2029,$B$12,IF(A166=2030,$B$13,$B$14)))</f>
        <v>1</v>
      </c>
      <c r="C166" s="1" t="n">
        <f aca="false">INDEX($D$26:$D$31,MIN(A166-2025,6))*B166</f>
        <v>325109.050497254</v>
      </c>
      <c r="D166" s="1" t="n">
        <f aca="false">C166*$B$9</f>
        <v>262218.977767691</v>
      </c>
      <c r="E166" s="1" t="n">
        <f aca="false">D166-C166*$B$6</f>
        <v>259931.373687173</v>
      </c>
      <c r="F166" s="1" t="n">
        <f aca="false">E166*(1-$B$5)</f>
        <v>189749.902791636</v>
      </c>
      <c r="G166" s="1" t="n">
        <f aca="false">$B$8*(C166-C165/(1+$B$4))</f>
        <v>1477.60556000398</v>
      </c>
      <c r="H166" s="1" t="n">
        <f aca="false">IF(A166=2027,$B$11,IF(A166=2028,1-$B$11,0))*$B$10</f>
        <v>0</v>
      </c>
      <c r="I166" s="1" t="n">
        <f aca="false">F166+C166*$B$6-C166*$B$7-G166-H166</f>
        <v>172678.903534802</v>
      </c>
      <c r="J166" s="1" t="n">
        <f aca="false">F166+C166*$B$6-H166</f>
        <v>192037.506872155</v>
      </c>
    </row>
    <row r="167" customFormat="false" ht="15" hidden="false" customHeight="true" outlineLevel="0" collapsed="false">
      <c r="A167" s="1" t="n">
        <v>2159</v>
      </c>
      <c r="B167" s="115" t="n">
        <f aca="false">IF(A167&lt;2029,0,IF(A167=2029,$B$12,IF(A167=2030,$B$13,$B$14)))</f>
        <v>1</v>
      </c>
      <c r="C167" s="1" t="n">
        <f aca="false">INDEX($D$26:$D$31,MIN(A167-2025,6))*B167</f>
        <v>325109.050497254</v>
      </c>
      <c r="D167" s="1" t="n">
        <f aca="false">C167*$B$9</f>
        <v>262218.977767691</v>
      </c>
      <c r="E167" s="1" t="n">
        <f aca="false">D167-C167*$B$6</f>
        <v>259931.373687173</v>
      </c>
      <c r="F167" s="1" t="n">
        <f aca="false">E167*(1-$B$5)</f>
        <v>189749.902791636</v>
      </c>
      <c r="G167" s="1" t="n">
        <f aca="false">$B$8*(C167-C166/(1+$B$4))</f>
        <v>1477.60556000398</v>
      </c>
      <c r="H167" s="1" t="n">
        <f aca="false">IF(A167=2027,$B$11,IF(A167=2028,1-$B$11,0))*$B$10</f>
        <v>0</v>
      </c>
      <c r="I167" s="1" t="n">
        <f aca="false">F167+C167*$B$6-C167*$B$7-G167-H167</f>
        <v>172678.903534802</v>
      </c>
      <c r="J167" s="1" t="n">
        <f aca="false">F167+C167*$B$6-H167</f>
        <v>192037.506872155</v>
      </c>
    </row>
    <row r="168" customFormat="false" ht="15" hidden="false" customHeight="true" outlineLevel="0" collapsed="false">
      <c r="A168" s="1" t="n">
        <v>2160</v>
      </c>
      <c r="B168" s="115" t="n">
        <f aca="false">IF(A168&lt;2029,0,IF(A168=2029,$B$12,IF(A168=2030,$B$13,$B$14)))</f>
        <v>1</v>
      </c>
      <c r="C168" s="1" t="n">
        <f aca="false">INDEX($D$26:$D$31,MIN(A168-2025,6))*B168</f>
        <v>325109.050497254</v>
      </c>
      <c r="D168" s="1" t="n">
        <f aca="false">C168*$B$9</f>
        <v>262218.977767691</v>
      </c>
      <c r="E168" s="1" t="n">
        <f aca="false">D168-C168*$B$6</f>
        <v>259931.373687173</v>
      </c>
      <c r="F168" s="1" t="n">
        <f aca="false">E168*(1-$B$5)</f>
        <v>189749.902791636</v>
      </c>
      <c r="G168" s="1" t="n">
        <f aca="false">$B$8*(C168-C167/(1+$B$4))</f>
        <v>1477.60556000398</v>
      </c>
      <c r="H168" s="1" t="n">
        <f aca="false">IF(A168=2027,$B$11,IF(A168=2028,1-$B$11,0))*$B$10</f>
        <v>0</v>
      </c>
      <c r="I168" s="1" t="n">
        <f aca="false">F168+C168*$B$6-C168*$B$7-G168-H168</f>
        <v>172678.903534802</v>
      </c>
      <c r="J168" s="1" t="n">
        <f aca="false">F168+C168*$B$6-H168</f>
        <v>192037.506872155</v>
      </c>
    </row>
    <row r="169" customFormat="false" ht="15" hidden="false" customHeight="true" outlineLevel="0" collapsed="false">
      <c r="A169" s="1" t="n">
        <v>2161</v>
      </c>
      <c r="B169" s="115" t="n">
        <f aca="false">IF(A169&lt;2029,0,IF(A169=2029,$B$12,IF(A169=2030,$B$13,$B$14)))</f>
        <v>1</v>
      </c>
      <c r="C169" s="1" t="n">
        <f aca="false">INDEX($D$26:$D$31,MIN(A169-2025,6))*B169</f>
        <v>325109.050497254</v>
      </c>
      <c r="D169" s="1" t="n">
        <f aca="false">C169*$B$9</f>
        <v>262218.977767691</v>
      </c>
      <c r="E169" s="1" t="n">
        <f aca="false">D169-C169*$B$6</f>
        <v>259931.373687173</v>
      </c>
      <c r="F169" s="1" t="n">
        <f aca="false">E169*(1-$B$5)</f>
        <v>189749.902791636</v>
      </c>
      <c r="G169" s="1" t="n">
        <f aca="false">$B$8*(C169-C168/(1+$B$4))</f>
        <v>1477.60556000398</v>
      </c>
      <c r="H169" s="1" t="n">
        <f aca="false">IF(A169=2027,$B$11,IF(A169=2028,1-$B$11,0))*$B$10</f>
        <v>0</v>
      </c>
      <c r="I169" s="1" t="n">
        <f aca="false">F169+C169*$B$6-C169*$B$7-G169-H169</f>
        <v>172678.903534802</v>
      </c>
      <c r="J169" s="1" t="n">
        <f aca="false">F169+C169*$B$6-H169</f>
        <v>192037.506872155</v>
      </c>
    </row>
    <row r="170" customFormat="false" ht="15" hidden="false" customHeight="true" outlineLevel="0" collapsed="false">
      <c r="A170" s="1" t="n">
        <v>2162</v>
      </c>
      <c r="B170" s="115" t="n">
        <f aca="false">IF(A170&lt;2029,0,IF(A170=2029,$B$12,IF(A170=2030,$B$13,$B$14)))</f>
        <v>1</v>
      </c>
      <c r="C170" s="1" t="n">
        <f aca="false">INDEX($D$26:$D$31,MIN(A170-2025,6))*B170</f>
        <v>325109.050497254</v>
      </c>
      <c r="D170" s="1" t="n">
        <f aca="false">C170*$B$9</f>
        <v>262218.977767691</v>
      </c>
      <c r="E170" s="1" t="n">
        <f aca="false">D170-C170*$B$6</f>
        <v>259931.373687173</v>
      </c>
      <c r="F170" s="1" t="n">
        <f aca="false">E170*(1-$B$5)</f>
        <v>189749.902791636</v>
      </c>
      <c r="G170" s="1" t="n">
        <f aca="false">$B$8*(C170-C169/(1+$B$4))</f>
        <v>1477.60556000398</v>
      </c>
      <c r="H170" s="1" t="n">
        <f aca="false">IF(A170=2027,$B$11,IF(A170=2028,1-$B$11,0))*$B$10</f>
        <v>0</v>
      </c>
      <c r="I170" s="1" t="n">
        <f aca="false">F170+C170*$B$6-C170*$B$7-G170-H170</f>
        <v>172678.903534802</v>
      </c>
      <c r="J170" s="1" t="n">
        <f aca="false">F170+C170*$B$6-H170</f>
        <v>192037.506872155</v>
      </c>
    </row>
    <row r="171" customFormat="false" ht="15" hidden="false" customHeight="true" outlineLevel="0" collapsed="false">
      <c r="A171" s="1" t="n">
        <v>2163</v>
      </c>
      <c r="B171" s="115" t="n">
        <f aca="false">IF(A171&lt;2029,0,IF(A171=2029,$B$12,IF(A171=2030,$B$13,$B$14)))</f>
        <v>1</v>
      </c>
      <c r="C171" s="1" t="n">
        <f aca="false">INDEX($D$26:$D$31,MIN(A171-2025,6))*B171</f>
        <v>325109.050497254</v>
      </c>
      <c r="D171" s="1" t="n">
        <f aca="false">C171*$B$9</f>
        <v>262218.977767691</v>
      </c>
      <c r="E171" s="1" t="n">
        <f aca="false">D171-C171*$B$6</f>
        <v>259931.373687173</v>
      </c>
      <c r="F171" s="1" t="n">
        <f aca="false">E171*(1-$B$5)</f>
        <v>189749.902791636</v>
      </c>
      <c r="G171" s="1" t="n">
        <f aca="false">$B$8*(C171-C170/(1+$B$4))</f>
        <v>1477.60556000398</v>
      </c>
      <c r="H171" s="1" t="n">
        <f aca="false">IF(A171=2027,$B$11,IF(A171=2028,1-$B$11,0))*$B$10</f>
        <v>0</v>
      </c>
      <c r="I171" s="1" t="n">
        <f aca="false">F171+C171*$B$6-C171*$B$7-G171-H171</f>
        <v>172678.903534802</v>
      </c>
      <c r="J171" s="1" t="n">
        <f aca="false">F171+C171*$B$6-H171</f>
        <v>192037.506872155</v>
      </c>
    </row>
    <row r="172" customFormat="false" ht="15" hidden="false" customHeight="true" outlineLevel="0" collapsed="false">
      <c r="A172" s="1" t="n">
        <v>2164</v>
      </c>
      <c r="B172" s="115" t="n">
        <f aca="false">IF(A172&lt;2029,0,IF(A172=2029,$B$12,IF(A172=2030,$B$13,$B$14)))</f>
        <v>1</v>
      </c>
      <c r="C172" s="1" t="n">
        <f aca="false">INDEX($D$26:$D$31,MIN(A172-2025,6))*B172</f>
        <v>325109.050497254</v>
      </c>
      <c r="D172" s="1" t="n">
        <f aca="false">C172*$B$9</f>
        <v>262218.977767691</v>
      </c>
      <c r="E172" s="1" t="n">
        <f aca="false">D172-C172*$B$6</f>
        <v>259931.373687173</v>
      </c>
      <c r="F172" s="1" t="n">
        <f aca="false">E172*(1-$B$5)</f>
        <v>189749.902791636</v>
      </c>
      <c r="G172" s="1" t="n">
        <f aca="false">$B$8*(C172-C171/(1+$B$4))</f>
        <v>1477.60556000398</v>
      </c>
      <c r="H172" s="1" t="n">
        <f aca="false">IF(A172=2027,$B$11,IF(A172=2028,1-$B$11,0))*$B$10</f>
        <v>0</v>
      </c>
      <c r="I172" s="1" t="n">
        <f aca="false">F172+C172*$B$6-C172*$B$7-G172-H172</f>
        <v>172678.903534802</v>
      </c>
      <c r="J172" s="1" t="n">
        <f aca="false">F172+C172*$B$6-H172</f>
        <v>192037.506872155</v>
      </c>
    </row>
    <row r="173" customFormat="false" ht="15" hidden="false" customHeight="true" outlineLevel="0" collapsed="false">
      <c r="A173" s="1" t="n">
        <v>2165</v>
      </c>
      <c r="B173" s="115" t="n">
        <f aca="false">IF(A173&lt;2029,0,IF(A173=2029,$B$12,IF(A173=2030,$B$13,$B$14)))</f>
        <v>1</v>
      </c>
      <c r="C173" s="1" t="n">
        <f aca="false">INDEX($D$26:$D$31,MIN(A173-2025,6))*B173</f>
        <v>325109.050497254</v>
      </c>
      <c r="D173" s="1" t="n">
        <f aca="false">C173*$B$9</f>
        <v>262218.977767691</v>
      </c>
      <c r="E173" s="1" t="n">
        <f aca="false">D173-C173*$B$6</f>
        <v>259931.373687173</v>
      </c>
      <c r="F173" s="1" t="n">
        <f aca="false">E173*(1-$B$5)</f>
        <v>189749.902791636</v>
      </c>
      <c r="G173" s="1" t="n">
        <f aca="false">$B$8*(C173-C172/(1+$B$4))</f>
        <v>1477.60556000398</v>
      </c>
      <c r="H173" s="1" t="n">
        <f aca="false">IF(A173=2027,$B$11,IF(A173=2028,1-$B$11,0))*$B$10</f>
        <v>0</v>
      </c>
      <c r="I173" s="1" t="n">
        <f aca="false">F173+C173*$B$6-C173*$B$7-G173-H173</f>
        <v>172678.903534802</v>
      </c>
      <c r="J173" s="1" t="n">
        <f aca="false">F173+C173*$B$6-H173</f>
        <v>192037.506872155</v>
      </c>
    </row>
    <row r="174" customFormat="false" ht="15" hidden="false" customHeight="true" outlineLevel="0" collapsed="false">
      <c r="A174" s="1" t="n">
        <v>2166</v>
      </c>
      <c r="B174" s="115" t="n">
        <f aca="false">IF(A174&lt;2029,0,IF(A174=2029,$B$12,IF(A174=2030,$B$13,$B$14)))</f>
        <v>1</v>
      </c>
      <c r="C174" s="1" t="n">
        <f aca="false">INDEX($D$26:$D$31,MIN(A174-2025,6))*B174</f>
        <v>325109.050497254</v>
      </c>
      <c r="D174" s="1" t="n">
        <f aca="false">C174*$B$9</f>
        <v>262218.977767691</v>
      </c>
      <c r="E174" s="1" t="n">
        <f aca="false">D174-C174*$B$6</f>
        <v>259931.373687173</v>
      </c>
      <c r="F174" s="1" t="n">
        <f aca="false">E174*(1-$B$5)</f>
        <v>189749.902791636</v>
      </c>
      <c r="G174" s="1" t="n">
        <f aca="false">$B$8*(C174-C173/(1+$B$4))</f>
        <v>1477.60556000398</v>
      </c>
      <c r="H174" s="1" t="n">
        <f aca="false">IF(A174=2027,$B$11,IF(A174=2028,1-$B$11,0))*$B$10</f>
        <v>0</v>
      </c>
      <c r="I174" s="1" t="n">
        <f aca="false">F174+C174*$B$6-C174*$B$7-G174-H174</f>
        <v>172678.903534802</v>
      </c>
      <c r="J174" s="1" t="n">
        <f aca="false">F174+C174*$B$6-H174</f>
        <v>192037.506872155</v>
      </c>
    </row>
    <row r="175" customFormat="false" ht="15" hidden="false" customHeight="true" outlineLevel="0" collapsed="false">
      <c r="A175" s="1" t="n">
        <v>2167</v>
      </c>
      <c r="B175" s="115" t="n">
        <f aca="false">IF(A175&lt;2029,0,IF(A175=2029,$B$12,IF(A175=2030,$B$13,$B$14)))</f>
        <v>1</v>
      </c>
      <c r="C175" s="1" t="n">
        <f aca="false">INDEX($D$26:$D$31,MIN(A175-2025,6))*B175</f>
        <v>325109.050497254</v>
      </c>
      <c r="D175" s="1" t="n">
        <f aca="false">C175*$B$9</f>
        <v>262218.977767691</v>
      </c>
      <c r="E175" s="1" t="n">
        <f aca="false">D175-C175*$B$6</f>
        <v>259931.373687173</v>
      </c>
      <c r="F175" s="1" t="n">
        <f aca="false">E175*(1-$B$5)</f>
        <v>189749.902791636</v>
      </c>
      <c r="G175" s="1" t="n">
        <f aca="false">$B$8*(C175-C174/(1+$B$4))</f>
        <v>1477.60556000398</v>
      </c>
      <c r="H175" s="1" t="n">
        <f aca="false">IF(A175=2027,$B$11,IF(A175=2028,1-$B$11,0))*$B$10</f>
        <v>0</v>
      </c>
      <c r="I175" s="1" t="n">
        <f aca="false">F175+C175*$B$6-C175*$B$7-G175-H175</f>
        <v>172678.903534802</v>
      </c>
      <c r="J175" s="1" t="n">
        <f aca="false">F175+C175*$B$6-H175</f>
        <v>192037.506872155</v>
      </c>
    </row>
    <row r="176" customFormat="false" ht="15" hidden="false" customHeight="true" outlineLevel="0" collapsed="false">
      <c r="A176" s="1" t="n">
        <v>2168</v>
      </c>
      <c r="B176" s="115" t="n">
        <f aca="false">IF(A176&lt;2029,0,IF(A176=2029,$B$12,IF(A176=2030,$B$13,$B$14)))</f>
        <v>1</v>
      </c>
      <c r="C176" s="1" t="n">
        <f aca="false">INDEX($D$26:$D$31,MIN(A176-2025,6))*B176</f>
        <v>325109.050497254</v>
      </c>
      <c r="D176" s="1" t="n">
        <f aca="false">C176*$B$9</f>
        <v>262218.977767691</v>
      </c>
      <c r="E176" s="1" t="n">
        <f aca="false">D176-C176*$B$6</f>
        <v>259931.373687173</v>
      </c>
      <c r="F176" s="1" t="n">
        <f aca="false">E176*(1-$B$5)</f>
        <v>189749.902791636</v>
      </c>
      <c r="G176" s="1" t="n">
        <f aca="false">$B$8*(C176-C175/(1+$B$4))</f>
        <v>1477.60556000398</v>
      </c>
      <c r="H176" s="1" t="n">
        <f aca="false">IF(A176=2027,$B$11,IF(A176=2028,1-$B$11,0))*$B$10</f>
        <v>0</v>
      </c>
      <c r="I176" s="1" t="n">
        <f aca="false">F176+C176*$B$6-C176*$B$7-G176-H176</f>
        <v>172678.903534802</v>
      </c>
      <c r="J176" s="1" t="n">
        <f aca="false">F176+C176*$B$6-H176</f>
        <v>192037.506872155</v>
      </c>
    </row>
    <row r="177" customFormat="false" ht="15" hidden="false" customHeight="true" outlineLevel="0" collapsed="false">
      <c r="A177" s="1" t="n">
        <v>2169</v>
      </c>
      <c r="B177" s="115" t="n">
        <f aca="false">IF(A177&lt;2029,0,IF(A177=2029,$B$12,IF(A177=2030,$B$13,$B$14)))</f>
        <v>1</v>
      </c>
      <c r="C177" s="1" t="n">
        <f aca="false">INDEX($D$26:$D$31,MIN(A177-2025,6))*B177</f>
        <v>325109.050497254</v>
      </c>
      <c r="D177" s="1" t="n">
        <f aca="false">C177*$B$9</f>
        <v>262218.977767691</v>
      </c>
      <c r="E177" s="1" t="n">
        <f aca="false">D177-C177*$B$6</f>
        <v>259931.373687173</v>
      </c>
      <c r="F177" s="1" t="n">
        <f aca="false">E177*(1-$B$5)</f>
        <v>189749.902791636</v>
      </c>
      <c r="G177" s="1" t="n">
        <f aca="false">$B$8*(C177-C176/(1+$B$4))</f>
        <v>1477.60556000398</v>
      </c>
      <c r="H177" s="1" t="n">
        <f aca="false">IF(A177=2027,$B$11,IF(A177=2028,1-$B$11,0))*$B$10</f>
        <v>0</v>
      </c>
      <c r="I177" s="1" t="n">
        <f aca="false">F177+C177*$B$6-C177*$B$7-G177-H177</f>
        <v>172678.903534802</v>
      </c>
      <c r="J177" s="1" t="n">
        <f aca="false">F177+C177*$B$6-H177</f>
        <v>192037.506872155</v>
      </c>
    </row>
    <row r="178" customFormat="false" ht="15" hidden="false" customHeight="true" outlineLevel="0" collapsed="false">
      <c r="A178" s="1" t="n">
        <v>2170</v>
      </c>
      <c r="B178" s="115" t="n">
        <f aca="false">IF(A178&lt;2029,0,IF(A178=2029,$B$12,IF(A178=2030,$B$13,$B$14)))</f>
        <v>1</v>
      </c>
      <c r="C178" s="1" t="n">
        <f aca="false">INDEX($D$26:$D$31,MIN(A178-2025,6))*B178</f>
        <v>325109.050497254</v>
      </c>
      <c r="D178" s="1" t="n">
        <f aca="false">C178*$B$9</f>
        <v>262218.977767691</v>
      </c>
      <c r="E178" s="1" t="n">
        <f aca="false">D178-C178*$B$6</f>
        <v>259931.373687173</v>
      </c>
      <c r="F178" s="1" t="n">
        <f aca="false">E178*(1-$B$5)</f>
        <v>189749.902791636</v>
      </c>
      <c r="G178" s="1" t="n">
        <f aca="false">$B$8*(C178-C177/(1+$B$4))</f>
        <v>1477.60556000398</v>
      </c>
      <c r="H178" s="1" t="n">
        <f aca="false">IF(A178=2027,$B$11,IF(A178=2028,1-$B$11,0))*$B$10</f>
        <v>0</v>
      </c>
      <c r="I178" s="1" t="n">
        <f aca="false">F178+C178*$B$6-C178*$B$7-G178-H178</f>
        <v>172678.903534802</v>
      </c>
      <c r="J178" s="1" t="n">
        <f aca="false">F178+C178*$B$6-H178</f>
        <v>192037.506872155</v>
      </c>
    </row>
    <row r="179" customFormat="false" ht="15" hidden="false" customHeight="true" outlineLevel="0" collapsed="false">
      <c r="A179" s="1" t="n">
        <v>2171</v>
      </c>
      <c r="B179" s="115" t="n">
        <f aca="false">IF(A179&lt;2029,0,IF(A179=2029,$B$12,IF(A179=2030,$B$13,$B$14)))</f>
        <v>1</v>
      </c>
      <c r="C179" s="1" t="n">
        <f aca="false">INDEX($D$26:$D$31,MIN(A179-2025,6))*B179</f>
        <v>325109.050497254</v>
      </c>
      <c r="D179" s="1" t="n">
        <f aca="false">C179*$B$9</f>
        <v>262218.977767691</v>
      </c>
      <c r="E179" s="1" t="n">
        <f aca="false">D179-C179*$B$6</f>
        <v>259931.373687173</v>
      </c>
      <c r="F179" s="1" t="n">
        <f aca="false">E179*(1-$B$5)</f>
        <v>189749.902791636</v>
      </c>
      <c r="G179" s="1" t="n">
        <f aca="false">$B$8*(C179-C178/(1+$B$4))</f>
        <v>1477.60556000398</v>
      </c>
      <c r="H179" s="1" t="n">
        <f aca="false">IF(A179=2027,$B$11,IF(A179=2028,1-$B$11,0))*$B$10</f>
        <v>0</v>
      </c>
      <c r="I179" s="1" t="n">
        <f aca="false">F179+C179*$B$6-C179*$B$7-G179-H179</f>
        <v>172678.903534802</v>
      </c>
      <c r="J179" s="1" t="n">
        <f aca="false">F179+C179*$B$6-H179</f>
        <v>192037.506872155</v>
      </c>
    </row>
    <row r="180" customFormat="false" ht="15" hidden="false" customHeight="true" outlineLevel="0" collapsed="false">
      <c r="A180" s="1" t="n">
        <v>2172</v>
      </c>
      <c r="B180" s="115" t="n">
        <f aca="false">IF(A180&lt;2029,0,IF(A180=2029,$B$12,IF(A180=2030,$B$13,$B$14)))</f>
        <v>1</v>
      </c>
      <c r="C180" s="1" t="n">
        <f aca="false">INDEX($D$26:$D$31,MIN(A180-2025,6))*B180</f>
        <v>325109.050497254</v>
      </c>
      <c r="D180" s="1" t="n">
        <f aca="false">C180*$B$9</f>
        <v>262218.977767691</v>
      </c>
      <c r="E180" s="1" t="n">
        <f aca="false">D180-C180*$B$6</f>
        <v>259931.373687173</v>
      </c>
      <c r="F180" s="1" t="n">
        <f aca="false">E180*(1-$B$5)</f>
        <v>189749.902791636</v>
      </c>
      <c r="G180" s="1" t="n">
        <f aca="false">$B$8*(C180-C179/(1+$B$4))</f>
        <v>1477.60556000398</v>
      </c>
      <c r="H180" s="1" t="n">
        <f aca="false">IF(A180=2027,$B$11,IF(A180=2028,1-$B$11,0))*$B$10</f>
        <v>0</v>
      </c>
      <c r="I180" s="1" t="n">
        <f aca="false">F180+C180*$B$6-C180*$B$7-G180-H180</f>
        <v>172678.903534802</v>
      </c>
      <c r="J180" s="1" t="n">
        <f aca="false">F180+C180*$B$6-H180</f>
        <v>192037.506872155</v>
      </c>
    </row>
    <row r="181" customFormat="false" ht="15" hidden="false" customHeight="true" outlineLevel="0" collapsed="false">
      <c r="A181" s="1" t="n">
        <v>2173</v>
      </c>
      <c r="B181" s="115" t="n">
        <f aca="false">IF(A181&lt;2029,0,IF(A181=2029,$B$12,IF(A181=2030,$B$13,$B$14)))</f>
        <v>1</v>
      </c>
      <c r="C181" s="1" t="n">
        <f aca="false">INDEX($D$26:$D$31,MIN(A181-2025,6))*B181</f>
        <v>325109.050497254</v>
      </c>
      <c r="D181" s="1" t="n">
        <f aca="false">C181*$B$9</f>
        <v>262218.977767691</v>
      </c>
      <c r="E181" s="1" t="n">
        <f aca="false">D181-C181*$B$6</f>
        <v>259931.373687173</v>
      </c>
      <c r="F181" s="1" t="n">
        <f aca="false">E181*(1-$B$5)</f>
        <v>189749.902791636</v>
      </c>
      <c r="G181" s="1" t="n">
        <f aca="false">$B$8*(C181-C180/(1+$B$4))</f>
        <v>1477.60556000398</v>
      </c>
      <c r="H181" s="1" t="n">
        <f aca="false">IF(A181=2027,$B$11,IF(A181=2028,1-$B$11,0))*$B$10</f>
        <v>0</v>
      </c>
      <c r="I181" s="1" t="n">
        <f aca="false">F181+C181*$B$6-C181*$B$7-G181-H181</f>
        <v>172678.903534802</v>
      </c>
      <c r="J181" s="1" t="n">
        <f aca="false">F181+C181*$B$6-H181</f>
        <v>192037.506872155</v>
      </c>
    </row>
    <row r="182" customFormat="false" ht="15" hidden="false" customHeight="true" outlineLevel="0" collapsed="false">
      <c r="A182" s="1" t="n">
        <v>2174</v>
      </c>
      <c r="B182" s="115" t="n">
        <f aca="false">IF(A182&lt;2029,0,IF(A182=2029,$B$12,IF(A182=2030,$B$13,$B$14)))</f>
        <v>1</v>
      </c>
      <c r="C182" s="1" t="n">
        <f aca="false">INDEX($D$26:$D$31,MIN(A182-2025,6))*B182</f>
        <v>325109.050497254</v>
      </c>
      <c r="D182" s="1" t="n">
        <f aca="false">C182*$B$9</f>
        <v>262218.977767691</v>
      </c>
      <c r="E182" s="1" t="n">
        <f aca="false">D182-C182*$B$6</f>
        <v>259931.373687173</v>
      </c>
      <c r="F182" s="1" t="n">
        <f aca="false">E182*(1-$B$5)</f>
        <v>189749.902791636</v>
      </c>
      <c r="G182" s="1" t="n">
        <f aca="false">$B$8*(C182-C181/(1+$B$4))</f>
        <v>1477.60556000398</v>
      </c>
      <c r="H182" s="1" t="n">
        <f aca="false">IF(A182=2027,$B$11,IF(A182=2028,1-$B$11,0))*$B$10</f>
        <v>0</v>
      </c>
      <c r="I182" s="1" t="n">
        <f aca="false">F182+C182*$B$6-C182*$B$7-G182-H182</f>
        <v>172678.903534802</v>
      </c>
      <c r="J182" s="1" t="n">
        <f aca="false">F182+C182*$B$6-H182</f>
        <v>192037.506872155</v>
      </c>
    </row>
    <row r="183" customFormat="false" ht="15" hidden="false" customHeight="true" outlineLevel="0" collapsed="false">
      <c r="A183" s="1" t="n">
        <v>2175</v>
      </c>
      <c r="B183" s="115" t="n">
        <f aca="false">IF(A183&lt;2029,0,IF(A183=2029,$B$12,IF(A183=2030,$B$13,$B$14)))</f>
        <v>1</v>
      </c>
      <c r="C183" s="1" t="n">
        <f aca="false">INDEX($D$26:$D$31,MIN(A183-2025,6))*B183</f>
        <v>325109.050497254</v>
      </c>
      <c r="D183" s="1" t="n">
        <f aca="false">C183*$B$9</f>
        <v>262218.977767691</v>
      </c>
      <c r="E183" s="1" t="n">
        <f aca="false">D183-C183*$B$6</f>
        <v>259931.373687173</v>
      </c>
      <c r="F183" s="1" t="n">
        <f aca="false">E183*(1-$B$5)</f>
        <v>189749.902791636</v>
      </c>
      <c r="G183" s="1" t="n">
        <f aca="false">$B$8*(C183-C182/(1+$B$4))</f>
        <v>1477.60556000398</v>
      </c>
      <c r="H183" s="1" t="n">
        <f aca="false">IF(A183=2027,$B$11,IF(A183=2028,1-$B$11,0))*$B$10</f>
        <v>0</v>
      </c>
      <c r="I183" s="1" t="n">
        <f aca="false">F183+C183*$B$6-C183*$B$7-G183-H183</f>
        <v>172678.903534802</v>
      </c>
      <c r="J183" s="1" t="n">
        <f aca="false">F183+C183*$B$6-H183</f>
        <v>192037.506872155</v>
      </c>
    </row>
    <row r="184" customFormat="false" ht="15" hidden="false" customHeight="true" outlineLevel="0" collapsed="false">
      <c r="A184" s="1" t="n">
        <v>2176</v>
      </c>
      <c r="B184" s="115" t="n">
        <f aca="false">IF(A184&lt;2029,0,IF(A184=2029,$B$12,IF(A184=2030,$B$13,$B$14)))</f>
        <v>1</v>
      </c>
      <c r="C184" s="1" t="n">
        <f aca="false">INDEX($D$26:$D$31,MIN(A184-2025,6))*B184</f>
        <v>325109.050497254</v>
      </c>
      <c r="D184" s="1" t="n">
        <f aca="false">C184*$B$9</f>
        <v>262218.977767691</v>
      </c>
      <c r="E184" s="1" t="n">
        <f aca="false">D184-C184*$B$6</f>
        <v>259931.373687173</v>
      </c>
      <c r="F184" s="1" t="n">
        <f aca="false">E184*(1-$B$5)</f>
        <v>189749.902791636</v>
      </c>
      <c r="G184" s="1" t="n">
        <f aca="false">$B$8*(C184-C183/(1+$B$4))</f>
        <v>1477.60556000398</v>
      </c>
      <c r="H184" s="1" t="n">
        <f aca="false">IF(A184=2027,$B$11,IF(A184=2028,1-$B$11,0))*$B$10</f>
        <v>0</v>
      </c>
      <c r="I184" s="1" t="n">
        <f aca="false">F184+C184*$B$6-C184*$B$7-G184-H184</f>
        <v>172678.903534802</v>
      </c>
      <c r="J184" s="1" t="n">
        <f aca="false">F184+C184*$B$6-H184</f>
        <v>192037.506872155</v>
      </c>
    </row>
    <row r="185" customFormat="false" ht="15" hidden="false" customHeight="true" outlineLevel="0" collapsed="false">
      <c r="A185" s="1" t="n">
        <v>2177</v>
      </c>
      <c r="B185" s="115" t="n">
        <f aca="false">IF(A185&lt;2029,0,IF(A185=2029,$B$12,IF(A185=2030,$B$13,$B$14)))</f>
        <v>1</v>
      </c>
      <c r="C185" s="1" t="n">
        <f aca="false">INDEX($D$26:$D$31,MIN(A185-2025,6))*B185</f>
        <v>325109.050497254</v>
      </c>
      <c r="D185" s="1" t="n">
        <f aca="false">C185*$B$9</f>
        <v>262218.977767691</v>
      </c>
      <c r="E185" s="1" t="n">
        <f aca="false">D185-C185*$B$6</f>
        <v>259931.373687173</v>
      </c>
      <c r="F185" s="1" t="n">
        <f aca="false">E185*(1-$B$5)</f>
        <v>189749.902791636</v>
      </c>
      <c r="G185" s="1" t="n">
        <f aca="false">$B$8*(C185-C184/(1+$B$4))</f>
        <v>1477.60556000398</v>
      </c>
      <c r="H185" s="1" t="n">
        <f aca="false">IF(A185=2027,$B$11,IF(A185=2028,1-$B$11,0))*$B$10</f>
        <v>0</v>
      </c>
      <c r="I185" s="1" t="n">
        <f aca="false">F185+C185*$B$6-C185*$B$7-G185-H185</f>
        <v>172678.903534802</v>
      </c>
      <c r="J185" s="1" t="n">
        <f aca="false">F185+C185*$B$6-H185</f>
        <v>192037.506872155</v>
      </c>
    </row>
    <row r="186" customFormat="false" ht="15" hidden="false" customHeight="true" outlineLevel="0" collapsed="false">
      <c r="A186" s="1" t="n">
        <v>2178</v>
      </c>
      <c r="B186" s="115" t="n">
        <f aca="false">IF(A186&lt;2029,0,IF(A186=2029,$B$12,IF(A186=2030,$B$13,$B$14)))</f>
        <v>1</v>
      </c>
      <c r="C186" s="1" t="n">
        <f aca="false">INDEX($D$26:$D$31,MIN(A186-2025,6))*B186</f>
        <v>325109.050497254</v>
      </c>
      <c r="D186" s="1" t="n">
        <f aca="false">C186*$B$9</f>
        <v>262218.977767691</v>
      </c>
      <c r="E186" s="1" t="n">
        <f aca="false">D186-C186*$B$6</f>
        <v>259931.373687173</v>
      </c>
      <c r="F186" s="1" t="n">
        <f aca="false">E186*(1-$B$5)</f>
        <v>189749.902791636</v>
      </c>
      <c r="G186" s="1" t="n">
        <f aca="false">$B$8*(C186-C185/(1+$B$4))</f>
        <v>1477.60556000398</v>
      </c>
      <c r="H186" s="1" t="n">
        <f aca="false">IF(A186=2027,$B$11,IF(A186=2028,1-$B$11,0))*$B$10</f>
        <v>0</v>
      </c>
      <c r="I186" s="1" t="n">
        <f aca="false">F186+C186*$B$6-C186*$B$7-G186-H186</f>
        <v>172678.903534802</v>
      </c>
      <c r="J186" s="1" t="n">
        <f aca="false">F186+C186*$B$6-H186</f>
        <v>192037.506872155</v>
      </c>
    </row>
    <row r="187" customFormat="false" ht="15" hidden="false" customHeight="true" outlineLevel="0" collapsed="false">
      <c r="A187" s="1" t="n">
        <v>2179</v>
      </c>
      <c r="B187" s="115" t="n">
        <f aca="false">IF(A187&lt;2029,0,IF(A187=2029,$B$12,IF(A187=2030,$B$13,$B$14)))</f>
        <v>1</v>
      </c>
      <c r="C187" s="1" t="n">
        <f aca="false">INDEX($D$26:$D$31,MIN(A187-2025,6))*B187</f>
        <v>325109.050497254</v>
      </c>
      <c r="D187" s="1" t="n">
        <f aca="false">C187*$B$9</f>
        <v>262218.977767691</v>
      </c>
      <c r="E187" s="1" t="n">
        <f aca="false">D187-C187*$B$6</f>
        <v>259931.373687173</v>
      </c>
      <c r="F187" s="1" t="n">
        <f aca="false">E187*(1-$B$5)</f>
        <v>189749.902791636</v>
      </c>
      <c r="G187" s="1" t="n">
        <f aca="false">$B$8*(C187-C186/(1+$B$4))</f>
        <v>1477.60556000398</v>
      </c>
      <c r="H187" s="1" t="n">
        <f aca="false">IF(A187=2027,$B$11,IF(A187=2028,1-$B$11,0))*$B$10</f>
        <v>0</v>
      </c>
      <c r="I187" s="1" t="n">
        <f aca="false">F187+C187*$B$6-C187*$B$7-G187-H187</f>
        <v>172678.903534802</v>
      </c>
      <c r="J187" s="1" t="n">
        <f aca="false">F187+C187*$B$6-H187</f>
        <v>192037.506872155</v>
      </c>
    </row>
    <row r="188" customFormat="false" ht="15" hidden="false" customHeight="true" outlineLevel="0" collapsed="false">
      <c r="A188" s="1" t="n">
        <v>2180</v>
      </c>
      <c r="B188" s="115" t="n">
        <f aca="false">IF(A188&lt;2029,0,IF(A188=2029,$B$12,IF(A188=2030,$B$13,$B$14)))</f>
        <v>1</v>
      </c>
      <c r="C188" s="1" t="n">
        <f aca="false">INDEX($D$26:$D$31,MIN(A188-2025,6))*B188</f>
        <v>325109.050497254</v>
      </c>
      <c r="D188" s="1" t="n">
        <f aca="false">C188*$B$9</f>
        <v>262218.977767691</v>
      </c>
      <c r="E188" s="1" t="n">
        <f aca="false">D188-C188*$B$6</f>
        <v>259931.373687173</v>
      </c>
      <c r="F188" s="1" t="n">
        <f aca="false">E188*(1-$B$5)</f>
        <v>189749.902791636</v>
      </c>
      <c r="G188" s="1" t="n">
        <f aca="false">$B$8*(C188-C187/(1+$B$4))</f>
        <v>1477.60556000398</v>
      </c>
      <c r="H188" s="1" t="n">
        <f aca="false">IF(A188=2027,$B$11,IF(A188=2028,1-$B$11,0))*$B$10</f>
        <v>0</v>
      </c>
      <c r="I188" s="1" t="n">
        <f aca="false">F188+C188*$B$6-C188*$B$7-G188-H188</f>
        <v>172678.903534802</v>
      </c>
      <c r="J188" s="1" t="n">
        <f aca="false">F188+C188*$B$6-H188</f>
        <v>192037.506872155</v>
      </c>
    </row>
    <row r="189" customFormat="false" ht="15" hidden="false" customHeight="true" outlineLevel="0" collapsed="false">
      <c r="A189" s="1" t="n">
        <v>2181</v>
      </c>
      <c r="B189" s="115" t="n">
        <f aca="false">IF(A189&lt;2029,0,IF(A189=2029,$B$12,IF(A189=2030,$B$13,$B$14)))</f>
        <v>1</v>
      </c>
      <c r="C189" s="1" t="n">
        <f aca="false">INDEX($D$26:$D$31,MIN(A189-2025,6))*B189</f>
        <v>325109.050497254</v>
      </c>
      <c r="D189" s="1" t="n">
        <f aca="false">C189*$B$9</f>
        <v>262218.977767691</v>
      </c>
      <c r="E189" s="1" t="n">
        <f aca="false">D189-C189*$B$6</f>
        <v>259931.373687173</v>
      </c>
      <c r="F189" s="1" t="n">
        <f aca="false">E189*(1-$B$5)</f>
        <v>189749.902791636</v>
      </c>
      <c r="G189" s="1" t="n">
        <f aca="false">$B$8*(C189-C188/(1+$B$4))</f>
        <v>1477.60556000398</v>
      </c>
      <c r="H189" s="1" t="n">
        <f aca="false">IF(A189=2027,$B$11,IF(A189=2028,1-$B$11,0))*$B$10</f>
        <v>0</v>
      </c>
      <c r="I189" s="1" t="n">
        <f aca="false">F189+C189*$B$6-C189*$B$7-G189-H189</f>
        <v>172678.903534802</v>
      </c>
      <c r="J189" s="1" t="n">
        <f aca="false">F189+C189*$B$6-H189</f>
        <v>192037.506872155</v>
      </c>
    </row>
    <row r="190" customFormat="false" ht="15" hidden="false" customHeight="true" outlineLevel="0" collapsed="false">
      <c r="A190" s="1" t="n">
        <v>2182</v>
      </c>
      <c r="B190" s="115" t="n">
        <f aca="false">IF(A190&lt;2029,0,IF(A190=2029,$B$12,IF(A190=2030,$B$13,$B$14)))</f>
        <v>1</v>
      </c>
      <c r="C190" s="1" t="n">
        <f aca="false">INDEX($D$26:$D$31,MIN(A190-2025,6))*B190</f>
        <v>325109.050497254</v>
      </c>
      <c r="D190" s="1" t="n">
        <f aca="false">C190*$B$9</f>
        <v>262218.977767691</v>
      </c>
      <c r="E190" s="1" t="n">
        <f aca="false">D190-C190*$B$6</f>
        <v>259931.373687173</v>
      </c>
      <c r="F190" s="1" t="n">
        <f aca="false">E190*(1-$B$5)</f>
        <v>189749.902791636</v>
      </c>
      <c r="G190" s="1" t="n">
        <f aca="false">$B$8*(C190-C189/(1+$B$4))</f>
        <v>1477.60556000398</v>
      </c>
      <c r="H190" s="1" t="n">
        <f aca="false">IF(A190=2027,$B$11,IF(A190=2028,1-$B$11,0))*$B$10</f>
        <v>0</v>
      </c>
      <c r="I190" s="1" t="n">
        <f aca="false">F190+C190*$B$6-C190*$B$7-G190-H190</f>
        <v>172678.903534802</v>
      </c>
      <c r="J190" s="1" t="n">
        <f aca="false">F190+C190*$B$6-H190</f>
        <v>192037.506872155</v>
      </c>
    </row>
    <row r="191" customFormat="false" ht="15" hidden="false" customHeight="true" outlineLevel="0" collapsed="false">
      <c r="A191" s="1" t="n">
        <v>2183</v>
      </c>
      <c r="B191" s="115" t="n">
        <f aca="false">IF(A191&lt;2029,0,IF(A191=2029,$B$12,IF(A191=2030,$B$13,$B$14)))</f>
        <v>1</v>
      </c>
      <c r="C191" s="1" t="n">
        <f aca="false">INDEX($D$26:$D$31,MIN(A191-2025,6))*B191</f>
        <v>325109.050497254</v>
      </c>
      <c r="D191" s="1" t="n">
        <f aca="false">C191*$B$9</f>
        <v>262218.977767691</v>
      </c>
      <c r="E191" s="1" t="n">
        <f aca="false">D191-C191*$B$6</f>
        <v>259931.373687173</v>
      </c>
      <c r="F191" s="1" t="n">
        <f aca="false">E191*(1-$B$5)</f>
        <v>189749.902791636</v>
      </c>
      <c r="G191" s="1" t="n">
        <f aca="false">$B$8*(C191-C190/(1+$B$4))</f>
        <v>1477.60556000398</v>
      </c>
      <c r="H191" s="1" t="n">
        <f aca="false">IF(A191=2027,$B$11,IF(A191=2028,1-$B$11,0))*$B$10</f>
        <v>0</v>
      </c>
      <c r="I191" s="1" t="n">
        <f aca="false">F191+C191*$B$6-C191*$B$7-G191-H191</f>
        <v>172678.903534802</v>
      </c>
      <c r="J191" s="1" t="n">
        <f aca="false">F191+C191*$B$6-H191</f>
        <v>192037.506872155</v>
      </c>
    </row>
    <row r="192" customFormat="false" ht="15" hidden="false" customHeight="true" outlineLevel="0" collapsed="false">
      <c r="A192" s="1" t="n">
        <v>2184</v>
      </c>
      <c r="B192" s="115" t="n">
        <f aca="false">IF(A192&lt;2029,0,IF(A192=2029,$B$12,IF(A192=2030,$B$13,$B$14)))</f>
        <v>1</v>
      </c>
      <c r="C192" s="1" t="n">
        <f aca="false">INDEX($D$26:$D$31,MIN(A192-2025,6))*B192</f>
        <v>325109.050497254</v>
      </c>
      <c r="D192" s="1" t="n">
        <f aca="false">C192*$B$9</f>
        <v>262218.977767691</v>
      </c>
      <c r="E192" s="1" t="n">
        <f aca="false">D192-C192*$B$6</f>
        <v>259931.373687173</v>
      </c>
      <c r="F192" s="1" t="n">
        <f aca="false">E192*(1-$B$5)</f>
        <v>189749.902791636</v>
      </c>
      <c r="G192" s="1" t="n">
        <f aca="false">$B$8*(C192-C191/(1+$B$4))</f>
        <v>1477.60556000398</v>
      </c>
      <c r="H192" s="1" t="n">
        <f aca="false">IF(A192=2027,$B$11,IF(A192=2028,1-$B$11,0))*$B$10</f>
        <v>0</v>
      </c>
      <c r="I192" s="1" t="n">
        <f aca="false">F192+C192*$B$6-C192*$B$7-G192-H192</f>
        <v>172678.903534802</v>
      </c>
      <c r="J192" s="1" t="n">
        <f aca="false">F192+C192*$B$6-H192</f>
        <v>192037.506872155</v>
      </c>
    </row>
    <row r="193" customFormat="false" ht="15" hidden="false" customHeight="true" outlineLevel="0" collapsed="false">
      <c r="A193" s="1" t="n">
        <v>2185</v>
      </c>
      <c r="B193" s="115" t="n">
        <f aca="false">IF(A193&lt;2029,0,IF(A193=2029,$B$12,IF(A193=2030,$B$13,$B$14)))</f>
        <v>1</v>
      </c>
      <c r="C193" s="1" t="n">
        <f aca="false">INDEX($D$26:$D$31,MIN(A193-2025,6))*B193</f>
        <v>325109.050497254</v>
      </c>
      <c r="D193" s="1" t="n">
        <f aca="false">C193*$B$9</f>
        <v>262218.977767691</v>
      </c>
      <c r="E193" s="1" t="n">
        <f aca="false">D193-C193*$B$6</f>
        <v>259931.373687173</v>
      </c>
      <c r="F193" s="1" t="n">
        <f aca="false">E193*(1-$B$5)</f>
        <v>189749.902791636</v>
      </c>
      <c r="G193" s="1" t="n">
        <f aca="false">$B$8*(C193-C192/(1+$B$4))</f>
        <v>1477.60556000398</v>
      </c>
      <c r="H193" s="1" t="n">
        <f aca="false">IF(A193=2027,$B$11,IF(A193=2028,1-$B$11,0))*$B$10</f>
        <v>0</v>
      </c>
      <c r="I193" s="1" t="n">
        <f aca="false">F193+C193*$B$6-C193*$B$7-G193-H193</f>
        <v>172678.903534802</v>
      </c>
      <c r="J193" s="1" t="n">
        <f aca="false">F193+C193*$B$6-H193</f>
        <v>192037.506872155</v>
      </c>
    </row>
    <row r="194" customFormat="false" ht="15" hidden="false" customHeight="true" outlineLevel="0" collapsed="false">
      <c r="A194" s="1" t="n">
        <v>2186</v>
      </c>
      <c r="B194" s="115" t="n">
        <f aca="false">IF(A194&lt;2029,0,IF(A194=2029,$B$12,IF(A194=2030,$B$13,$B$14)))</f>
        <v>1</v>
      </c>
      <c r="C194" s="1" t="n">
        <f aca="false">INDEX($D$26:$D$31,MIN(A194-2025,6))*B194</f>
        <v>325109.050497254</v>
      </c>
      <c r="D194" s="1" t="n">
        <f aca="false">C194*$B$9</f>
        <v>262218.977767691</v>
      </c>
      <c r="E194" s="1" t="n">
        <f aca="false">D194-C194*$B$6</f>
        <v>259931.373687173</v>
      </c>
      <c r="F194" s="1" t="n">
        <f aca="false">E194*(1-$B$5)</f>
        <v>189749.902791636</v>
      </c>
      <c r="G194" s="1" t="n">
        <f aca="false">$B$8*(C194-C193/(1+$B$4))</f>
        <v>1477.60556000398</v>
      </c>
      <c r="H194" s="1" t="n">
        <f aca="false">IF(A194=2027,$B$11,IF(A194=2028,1-$B$11,0))*$B$10</f>
        <v>0</v>
      </c>
      <c r="I194" s="1" t="n">
        <f aca="false">F194+C194*$B$6-C194*$B$7-G194-H194</f>
        <v>172678.903534802</v>
      </c>
      <c r="J194" s="1" t="n">
        <f aca="false">F194+C194*$B$6-H194</f>
        <v>192037.506872155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2026-10-11T22:00:47Z</dcterms:created>
  <dc:creator>openpyxl</dc:creator>
  <dc:description/>
  <dc:language>en-US</dc:language>
  <cp:lastModifiedBy>Cristian Felipe Eduardo Vidal Ríos</cp:lastModifiedBy>
  <dcterms:modified xsi:type="dcterms:W3CDTF">2026-10-19T19:04:05Z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