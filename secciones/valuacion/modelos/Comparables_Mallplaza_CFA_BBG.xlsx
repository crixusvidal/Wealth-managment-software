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oracion_LTM" sheetId="1" state="visible" r:id="rId3"/>
    <sheet name="Valoracion_NTM" sheetId="2" state="visible" r:id="rId4"/>
    <sheet name="Historico" sheetId="3" state="visible" r:id="rId5"/>
    <sheet name="Datos_BBG" sheetId="4" state="visible" r:id="rId6"/>
    <sheet name="Supuestos" sheetId="5" state="visible" r:id="rId7"/>
    <sheet name="Notas_Fu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<sst xmlns="http://schemas.openxmlformats.org/spreadsheetml/2006/main" count="745" uniqueCount="141">
  <si>
    <t xml:space="preserve">Tabla de valoración principal — múltiplos LTM (precio al 30-sep-2026; EEFF LTM 3T25–2T26)</t>
  </si>
  <si>
    <t xml:space="preserve">Fuente: Bloomberg. Base LTM para todos porque el consenso NTM no es homogéneo (IRSA con 1 analista). Ver hoja Valoracion_NTM como referencia.</t>
  </si>
  <si>
    <t xml:space="preserve">Múltiplos LTM</t>
  </si>
  <si>
    <t xml:space="preserve">Empresa</t>
  </si>
  <si>
    <t xml:space="preserve">Grupo</t>
  </si>
  <si>
    <t xml:space="preserve">País</t>
  </si>
  <si>
    <t xml:space="preserve">Período</t>
  </si>
  <si>
    <t xml:space="preserve">Market Cap</t>
  </si>
  <si>
    <t xml:space="preserve">Deuda neta</t>
  </si>
  <si>
    <t xml:space="preserve">Minoritarios</t>
  </si>
  <si>
    <t xml:space="preserve">Enterprise Value</t>
  </si>
  <si>
    <t xml:space="preserve">Revenue</t>
  </si>
  <si>
    <t xml:space="preserve">EBITDA</t>
  </si>
  <si>
    <t xml:space="preserve">EBIT</t>
  </si>
  <si>
    <t xml:space="preserve">Net Income</t>
  </si>
  <si>
    <t xml:space="preserve">Book Value</t>
  </si>
  <si>
    <t xml:space="preserve">P/E</t>
  </si>
  <si>
    <t xml:space="preserve">EV/EBITDA</t>
  </si>
  <si>
    <t xml:space="preserve">EV/EBIT</t>
  </si>
  <si>
    <t xml:space="preserve">EV/Revenue</t>
  </si>
  <si>
    <t xml:space="preserve">P/BV</t>
  </si>
  <si>
    <t xml:space="preserve">Montos en MM CLP</t>
  </si>
  <si>
    <t xml:space="preserve">Mallplaza</t>
  </si>
  <si>
    <t xml:space="preserve">Target</t>
  </si>
  <si>
    <t xml:space="preserve">Chile</t>
  </si>
  <si>
    <t xml:space="preserve">Parque Arauco</t>
  </si>
  <si>
    <t xml:space="preserve">Core</t>
  </si>
  <si>
    <t xml:space="preserve">Cencosud Shopping</t>
  </si>
  <si>
    <t xml:space="preserve">Multiplan</t>
  </si>
  <si>
    <t xml:space="preserve">Brasil</t>
  </si>
  <si>
    <t xml:space="preserve">Allos</t>
  </si>
  <si>
    <t xml:space="preserve">Iguatemi</t>
  </si>
  <si>
    <t xml:space="preserve">IRSA</t>
  </si>
  <si>
    <t xml:space="preserve">Sensibilidad</t>
  </si>
  <si>
    <t xml:space="preserve">Argentina</t>
  </si>
  <si>
    <t xml:space="preserve">Fibra Danhos</t>
  </si>
  <si>
    <t xml:space="preserve">México</t>
  </si>
  <si>
    <t xml:space="preserve">Mediana Core</t>
  </si>
  <si>
    <t xml:space="preserve">Promedio Core</t>
  </si>
  <si>
    <t xml:space="preserve">Mediana Core + Sensibilidad</t>
  </si>
  <si>
    <t xml:space="preserve">Promedio Core + Sensibilidad</t>
  </si>
  <si>
    <t xml:space="preserve">Mallplaza vs mediana Core (prima / (descuento))</t>
  </si>
  <si>
    <t xml:space="preserve">NM = denominador ≤ 0, múltiplo sobre umbral (Supuestos!B17) o utilidad no recurrente. P/E de Mallplaza, Parque Arauco, Cencosud Shopping, IRSA y Danhos incluye revalorización de propiedades (valor razonable); los brasileños contabilizan a costo.</t>
  </si>
  <si>
    <t xml:space="preserve">Referencia — múltiplos NTM con consenso Bloomberg BEst (no usar como tabla principal)</t>
  </si>
  <si>
    <t xml:space="preserve">EV y Book Value al 30-jun-2026 / precio 30-sep-2026; flujos = consenso 12m forward. IRSA: 1 analista; Danhos: 9. P/BV es el mismo que LTM (no hay BV forward).</t>
  </si>
  <si>
    <t xml:space="preserve">Múltiplos NTM (BF)</t>
  </si>
  <si>
    <t xml:space="preserve">NTM (BF)</t>
  </si>
  <si>
    <t xml:space="preserve">Verificación histórica — FY2022 a FY2025 y LTM (misma definición para todos los peers)</t>
  </si>
  <si>
    <t xml:space="preserve">FY = precio y balance al cierre de cada ejercicio (IRSA: ejercicio jul-jun, cierre junio). Montos a CLP con TC fijo 30-jun-2026; los múltiplos no dependen del TC.</t>
  </si>
  <si>
    <t xml:space="preserve">FY2022</t>
  </si>
  <si>
    <t xml:space="preserve">FY2023</t>
  </si>
  <si>
    <t xml:space="preserve">FY2024</t>
  </si>
  <si>
    <t xml:space="preserve">FY2025</t>
  </si>
  <si>
    <t xml:space="preserve">LTM (3T25–2T26) al precio de corte</t>
  </si>
  <si>
    <t xml:space="preserve">Datos Bloomberg en moneda local (millones). EBITDA = IS_COMPARABLE_EBITDA (salvo nota) · EBIT = EBITDA − D&amp;A (CF_DEPR_AMORT) · LTM = suma 3T25–2T26 · Balance LTM al 30-jun-2026</t>
  </si>
  <si>
    <t xml:space="preserve">Ticker BBG</t>
  </si>
  <si>
    <t xml:space="preserve">Moneda</t>
  </si>
  <si>
    <t xml:space="preserve">D&amp;A</t>
  </si>
  <si>
    <t xml:space="preserve">Net Income (controladora)</t>
  </si>
  <si>
    <t xml:space="preserve">Book Value (TOT_COMMON_EQY)</t>
  </si>
  <si>
    <t xml:space="preserve">Net Debt (BBG)</t>
  </si>
  <si>
    <t xml:space="preserve">Precio</t>
  </si>
  <si>
    <t xml:space="preserve">Forzar P/E NM</t>
  </si>
  <si>
    <t xml:space="preserve">Nota</t>
  </si>
  <si>
    <t xml:space="preserve">Factor a CLP</t>
  </si>
  <si>
    <t xml:space="preserve">EV (local)</t>
  </si>
  <si>
    <t xml:space="preserve">MALLPLAZ CI</t>
  </si>
  <si>
    <t xml:space="preserve">CLP</t>
  </si>
  <si>
    <t xml:space="preserve">Net Income incluye revalorización de propiedades (~1,0 bn).</t>
  </si>
  <si>
    <t xml:space="preserve">LTM</t>
  </si>
  <si>
    <t xml:space="preserve">PARAUCO CI</t>
  </si>
  <si>
    <t xml:space="preserve">CENCOMAL CI</t>
  </si>
  <si>
    <t xml:space="preserve">EBITDA = EBITDA_ADJUSTED (comparable BBG incluía revalorización).</t>
  </si>
  <si>
    <t xml:space="preserve">Q1-26 EBITDA = EBITDA_ADJUSTED (comparable incluía revalorización).</t>
  </si>
  <si>
    <t xml:space="preserve">MULT3 BZ</t>
  </si>
  <si>
    <t xml:space="preserve">BRL</t>
  </si>
  <si>
    <t xml:space="preserve">ALOS3 BZ</t>
  </si>
  <si>
    <t xml:space="preserve">Revenue BBG 7.481 incluye ítems no recurrentes de la combinación con brMalls; se usa 2.804 (S&amp;P). P/E NM por ganancia no recurrente.</t>
  </si>
  <si>
    <t xml:space="preserve">IGTI11 BZ</t>
  </si>
  <si>
    <t xml:space="preserve">EBITDA = EBITDA_ADJUSTED (comparable incluía ganancia por venta de activos).</t>
  </si>
  <si>
    <t xml:space="preserve">Q1-26 EBITDA = EBITDA_ADJUSTED.</t>
  </si>
  <si>
    <t xml:space="preserve">IRSA AR</t>
  </si>
  <si>
    <t xml:space="preserve">ARS</t>
  </si>
  <si>
    <t xml:space="preserve">FY2022 (jun)</t>
  </si>
  <si>
    <t xml:space="preserve">FY2023 (jun)</t>
  </si>
  <si>
    <t xml:space="preserve">FY2024 (jun)</t>
  </si>
  <si>
    <t xml:space="preserve">Utilidad negativa → P/E NM.</t>
  </si>
  <si>
    <t xml:space="preserve">FY2025 (jun)</t>
  </si>
  <si>
    <t xml:space="preserve">FY jun-2026. Revenue y NI anuales (TRAIL_12M); EBITDA = Revenue × margen ajustado de los 4 trimestres (cifras NIC 29).</t>
  </si>
  <si>
    <t xml:space="preserve">DANHOS13 MM</t>
  </si>
  <si>
    <t xml:space="preserve">MXN</t>
  </si>
  <si>
    <t xml:space="preserve">NTM — consenso Bloomberg BEst, 12 meses forward mezclado (BEST_FPERIOD_OVERRIDE = BF), al 07-oct-2026</t>
  </si>
  <si>
    <t xml:space="preserve">Revenue NTM</t>
  </si>
  <si>
    <t xml:space="preserve">EBITDA NTM</t>
  </si>
  <si>
    <t xml:space="preserve">EBIT NTM</t>
  </si>
  <si>
    <t xml:space="preserve">Net Income NTM</t>
  </si>
  <si>
    <t xml:space="preserve">Nº analistas (TOT_ANALYST_REC)</t>
  </si>
  <si>
    <t xml:space="preserve">NTM</t>
  </si>
  <si>
    <t xml:space="preserve">Consenso EBIT &gt; EBITDA (distintos sets de analistas).</t>
  </si>
  <si>
    <t xml:space="preserve">Solo 1 analista: consenso no representativo.</t>
  </si>
  <si>
    <t xml:space="preserve">Supuestos generales — Comparables Mallplaza (CFA Research Challenge)</t>
  </si>
  <si>
    <t xml:space="preserve">Fuente de datos</t>
  </si>
  <si>
    <t xml:space="preserve">Bloomberg Terminal (Excel Add-in BDP/BDH), extraído 07-oct-2026</t>
  </si>
  <si>
    <t xml:space="preserve">Fecha de corte (precios)</t>
  </si>
  <si>
    <t xml:space="preserve">30-09-2026</t>
  </si>
  <si>
    <t xml:space="preserve">Último trimestre publicado</t>
  </si>
  <si>
    <t xml:space="preserve">2T26 (30-jun-2026); IRSA: 4T FY2026 (30-jun-2026)</t>
  </si>
  <si>
    <t xml:space="preserve">Base tabla principal</t>
  </si>
  <si>
    <t xml:space="preserve">LTM — NTM no homogéneo (IRSA: 1 analista)</t>
  </si>
  <si>
    <t xml:space="preserve">Unidad de montos</t>
  </si>
  <si>
    <t xml:space="preserve">MM CLP</t>
  </si>
  <si>
    <t xml:space="preserve">Tipos de cambio (30-jun-2026, fecha del último EERR de Mallplaza)</t>
  </si>
  <si>
    <t xml:space="preserve">Unidades por USD</t>
  </si>
  <si>
    <t xml:space="preserve">CLP por unidad</t>
  </si>
  <si>
    <t xml:space="preserve">Fuente</t>
  </si>
  <si>
    <t xml:space="preserve">—</t>
  </si>
  <si>
    <t xml:space="preserve">USD</t>
  </si>
  <si>
    <t xml:space="preserve">Dólar observado BCCh 30-jun-2026 = 922,34</t>
  </si>
  <si>
    <t xml:space="preserve">Dólar comercial cierre 30-jun-2026</t>
  </si>
  <si>
    <t xml:space="preserve">Banxico, cierre 30-jun-2026</t>
  </si>
  <si>
    <t xml:space="preserve">Dólar oficial mayorista cierre 30-jun-2026</t>
  </si>
  <si>
    <t xml:space="preserve">Umbral 'no significativo' (múltiplo mayor a → NM)</t>
  </si>
  <si>
    <t xml:space="preserve">Leyenda: azul = dato Bloomberg/ingresado · negro = fórmula · verde = vínculo a otra hoja · Target (Mallplaza) en naranjo, excluido de medianas.</t>
  </si>
  <si>
    <t xml:space="preserve">Metodología, advertencias y fuentes</t>
  </si>
  <si>
    <t xml:space="preserve">Bloomberg Terminal vía Excel Add-in (BDP/BDH), extraído el 07-oct-2026 desde el terminal del laboratorio. Tickers: MALLPLAZ CI, PARAUCO CI, CENCOMAL CI, MULT3 BZ, ALOS3 BZ, IGTI11 BZ, IRSA AR, DANHOS13 MM.</t>
  </si>
  <si>
    <t xml:space="preserve">Campos</t>
  </si>
  <si>
    <t xml:space="preserve">Revenue = SALES_REV_TURN · EBITDA = IS_COMPARABLE_EBITDA (excluye ítems no recurrentes) · D&amp;A = CF_DEPR_AMORT · EBIT = EBITDA − D&amp;A · Net Income = NET_INCOME (controladora, reportada) · Book Value = TOT_COMMON_EQY · Deuda neta = NET_DEBT · Minoritarios = MINORITY_NONCONTROLLING_INTEREST · Market Cap = CUR_MKT_CAP histórico (BDH) · Precio = PX_LAST.</t>
  </si>
  <si>
    <t xml:space="preserve">Por qué no el EBITDA 'normal' de Bloomberg</t>
  </si>
  <si>
    <t xml:space="preserve">El campo EBITDA estándar incluye la revalorización de propiedades para las empresas a valor razonable (ej. Mallplaza FY2025: 1,97 bn vs ingresos 0,65 bn). Por eso se usa el EBITDA comparable, y EBIT se reconstruye como EBITDA − D&amp;A (el EBIT comparable de BBG era errático).</t>
  </si>
  <si>
    <t xml:space="preserve">Excepciones EBITDA</t>
  </si>
  <si>
    <t xml:space="preserve">Se usó EBITDA_ADJUSTED donde el comparable era inconsistente: Cencosud Shopping FY2022 y 1T26; Iguatemi FY2025 y 1T26; IRSA todos los períodos (su comparable venía con errores de escala/signo).</t>
  </si>
  <si>
    <t xml:space="preserve">Suma de 3T25, 4T25, 1T26 y 2T26 (verificada contra TRAIL_12M de Bloomberg: Mallplaza revenue 677.333 = 677.334). Balance al 30-jun-2026. IRSA: FY2026 (jul-25 a jun-26).</t>
  </si>
  <si>
    <t xml:space="preserve">Consenso BEst blended forward 12m. Cobertura: Mallplaza 13, Parque Arauco 13, Cencosud 11, Multiplan 15, Allos 14, Iguatemi 13, Fibra Danhos 9, IRSA 1 analista. Como IRSA no tiene consenso representativo, la tabla principal es LTM (regla: no mezclar).</t>
  </si>
  <si>
    <t xml:space="preserve">MM CLP con TC fijo del 30-jun-2026 (dólar observado 922,34) y cruces vía USD. Los múltiplos no cambian con el TC.</t>
  </si>
  <si>
    <t xml:space="preserve">Allos FY2023</t>
  </si>
  <si>
    <t xml:space="preserve">Revenue de Bloomberg (7.481) incluye efectos de la combinación con brMalls; se reemplazó por 2.804 (S&amp;P Global) para que EV/Revenue sea comparable. P/E FY2023 NM.</t>
  </si>
  <si>
    <t xml:space="preserve">Ejercicio jul-jun; cifras bajo NIC 29 en moneda de cada cierre: los múltiplos de cada columna son consistentes, los montos históricos en CLP no son comparables entre años.</t>
  </si>
  <si>
    <t xml:space="preserve">Valor razonable</t>
  </si>
  <si>
    <t xml:space="preserve">Mallplaza, Parque Arauco, Cencosud Shopping, IRSA y Danhos registran revalorizaciones en resultados → P/E bajo y volátil. Para comparar con Mallplaza, priorizar EV/EBITDA.</t>
  </si>
  <si>
    <t xml:space="preserve">Cambios vs versión anterior</t>
  </si>
  <si>
    <t xml:space="preserve">Fuente cambiada de S&amp;P/StockAnalysis a Bloomberg; se agrega FY2022; precios al 30-sep-2026 exactos; balance 2T26 de Danhos actualizado; Mallplaza agregado como fila Target (excluida de medianas).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</si>
</sst>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\x;\(0.0&quot;x)&quot;;\-"/>
    <numFmt numFmtId="167" formatCode="0%;\(0%\);\-"/>
    <numFmt numFmtId="168" formatCode="#,##0.0;\(#,##0.0\);\-"/>
    <numFmt numFmtId="169" formatCode="#,##0.00"/>
    <numFmt numFmtId="170" formatCode="#,##0.0000"/>
    <numFmt numFmtId="171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13" min="4" style="0" width="13"/>
    <col collapsed="false" customWidth="true" hidden="false" outlineLevel="0" max="18" min="14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15" hidden="false" customHeight="false" outlineLevel="0" collapsed="false">
      <c r="E6" s="5" t="s">
        <v>21</v>
      </c>
    </row>
    <row r="7" customFormat="false" ht="15" hidden="false" customHeight="false" outlineLevel="0" collapsed="false">
      <c r="A7" s="6" t="s">
        <v>22</v>
      </c>
      <c r="B7" s="7" t="s">
        <v>23</v>
      </c>
      <c r="C7" s="7" t="s">
        <v>24</v>
      </c>
      <c r="D7" s="8" t="str">
        <f aca="false">Datos_BBG!F8</f>
        <v>LTM</v>
      </c>
      <c r="E7" s="9" t="n">
        <f aca="false">Datos_BBG!O8*Datos_BBG!S8</f>
        <v>7785450</v>
      </c>
      <c r="F7" s="9" t="n">
        <f aca="false">Datos_BBG!M8*Datos_BBG!S8</f>
        <v>1311568.558</v>
      </c>
      <c r="G7" s="9" t="n">
        <f aca="false">Datos_BBG!N8*Datos_BBG!S8</f>
        <v>50841.428</v>
      </c>
      <c r="H7" s="9" t="n">
        <f aca="false">Datos_BBG!T8*Datos_BBG!S8</f>
        <v>9147859.986</v>
      </c>
      <c r="I7" s="9" t="n">
        <f aca="false">Datos_BBG!G8*Datos_BBG!S8</f>
        <v>677333.306</v>
      </c>
      <c r="J7" s="9" t="n">
        <f aca="false">Datos_BBG!H8*Datos_BBG!S8</f>
        <v>544935</v>
      </c>
      <c r="K7" s="9" t="n">
        <f aca="false">Datos_BBG!J8*Datos_BBG!S8</f>
        <v>540372.726</v>
      </c>
      <c r="L7" s="9" t="n">
        <f aca="false">Datos_BBG!K8*Datos_BBG!S8</f>
        <v>1258052.743</v>
      </c>
      <c r="M7" s="9" t="n">
        <f aca="false">Datos_BBG!L8*Datos_BBG!S8</f>
        <v>4820897.848</v>
      </c>
      <c r="N7" s="10" t="n">
        <f aca="false">IF(OR(L7&lt;=0,Datos_BBG!Q8=1),"NM",IF(E7/L7&gt;Supuestos!$B$17,"NM",E7/L7))</f>
        <v>6.18849252809109</v>
      </c>
      <c r="O7" s="10" t="n">
        <f aca="false">IF(OR(J7&lt;=0),"NM",IF(H7/J7&gt;Supuestos!$B$17,"NM",H7/J7))</f>
        <v>16.7870663216714</v>
      </c>
      <c r="P7" s="10" t="n">
        <f aca="false">IF(OR(K7&lt;=0),"NM",IF(H7/K7&gt;Supuestos!$B$17,"NM",H7/K7))</f>
        <v>16.9287966358243</v>
      </c>
      <c r="Q7" s="10" t="n">
        <f aca="false">IF(OR(I7&lt;=0),"NM",IF(H7/I7&gt;Supuestos!$B$17,"NM",H7/I7))</f>
        <v>13.5056993432418</v>
      </c>
      <c r="R7" s="10" t="n">
        <f aca="false">IF(OR(M7&lt;=0),"NM",IF(E7/M7&gt;Supuestos!$B$17,"NM",E7/M7))</f>
        <v>1.61493776584166</v>
      </c>
    </row>
    <row r="8" customFormat="false" ht="15" hidden="false" customHeight="false" outlineLevel="0" collapsed="false">
      <c r="A8" s="11" t="s">
        <v>25</v>
      </c>
      <c r="B8" s="12" t="s">
        <v>26</v>
      </c>
      <c r="C8" s="12" t="s">
        <v>24</v>
      </c>
      <c r="D8" s="13" t="str">
        <f aca="false">Datos_BBG!F13</f>
        <v>LTM</v>
      </c>
      <c r="E8" s="14" t="n">
        <f aca="false">Datos_BBG!O13*Datos_BBG!S13</f>
        <v>3440408.419</v>
      </c>
      <c r="F8" s="14" t="n">
        <f aca="false">Datos_BBG!M13*Datos_BBG!S13</f>
        <v>1602287.611</v>
      </c>
      <c r="G8" s="14" t="n">
        <f aca="false">Datos_BBG!N13*Datos_BBG!S13</f>
        <v>386791.135</v>
      </c>
      <c r="H8" s="14" t="n">
        <f aca="false">Datos_BBG!T13*Datos_BBG!S13</f>
        <v>5429487.165</v>
      </c>
      <c r="I8" s="14" t="n">
        <f aca="false">Datos_BBG!G13*Datos_BBG!S13</f>
        <v>416366.832</v>
      </c>
      <c r="J8" s="14" t="n">
        <f aca="false">Datos_BBG!H13*Datos_BBG!S13</f>
        <v>294411</v>
      </c>
      <c r="K8" s="14" t="n">
        <f aca="false">Datos_BBG!J13*Datos_BBG!S13</f>
        <v>289515.61</v>
      </c>
      <c r="L8" s="14" t="n">
        <f aca="false">Datos_BBG!K13*Datos_BBG!S13</f>
        <v>154352.778</v>
      </c>
      <c r="M8" s="14" t="n">
        <f aca="false">Datos_BBG!L13*Datos_BBG!S13</f>
        <v>1961393.215</v>
      </c>
      <c r="N8" s="15" t="n">
        <f aca="false">IF(OR(L8&lt;=0,Datos_BBG!Q13=1),"NM",IF(E8/L8&gt;Supuestos!$B$17,"NM",E8/L8))</f>
        <v>22.2892549365066</v>
      </c>
      <c r="O8" s="15" t="n">
        <f aca="false">IF(OR(J8&lt;=0),"NM",IF(H8/J8&gt;Supuestos!$B$17,"NM",H8/J8))</f>
        <v>18.441862447395</v>
      </c>
      <c r="P8" s="15" t="n">
        <f aca="false">IF(OR(K8&lt;=0),"NM",IF(H8/K8&gt;Supuestos!$B$17,"NM",H8/K8))</f>
        <v>18.7536940236141</v>
      </c>
      <c r="Q8" s="15" t="n">
        <f aca="false">IF(OR(I8&lt;=0),"NM",IF(H8/I8&gt;Supuestos!$B$17,"NM",H8/I8))</f>
        <v>13.0401529317782</v>
      </c>
      <c r="R8" s="15" t="n">
        <f aca="false">IF(OR(M8&lt;=0),"NM",IF(E8/M8&gt;Supuestos!$B$17,"NM",E8/M8))</f>
        <v>1.75406358739749</v>
      </c>
    </row>
    <row r="9" customFormat="false" ht="15" hidden="false" customHeight="false" outlineLevel="0" collapsed="false">
      <c r="A9" s="11" t="s">
        <v>27</v>
      </c>
      <c r="B9" s="12" t="s">
        <v>26</v>
      </c>
      <c r="C9" s="12" t="s">
        <v>24</v>
      </c>
      <c r="D9" s="13" t="str">
        <f aca="false">Datos_BBG!F18</f>
        <v>LTM</v>
      </c>
      <c r="E9" s="14" t="n">
        <f aca="false">Datos_BBG!O18*Datos_BBG!S18</f>
        <v>3710182.595</v>
      </c>
      <c r="F9" s="14" t="n">
        <f aca="false">Datos_BBG!M18*Datos_BBG!S18</f>
        <v>852533.941</v>
      </c>
      <c r="G9" s="14" t="n">
        <f aca="false">Datos_BBG!N18*Datos_BBG!S18</f>
        <v>6464.021</v>
      </c>
      <c r="H9" s="14" t="n">
        <f aca="false">Datos_BBG!T18*Datos_BBG!S18</f>
        <v>4569180.557</v>
      </c>
      <c r="I9" s="14" t="n">
        <f aca="false">Datos_BBG!G18*Datos_BBG!S18</f>
        <v>390677.946</v>
      </c>
      <c r="J9" s="14" t="n">
        <f aca="false">Datos_BBG!H18*Datos_BBG!S18</f>
        <v>350561.254</v>
      </c>
      <c r="K9" s="14" t="n">
        <f aca="false">Datos_BBG!J18*Datos_BBG!S18</f>
        <v>349975.943</v>
      </c>
      <c r="L9" s="14" t="n">
        <f aca="false">Datos_BBG!K18*Datos_BBG!S18</f>
        <v>353938.282</v>
      </c>
      <c r="M9" s="14" t="n">
        <f aca="false">Datos_BBG!L18*Datos_BBG!S18</f>
        <v>3136456.799</v>
      </c>
      <c r="N9" s="15" t="n">
        <f aca="false">IF(OR(L9&lt;=0,Datos_BBG!Q18=1),"NM",IF(E9/L9&gt;Supuestos!$B$17,"NM",E9/L9))</f>
        <v>10.4825693734932</v>
      </c>
      <c r="O9" s="15" t="n">
        <f aca="false">IF(OR(J9&lt;=0),"NM",IF(H9/J9&gt;Supuestos!$B$17,"NM",H9/J9))</f>
        <v>13.0339006517817</v>
      </c>
      <c r="P9" s="15" t="n">
        <f aca="false">IF(OR(K9&lt;=0),"NM",IF(H9/K9&gt;Supuestos!$B$17,"NM",H9/K9))</f>
        <v>13.0556989655715</v>
      </c>
      <c r="Q9" s="15" t="n">
        <f aca="false">IF(OR(I9&lt;=0),"NM",IF(H9/I9&gt;Supuestos!$B$17,"NM",H9/I9))</f>
        <v>11.6955169949624</v>
      </c>
      <c r="R9" s="15" t="n">
        <f aca="false">IF(OR(M9&lt;=0),"NM",IF(E9/M9&gt;Supuestos!$B$17,"NM",E9/M9))</f>
        <v>1.18292163188185</v>
      </c>
    </row>
    <row r="10" customFormat="false" ht="15" hidden="false" customHeight="false" outlineLevel="0" collapsed="false">
      <c r="A10" s="11" t="s">
        <v>28</v>
      </c>
      <c r="B10" s="12" t="s">
        <v>26</v>
      </c>
      <c r="C10" s="12" t="s">
        <v>29</v>
      </c>
      <c r="D10" s="13" t="str">
        <f aca="false">Datos_BBG!F23</f>
        <v>LTM</v>
      </c>
      <c r="E10" s="14" t="n">
        <f aca="false">Datos_BBG!O23*Datos_BBG!S23</f>
        <v>2907890.34768236</v>
      </c>
      <c r="F10" s="14" t="n">
        <f aca="false">Datos_BBG!M23*Datos_BBG!S23</f>
        <v>888983.197853961</v>
      </c>
      <c r="G10" s="14" t="n">
        <f aca="false">Datos_BBG!N23*Datos_BBG!S23</f>
        <v>33.0491768351734</v>
      </c>
      <c r="H10" s="14" t="n">
        <f aca="false">Datos_BBG!T23*Datos_BBG!S23</f>
        <v>3796906.59471315</v>
      </c>
      <c r="I10" s="14" t="n">
        <f aca="false">Datos_BBG!G23*Datos_BBG!S23</f>
        <v>570440.404048034</v>
      </c>
      <c r="J10" s="14" t="n">
        <f aca="false">Datos_BBG!H23*Datos_BBG!S23</f>
        <v>421296.078826264</v>
      </c>
      <c r="K10" s="14" t="n">
        <f aca="false">Datos_BBG!J23*Datos_BBG!S23</f>
        <v>397146.062769708</v>
      </c>
      <c r="L10" s="14" t="n">
        <f aca="false">Datos_BBG!K23*Datos_BBG!S23</f>
        <v>247648.3793221</v>
      </c>
      <c r="M10" s="14" t="n">
        <f aca="false">Datos_BBG!L23*Datos_BBG!S23</f>
        <v>1206875.90541933</v>
      </c>
      <c r="N10" s="15" t="n">
        <f aca="false">IF(OR(L10&lt;=0,Datos_BBG!Q23=1),"NM",IF(E10/L10&gt;Supuestos!$B$17,"NM",E10/L10))</f>
        <v>11.7420124276293</v>
      </c>
      <c r="O10" s="15" t="n">
        <f aca="false">IF(OR(J10&lt;=0),"NM",IF(H10/J10&gt;Supuestos!$B$17,"NM",H10/J10))</f>
        <v>9.0124422835631</v>
      </c>
      <c r="P10" s="15" t="n">
        <f aca="false">IF(OR(K10&lt;=0),"NM",IF(H10/K10&gt;Supuestos!$B$17,"NM",H10/K10))</f>
        <v>9.56047900420672</v>
      </c>
      <c r="Q10" s="15" t="n">
        <f aca="false">IF(OR(I10&lt;=0),"NM",IF(H10/I10&gt;Supuestos!$B$17,"NM",H10/I10))</f>
        <v>6.65609688193376</v>
      </c>
      <c r="R10" s="15" t="n">
        <f aca="false">IF(OR(M10&lt;=0),"NM",IF(E10/M10&gt;Supuestos!$B$17,"NM",E10/M10))</f>
        <v>2.40943607758248</v>
      </c>
    </row>
    <row r="11" customFormat="false" ht="15" hidden="false" customHeight="false" outlineLevel="0" collapsed="false">
      <c r="A11" s="11" t="s">
        <v>30</v>
      </c>
      <c r="B11" s="12" t="s">
        <v>26</v>
      </c>
      <c r="C11" s="12" t="s">
        <v>29</v>
      </c>
      <c r="D11" s="13" t="str">
        <f aca="false">Datos_BBG!F28</f>
        <v>LTM</v>
      </c>
      <c r="E11" s="14" t="n">
        <f aca="false">Datos_BBG!O28*Datos_BBG!S28</f>
        <v>2656187.53107496</v>
      </c>
      <c r="F11" s="14" t="n">
        <f aca="false">Datos_BBG!M28*Datos_BBG!S28</f>
        <v>1221640.66983149</v>
      </c>
      <c r="G11" s="14" t="n">
        <f aca="false">Datos_BBG!N28*Datos_BBG!S28</f>
        <v>17188.9661940732</v>
      </c>
      <c r="H11" s="14" t="n">
        <f aca="false">Datos_BBG!T28*Datos_BBG!S28</f>
        <v>3895017.16710052</v>
      </c>
      <c r="I11" s="14" t="n">
        <f aca="false">Datos_BBG!G28*Datos_BBG!S28</f>
        <v>524937.582804571</v>
      </c>
      <c r="J11" s="14" t="n">
        <f aca="false">Datos_BBG!H28*Datos_BBG!S28</f>
        <v>388838.750222739</v>
      </c>
      <c r="K11" s="14" t="n">
        <f aca="false">Datos_BBG!J28*Datos_BBG!S28</f>
        <v>276308.446829363</v>
      </c>
      <c r="L11" s="14" t="n">
        <f aca="false">Datos_BBG!K28*Datos_BBG!S28</f>
        <v>166950.149835367</v>
      </c>
      <c r="M11" s="14" t="n">
        <f aca="false">Datos_BBG!L28*Datos_BBG!S28</f>
        <v>2296067.80094519</v>
      </c>
      <c r="N11" s="15" t="n">
        <f aca="false">IF(OR(L11&lt;=0,Datos_BBG!Q28=1),"NM",IF(E11/L11&gt;Supuestos!$B$17,"NM",E11/L11))</f>
        <v>15.9100637746913</v>
      </c>
      <c r="O11" s="15" t="n">
        <f aca="false">IF(OR(J11&lt;=0),"NM",IF(H11/J11&gt;Supuestos!$B$17,"NM",H11/J11))</f>
        <v>10.0170499078843</v>
      </c>
      <c r="P11" s="15" t="n">
        <f aca="false">IF(OR(K11&lt;=0),"NM",IF(H11/K11&gt;Supuestos!$B$17,"NM",H11/K11))</f>
        <v>14.0966271997683</v>
      </c>
      <c r="Q11" s="15" t="n">
        <f aca="false">IF(OR(I11&lt;=0),"NM",IF(H11/I11&gt;Supuestos!$B$17,"NM",H11/I11))</f>
        <v>7.41996247685432</v>
      </c>
      <c r="R11" s="15" t="n">
        <f aca="false">IF(OR(M11&lt;=0),"NM",IF(E11/M11&gt;Supuestos!$B$17,"NM",E11/M11))</f>
        <v>1.15684194080921</v>
      </c>
    </row>
    <row r="12" customFormat="false" ht="15" hidden="false" customHeight="false" outlineLevel="0" collapsed="false">
      <c r="A12" s="11" t="s">
        <v>31</v>
      </c>
      <c r="B12" s="12" t="s">
        <v>26</v>
      </c>
      <c r="C12" s="12" t="s">
        <v>29</v>
      </c>
      <c r="D12" s="13" t="str">
        <f aca="false">Datos_BBG!F33</f>
        <v>LTM</v>
      </c>
      <c r="E12" s="14" t="n">
        <f aca="false">Datos_BBG!O33*Datos_BBG!S33</f>
        <v>1381189.73341313</v>
      </c>
      <c r="F12" s="14" t="n">
        <f aca="false">Datos_BBG!M33*Datos_BBG!S33</f>
        <v>382047.948282007</v>
      </c>
      <c r="G12" s="14" t="n">
        <f aca="false">Datos_BBG!N33*Datos_BBG!S33</f>
        <v>38.9444354057718</v>
      </c>
      <c r="H12" s="14" t="n">
        <f aca="false">Datos_BBG!T33*Datos_BBG!S33</f>
        <v>1763276.62613054</v>
      </c>
      <c r="I12" s="14" t="n">
        <f aca="false">Datos_BBG!G33*Datos_BBG!S33</f>
        <v>272862.757516948</v>
      </c>
      <c r="J12" s="14" t="n">
        <f aca="false">Datos_BBG!H33*Datos_BBG!S33</f>
        <v>201422.94229324</v>
      </c>
      <c r="K12" s="14" t="n">
        <f aca="false">Datos_BBG!J33*Datos_BBG!S33</f>
        <v>178237.783556072</v>
      </c>
      <c r="L12" s="14" t="n">
        <f aca="false">Datos_BBG!K33*Datos_BBG!S33</f>
        <v>114077.004869262</v>
      </c>
      <c r="M12" s="14" t="n">
        <f aca="false">Datos_BBG!L33*Datos_BBG!S33</f>
        <v>881991.063900833</v>
      </c>
      <c r="N12" s="15" t="n">
        <f aca="false">IF(OR(L12&lt;=0,Datos_BBG!Q33=1),"NM",IF(E12/L12&gt;Supuestos!$B$17,"NM",E12/L12))</f>
        <v>12.1075210117591</v>
      </c>
      <c r="O12" s="15" t="n">
        <f aca="false">IF(OR(J12&lt;=0),"NM",IF(H12/J12&gt;Supuestos!$B$17,"NM",H12/J12))</f>
        <v>8.75410023334625</v>
      </c>
      <c r="P12" s="15" t="n">
        <f aca="false">IF(OR(K12&lt;=0),"NM",IF(H12/K12&gt;Supuestos!$B$17,"NM",H12/K12))</f>
        <v>9.89283299506377</v>
      </c>
      <c r="Q12" s="15" t="n">
        <f aca="false">IF(OR(I12&lt;=0),"NM",IF(H12/I12&gt;Supuestos!$B$17,"NM",H12/I12))</f>
        <v>6.46213738428934</v>
      </c>
      <c r="R12" s="15" t="n">
        <f aca="false">IF(OR(M12&lt;=0),"NM",IF(E12/M12&gt;Supuestos!$B$17,"NM",E12/M12))</f>
        <v>1.56599062047688</v>
      </c>
    </row>
    <row r="13" customFormat="false" ht="15" hidden="false" customHeight="false" outlineLevel="0" collapsed="false">
      <c r="A13" s="11" t="s">
        <v>32</v>
      </c>
      <c r="B13" s="12" t="s">
        <v>33</v>
      </c>
      <c r="C13" s="12" t="s">
        <v>34</v>
      </c>
      <c r="D13" s="13" t="str">
        <f aca="false">Datos_BBG!F38</f>
        <v>LTM</v>
      </c>
      <c r="E13" s="14" t="n">
        <f aca="false">Datos_BBG!O38*Datos_BBG!S38</f>
        <v>1140416.45830563</v>
      </c>
      <c r="F13" s="14" t="n">
        <f aca="false">Datos_BBG!M38*Datos_BBG!S38</f>
        <v>561235.176936572</v>
      </c>
      <c r="G13" s="14" t="n">
        <f aca="false">Datos_BBG!N38*Datos_BBG!S38</f>
        <v>87538.9035357625</v>
      </c>
      <c r="H13" s="14" t="n">
        <f aca="false">Datos_BBG!T38*Datos_BBG!S38</f>
        <v>1789190.53877796</v>
      </c>
      <c r="I13" s="14" t="n">
        <f aca="false">Datos_BBG!G38*Datos_BBG!S38</f>
        <v>409298.643967611</v>
      </c>
      <c r="J13" s="14" t="n">
        <f aca="false">Datos_BBG!H38*Datos_BBG!S38</f>
        <v>145686.203093304</v>
      </c>
      <c r="K13" s="14" t="n">
        <f aca="false">Datos_BBG!J38*Datos_BBG!S38</f>
        <v>135134.942757649</v>
      </c>
      <c r="L13" s="14" t="n">
        <f aca="false">Datos_BBG!K38*Datos_BBG!S38</f>
        <v>244905.542105263</v>
      </c>
      <c r="M13" s="14" t="n">
        <f aca="false">Datos_BBG!L38*Datos_BBG!S38</f>
        <v>1418831.51441296</v>
      </c>
      <c r="N13" s="15" t="n">
        <f aca="false">IF(OR(L13&lt;=0,Datos_BBG!Q38=1),"NM",IF(E13/L13&gt;Supuestos!$B$17,"NM",E13/L13))</f>
        <v>4.65655635434932</v>
      </c>
      <c r="O13" s="15" t="n">
        <f aca="false">IF(OR(J13&lt;=0),"NM",IF(H13/J13&gt;Supuestos!$B$17,"NM",H13/J13))</f>
        <v>12.2811254654779</v>
      </c>
      <c r="P13" s="15" t="n">
        <f aca="false">IF(OR(K13&lt;=0),"NM",IF(H13/K13&gt;Supuestos!$B$17,"NM",H13/K13))</f>
        <v>13.2400288353746</v>
      </c>
      <c r="Q13" s="15" t="n">
        <f aca="false">IF(OR(I13&lt;=0),"NM",IF(H13/I13&gt;Supuestos!$B$17,"NM",H13/I13))</f>
        <v>4.3713571133149</v>
      </c>
      <c r="R13" s="15" t="n">
        <f aca="false">IF(OR(M13&lt;=0),"NM",IF(E13/M13&gt;Supuestos!$B$17,"NM",E13/M13))</f>
        <v>0.803771587197566</v>
      </c>
    </row>
    <row r="14" customFormat="false" ht="15" hidden="false" customHeight="false" outlineLevel="0" collapsed="false">
      <c r="A14" s="11" t="s">
        <v>35</v>
      </c>
      <c r="B14" s="12" t="s">
        <v>33</v>
      </c>
      <c r="C14" s="12" t="s">
        <v>36</v>
      </c>
      <c r="D14" s="13" t="str">
        <f aca="false">Datos_BBG!F43</f>
        <v>LTM</v>
      </c>
      <c r="E14" s="14" t="n">
        <f aca="false">Datos_BBG!O43*Datos_BBG!S43</f>
        <v>2383999.42133005</v>
      </c>
      <c r="F14" s="14" t="n">
        <f aca="false">Datos_BBG!M43*Datos_BBG!S43</f>
        <v>618003.431527094</v>
      </c>
      <c r="G14" s="14" t="n">
        <f aca="false">Datos_BBG!N43*Datos_BBG!S43</f>
        <v>155940.903940887</v>
      </c>
      <c r="H14" s="14" t="n">
        <f aca="false">Datos_BBG!T43*Datos_BBG!S43</f>
        <v>3157943.75679803</v>
      </c>
      <c r="I14" s="14" t="n">
        <f aca="false">Datos_BBG!G43*Datos_BBG!S43</f>
        <v>417411.607746798</v>
      </c>
      <c r="J14" s="14" t="n">
        <f aca="false">Datos_BBG!H43*Datos_BBG!S43</f>
        <v>277625.057532512</v>
      </c>
      <c r="K14" s="14" t="n">
        <f aca="false">Datos_BBG!J43*Datos_BBG!S43</f>
        <v>276925.518730542</v>
      </c>
      <c r="L14" s="14" t="n">
        <f aca="false">Datos_BBG!K43*Datos_BBG!S43</f>
        <v>301542.114937931</v>
      </c>
      <c r="M14" s="14" t="n">
        <f aca="false">Datos_BBG!L43*Datos_BBG!S43</f>
        <v>3445417.07783251</v>
      </c>
      <c r="N14" s="15" t="n">
        <f aca="false">IF(OR(L14&lt;=0,Datos_BBG!Q43=1),"NM",IF(E14/L14&gt;Supuestos!$B$17,"NM",E14/L14))</f>
        <v>7.90602474158798</v>
      </c>
      <c r="O14" s="15" t="n">
        <f aca="false">IF(OR(J14&lt;=0),"NM",IF(H14/J14&gt;Supuestos!$B$17,"NM",H14/J14))</f>
        <v>11.3748513367825</v>
      </c>
      <c r="P14" s="15" t="n">
        <f aca="false">IF(OR(K14&lt;=0),"NM",IF(H14/K14&gt;Supuestos!$B$17,"NM",H14/K14))</f>
        <v>11.40358523575</v>
      </c>
      <c r="Q14" s="15" t="n">
        <f aca="false">IF(OR(I14&lt;=0),"NM",IF(H14/I14&gt;Supuestos!$B$17,"NM",H14/I14))</f>
        <v>7.56553890258279</v>
      </c>
      <c r="R14" s="15" t="n">
        <f aca="false">IF(OR(M14&lt;=0),"NM",IF(E14/M14&gt;Supuestos!$B$17,"NM",E14/M14))</f>
        <v>0.691933477856274</v>
      </c>
    </row>
    <row r="15" customFormat="false" ht="15" hidden="false" customHeight="false" outlineLevel="0" collapsed="false">
      <c r="A15" s="16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 t="n">
        <f aca="false">IFERROR(MEDIAN(N8:N12),"NM")</f>
        <v>12.1075210117591</v>
      </c>
      <c r="O15" s="18" t="n">
        <f aca="false">IFERROR(MEDIAN(O8:O12),"NM")</f>
        <v>10.0170499078843</v>
      </c>
      <c r="P15" s="18" t="n">
        <f aca="false">IFERROR(MEDIAN(P8:P12),"NM")</f>
        <v>13.0556989655715</v>
      </c>
      <c r="Q15" s="18" t="n">
        <f aca="false">IFERROR(MEDIAN(Q8:Q12),"NM")</f>
        <v>7.41996247685432</v>
      </c>
      <c r="R15" s="18" t="n">
        <f aca="false">IFERROR(MEDIAN(R8:R12),"NM")</f>
        <v>1.56599062047688</v>
      </c>
    </row>
    <row r="16" customFormat="false" ht="15" hidden="false" customHeight="false" outlineLevel="0" collapsed="false">
      <c r="A16" s="16" t="s">
        <v>38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 t="n">
        <f aca="false">IFERROR(AVERAGE(N8:N12),"NM")</f>
        <v>14.5062843048159</v>
      </c>
      <c r="O16" s="18" t="n">
        <f aca="false">IFERROR(AVERAGE(O8:O12),"NM")</f>
        <v>11.8518711047941</v>
      </c>
      <c r="P16" s="18" t="n">
        <f aca="false">IFERROR(AVERAGE(P8:P12),"NM")</f>
        <v>13.0718664376449</v>
      </c>
      <c r="Q16" s="18" t="n">
        <f aca="false">IFERROR(AVERAGE(Q8:Q12),"NM")</f>
        <v>9.0547733339636</v>
      </c>
      <c r="R16" s="18" t="n">
        <f aca="false">IFERROR(AVERAGE(R8:R12),"NM")</f>
        <v>1.61385077162958</v>
      </c>
    </row>
    <row r="17" customFormat="false" ht="15" hidden="false" customHeight="false" outlineLevel="0" collapsed="false">
      <c r="A17" s="16" t="s">
        <v>39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 t="n">
        <f aca="false">IFERROR(MEDIAN(N8:N14),"NM")</f>
        <v>11.7420124276293</v>
      </c>
      <c r="O17" s="18" t="n">
        <f aca="false">IFERROR(MEDIAN(O8:O14),"NM")</f>
        <v>11.3748513367825</v>
      </c>
      <c r="P17" s="18" t="n">
        <f aca="false">IFERROR(MEDIAN(P8:P14),"NM")</f>
        <v>13.0556989655715</v>
      </c>
      <c r="Q17" s="18" t="n">
        <f aca="false">IFERROR(MEDIAN(Q8:Q14),"NM")</f>
        <v>7.41996247685432</v>
      </c>
      <c r="R17" s="18" t="n">
        <f aca="false">IFERROR(MEDIAN(R8:R14),"NM")</f>
        <v>1.18292163188185</v>
      </c>
    </row>
    <row r="18" customFormat="false" ht="15" hidden="false" customHeight="false" outlineLevel="0" collapsed="false">
      <c r="A18" s="16" t="s">
        <v>40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 t="n">
        <f aca="false">IFERROR(AVERAGE(N8:N14),"NM")</f>
        <v>12.1562860885738</v>
      </c>
      <c r="O18" s="18" t="n">
        <f aca="false">IFERROR(AVERAGE(O8:O14),"NM")</f>
        <v>11.8450474751758</v>
      </c>
      <c r="P18" s="18" t="n">
        <f aca="false">IFERROR(AVERAGE(P8:P14),"NM")</f>
        <v>12.8575637513356</v>
      </c>
      <c r="Q18" s="18" t="n">
        <f aca="false">IFERROR(AVERAGE(Q8:Q14),"NM")</f>
        <v>8.17296609795939</v>
      </c>
      <c r="R18" s="18" t="n">
        <f aca="false">IFERROR(AVERAGE(R8:R14),"NM")</f>
        <v>1.36642270331454</v>
      </c>
    </row>
    <row r="19" customFormat="false" ht="15" hidden="false" customHeight="false" outlineLevel="0" collapsed="false">
      <c r="A19" s="19" t="s">
        <v>41</v>
      </c>
      <c r="N19" s="20" t="n">
        <f aca="false">IFERROR(N7/N15-1,"NM")</f>
        <v>-0.488872038951599</v>
      </c>
      <c r="O19" s="20" t="n">
        <f aca="false">IFERROR(O7/O15-1,"NM")</f>
        <v>0.675849324506064</v>
      </c>
      <c r="P19" s="20" t="n">
        <f aca="false">IFERROR(P7/P15-1,"NM")</f>
        <v>0.296659541589184</v>
      </c>
      <c r="Q19" s="20" t="n">
        <f aca="false">IFERROR(Q7/Q15-1,"NM")</f>
        <v>0.820184318367002</v>
      </c>
      <c r="R19" s="20" t="n">
        <f aca="false">IFERROR(R7/R15-1,"NM")</f>
        <v>0.031256346445979</v>
      </c>
    </row>
    <row r="21" customFormat="false" ht="15" hidden="false" customHeight="false" outlineLevel="0" collapsed="false">
      <c r="A21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13" min="4" style="0" width="13"/>
    <col collapsed="false" customWidth="true" hidden="false" outlineLevel="0" max="18" min="14" style="0" width="11"/>
  </cols>
  <sheetData>
    <row r="1" customFormat="false" ht="16.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15" hidden="false" customHeight="false" outlineLevel="0" collapsed="false">
      <c r="E6" s="5" t="s">
        <v>21</v>
      </c>
    </row>
    <row r="7" customFormat="false" ht="15" hidden="false" customHeight="false" outlineLevel="0" collapsed="false">
      <c r="A7" s="6" t="s">
        <v>22</v>
      </c>
      <c r="B7" s="7" t="s">
        <v>23</v>
      </c>
      <c r="C7" s="7" t="s">
        <v>24</v>
      </c>
      <c r="D7" s="8" t="s">
        <v>46</v>
      </c>
      <c r="E7" s="9" t="n">
        <f aca="false">Datos_BBG!O8*Datos_BBG!S8</f>
        <v>7785450</v>
      </c>
      <c r="F7" s="9" t="n">
        <f aca="false">Datos_BBG!M8*Datos_BBG!S8</f>
        <v>1311568.558</v>
      </c>
      <c r="G7" s="9" t="n">
        <f aca="false">Datos_BBG!N8*Datos_BBG!S8</f>
        <v>50841.428</v>
      </c>
      <c r="H7" s="9" t="n">
        <f aca="false">Datos_BBG!T8*Datos_BBG!S8</f>
        <v>9147859.986</v>
      </c>
      <c r="I7" s="9" t="n">
        <f aca="false">Datos_BBG!G47*Datos_BBG!S47</f>
        <v>758569.5251</v>
      </c>
      <c r="J7" s="9" t="n">
        <f aca="false">Datos_BBG!H47*Datos_BBG!S47</f>
        <v>617130.3379</v>
      </c>
      <c r="K7" s="9" t="n">
        <f aca="false">Datos_BBG!I47*Datos_BBG!S47</f>
        <v>611889.8174</v>
      </c>
      <c r="L7" s="9" t="n">
        <f aca="false">Datos_BBG!J47*Datos_BBG!S47</f>
        <v>488981.2456</v>
      </c>
      <c r="M7" s="9" t="n">
        <f aca="false">Datos_BBG!L8*Datos_BBG!S8</f>
        <v>4820897.848</v>
      </c>
      <c r="N7" s="10" t="n">
        <f aca="false">IF(OR(L7&lt;=0),"NM",IF(E7/L7&gt;Supuestos!$B$17,"NM",E7/L7))</f>
        <v>15.9217762849921</v>
      </c>
      <c r="O7" s="10" t="n">
        <f aca="false">IF(OR(J7&lt;=0),"NM",IF(H7/J7&gt;Supuestos!$B$17,"NM",H7/J7))</f>
        <v>14.8232219746784</v>
      </c>
      <c r="P7" s="10" t="n">
        <f aca="false">IF(OR(K7&lt;=0),"NM",IF(H7/K7&gt;Supuestos!$B$17,"NM",H7/K7))</f>
        <v>14.9501752208763</v>
      </c>
      <c r="Q7" s="10" t="n">
        <f aca="false">IF(OR(I7&lt;=0),"NM",IF(H7/I7&gt;Supuestos!$B$17,"NM",H7/I7))</f>
        <v>12.0593560422745</v>
      </c>
      <c r="R7" s="10" t="n">
        <f aca="false">IF(OR(M7&lt;=0),"NM",IF(E7/M7&gt;Supuestos!$B$17,"NM",E7/M7))</f>
        <v>1.61493776584166</v>
      </c>
    </row>
    <row r="8" customFormat="false" ht="15" hidden="false" customHeight="false" outlineLevel="0" collapsed="false">
      <c r="A8" s="11" t="s">
        <v>25</v>
      </c>
      <c r="B8" s="12" t="s">
        <v>26</v>
      </c>
      <c r="C8" s="12" t="s">
        <v>24</v>
      </c>
      <c r="D8" s="13" t="s">
        <v>46</v>
      </c>
      <c r="E8" s="14" t="n">
        <f aca="false">Datos_BBG!O13*Datos_BBG!S13</f>
        <v>3440408.419</v>
      </c>
      <c r="F8" s="14" t="n">
        <f aca="false">Datos_BBG!M13*Datos_BBG!S13</f>
        <v>1602287.611</v>
      </c>
      <c r="G8" s="14" t="n">
        <f aca="false">Datos_BBG!N13*Datos_BBG!S13</f>
        <v>386791.135</v>
      </c>
      <c r="H8" s="14" t="n">
        <f aca="false">Datos_BBG!T13*Datos_BBG!S13</f>
        <v>5429487.165</v>
      </c>
      <c r="I8" s="14" t="n">
        <f aca="false">Datos_BBG!G48*Datos_BBG!S48</f>
        <v>475685.589</v>
      </c>
      <c r="J8" s="14" t="n">
        <f aca="false">Datos_BBG!H48*Datos_BBG!S48</f>
        <v>342581.9503</v>
      </c>
      <c r="K8" s="14" t="n">
        <f aca="false">Datos_BBG!I48*Datos_BBG!S48</f>
        <v>347536.9589</v>
      </c>
      <c r="L8" s="14" t="n">
        <f aca="false">Datos_BBG!J48*Datos_BBG!S48</f>
        <v>166719.8491</v>
      </c>
      <c r="M8" s="14" t="n">
        <f aca="false">Datos_BBG!L13*Datos_BBG!S13</f>
        <v>1961393.215</v>
      </c>
      <c r="N8" s="15" t="n">
        <f aca="false">IF(OR(L8&lt;=0),"NM",IF(E8/L8&gt;Supuestos!$B$17,"NM",E8/L8))</f>
        <v>20.6358657206822</v>
      </c>
      <c r="O8" s="15" t="n">
        <f aca="false">IF(OR(J8&lt;=0),"NM",IF(H8/J8&gt;Supuestos!$B$17,"NM",H8/J8))</f>
        <v>15.8487251305721</v>
      </c>
      <c r="P8" s="15" t="n">
        <f aca="false">IF(OR(K8&lt;=0),"NM",IF(H8/K8&gt;Supuestos!$B$17,"NM",H8/K8))</f>
        <v>15.6227619133949</v>
      </c>
      <c r="Q8" s="15" t="n">
        <f aca="false">IF(OR(I8&lt;=0),"NM",IF(H8/I8&gt;Supuestos!$B$17,"NM",H8/I8))</f>
        <v>11.4140249159409</v>
      </c>
      <c r="R8" s="15" t="n">
        <f aca="false">IF(OR(M8&lt;=0),"NM",IF(E8/M8&gt;Supuestos!$B$17,"NM",E8/M8))</f>
        <v>1.75406358739749</v>
      </c>
    </row>
    <row r="9" customFormat="false" ht="15" hidden="false" customHeight="false" outlineLevel="0" collapsed="false">
      <c r="A9" s="11" t="s">
        <v>27</v>
      </c>
      <c r="B9" s="12" t="s">
        <v>26</v>
      </c>
      <c r="C9" s="12" t="s">
        <v>24</v>
      </c>
      <c r="D9" s="13" t="s">
        <v>46</v>
      </c>
      <c r="E9" s="14" t="n">
        <f aca="false">Datos_BBG!O18*Datos_BBG!S18</f>
        <v>3710182.595</v>
      </c>
      <c r="F9" s="14" t="n">
        <f aca="false">Datos_BBG!M18*Datos_BBG!S18</f>
        <v>852533.941</v>
      </c>
      <c r="G9" s="14" t="n">
        <f aca="false">Datos_BBG!N18*Datos_BBG!S18</f>
        <v>6464.021</v>
      </c>
      <c r="H9" s="14" t="n">
        <f aca="false">Datos_BBG!T18*Datos_BBG!S18</f>
        <v>4569180.557</v>
      </c>
      <c r="I9" s="14" t="n">
        <f aca="false">Datos_BBG!G49*Datos_BBG!S49</f>
        <v>436396.6493</v>
      </c>
      <c r="J9" s="14" t="n">
        <f aca="false">Datos_BBG!H49*Datos_BBG!S49</f>
        <v>392093.8</v>
      </c>
      <c r="K9" s="14" t="n">
        <f aca="false">Datos_BBG!I49*Datos_BBG!S49</f>
        <v>395608.2021</v>
      </c>
      <c r="L9" s="14" t="n">
        <f aca="false">Datos_BBG!J49*Datos_BBG!S49</f>
        <v>278140.7303</v>
      </c>
      <c r="M9" s="14" t="n">
        <f aca="false">Datos_BBG!L18*Datos_BBG!S18</f>
        <v>3136456.799</v>
      </c>
      <c r="N9" s="15" t="n">
        <f aca="false">IF(OR(L9&lt;=0),"NM",IF(E9/L9&gt;Supuestos!$B$17,"NM",E9/L9))</f>
        <v>13.3392279188964</v>
      </c>
      <c r="O9" s="15" t="n">
        <f aca="false">IF(OR(J9&lt;=0),"NM",IF(H9/J9&gt;Supuestos!$B$17,"NM",H9/J9))</f>
        <v>11.653284385012</v>
      </c>
      <c r="P9" s="15" t="n">
        <f aca="false">IF(OR(K9&lt;=0),"NM",IF(H9/K9&gt;Supuestos!$B$17,"NM",H9/K9))</f>
        <v>11.5497619431182</v>
      </c>
      <c r="Q9" s="15" t="n">
        <f aca="false">IF(OR(I9&lt;=0),"NM",IF(H9/I9&gt;Supuestos!$B$17,"NM",H9/I9))</f>
        <v>10.470246653656</v>
      </c>
      <c r="R9" s="15" t="n">
        <f aca="false">IF(OR(M9&lt;=0),"NM",IF(E9/M9&gt;Supuestos!$B$17,"NM",E9/M9))</f>
        <v>1.18292163188185</v>
      </c>
    </row>
    <row r="10" customFormat="false" ht="15" hidden="false" customHeight="false" outlineLevel="0" collapsed="false">
      <c r="A10" s="11" t="s">
        <v>28</v>
      </c>
      <c r="B10" s="12" t="s">
        <v>26</v>
      </c>
      <c r="C10" s="12" t="s">
        <v>29</v>
      </c>
      <c r="D10" s="13" t="s">
        <v>46</v>
      </c>
      <c r="E10" s="14" t="n">
        <f aca="false">Datos_BBG!O23*Datos_BBG!S23</f>
        <v>2907890.34768236</v>
      </c>
      <c r="F10" s="14" t="n">
        <f aca="false">Datos_BBG!M23*Datos_BBG!S23</f>
        <v>888983.197853961</v>
      </c>
      <c r="G10" s="14" t="n">
        <f aca="false">Datos_BBG!N23*Datos_BBG!S23</f>
        <v>33.0491768351734</v>
      </c>
      <c r="H10" s="14" t="n">
        <f aca="false">Datos_BBG!T23*Datos_BBG!S23</f>
        <v>3796906.59471315</v>
      </c>
      <c r="I10" s="14" t="n">
        <f aca="false">Datos_BBG!G50*Datos_BBG!S50</f>
        <v>500704.762124776</v>
      </c>
      <c r="J10" s="14" t="n">
        <f aca="false">Datos_BBG!H50*Datos_BBG!S50</f>
        <v>376773.259642812</v>
      </c>
      <c r="K10" s="14" t="n">
        <f aca="false">Datos_BBG!I50*Datos_BBG!S50</f>
        <v>351478.345963343</v>
      </c>
      <c r="L10" s="14" t="n">
        <f aca="false">Datos_BBG!J50*Datos_BBG!S50</f>
        <v>230718.537610699</v>
      </c>
      <c r="M10" s="14" t="n">
        <f aca="false">Datos_BBG!L23*Datos_BBG!S23</f>
        <v>1206875.90541933</v>
      </c>
      <c r="N10" s="15" t="n">
        <f aca="false">IF(OR(L10&lt;=0),"NM",IF(E10/L10&gt;Supuestos!$B$17,"NM",E10/L10))</f>
        <v>12.6036268164501</v>
      </c>
      <c r="O10" s="15" t="n">
        <f aca="false">IF(OR(J10&lt;=0),"NM",IF(H10/J10&gt;Supuestos!$B$17,"NM",H10/J10))</f>
        <v>10.0774311805267</v>
      </c>
      <c r="P10" s="15" t="n">
        <f aca="false">IF(OR(K10&lt;=0),"NM",IF(H10/K10&gt;Supuestos!$B$17,"NM",H10/K10))</f>
        <v>10.8026757219039</v>
      </c>
      <c r="Q10" s="15" t="n">
        <f aca="false">IF(OR(I10&lt;=0),"NM",IF(H10/I10&gt;Supuestos!$B$17,"NM",H10/I10))</f>
        <v>7.58312459142731</v>
      </c>
      <c r="R10" s="15" t="n">
        <f aca="false">IF(OR(M10&lt;=0),"NM",IF(E10/M10&gt;Supuestos!$B$17,"NM",E10/M10))</f>
        <v>2.40943607758248</v>
      </c>
    </row>
    <row r="11" customFormat="false" ht="15" hidden="false" customHeight="false" outlineLevel="0" collapsed="false">
      <c r="A11" s="11" t="s">
        <v>30</v>
      </c>
      <c r="B11" s="12" t="s">
        <v>26</v>
      </c>
      <c r="C11" s="12" t="s">
        <v>29</v>
      </c>
      <c r="D11" s="13" t="s">
        <v>46</v>
      </c>
      <c r="E11" s="14" t="n">
        <f aca="false">Datos_BBG!O28*Datos_BBG!S28</f>
        <v>2656187.53107496</v>
      </c>
      <c r="F11" s="14" t="n">
        <f aca="false">Datos_BBG!M28*Datos_BBG!S28</f>
        <v>1221640.66983149</v>
      </c>
      <c r="G11" s="14" t="n">
        <f aca="false">Datos_BBG!N28*Datos_BBG!S28</f>
        <v>17188.9661940732</v>
      </c>
      <c r="H11" s="14" t="n">
        <f aca="false">Datos_BBG!T28*Datos_BBG!S28</f>
        <v>3895017.16710052</v>
      </c>
      <c r="I11" s="14" t="n">
        <f aca="false">Datos_BBG!G51*Datos_BBG!S51</f>
        <v>556686.831901182</v>
      </c>
      <c r="J11" s="14" t="n">
        <f aca="false">Datos_BBG!H51*Datos_BBG!S51</f>
        <v>413640.609664195</v>
      </c>
      <c r="K11" s="14" t="n">
        <f aca="false">Datos_BBG!I51*Datos_BBG!S51</f>
        <v>307838.827305772</v>
      </c>
      <c r="L11" s="14" t="n">
        <f aca="false">Datos_BBG!J51*Datos_BBG!S51</f>
        <v>169670.60804704</v>
      </c>
      <c r="M11" s="14" t="n">
        <f aca="false">Datos_BBG!L28*Datos_BBG!S28</f>
        <v>2296067.80094519</v>
      </c>
      <c r="N11" s="15" t="n">
        <f aca="false">IF(OR(L11&lt;=0),"NM",IF(E11/L11&gt;Supuestos!$B$17,"NM",E11/L11))</f>
        <v>15.6549655927357</v>
      </c>
      <c r="O11" s="15" t="n">
        <f aca="false">IF(OR(J11&lt;=0),"NM",IF(H11/J11&gt;Supuestos!$B$17,"NM",H11/J11))</f>
        <v>9.41642835857583</v>
      </c>
      <c r="P11" s="15" t="n">
        <f aca="false">IF(OR(K11&lt;=0),"NM",IF(H11/K11&gt;Supuestos!$B$17,"NM",H11/K11))</f>
        <v>12.652780681339</v>
      </c>
      <c r="Q11" s="15" t="n">
        <f aca="false">IF(OR(I11&lt;=0),"NM",IF(H11/I11&gt;Supuestos!$B$17,"NM",H11/I11))</f>
        <v>6.99678336884379</v>
      </c>
      <c r="R11" s="15" t="n">
        <f aca="false">IF(OR(M11&lt;=0),"NM",IF(E11/M11&gt;Supuestos!$B$17,"NM",E11/M11))</f>
        <v>1.15684194080921</v>
      </c>
    </row>
    <row r="12" customFormat="false" ht="15" hidden="false" customHeight="false" outlineLevel="0" collapsed="false">
      <c r="A12" s="11" t="s">
        <v>31</v>
      </c>
      <c r="B12" s="12" t="s">
        <v>26</v>
      </c>
      <c r="C12" s="12" t="s">
        <v>29</v>
      </c>
      <c r="D12" s="13" t="s">
        <v>46</v>
      </c>
      <c r="E12" s="14" t="n">
        <f aca="false">Datos_BBG!O33*Datos_BBG!S33</f>
        <v>1381189.73341313</v>
      </c>
      <c r="F12" s="14" t="n">
        <f aca="false">Datos_BBG!M33*Datos_BBG!S33</f>
        <v>382047.948282007</v>
      </c>
      <c r="G12" s="14" t="n">
        <f aca="false">Datos_BBG!N33*Datos_BBG!S33</f>
        <v>38.9444354057718</v>
      </c>
      <c r="H12" s="14" t="n">
        <f aca="false">Datos_BBG!T33*Datos_BBG!S33</f>
        <v>1763276.62613054</v>
      </c>
      <c r="I12" s="14" t="n">
        <f aca="false">Datos_BBG!G52*Datos_BBG!S52</f>
        <v>318249.746397641</v>
      </c>
      <c r="J12" s="14" t="n">
        <f aca="false">Datos_BBG!H52*Datos_BBG!S52</f>
        <v>238273.430267314</v>
      </c>
      <c r="K12" s="14" t="n">
        <f aca="false">Datos_BBG!I52*Datos_BBG!S52</f>
        <v>198790.207172624</v>
      </c>
      <c r="L12" s="14" t="n">
        <f aca="false">Datos_BBG!J52*Datos_BBG!S52</f>
        <v>116096.058042859</v>
      </c>
      <c r="M12" s="14" t="n">
        <f aca="false">Datos_BBG!L33*Datos_BBG!S33</f>
        <v>881991.063900833</v>
      </c>
      <c r="N12" s="15" t="n">
        <f aca="false">IF(OR(L12&lt;=0),"NM",IF(E12/L12&gt;Supuestos!$B$17,"NM",E12/L12))</f>
        <v>11.8969563368228</v>
      </c>
      <c r="O12" s="15" t="n">
        <f aca="false">IF(OR(J12&lt;=0),"NM",IF(H12/J12&gt;Supuestos!$B$17,"NM",H12/J12))</f>
        <v>7.40022344980875</v>
      </c>
      <c r="P12" s="15" t="n">
        <f aca="false">IF(OR(K12&lt;=0),"NM",IF(H12/K12&gt;Supuestos!$B$17,"NM",H12/K12))</f>
        <v>8.87003767041381</v>
      </c>
      <c r="Q12" s="15" t="n">
        <f aca="false">IF(OR(I12&lt;=0),"NM",IF(H12/I12&gt;Supuestos!$B$17,"NM",H12/I12))</f>
        <v>5.54054369591672</v>
      </c>
      <c r="R12" s="15" t="n">
        <f aca="false">IF(OR(M12&lt;=0),"NM",IF(E12/M12&gt;Supuestos!$B$17,"NM",E12/M12))</f>
        <v>1.56599062047688</v>
      </c>
    </row>
    <row r="13" customFormat="false" ht="15" hidden="false" customHeight="false" outlineLevel="0" collapsed="false">
      <c r="A13" s="11" t="s">
        <v>32</v>
      </c>
      <c r="B13" s="12" t="s">
        <v>33</v>
      </c>
      <c r="C13" s="12" t="s">
        <v>34</v>
      </c>
      <c r="D13" s="13" t="s">
        <v>46</v>
      </c>
      <c r="E13" s="14" t="n">
        <f aca="false">Datos_BBG!O38*Datos_BBG!S38</f>
        <v>1140416.45830563</v>
      </c>
      <c r="F13" s="14" t="n">
        <f aca="false">Datos_BBG!M38*Datos_BBG!S38</f>
        <v>561235.176936572</v>
      </c>
      <c r="G13" s="14" t="n">
        <f aca="false">Datos_BBG!N38*Datos_BBG!S38</f>
        <v>87538.9035357625</v>
      </c>
      <c r="H13" s="14" t="n">
        <f aca="false">Datos_BBG!T38*Datos_BBG!S38</f>
        <v>1789190.53877796</v>
      </c>
      <c r="I13" s="14" t="n">
        <f aca="false">Datos_BBG!G53*Datos_BBG!S53</f>
        <v>441170.173803551</v>
      </c>
      <c r="J13" s="14" t="n">
        <f aca="false">Datos_BBG!H53*Datos_BBG!S53</f>
        <v>286774.755708795</v>
      </c>
      <c r="K13" s="14" t="n">
        <f aca="false">Datos_BBG!I53*Datos_BBG!S53</f>
        <v>276449.269131158</v>
      </c>
      <c r="L13" s="14" t="n">
        <f aca="false">Datos_BBG!J53*Datos_BBG!S53</f>
        <v>124170.203109358</v>
      </c>
      <c r="M13" s="14" t="n">
        <f aca="false">Datos_BBG!L38*Datos_BBG!S38</f>
        <v>1418831.51441296</v>
      </c>
      <c r="N13" s="15" t="n">
        <f aca="false">IF(OR(L13&lt;=0),"NM",IF(E13/L13&gt;Supuestos!$B$17,"NM",E13/L13))</f>
        <v>9.18430049841551</v>
      </c>
      <c r="O13" s="15" t="n">
        <f aca="false">IF(OR(J13&lt;=0),"NM",IF(H13/J13&gt;Supuestos!$B$17,"NM",H13/J13))</f>
        <v>6.23900989595749</v>
      </c>
      <c r="P13" s="15" t="n">
        <f aca="false">IF(OR(K13&lt;=0),"NM",IF(H13/K13&gt;Supuestos!$B$17,"NM",H13/K13))</f>
        <v>6.47203931629533</v>
      </c>
      <c r="Q13" s="15" t="n">
        <f aca="false">IF(OR(I13&lt;=0),"NM",IF(H13/I13&gt;Supuestos!$B$17,"NM",H13/I13))</f>
        <v>4.05555643835223</v>
      </c>
      <c r="R13" s="15" t="n">
        <f aca="false">IF(OR(M13&lt;=0),"NM",IF(E13/M13&gt;Supuestos!$B$17,"NM",E13/M13))</f>
        <v>0.803771587197566</v>
      </c>
    </row>
    <row r="14" customFormat="false" ht="15" hidden="false" customHeight="false" outlineLevel="0" collapsed="false">
      <c r="A14" s="11" t="s">
        <v>35</v>
      </c>
      <c r="B14" s="12" t="s">
        <v>33</v>
      </c>
      <c r="C14" s="12" t="s">
        <v>36</v>
      </c>
      <c r="D14" s="13" t="s">
        <v>46</v>
      </c>
      <c r="E14" s="14" t="n">
        <f aca="false">Datos_BBG!O43*Datos_BBG!S43</f>
        <v>2383999.42133005</v>
      </c>
      <c r="F14" s="14" t="n">
        <f aca="false">Datos_BBG!M43*Datos_BBG!S43</f>
        <v>618003.431527094</v>
      </c>
      <c r="G14" s="14" t="n">
        <f aca="false">Datos_BBG!N43*Datos_BBG!S43</f>
        <v>155940.903940887</v>
      </c>
      <c r="H14" s="14" t="n">
        <f aca="false">Datos_BBG!T43*Datos_BBG!S43</f>
        <v>3157943.75679803</v>
      </c>
      <c r="I14" s="14" t="n">
        <f aca="false">Datos_BBG!G54*Datos_BBG!S54</f>
        <v>439412.659426601</v>
      </c>
      <c r="J14" s="14" t="n">
        <f aca="false">Datos_BBG!H54*Datos_BBG!S54</f>
        <v>313368.815924631</v>
      </c>
      <c r="K14" s="14" t="n">
        <f aca="false">Datos_BBG!I54*Datos_BBG!S54</f>
        <v>313955.141347291</v>
      </c>
      <c r="L14" s="14" t="n">
        <f aca="false">Datos_BBG!J54*Datos_BBG!S54</f>
        <v>280237.691343842</v>
      </c>
      <c r="M14" s="14" t="n">
        <f aca="false">Datos_BBG!L43*Datos_BBG!S43</f>
        <v>3445417.07783251</v>
      </c>
      <c r="N14" s="15" t="n">
        <f aca="false">IF(OR(L14&lt;=0),"NM",IF(E14/L14&gt;Supuestos!$B$17,"NM",E14/L14))</f>
        <v>8.50706202259196</v>
      </c>
      <c r="O14" s="15" t="n">
        <f aca="false">IF(OR(J14&lt;=0),"NM",IF(H14/J14&gt;Supuestos!$B$17,"NM",H14/J14))</f>
        <v>10.0774027162855</v>
      </c>
      <c r="P14" s="15" t="n">
        <f aca="false">IF(OR(K14&lt;=0),"NM",IF(H14/K14&gt;Supuestos!$B$17,"NM",H14/K14))</f>
        <v>10.0585827110402</v>
      </c>
      <c r="Q14" s="15" t="n">
        <f aca="false">IF(OR(I14&lt;=0),"NM",IF(H14/I14&gt;Supuestos!$B$17,"NM",H14/I14))</f>
        <v>7.1867382267022</v>
      </c>
      <c r="R14" s="15" t="n">
        <f aca="false">IF(OR(M14&lt;=0),"NM",IF(E14/M14&gt;Supuestos!$B$17,"NM",E14/M14))</f>
        <v>0.691933477856274</v>
      </c>
    </row>
    <row r="15" customFormat="false" ht="15" hidden="false" customHeight="false" outlineLevel="0" collapsed="false">
      <c r="A15" s="16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 t="n">
        <f aca="false">IFERROR(MEDIAN(N8:N12),"NM")</f>
        <v>13.3392279188964</v>
      </c>
      <c r="O15" s="18" t="n">
        <f aca="false">IFERROR(MEDIAN(O8:O12),"NM")</f>
        <v>10.0774311805267</v>
      </c>
      <c r="P15" s="18" t="n">
        <f aca="false">IFERROR(MEDIAN(P8:P12),"NM")</f>
        <v>11.5497619431182</v>
      </c>
      <c r="Q15" s="18" t="n">
        <f aca="false">IFERROR(MEDIAN(Q8:Q12),"NM")</f>
        <v>7.58312459142731</v>
      </c>
      <c r="R15" s="18" t="n">
        <f aca="false">IFERROR(MEDIAN(R8:R12),"NM")</f>
        <v>1.56599062047688</v>
      </c>
    </row>
    <row r="16" customFormat="false" ht="15" hidden="false" customHeight="false" outlineLevel="0" collapsed="false">
      <c r="A16" s="16" t="s">
        <v>38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 t="n">
        <f aca="false">IFERROR(AVERAGE(N8:N12),"NM")</f>
        <v>14.8261284771174</v>
      </c>
      <c r="O16" s="18" t="n">
        <f aca="false">IFERROR(AVERAGE(O8:O12),"NM")</f>
        <v>10.8792185008991</v>
      </c>
      <c r="P16" s="18" t="n">
        <f aca="false">IFERROR(AVERAGE(P8:P12),"NM")</f>
        <v>11.899603586034</v>
      </c>
      <c r="Q16" s="18" t="n">
        <f aca="false">IFERROR(AVERAGE(Q8:Q12),"NM")</f>
        <v>8.40094464515693</v>
      </c>
      <c r="R16" s="18" t="n">
        <f aca="false">IFERROR(AVERAGE(R8:R12),"NM")</f>
        <v>1.61385077162958</v>
      </c>
    </row>
    <row r="17" customFormat="false" ht="15" hidden="false" customHeight="false" outlineLevel="0" collapsed="false">
      <c r="A17" s="16" t="s">
        <v>39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 t="n">
        <f aca="false">IFERROR(MEDIAN(N8:N14),"NM")</f>
        <v>12.6036268164501</v>
      </c>
      <c r="O17" s="18" t="n">
        <f aca="false">IFERROR(MEDIAN(O8:O14),"NM")</f>
        <v>10.0774027162855</v>
      </c>
      <c r="P17" s="18" t="n">
        <f aca="false">IFERROR(MEDIAN(P8:P14),"NM")</f>
        <v>10.8026757219039</v>
      </c>
      <c r="Q17" s="18" t="n">
        <f aca="false">IFERROR(MEDIAN(Q8:Q14),"NM")</f>
        <v>7.1867382267022</v>
      </c>
      <c r="R17" s="18" t="n">
        <f aca="false">IFERROR(MEDIAN(R8:R14),"NM")</f>
        <v>1.18292163188185</v>
      </c>
    </row>
    <row r="18" customFormat="false" ht="15" hidden="false" customHeight="false" outlineLevel="0" collapsed="false">
      <c r="A18" s="16" t="s">
        <v>40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 t="n">
        <f aca="false">IFERROR(AVERAGE(N8:N14),"NM")</f>
        <v>13.1174292723707</v>
      </c>
      <c r="O18" s="18" t="n">
        <f aca="false">IFERROR(AVERAGE(O8:O14),"NM")</f>
        <v>10.1017864452483</v>
      </c>
      <c r="P18" s="18" t="n">
        <f aca="false">IFERROR(AVERAGE(P8:P14),"NM")</f>
        <v>10.8612342796436</v>
      </c>
      <c r="Q18" s="18" t="n">
        <f aca="false">IFERROR(AVERAGE(Q8:Q14),"NM")</f>
        <v>7.60671684154844</v>
      </c>
      <c r="R18" s="18" t="n">
        <f aca="false">IFERROR(AVERAGE(R8:R14),"NM")</f>
        <v>1.36642270331454</v>
      </c>
    </row>
    <row r="19" customFormat="false" ht="15" hidden="false" customHeight="false" outlineLevel="0" collapsed="false">
      <c r="A19" s="19" t="s">
        <v>41</v>
      </c>
      <c r="N19" s="20" t="n">
        <f aca="false">IFERROR(N7/N15-1,"NM")</f>
        <v>0.193605535627536</v>
      </c>
      <c r="O19" s="20" t="n">
        <f aca="false">IFERROR(O7/O15-1,"NM")</f>
        <v>0.470932592754626</v>
      </c>
      <c r="P19" s="20" t="n">
        <f aca="false">IFERROR(P7/P15-1,"NM")</f>
        <v>0.294414144162008</v>
      </c>
      <c r="Q19" s="20" t="n">
        <f aca="false">IFERROR(Q7/Q15-1,"NM")</f>
        <v>0.590288527753794</v>
      </c>
      <c r="R19" s="20" t="n">
        <f aca="false">IFERROR(R7/R15-1,"NM")</f>
        <v>0.031256346445979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13" min="4" style="0" width="13"/>
    <col collapsed="false" customWidth="true" hidden="false" outlineLevel="0" max="18" min="14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49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15" hidden="false" customHeight="false" outlineLevel="0" collapsed="false">
      <c r="E6" s="5" t="s">
        <v>21</v>
      </c>
    </row>
    <row r="7" customFormat="false" ht="15" hidden="false" customHeight="false" outlineLevel="0" collapsed="false">
      <c r="A7" s="6" t="s">
        <v>22</v>
      </c>
      <c r="B7" s="7" t="s">
        <v>23</v>
      </c>
      <c r="C7" s="7" t="s">
        <v>24</v>
      </c>
      <c r="D7" s="8" t="str">
        <f aca="false">Datos_BBG!F4</f>
        <v>FY2022</v>
      </c>
      <c r="E7" s="9" t="n">
        <f aca="false">Datos_BBG!O4*Datos_BBG!S4</f>
        <v>2073680</v>
      </c>
      <c r="F7" s="9" t="n">
        <f aca="false">Datos_BBG!M4*Datos_BBG!S4</f>
        <v>1011613.326</v>
      </c>
      <c r="G7" s="9" t="n">
        <f aca="false">Datos_BBG!N4*Datos_BBG!S4</f>
        <v>168378.479</v>
      </c>
      <c r="H7" s="9" t="n">
        <f aca="false">Datos_BBG!T4*Datos_BBG!S4</f>
        <v>3253671.805</v>
      </c>
      <c r="I7" s="9" t="n">
        <f aca="false">Datos_BBG!G4*Datos_BBG!S4</f>
        <v>370898.935</v>
      </c>
      <c r="J7" s="9" t="n">
        <f aca="false">Datos_BBG!H4*Datos_BBG!S4</f>
        <v>282699</v>
      </c>
      <c r="K7" s="9" t="n">
        <f aca="false">Datos_BBG!J4*Datos_BBG!S4</f>
        <v>280533.605</v>
      </c>
      <c r="L7" s="9" t="n">
        <f aca="false">Datos_BBG!K4*Datos_BBG!S4</f>
        <v>157666.755</v>
      </c>
      <c r="M7" s="9" t="n">
        <f aca="false">Datos_BBG!L4*Datos_BBG!S4</f>
        <v>2263298.479</v>
      </c>
      <c r="N7" s="10" t="n">
        <f aca="false">IF(OR(L7&lt;=0,Datos_BBG!Q4=1),"NM",IF(E7/L7&gt;Supuestos!$B$17,"NM",E7/L7))</f>
        <v>13.1522970711232</v>
      </c>
      <c r="O7" s="10" t="n">
        <f aca="false">IF(OR(J7&lt;=0),"NM",IF(H7/J7&gt;Supuestos!$B$17,"NM",H7/J7))</f>
        <v>11.5093148720017</v>
      </c>
      <c r="P7" s="10" t="n">
        <f aca="false">IF(OR(K7&lt;=0),"NM",IF(H7/K7&gt;Supuestos!$B$17,"NM",H7/K7))</f>
        <v>11.5981534725581</v>
      </c>
      <c r="Q7" s="10" t="n">
        <f aca="false">IF(OR(I7&lt;=0),"NM",IF(H7/I7&gt;Supuestos!$B$17,"NM",H7/I7))</f>
        <v>8.77239457427938</v>
      </c>
      <c r="R7" s="10" t="n">
        <f aca="false">IF(OR(M7&lt;=0),"NM",IF(E7/M7&gt;Supuestos!$B$17,"NM",E7/M7))</f>
        <v>0.916220294954743</v>
      </c>
    </row>
    <row r="8" customFormat="false" ht="15" hidden="false" customHeight="false" outlineLevel="0" collapsed="false">
      <c r="A8" s="11" t="s">
        <v>25</v>
      </c>
      <c r="B8" s="12" t="s">
        <v>26</v>
      </c>
      <c r="C8" s="12" t="s">
        <v>24</v>
      </c>
      <c r="D8" s="13" t="str">
        <f aca="false">Datos_BBG!F9</f>
        <v>FY2022</v>
      </c>
      <c r="E8" s="14" t="n">
        <f aca="false">Datos_BBG!O9*Datos_BBG!S9</f>
        <v>979894.0127</v>
      </c>
      <c r="F8" s="14" t="n">
        <f aca="false">Datos_BBG!M9*Datos_BBG!S9</f>
        <v>989079.049</v>
      </c>
      <c r="G8" s="14" t="n">
        <f aca="false">Datos_BBG!N9*Datos_BBG!S9</f>
        <v>211136.224</v>
      </c>
      <c r="H8" s="14" t="n">
        <f aca="false">Datos_BBG!T9*Datos_BBG!S9</f>
        <v>2180109.2857</v>
      </c>
      <c r="I8" s="14" t="n">
        <f aca="false">Datos_BBG!G9*Datos_BBG!S9</f>
        <v>243119.543</v>
      </c>
      <c r="J8" s="14" t="n">
        <f aca="false">Datos_BBG!H9*Datos_BBG!S9</f>
        <v>170697</v>
      </c>
      <c r="K8" s="14" t="n">
        <f aca="false">Datos_BBG!J9*Datos_BBG!S9</f>
        <v>165568.623</v>
      </c>
      <c r="L8" s="14" t="n">
        <f aca="false">Datos_BBG!K9*Datos_BBG!S9</f>
        <v>101031.635</v>
      </c>
      <c r="M8" s="14" t="n">
        <f aca="false">Datos_BBG!L9*Datos_BBG!S9</f>
        <v>1144928.854</v>
      </c>
      <c r="N8" s="15" t="n">
        <f aca="false">IF(OR(L8&lt;=0,Datos_BBG!Q9=1),"NM",IF(E8/L8&gt;Supuestos!$B$17,"NM",E8/L8))</f>
        <v>9.69888305479764</v>
      </c>
      <c r="O8" s="15" t="n">
        <f aca="false">IF(OR(J8&lt;=0),"NM",IF(H8/J8&gt;Supuestos!$B$17,"NM",H8/J8))</f>
        <v>12.7718078566114</v>
      </c>
      <c r="P8" s="15" t="n">
        <f aca="false">IF(OR(K8&lt;=0),"NM",IF(H8/K8&gt;Supuestos!$B$17,"NM",H8/K8))</f>
        <v>13.1674060350191</v>
      </c>
      <c r="Q8" s="15" t="n">
        <f aca="false">IF(OR(I8&lt;=0),"NM",IF(H8/I8&gt;Supuestos!$B$17,"NM",H8/I8))</f>
        <v>8.96723175273491</v>
      </c>
      <c r="R8" s="15" t="n">
        <f aca="false">IF(OR(M8&lt;=0),"NM",IF(E8/M8&gt;Supuestos!$B$17,"NM",E8/M8))</f>
        <v>0.855855810844994</v>
      </c>
    </row>
    <row r="9" customFormat="false" ht="15" hidden="false" customHeight="false" outlineLevel="0" collapsed="false">
      <c r="A9" s="11" t="s">
        <v>27</v>
      </c>
      <c r="B9" s="12" t="s">
        <v>26</v>
      </c>
      <c r="C9" s="12" t="s">
        <v>24</v>
      </c>
      <c r="D9" s="13" t="str">
        <f aca="false">Datos_BBG!F14</f>
        <v>FY2022</v>
      </c>
      <c r="E9" s="14" t="n">
        <f aca="false">Datos_BBG!O14*Datos_BBG!S14</f>
        <v>2283766.647</v>
      </c>
      <c r="F9" s="14" t="n">
        <f aca="false">Datos_BBG!M14*Datos_BBG!S14</f>
        <v>636796.49</v>
      </c>
      <c r="G9" s="14" t="n">
        <f aca="false">Datos_BBG!N14*Datos_BBG!S14</f>
        <v>4966.978</v>
      </c>
      <c r="H9" s="14" t="n">
        <f aca="false">Datos_BBG!T14*Datos_BBG!S14</f>
        <v>2925530.115</v>
      </c>
      <c r="I9" s="14" t="n">
        <f aca="false">Datos_BBG!G14*Datos_BBG!S14</f>
        <v>286949.855</v>
      </c>
      <c r="J9" s="14" t="n">
        <f aca="false">Datos_BBG!H14*Datos_BBG!S14</f>
        <v>258583.696</v>
      </c>
      <c r="K9" s="14" t="n">
        <f aca="false">Datos_BBG!J14*Datos_BBG!S14</f>
        <v>258404.859</v>
      </c>
      <c r="L9" s="14" t="n">
        <f aca="false">Datos_BBG!K14*Datos_BBG!S14</f>
        <v>181875.546</v>
      </c>
      <c r="M9" s="14" t="n">
        <f aca="false">Datos_BBG!L14*Datos_BBG!S14</f>
        <v>2679608.628</v>
      </c>
      <c r="N9" s="15" t="n">
        <f aca="false">IF(OR(L9&lt;=0,Datos_BBG!Q14=1),"NM",IF(E9/L9&gt;Supuestos!$B$17,"NM",E9/L9))</f>
        <v>12.5567548646699</v>
      </c>
      <c r="O9" s="15" t="n">
        <f aca="false">IF(OR(J9&lt;=0),"NM",IF(H9/J9&gt;Supuestos!$B$17,"NM",H9/J9))</f>
        <v>11.3136681092222</v>
      </c>
      <c r="P9" s="15" t="n">
        <f aca="false">IF(OR(K9&lt;=0),"NM",IF(H9/K9&gt;Supuestos!$B$17,"NM",H9/K9))</f>
        <v>11.3214980798794</v>
      </c>
      <c r="Q9" s="15" t="n">
        <f aca="false">IF(OR(I9&lt;=0),"NM",IF(H9/I9&gt;Supuestos!$B$17,"NM",H9/I9))</f>
        <v>10.1952660509273</v>
      </c>
      <c r="R9" s="15" t="n">
        <f aca="false">IF(OR(M9&lt;=0),"NM",IF(E9/M9&gt;Supuestos!$B$17,"NM",E9/M9))</f>
        <v>0.852276195537015</v>
      </c>
    </row>
    <row r="10" customFormat="false" ht="15" hidden="false" customHeight="false" outlineLevel="0" collapsed="false">
      <c r="A10" s="11" t="s">
        <v>28</v>
      </c>
      <c r="B10" s="12" t="s">
        <v>26</v>
      </c>
      <c r="C10" s="12" t="s">
        <v>29</v>
      </c>
      <c r="D10" s="13" t="str">
        <f aca="false">Datos_BBG!F19</f>
        <v>FY2022</v>
      </c>
      <c r="E10" s="14" t="n">
        <f aca="false">Datos_BBG!O19*Datos_BBG!S19</f>
        <v>2350361.56031145</v>
      </c>
      <c r="F10" s="14" t="n">
        <f aca="false">Datos_BBG!M19*Datos_BBG!S19</f>
        <v>551326.189320163</v>
      </c>
      <c r="G10" s="14" t="n">
        <f aca="false">Datos_BBG!N19*Datos_BBG!S19</f>
        <v>36.2647724191362</v>
      </c>
      <c r="H10" s="14" t="n">
        <f aca="false">Datos_BBG!T19*Datos_BBG!S19</f>
        <v>2901724.01440403</v>
      </c>
      <c r="I10" s="14" t="n">
        <f aca="false">Datos_BBG!G19*Datos_BBG!S19</f>
        <v>321131.705539415</v>
      </c>
      <c r="J10" s="14" t="n">
        <f aca="false">Datos_BBG!H19*Datos_BBG!S19</f>
        <v>227816.729490606</v>
      </c>
      <c r="K10" s="14" t="n">
        <f aca="false">Datos_BBG!J19*Datos_BBG!S19</f>
        <v>190881.862680612</v>
      </c>
      <c r="L10" s="14" t="n">
        <f aca="false">Datos_BBG!K19*Datos_BBG!S19</f>
        <v>137422.943385629</v>
      </c>
      <c r="M10" s="14" t="n">
        <f aca="false">Datos_BBG!L19*Datos_BBG!S19</f>
        <v>1175896.85756343</v>
      </c>
      <c r="N10" s="15" t="n">
        <f aca="false">IF(OR(L10&lt;=0,Datos_BBG!Q19=1),"NM",IF(E10/L10&gt;Supuestos!$B$17,"NM",E10/L10))</f>
        <v>17.1031234116125</v>
      </c>
      <c r="O10" s="15" t="n">
        <f aca="false">IF(OR(J10&lt;=0),"NM",IF(H10/J10&gt;Supuestos!$B$17,"NM",H10/J10))</f>
        <v>12.7370980212569</v>
      </c>
      <c r="P10" s="15" t="n">
        <f aca="false">IF(OR(K10&lt;=0),"NM",IF(H10/K10&gt;Supuestos!$B$17,"NM",H10/K10))</f>
        <v>15.2016748666124</v>
      </c>
      <c r="Q10" s="15" t="n">
        <f aca="false">IF(OR(I10&lt;=0),"NM",IF(H10/I10&gt;Supuestos!$B$17,"NM",H10/I10))</f>
        <v>9.03593125297271</v>
      </c>
      <c r="R10" s="15" t="n">
        <f aca="false">IF(OR(M10&lt;=0),"NM",IF(E10/M10&gt;Supuestos!$B$17,"NM",E10/M10))</f>
        <v>1.99878207445984</v>
      </c>
    </row>
    <row r="11" customFormat="false" ht="15" hidden="false" customHeight="false" outlineLevel="0" collapsed="false">
      <c r="A11" s="11" t="s">
        <v>30</v>
      </c>
      <c r="B11" s="12" t="s">
        <v>26</v>
      </c>
      <c r="C11" s="12" t="s">
        <v>29</v>
      </c>
      <c r="D11" s="13" t="str">
        <f aca="false">Datos_BBG!F24</f>
        <v>FY2022</v>
      </c>
      <c r="E11" s="14" t="n">
        <f aca="false">Datos_BBG!O24*Datos_BBG!S24</f>
        <v>1800372.16553322</v>
      </c>
      <c r="F11" s="14" t="n">
        <f aca="false">Datos_BBG!M24*Datos_BBG!S24</f>
        <v>530234.383308154</v>
      </c>
      <c r="G11" s="14" t="n">
        <f aca="false">Datos_BBG!N24*Datos_BBG!S24</f>
        <v>191401.717300019</v>
      </c>
      <c r="H11" s="14" t="n">
        <f aca="false">Datos_BBG!T24*Datos_BBG!S24</f>
        <v>2522008.26614139</v>
      </c>
      <c r="I11" s="14" t="n">
        <f aca="false">Datos_BBG!G24*Datos_BBG!S24</f>
        <v>198531.049998063</v>
      </c>
      <c r="J11" s="14" t="n">
        <f aca="false">Datos_BBG!H24*Datos_BBG!S24</f>
        <v>145947.844567112</v>
      </c>
      <c r="K11" s="14" t="n">
        <f aca="false">Datos_BBG!J24*Datos_BBG!S24</f>
        <v>109842.065485183</v>
      </c>
      <c r="L11" s="14" t="n">
        <f aca="false">Datos_BBG!K24*Datos_BBG!S24</f>
        <v>27846.1645361224</v>
      </c>
      <c r="M11" s="14" t="n">
        <f aca="false">Datos_BBG!L24*Datos_BBG!S24</f>
        <v>1215784.1770521</v>
      </c>
      <c r="N11" s="15" t="n">
        <f aca="false">IF(OR(L11&lt;=0,Datos_BBG!Q24=1),"NM",IF(E11/L11&gt;Supuestos!$B$17,"NM",E11/L11))</f>
        <v>64.6542242181235</v>
      </c>
      <c r="O11" s="15" t="n">
        <f aca="false">IF(OR(J11&lt;=0),"NM",IF(H11/J11&gt;Supuestos!$B$17,"NM",H11/J11))</f>
        <v>17.2802022093699</v>
      </c>
      <c r="P11" s="15" t="n">
        <f aca="false">IF(OR(K11&lt;=0),"NM",IF(H11/K11&gt;Supuestos!$B$17,"NM",H11/K11))</f>
        <v>22.9603135647663</v>
      </c>
      <c r="Q11" s="15" t="n">
        <f aca="false">IF(OR(I11&lt;=0),"NM",IF(H11/I11&gt;Supuestos!$B$17,"NM",H11/I11))</f>
        <v>12.7033442182772</v>
      </c>
      <c r="R11" s="15" t="n">
        <f aca="false">IF(OR(M11&lt;=0),"NM",IF(E11/M11&gt;Supuestos!$B$17,"NM",E11/M11))</f>
        <v>1.48083204199824</v>
      </c>
    </row>
    <row r="12" customFormat="false" ht="15" hidden="false" customHeight="false" outlineLevel="0" collapsed="false">
      <c r="A12" s="11" t="s">
        <v>31</v>
      </c>
      <c r="B12" s="12" t="s">
        <v>26</v>
      </c>
      <c r="C12" s="12" t="s">
        <v>29</v>
      </c>
      <c r="D12" s="13" t="str">
        <f aca="false">Datos_BBG!F29</f>
        <v>FY2022</v>
      </c>
      <c r="E12" s="14" t="n">
        <f aca="false">Datos_BBG!O29*Datos_BBG!S29</f>
        <v>1012431.35934031</v>
      </c>
      <c r="F12" s="14" t="n">
        <f aca="false">Datos_BBG!M29*Datos_BBG!S29</f>
        <v>213229.00147976</v>
      </c>
      <c r="G12" s="14" t="n">
        <f aca="false">Datos_BBG!N29*Datos_BBG!S29</f>
        <v>2565.15205500678</v>
      </c>
      <c r="H12" s="14" t="n">
        <f aca="false">Datos_BBG!T29*Datos_BBG!S29</f>
        <v>1228225.51287507</v>
      </c>
      <c r="I12" s="14" t="n">
        <f aca="false">Datos_BBG!G29*Datos_BBG!S29</f>
        <v>181563.423966686</v>
      </c>
      <c r="J12" s="14" t="n">
        <f aca="false">Datos_BBG!H29*Datos_BBG!S29</f>
        <v>116797.577377494</v>
      </c>
      <c r="K12" s="14" t="n">
        <f aca="false">Datos_BBG!J29*Datos_BBG!S29</f>
        <v>88387.7903931823</v>
      </c>
      <c r="L12" s="14" t="n">
        <f aca="false">Datos_BBG!K29*Datos_BBG!S29</f>
        <v>1351.97929885725</v>
      </c>
      <c r="M12" s="14" t="n">
        <f aca="false">Datos_BBG!L29*Datos_BBG!S29</f>
        <v>731249.480894829</v>
      </c>
      <c r="N12" s="15" t="str">
        <f aca="false">IF(OR(L12&lt;=0,Datos_BBG!Q29=1),"NM",IF(E12/L12&gt;Supuestos!$B$17,"NM",E12/L12))</f>
        <v>NM</v>
      </c>
      <c r="O12" s="15" t="n">
        <f aca="false">IF(OR(J12&lt;=0),"NM",IF(H12/J12&gt;Supuestos!$B$17,"NM",H12/J12))</f>
        <v>10.5158475068828</v>
      </c>
      <c r="P12" s="15" t="n">
        <f aca="false">IF(OR(K12&lt;=0),"NM",IF(H12/K12&gt;Supuestos!$B$17,"NM",H12/K12))</f>
        <v>13.8958730319138</v>
      </c>
      <c r="Q12" s="15" t="n">
        <f aca="false">IF(OR(I12&lt;=0),"NM",IF(H12/I12&gt;Supuestos!$B$17,"NM",H12/I12))</f>
        <v>6.76471882960542</v>
      </c>
      <c r="R12" s="15" t="n">
        <f aca="false">IF(OR(M12&lt;=0),"NM",IF(E12/M12&gt;Supuestos!$B$17,"NM",E12/M12))</f>
        <v>1.38452249990167</v>
      </c>
    </row>
    <row r="13" customFormat="false" ht="15" hidden="false" customHeight="false" outlineLevel="0" collapsed="false">
      <c r="A13" s="11" t="s">
        <v>32</v>
      </c>
      <c r="B13" s="12" t="s">
        <v>33</v>
      </c>
      <c r="C13" s="12" t="s">
        <v>34</v>
      </c>
      <c r="D13" s="13" t="str">
        <f aca="false">Datos_BBG!F34</f>
        <v>FY2022 (jun)</v>
      </c>
      <c r="E13" s="14" t="n">
        <f aca="false">Datos_BBG!O34*Datos_BBG!S34</f>
        <v>46633.6715916734</v>
      </c>
      <c r="F13" s="14" t="n">
        <f aca="false">Datos_BBG!M34*Datos_BBG!S34</f>
        <v>84668.5714979757</v>
      </c>
      <c r="G13" s="14" t="n">
        <f aca="false">Datos_BBG!N34*Datos_BBG!S34</f>
        <v>14590.0247098516</v>
      </c>
      <c r="H13" s="14" t="n">
        <f aca="false">Datos_BBG!T34*Datos_BBG!S34</f>
        <v>145892.267799501</v>
      </c>
      <c r="I13" s="14" t="n">
        <f aca="false">Datos_BBG!G34*Datos_BBG!S34</f>
        <v>43129.0416059379</v>
      </c>
      <c r="J13" s="14" t="n">
        <f aca="false">Datos_BBG!H34*Datos_BBG!S34</f>
        <v>18041.0201889339</v>
      </c>
      <c r="K13" s="14" t="n">
        <f aca="false">Datos_BBG!J34*Datos_BBG!S34</f>
        <v>16791.9403103914</v>
      </c>
      <c r="L13" s="14" t="n">
        <f aca="false">Datos_BBG!K34*Datos_BBG!S34</f>
        <v>46357.8539676113</v>
      </c>
      <c r="M13" s="14" t="n">
        <f aca="false">Datos_BBG!L34*Datos_BBG!S34</f>
        <v>213132.111592443</v>
      </c>
      <c r="N13" s="15" t="n">
        <f aca="false">IF(OR(L13&lt;=0,Datos_BBG!Q34=1),"NM",IF(E13/L13&gt;Supuestos!$B$17,"NM",E13/L13))</f>
        <v>1.00594974962074</v>
      </c>
      <c r="O13" s="15" t="n">
        <f aca="false">IF(OR(J13&lt;=0),"NM",IF(H13/J13&gt;Supuestos!$B$17,"NM",H13/J13))</f>
        <v>8.08669721953912</v>
      </c>
      <c r="P13" s="15" t="n">
        <f aca="false">IF(OR(K13&lt;=0),"NM",IF(H13/K13&gt;Supuestos!$B$17,"NM",H13/K13))</f>
        <v>8.68823168155369</v>
      </c>
      <c r="Q13" s="15" t="n">
        <f aca="false">IF(OR(I13&lt;=0),"NM",IF(H13/I13&gt;Supuestos!$B$17,"NM",H13/I13))</f>
        <v>3.38269208790892</v>
      </c>
      <c r="R13" s="15" t="n">
        <f aca="false">IF(OR(M13&lt;=0),"NM",IF(E13/M13&gt;Supuestos!$B$17,"NM",E13/M13))</f>
        <v>0.218801715251842</v>
      </c>
    </row>
    <row r="14" customFormat="false" ht="15" hidden="false" customHeight="false" outlineLevel="0" collapsed="false">
      <c r="A14" s="11" t="s">
        <v>35</v>
      </c>
      <c r="B14" s="12" t="s">
        <v>33</v>
      </c>
      <c r="C14" s="12" t="s">
        <v>36</v>
      </c>
      <c r="D14" s="13" t="str">
        <f aca="false">Datos_BBG!F39</f>
        <v>FY2022</v>
      </c>
      <c r="E14" s="14" t="n">
        <f aca="false">Datos_BBG!O39*Datos_BBG!S39</f>
        <v>1888961.60738916</v>
      </c>
      <c r="F14" s="14" t="n">
        <f aca="false">Datos_BBG!M39*Datos_BBG!S39</f>
        <v>304513.293784237</v>
      </c>
      <c r="G14" s="14" t="n">
        <f aca="false">Datos_BBG!N39*Datos_BBG!S39</f>
        <v>132514.149683744</v>
      </c>
      <c r="H14" s="14" t="n">
        <f aca="false">Datos_BBG!T39*Datos_BBG!S39</f>
        <v>2325989.05085714</v>
      </c>
      <c r="I14" s="14" t="n">
        <f aca="false">Datos_BBG!G39*Datos_BBG!S39</f>
        <v>290590.65761133</v>
      </c>
      <c r="J14" s="14" t="n">
        <f aca="false">Datos_BBG!H39*Datos_BBG!S39</f>
        <v>187038.530049261</v>
      </c>
      <c r="K14" s="14" t="n">
        <f aca="false">Datos_BBG!J39*Datos_BBG!S39</f>
        <v>186121.437055172</v>
      </c>
      <c r="L14" s="14" t="n">
        <f aca="false">Datos_BBG!K39*Datos_BBG!S39</f>
        <v>149656.295784729</v>
      </c>
      <c r="M14" s="14" t="n">
        <f aca="false">Datos_BBG!L39*Datos_BBG!S39</f>
        <v>3102425.73205419</v>
      </c>
      <c r="N14" s="15" t="n">
        <f aca="false">IF(OR(L14&lt;=0,Datos_BBG!Q39=1),"NM",IF(E14/L14&gt;Supuestos!$B$17,"NM",E14/L14))</f>
        <v>12.6219989442096</v>
      </c>
      <c r="O14" s="15" t="n">
        <f aca="false">IF(OR(J14&lt;=0),"NM",IF(H14/J14&gt;Supuestos!$B$17,"NM",H14/J14))</f>
        <v>12.4358817952886</v>
      </c>
      <c r="P14" s="15" t="n">
        <f aca="false">IF(OR(K14&lt;=0),"NM",IF(H14/K14&gt;Supuestos!$B$17,"NM",H14/K14))</f>
        <v>12.4971582406579</v>
      </c>
      <c r="Q14" s="15" t="n">
        <f aca="false">IF(OR(I14&lt;=0),"NM",IF(H14/I14&gt;Supuestos!$B$17,"NM",H14/I14))</f>
        <v>8.00434903853032</v>
      </c>
      <c r="R14" s="15" t="n">
        <f aca="false">IF(OR(M14&lt;=0),"NM",IF(E14/M14&gt;Supuestos!$B$17,"NM",E14/M14))</f>
        <v>0.608866019860672</v>
      </c>
    </row>
    <row r="15" customFormat="false" ht="15" hidden="false" customHeight="false" outlineLevel="0" collapsed="false">
      <c r="A15" s="16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 t="n">
        <f aca="false">IFERROR(MEDIAN(N8:N12),"NM")</f>
        <v>14.8299391381412</v>
      </c>
      <c r="O15" s="18" t="n">
        <f aca="false">IFERROR(MEDIAN(O8:O12),"NM")</f>
        <v>12.7370980212569</v>
      </c>
      <c r="P15" s="18" t="n">
        <f aca="false">IFERROR(MEDIAN(P8:P12),"NM")</f>
        <v>13.8958730319138</v>
      </c>
      <c r="Q15" s="18" t="n">
        <f aca="false">IFERROR(MEDIAN(Q8:Q12),"NM")</f>
        <v>9.03593125297271</v>
      </c>
      <c r="R15" s="18" t="n">
        <f aca="false">IFERROR(MEDIAN(R8:R12),"NM")</f>
        <v>1.38452249990167</v>
      </c>
    </row>
    <row r="16" customFormat="false" ht="15" hidden="false" customHeight="false" outlineLevel="0" collapsed="false">
      <c r="A16" s="16" t="s">
        <v>38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 t="n">
        <f aca="false">IFERROR(AVERAGE(N8:N12),"NM")</f>
        <v>26.0032463873009</v>
      </c>
      <c r="O16" s="18" t="n">
        <f aca="false">IFERROR(AVERAGE(O8:O12),"NM")</f>
        <v>12.9237247406687</v>
      </c>
      <c r="P16" s="18" t="n">
        <f aca="false">IFERROR(AVERAGE(P8:P12),"NM")</f>
        <v>15.3093531156382</v>
      </c>
      <c r="Q16" s="18" t="n">
        <f aca="false">IFERROR(AVERAGE(Q8:Q12),"NM")</f>
        <v>9.53329842090349</v>
      </c>
      <c r="R16" s="18" t="n">
        <f aca="false">IFERROR(AVERAGE(R8:R12),"NM")</f>
        <v>1.31445372454835</v>
      </c>
    </row>
    <row r="17" customFormat="false" ht="15" hidden="false" customHeight="false" outlineLevel="0" collapsed="false">
      <c r="A17" s="16" t="s">
        <v>39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 t="n">
        <f aca="false">IFERROR(MEDIAN(N8:N14),"NM")</f>
        <v>12.5893769044397</v>
      </c>
      <c r="O17" s="18" t="n">
        <f aca="false">IFERROR(MEDIAN(O8:O14),"NM")</f>
        <v>12.4358817952886</v>
      </c>
      <c r="P17" s="18" t="n">
        <f aca="false">IFERROR(MEDIAN(P8:P14),"NM")</f>
        <v>13.1674060350191</v>
      </c>
      <c r="Q17" s="18" t="n">
        <f aca="false">IFERROR(MEDIAN(Q8:Q14),"NM")</f>
        <v>8.96723175273491</v>
      </c>
      <c r="R17" s="18" t="n">
        <f aca="false">IFERROR(MEDIAN(R8:R14),"NM")</f>
        <v>0.855855810844994</v>
      </c>
    </row>
    <row r="18" customFormat="false" ht="15" hidden="false" customHeight="false" outlineLevel="0" collapsed="false">
      <c r="A18" s="16" t="s">
        <v>40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 t="n">
        <f aca="false">IFERROR(AVERAGE(N8:N14),"NM")</f>
        <v>19.606822373839</v>
      </c>
      <c r="O18" s="18" t="n">
        <f aca="false">IFERROR(AVERAGE(O8:O14),"NM")</f>
        <v>12.1630289597387</v>
      </c>
      <c r="P18" s="18" t="n">
        <f aca="false">IFERROR(AVERAGE(P8:P14),"NM")</f>
        <v>13.9617365000575</v>
      </c>
      <c r="Q18" s="18" t="n">
        <f aca="false">IFERROR(AVERAGE(Q8:Q14),"NM")</f>
        <v>8.43621903299381</v>
      </c>
      <c r="R18" s="18" t="n">
        <f aca="false">IFERROR(AVERAGE(R8:R14),"NM")</f>
        <v>1.05713376540775</v>
      </c>
    </row>
    <row r="19" customFormat="false" ht="15" hidden="false" customHeight="false" outlineLevel="0" collapsed="false">
      <c r="A19" s="19" t="s">
        <v>41</v>
      </c>
      <c r="N19" s="20" t="n">
        <f aca="false">IFERROR(N7/N15-1,"NM")</f>
        <v>-0.11312535077796</v>
      </c>
      <c r="O19" s="20" t="n">
        <f aca="false">IFERROR(O7/O15-1,"NM")</f>
        <v>-0.096394260859595</v>
      </c>
      <c r="P19" s="20" t="n">
        <f aca="false">IFERROR(P7/P15-1,"NM")</f>
        <v>-0.16535265931681</v>
      </c>
      <c r="Q19" s="20" t="n">
        <f aca="false">IFERROR(Q7/Q15-1,"NM")</f>
        <v>-0.029165414312623</v>
      </c>
      <c r="R19" s="20" t="n">
        <f aca="false">IFERROR(R7/R15-1,"NM")</f>
        <v>-0.338240949482718</v>
      </c>
    </row>
    <row r="22" customFormat="false" ht="15" hidden="false" customHeight="false" outlineLevel="0" collapsed="false">
      <c r="A22" s="3" t="s">
        <v>50</v>
      </c>
    </row>
    <row r="23" customFormat="false" ht="30" hidden="false" customHeight="true" outlineLevel="0" collapsed="false">
      <c r="A23" s="4" t="s">
        <v>3</v>
      </c>
      <c r="B23" s="4" t="s">
        <v>4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9</v>
      </c>
      <c r="H23" s="4" t="s">
        <v>10</v>
      </c>
      <c r="I23" s="4" t="s">
        <v>11</v>
      </c>
      <c r="J23" s="4" t="s">
        <v>12</v>
      </c>
      <c r="K23" s="4" t="s">
        <v>13</v>
      </c>
      <c r="L23" s="4" t="s">
        <v>14</v>
      </c>
      <c r="M23" s="4" t="s">
        <v>15</v>
      </c>
      <c r="N23" s="4" t="s">
        <v>16</v>
      </c>
      <c r="O23" s="4" t="s">
        <v>17</v>
      </c>
      <c r="P23" s="4" t="s">
        <v>18</v>
      </c>
      <c r="Q23" s="4" t="s">
        <v>19</v>
      </c>
      <c r="R23" s="4" t="s">
        <v>20</v>
      </c>
    </row>
    <row r="24" customFormat="false" ht="15" hidden="false" customHeight="false" outlineLevel="0" collapsed="false">
      <c r="E24" s="5" t="s">
        <v>21</v>
      </c>
    </row>
    <row r="25" customFormat="false" ht="15" hidden="false" customHeight="false" outlineLevel="0" collapsed="false">
      <c r="A25" s="6" t="s">
        <v>22</v>
      </c>
      <c r="B25" s="7" t="s">
        <v>23</v>
      </c>
      <c r="C25" s="7" t="s">
        <v>24</v>
      </c>
      <c r="D25" s="8" t="str">
        <f aca="false">Datos_BBG!F5</f>
        <v>FY2023</v>
      </c>
      <c r="E25" s="9" t="n">
        <f aca="false">Datos_BBG!O5*Datos_BBG!S5</f>
        <v>2439612</v>
      </c>
      <c r="F25" s="9" t="n">
        <f aca="false">Datos_BBG!M5*Datos_BBG!S5</f>
        <v>1081082.31</v>
      </c>
      <c r="G25" s="9" t="n">
        <f aca="false">Datos_BBG!N5*Datos_BBG!S5</f>
        <v>31634.353</v>
      </c>
      <c r="H25" s="9" t="n">
        <f aca="false">Datos_BBG!T5*Datos_BBG!S5</f>
        <v>3552328.663</v>
      </c>
      <c r="I25" s="9" t="n">
        <f aca="false">Datos_BBG!G5*Datos_BBG!S5</f>
        <v>419903.778</v>
      </c>
      <c r="J25" s="9" t="n">
        <f aca="false">Datos_BBG!H5*Datos_BBG!S5</f>
        <v>322185</v>
      </c>
      <c r="K25" s="9" t="n">
        <f aca="false">Datos_BBG!J5*Datos_BBG!S5</f>
        <v>320031.49</v>
      </c>
      <c r="L25" s="9" t="n">
        <f aca="false">Datos_BBG!K5*Datos_BBG!S5</f>
        <v>349758.853</v>
      </c>
      <c r="M25" s="9" t="n">
        <f aca="false">Datos_BBG!L5*Datos_BBG!S5</f>
        <v>2601053.165</v>
      </c>
      <c r="N25" s="10" t="n">
        <f aca="false">IF(OR(L25&lt;=0,Datos_BBG!Q5=1),"NM",IF(E25/L25&gt;Supuestos!$B$17,"NM",E25/L25))</f>
        <v>6.97512580189071</v>
      </c>
      <c r="O25" s="10" t="n">
        <f aca="false">IF(OR(J25&lt;=0),"NM",IF(H25/J25&gt;Supuestos!$B$17,"NM",H25/J25))</f>
        <v>11.0257419277744</v>
      </c>
      <c r="P25" s="10" t="n">
        <f aca="false">IF(OR(K25&lt;=0),"NM",IF(H25/K25&gt;Supuestos!$B$17,"NM",H25/K25))</f>
        <v>11.0999347689191</v>
      </c>
      <c r="Q25" s="10" t="n">
        <f aca="false">IF(OR(I25&lt;=0),"NM",IF(H25/I25&gt;Supuestos!$B$17,"NM",H25/I25))</f>
        <v>8.4598635428329</v>
      </c>
      <c r="R25" s="10" t="n">
        <f aca="false">IF(OR(M25&lt;=0),"NM",IF(E25/M25&gt;Supuestos!$B$17,"NM",E25/M25))</f>
        <v>0.937932385553526</v>
      </c>
    </row>
    <row r="26" customFormat="false" ht="15" hidden="false" customHeight="false" outlineLevel="0" collapsed="false">
      <c r="A26" s="11" t="s">
        <v>25</v>
      </c>
      <c r="B26" s="12" t="s">
        <v>26</v>
      </c>
      <c r="C26" s="12" t="s">
        <v>24</v>
      </c>
      <c r="D26" s="13" t="str">
        <f aca="false">Datos_BBG!F10</f>
        <v>FY2023</v>
      </c>
      <c r="E26" s="14" t="n">
        <f aca="false">Datos_BBG!O10*Datos_BBG!S10</f>
        <v>1286116.552</v>
      </c>
      <c r="F26" s="14" t="n">
        <f aca="false">Datos_BBG!M10*Datos_BBG!S10</f>
        <v>1113749.367</v>
      </c>
      <c r="G26" s="14" t="n">
        <f aca="false">Datos_BBG!N10*Datos_BBG!S10</f>
        <v>332049.13</v>
      </c>
      <c r="H26" s="14" t="n">
        <f aca="false">Datos_BBG!T10*Datos_BBG!S10</f>
        <v>2731915.049</v>
      </c>
      <c r="I26" s="14" t="n">
        <f aca="false">Datos_BBG!G10*Datos_BBG!S10</f>
        <v>264312.607</v>
      </c>
      <c r="J26" s="14" t="n">
        <f aca="false">Datos_BBG!H10*Datos_BBG!S10</f>
        <v>188159</v>
      </c>
      <c r="K26" s="14" t="n">
        <f aca="false">Datos_BBG!J10*Datos_BBG!S10</f>
        <v>182878.063</v>
      </c>
      <c r="L26" s="14" t="n">
        <f aca="false">Datos_BBG!K10*Datos_BBG!S10</f>
        <v>112345.334</v>
      </c>
      <c r="M26" s="14" t="n">
        <f aca="false">Datos_BBG!L10*Datos_BBG!S10</f>
        <v>1298911.303</v>
      </c>
      <c r="N26" s="15" t="n">
        <f aca="false">IF(OR(L26&lt;=0,Datos_BBG!Q10=1),"NM",IF(E26/L26&gt;Supuestos!$B$17,"NM",E26/L26))</f>
        <v>11.4478857840237</v>
      </c>
      <c r="O26" s="15" t="n">
        <f aca="false">IF(OR(J26&lt;=0),"NM",IF(H26/J26&gt;Supuestos!$B$17,"NM",H26/J26))</f>
        <v>14.5191835043766</v>
      </c>
      <c r="P26" s="15" t="n">
        <f aca="false">IF(OR(K26&lt;=0),"NM",IF(H26/K26&gt;Supuestos!$B$17,"NM",H26/K26))</f>
        <v>14.9384513603471</v>
      </c>
      <c r="Q26" s="15" t="n">
        <f aca="false">IF(OR(I26&lt;=0),"NM",IF(H26/I26&gt;Supuestos!$B$17,"NM",H26/I26))</f>
        <v>10.3359241165519</v>
      </c>
      <c r="R26" s="15" t="n">
        <f aca="false">IF(OR(M26&lt;=0),"NM",IF(E26/M26&gt;Supuestos!$B$17,"NM",E26/M26))</f>
        <v>0.990149634566695</v>
      </c>
    </row>
    <row r="27" customFormat="false" ht="15" hidden="false" customHeight="false" outlineLevel="0" collapsed="false">
      <c r="A27" s="11" t="s">
        <v>27</v>
      </c>
      <c r="B27" s="12" t="s">
        <v>26</v>
      </c>
      <c r="C27" s="12" t="s">
        <v>24</v>
      </c>
      <c r="D27" s="13" t="str">
        <f aca="false">Datos_BBG!F15</f>
        <v>FY2023</v>
      </c>
      <c r="E27" s="14" t="n">
        <f aca="false">Datos_BBG!O15*Datos_BBG!S15</f>
        <v>2405221.82</v>
      </c>
      <c r="F27" s="14" t="n">
        <f aca="false">Datos_BBG!M15*Datos_BBG!S15</f>
        <v>650170.984</v>
      </c>
      <c r="G27" s="14" t="n">
        <f aca="false">Datos_BBG!N15*Datos_BBG!S15</f>
        <v>5991.871</v>
      </c>
      <c r="H27" s="14" t="n">
        <f aca="false">Datos_BBG!T15*Datos_BBG!S15</f>
        <v>3061384.675</v>
      </c>
      <c r="I27" s="14" t="n">
        <f aca="false">Datos_BBG!G15*Datos_BBG!S15</f>
        <v>314784.929</v>
      </c>
      <c r="J27" s="14" t="n">
        <f aca="false">Datos_BBG!H15*Datos_BBG!S15</f>
        <v>272791.98</v>
      </c>
      <c r="K27" s="14" t="n">
        <f aca="false">Datos_BBG!J15*Datos_BBG!S15</f>
        <v>272578.974</v>
      </c>
      <c r="L27" s="14" t="n">
        <f aca="false">Datos_BBG!K15*Datos_BBG!S15</f>
        <v>187329.711</v>
      </c>
      <c r="M27" s="14" t="n">
        <f aca="false">Datos_BBG!L15*Datos_BBG!S15</f>
        <v>2744754.862</v>
      </c>
      <c r="N27" s="15" t="n">
        <f aca="false">IF(OR(L27&lt;=0,Datos_BBG!Q15=1),"NM",IF(E27/L27&gt;Supuestos!$B$17,"NM",E27/L27))</f>
        <v>12.8395106529578</v>
      </c>
      <c r="O27" s="15" t="n">
        <f aca="false">IF(OR(J27&lt;=0),"NM",IF(H27/J27&gt;Supuestos!$B$17,"NM",H27/J27))</f>
        <v>11.2224145115996</v>
      </c>
      <c r="P27" s="15" t="n">
        <f aca="false">IF(OR(K27&lt;=0),"NM",IF(H27/K27&gt;Supuestos!$B$17,"NM",H27/K27))</f>
        <v>11.2311842328675</v>
      </c>
      <c r="Q27" s="15" t="n">
        <f aca="false">IF(OR(I27&lt;=0),"NM",IF(H27/I27&gt;Supuestos!$B$17,"NM",H27/I27))</f>
        <v>9.72532161792282</v>
      </c>
      <c r="R27" s="15" t="n">
        <f aca="false">IF(OR(M27&lt;=0),"NM",IF(E27/M27&gt;Supuestos!$B$17,"NM",E27/M27))</f>
        <v>0.876297498658006</v>
      </c>
    </row>
    <row r="28" customFormat="false" ht="15" hidden="false" customHeight="false" outlineLevel="0" collapsed="false">
      <c r="A28" s="11" t="s">
        <v>28</v>
      </c>
      <c r="B28" s="12" t="s">
        <v>26</v>
      </c>
      <c r="C28" s="12" t="s">
        <v>29</v>
      </c>
      <c r="D28" s="13" t="str">
        <f aca="false">Datos_BBG!F20</f>
        <v>FY2023</v>
      </c>
      <c r="E28" s="14" t="n">
        <f aca="false">Datos_BBG!O20*Datos_BBG!S20</f>
        <v>3050103.90323339</v>
      </c>
      <c r="F28" s="14" t="n">
        <f aca="false">Datos_BBG!M20*Datos_BBG!S20</f>
        <v>554478.72350184</v>
      </c>
      <c r="G28" s="14" t="n">
        <f aca="false">Datos_BBG!N20*Datos_BBG!S20</f>
        <v>14.6488243269417</v>
      </c>
      <c r="H28" s="14" t="n">
        <f aca="false">Datos_BBG!T20*Datos_BBG!S20</f>
        <v>3604597.27555956</v>
      </c>
      <c r="I28" s="14" t="n">
        <f aca="false">Datos_BBG!G20*Datos_BBG!S20</f>
        <v>362570.728541546</v>
      </c>
      <c r="J28" s="14" t="n">
        <f aca="false">Datos_BBG!H20*Datos_BBG!S20</f>
        <v>269127.485957777</v>
      </c>
      <c r="K28" s="14" t="n">
        <f aca="false">Datos_BBG!J20*Datos_BBG!S20</f>
        <v>238732.247344567</v>
      </c>
      <c r="L28" s="14" t="n">
        <f aca="false">Datos_BBG!K20*Datos_BBG!S20</f>
        <v>182286.754328879</v>
      </c>
      <c r="M28" s="14" t="n">
        <f aca="false">Datos_BBG!L20*Datos_BBG!S20</f>
        <v>1238703.87050939</v>
      </c>
      <c r="N28" s="15" t="n">
        <f aca="false">IF(OR(L28&lt;=0,Datos_BBG!Q20=1),"NM",IF(E28/L28&gt;Supuestos!$B$17,"NM",E28/L28))</f>
        <v>16.7324494556003</v>
      </c>
      <c r="O28" s="15" t="n">
        <f aca="false">IF(OR(J28&lt;=0),"NM",IF(H28/J28&gt;Supuestos!$B$17,"NM",H28/J28))</f>
        <v>13.3936422834384</v>
      </c>
      <c r="P28" s="15" t="n">
        <f aca="false">IF(OR(K28&lt;=0),"NM",IF(H28/K28&gt;Supuestos!$B$17,"NM",H28/K28))</f>
        <v>15.0989123407236</v>
      </c>
      <c r="Q28" s="15" t="n">
        <f aca="false">IF(OR(I28&lt;=0),"NM",IF(H28/I28&gt;Supuestos!$B$17,"NM",H28/I28))</f>
        <v>9.94177685015883</v>
      </c>
      <c r="R28" s="15" t="n">
        <f aca="false">IF(OR(M28&lt;=0),"NM",IF(E28/M28&gt;Supuestos!$B$17,"NM",E28/M28))</f>
        <v>2.46233500665425</v>
      </c>
    </row>
    <row r="29" customFormat="false" ht="15" hidden="false" customHeight="false" outlineLevel="0" collapsed="false">
      <c r="A29" s="11" t="s">
        <v>30</v>
      </c>
      <c r="B29" s="12" t="s">
        <v>26</v>
      </c>
      <c r="C29" s="12" t="s">
        <v>29</v>
      </c>
      <c r="D29" s="13" t="str">
        <f aca="false">Datos_BBG!F25</f>
        <v>FY2023</v>
      </c>
      <c r="E29" s="14" t="n">
        <f aca="false">Datos_BBG!O25*Datos_BBG!S25</f>
        <v>2722184.75426419</v>
      </c>
      <c r="F29" s="14" t="n">
        <f aca="false">Datos_BBG!M25*Datos_BBG!S25</f>
        <v>1006267.40202983</v>
      </c>
      <c r="G29" s="14" t="n">
        <f aca="false">Datos_BBG!N25*Datos_BBG!S25</f>
        <v>197732.331783847</v>
      </c>
      <c r="H29" s="14" t="n">
        <f aca="false">Datos_BBG!T25*Datos_BBG!S25</f>
        <v>3926184.48807786</v>
      </c>
      <c r="I29" s="14" t="n">
        <f aca="false">Datos_BBG!G25*Datos_BBG!S25</f>
        <v>500918.334301763</v>
      </c>
      <c r="J29" s="14" t="n">
        <f aca="false">Datos_BBG!H25*Datos_BBG!S25</f>
        <v>346773.579302731</v>
      </c>
      <c r="K29" s="14" t="n">
        <f aca="false">Datos_BBG!J25*Datos_BBG!S25</f>
        <v>224497.698915359</v>
      </c>
      <c r="L29" s="14" t="n">
        <f aca="false">Datos_BBG!K25*Datos_BBG!S25</f>
        <v>605060.399325973</v>
      </c>
      <c r="M29" s="14" t="n">
        <f aca="false">Datos_BBG!L25*Datos_BBG!S25</f>
        <v>2500640.41911292</v>
      </c>
      <c r="N29" s="15" t="str">
        <f aca="false">IF(OR(L29&lt;=0,Datos_BBG!Q25=1),"NM",IF(E29/L29&gt;Supuestos!$B$17,"NM",E29/L29))</f>
        <v>NM</v>
      </c>
      <c r="O29" s="15" t="n">
        <f aca="false">IF(OR(J29&lt;=0),"NM",IF(H29/J29&gt;Supuestos!$B$17,"NM",H29/J29))</f>
        <v>11.3220404391026</v>
      </c>
      <c r="P29" s="15" t="n">
        <f aca="false">IF(OR(K29&lt;=0),"NM",IF(H29/K29&gt;Supuestos!$B$17,"NM",H29/K29))</f>
        <v>17.4887515865279</v>
      </c>
      <c r="Q29" s="15" t="n">
        <f aca="false">IF(OR(I29&lt;=0),"NM",IF(H29/I29&gt;Supuestos!$B$17,"NM",H29/I29))</f>
        <v>7.8379732168331</v>
      </c>
      <c r="R29" s="15" t="n">
        <f aca="false">IF(OR(M29&lt;=0),"NM",IF(E29/M29&gt;Supuestos!$B$17,"NM",E29/M29))</f>
        <v>1.08859503887802</v>
      </c>
    </row>
    <row r="30" customFormat="false" ht="15" hidden="false" customHeight="false" outlineLevel="0" collapsed="false">
      <c r="A30" s="11" t="s">
        <v>31</v>
      </c>
      <c r="B30" s="12" t="s">
        <v>26</v>
      </c>
      <c r="C30" s="12" t="s">
        <v>29</v>
      </c>
      <c r="D30" s="13" t="str">
        <f aca="false">Datos_BBG!F30</f>
        <v>FY2023</v>
      </c>
      <c r="E30" s="14" t="n">
        <f aca="false">Datos_BBG!O30*Datos_BBG!S30</f>
        <v>1261170.57587101</v>
      </c>
      <c r="F30" s="14" t="n">
        <f aca="false">Datos_BBG!M30*Datos_BBG!S30</f>
        <v>313903.761243463</v>
      </c>
      <c r="G30" s="14" t="n">
        <f aca="false">Datos_BBG!N30*Datos_BBG!S30</f>
        <v>34.8356188262638</v>
      </c>
      <c r="H30" s="14" t="n">
        <f aca="false">Datos_BBG!T30*Datos_BBG!S30</f>
        <v>1575109.17273329</v>
      </c>
      <c r="I30" s="14" t="n">
        <f aca="false">Datos_BBG!G30*Datos_BBG!S30</f>
        <v>206720.45737362</v>
      </c>
      <c r="J30" s="14" t="n">
        <f aca="false">Datos_BBG!H30*Datos_BBG!S30</f>
        <v>164299.784497385</v>
      </c>
      <c r="K30" s="14" t="n">
        <f aca="false">Datos_BBG!J30*Datos_BBG!S30</f>
        <v>133148.523633546</v>
      </c>
      <c r="L30" s="14" t="n">
        <f aca="false">Datos_BBG!K30*Datos_BBG!S30</f>
        <v>54435.2098431145</v>
      </c>
      <c r="M30" s="14" t="n">
        <f aca="false">Datos_BBG!L30*Datos_BBG!S30</f>
        <v>746254.521754794</v>
      </c>
      <c r="N30" s="15" t="n">
        <f aca="false">IF(OR(L30&lt;=0,Datos_BBG!Q30=1),"NM",IF(E30/L30&gt;Supuestos!$B$17,"NM",E30/L30))</f>
        <v>23.1682872079629</v>
      </c>
      <c r="O30" s="15" t="n">
        <f aca="false">IF(OR(J30&lt;=0),"NM",IF(H30/J30&gt;Supuestos!$B$17,"NM",H30/J30))</f>
        <v>9.5867999921714</v>
      </c>
      <c r="P30" s="15" t="n">
        <f aca="false">IF(OR(K30&lt;=0),"NM",IF(H30/K30&gt;Supuestos!$B$17,"NM",H30/K30))</f>
        <v>11.8297156419724</v>
      </c>
      <c r="Q30" s="15" t="n">
        <f aca="false">IF(OR(I30&lt;=0),"NM",IF(H30/I30&gt;Supuestos!$B$17,"NM",H30/I30))</f>
        <v>7.61951280848074</v>
      </c>
      <c r="R30" s="15" t="n">
        <f aca="false">IF(OR(M30&lt;=0),"NM",IF(E30/M30&gt;Supuestos!$B$17,"NM",E30/M30))</f>
        <v>1.69000058171226</v>
      </c>
    </row>
    <row r="31" customFormat="false" ht="15" hidden="false" customHeight="false" outlineLevel="0" collapsed="false">
      <c r="A31" s="11" t="s">
        <v>32</v>
      </c>
      <c r="B31" s="12" t="s">
        <v>33</v>
      </c>
      <c r="C31" s="12" t="s">
        <v>34</v>
      </c>
      <c r="D31" s="13" t="str">
        <f aca="false">Datos_BBG!F35</f>
        <v>FY2023 (jun)</v>
      </c>
      <c r="E31" s="14" t="n">
        <f aca="false">Datos_BBG!O35*Datos_BBG!S35</f>
        <v>206211.113397591</v>
      </c>
      <c r="F31" s="14" t="n">
        <f aca="false">Datos_BBG!M35*Datos_BBG!S35</f>
        <v>235502.279581646</v>
      </c>
      <c r="G31" s="14" t="n">
        <f aca="false">Datos_BBG!N35*Datos_BBG!S35</f>
        <v>51634.2362348178</v>
      </c>
      <c r="H31" s="14" t="n">
        <f aca="false">Datos_BBG!T35*Datos_BBG!S35</f>
        <v>493347.629214055</v>
      </c>
      <c r="I31" s="14" t="n">
        <f aca="false">Datos_BBG!G35*Datos_BBG!S35</f>
        <v>206450.436666667</v>
      </c>
      <c r="J31" s="14" t="n">
        <f aca="false">Datos_BBG!H35*Datos_BBG!S35</f>
        <v>57587.7480026991</v>
      </c>
      <c r="K31" s="14" t="n">
        <f aca="false">Datos_BBG!J35*Datos_BBG!S35</f>
        <v>53196.3640350877</v>
      </c>
      <c r="L31" s="14" t="n">
        <f aca="false">Datos_BBG!K35*Datos_BBG!S35</f>
        <v>132610.335924426</v>
      </c>
      <c r="M31" s="14" t="n">
        <f aca="false">Datos_BBG!L35*Datos_BBG!S35</f>
        <v>837157.357759784</v>
      </c>
      <c r="N31" s="15" t="n">
        <f aca="false">IF(OR(L31&lt;=0,Datos_BBG!Q35=1),"NM",IF(E31/L31&gt;Supuestos!$B$17,"NM",E31/L31))</f>
        <v>1.55501539122191</v>
      </c>
      <c r="O31" s="15" t="n">
        <f aca="false">IF(OR(J31&lt;=0),"NM",IF(H31/J31&gt;Supuestos!$B$17,"NM",H31/J31))</f>
        <v>8.56688525467141</v>
      </c>
      <c r="P31" s="15" t="n">
        <f aca="false">IF(OR(K31&lt;=0),"NM",IF(H31/K31&gt;Supuestos!$B$17,"NM",H31/K31))</f>
        <v>9.27408551623282</v>
      </c>
      <c r="Q31" s="15" t="n">
        <f aca="false">IF(OR(I31&lt;=0),"NM",IF(H31/I31&gt;Supuestos!$B$17,"NM",H31/I31))</f>
        <v>2.3896661938798</v>
      </c>
      <c r="R31" s="15" t="n">
        <f aca="false">IF(OR(M31&lt;=0),"NM",IF(E31/M31&gt;Supuestos!$B$17,"NM",E31/M31))</f>
        <v>0.246323001865991</v>
      </c>
    </row>
    <row r="32" customFormat="false" ht="15" hidden="false" customHeight="false" outlineLevel="0" collapsed="false">
      <c r="A32" s="11" t="s">
        <v>35</v>
      </c>
      <c r="B32" s="12" t="s">
        <v>33</v>
      </c>
      <c r="C32" s="12" t="s">
        <v>36</v>
      </c>
      <c r="D32" s="13" t="str">
        <f aca="false">Datos_BBG!F40</f>
        <v>FY2023</v>
      </c>
      <c r="E32" s="14" t="n">
        <f aca="false">Datos_BBG!O40*Datos_BBG!S40</f>
        <v>1721805.74881773</v>
      </c>
      <c r="F32" s="14" t="n">
        <f aca="false">Datos_BBG!M40*Datos_BBG!S40</f>
        <v>374442.812031527</v>
      </c>
      <c r="G32" s="14" t="n">
        <f aca="false">Datos_BBG!N40*Datos_BBG!S40</f>
        <v>146515.773836453</v>
      </c>
      <c r="H32" s="14" t="n">
        <f aca="false">Datos_BBG!T40*Datos_BBG!S40</f>
        <v>2242764.33468571</v>
      </c>
      <c r="I32" s="14" t="n">
        <f aca="false">Datos_BBG!G40*Datos_BBG!S40</f>
        <v>326217.650118719</v>
      </c>
      <c r="J32" s="14" t="n">
        <f aca="false">Datos_BBG!H40*Datos_BBG!S40</f>
        <v>208032.969425123</v>
      </c>
      <c r="K32" s="14" t="n">
        <f aca="false">Datos_BBG!J40*Datos_BBG!S40</f>
        <v>207153.406233005</v>
      </c>
      <c r="L32" s="14" t="n">
        <f aca="false">Datos_BBG!K40*Datos_BBG!S40</f>
        <v>174426.024699507</v>
      </c>
      <c r="M32" s="14" t="n">
        <f aca="false">Datos_BBG!L40*Datos_BBG!S40</f>
        <v>3124279.30874384</v>
      </c>
      <c r="N32" s="15" t="n">
        <f aca="false">IF(OR(L32&lt;=0,Datos_BBG!Q40=1),"NM",IF(E32/L32&gt;Supuestos!$B$17,"NM",E32/L32))</f>
        <v>9.87126635365323</v>
      </c>
      <c r="O32" s="15" t="n">
        <f aca="false">IF(OR(J32&lt;=0),"NM",IF(H32/J32&gt;Supuestos!$B$17,"NM",H32/J32))</f>
        <v>10.7808120072667</v>
      </c>
      <c r="P32" s="15" t="n">
        <f aca="false">IF(OR(K32&lt;=0),"NM",IF(H32/K32&gt;Supuestos!$B$17,"NM",H32/K32))</f>
        <v>10.8265868057369</v>
      </c>
      <c r="Q32" s="15" t="n">
        <f aca="false">IF(OR(I32&lt;=0),"NM",IF(H32/I32&gt;Supuestos!$B$17,"NM",H32/I32))</f>
        <v>6.87505514759705</v>
      </c>
      <c r="R32" s="15" t="n">
        <f aca="false">IF(OR(M32&lt;=0),"NM",IF(E32/M32&gt;Supuestos!$B$17,"NM",E32/M32))</f>
        <v>0.551104936104451</v>
      </c>
    </row>
    <row r="33" customFormat="false" ht="15" hidden="false" customHeight="false" outlineLevel="0" collapsed="false">
      <c r="A33" s="16" t="s">
        <v>37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 t="n">
        <f aca="false">IFERROR(MEDIAN(N26:N30),"NM")</f>
        <v>14.785980054279</v>
      </c>
      <c r="O33" s="18" t="n">
        <f aca="false">IFERROR(MEDIAN(O26:O30),"NM")</f>
        <v>11.3220404391026</v>
      </c>
      <c r="P33" s="18" t="n">
        <f aca="false">IFERROR(MEDIAN(P26:P30),"NM")</f>
        <v>14.9384513603471</v>
      </c>
      <c r="Q33" s="18" t="n">
        <f aca="false">IFERROR(MEDIAN(Q26:Q30),"NM")</f>
        <v>9.72532161792282</v>
      </c>
      <c r="R33" s="18" t="n">
        <f aca="false">IFERROR(MEDIAN(R26:R30),"NM")</f>
        <v>1.08859503887802</v>
      </c>
    </row>
    <row r="34" customFormat="false" ht="15" hidden="false" customHeight="false" outlineLevel="0" collapsed="false">
      <c r="A34" s="16" t="s">
        <v>38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 t="n">
        <f aca="false">IFERROR(AVERAGE(N26:N30),"NM")</f>
        <v>16.0470332751362</v>
      </c>
      <c r="O34" s="18" t="n">
        <f aca="false">IFERROR(AVERAGE(O26:O30),"NM")</f>
        <v>12.0088161461377</v>
      </c>
      <c r="P34" s="18" t="n">
        <f aca="false">IFERROR(AVERAGE(P26:P30),"NM")</f>
        <v>14.1174030324877</v>
      </c>
      <c r="Q34" s="18" t="n">
        <f aca="false">IFERROR(AVERAGE(Q26:Q30),"NM")</f>
        <v>9.09210172198947</v>
      </c>
      <c r="R34" s="18" t="n">
        <f aca="false">IFERROR(AVERAGE(R26:R30),"NM")</f>
        <v>1.42147555209385</v>
      </c>
    </row>
    <row r="35" customFormat="false" ht="15" hidden="false" customHeight="false" outlineLevel="0" collapsed="false">
      <c r="A35" s="16" t="s">
        <v>39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 t="n">
        <f aca="false">IFERROR(MEDIAN(N26:N32),"NM")</f>
        <v>12.1436982184908</v>
      </c>
      <c r="O35" s="18" t="n">
        <f aca="false">IFERROR(MEDIAN(O26:O32),"NM")</f>
        <v>11.2224145115996</v>
      </c>
      <c r="P35" s="18" t="n">
        <f aca="false">IFERROR(MEDIAN(P26:P32),"NM")</f>
        <v>11.8297156419724</v>
      </c>
      <c r="Q35" s="18" t="n">
        <f aca="false">IFERROR(MEDIAN(Q26:Q32),"NM")</f>
        <v>7.8379732168331</v>
      </c>
      <c r="R35" s="18" t="n">
        <f aca="false">IFERROR(MEDIAN(R26:R32),"NM")</f>
        <v>0.990149634566695</v>
      </c>
    </row>
    <row r="36" customFormat="false" ht="15" hidden="false" customHeight="false" outlineLevel="0" collapsed="false">
      <c r="A36" s="16" t="s">
        <v>40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 t="n">
        <f aca="false">IFERROR(AVERAGE(N26:N32),"NM")</f>
        <v>12.6024024742366</v>
      </c>
      <c r="O36" s="18" t="n">
        <f aca="false">IFERROR(AVERAGE(O26:O32),"NM")</f>
        <v>11.3416825703753</v>
      </c>
      <c r="P36" s="18" t="n">
        <f aca="false">IFERROR(AVERAGE(P26:P32),"NM")</f>
        <v>12.955383926344</v>
      </c>
      <c r="Q36" s="18" t="n">
        <f aca="false">IFERROR(AVERAGE(Q26:Q32),"NM")</f>
        <v>7.8178899930606</v>
      </c>
      <c r="R36" s="18" t="n">
        <f aca="false">IFERROR(AVERAGE(R26:R32),"NM")</f>
        <v>1.12925795691995</v>
      </c>
    </row>
    <row r="37" customFormat="false" ht="15" hidden="false" customHeight="false" outlineLevel="0" collapsed="false">
      <c r="A37" s="19" t="s">
        <v>41</v>
      </c>
      <c r="N37" s="20" t="n">
        <f aca="false">IFERROR(N25/N33-1,"NM")</f>
        <v>-0.52826084058783</v>
      </c>
      <c r="O37" s="20" t="n">
        <f aca="false">IFERROR(O25/O33-1,"NM")</f>
        <v>-0.0261700629777683</v>
      </c>
      <c r="P37" s="20" t="n">
        <f aca="false">IFERROR(P25/P33-1,"NM")</f>
        <v>-0.256955456682546</v>
      </c>
      <c r="Q37" s="20" t="n">
        <f aca="false">IFERROR(Q25/Q33-1,"NM")</f>
        <v>-0.130119920430991</v>
      </c>
      <c r="R37" s="20" t="n">
        <f aca="false">IFERROR(R25/R33-1,"NM")</f>
        <v>-0.138401010425126</v>
      </c>
    </row>
    <row r="40" customFormat="false" ht="15" hidden="false" customHeight="false" outlineLevel="0" collapsed="false">
      <c r="A40" s="3" t="s">
        <v>51</v>
      </c>
    </row>
    <row r="41" customFormat="false" ht="30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  <c r="K41" s="4" t="s">
        <v>13</v>
      </c>
      <c r="L41" s="4" t="s">
        <v>14</v>
      </c>
      <c r="M41" s="4" t="s">
        <v>15</v>
      </c>
      <c r="N41" s="4" t="s">
        <v>16</v>
      </c>
      <c r="O41" s="4" t="s">
        <v>17</v>
      </c>
      <c r="P41" s="4" t="s">
        <v>18</v>
      </c>
      <c r="Q41" s="4" t="s">
        <v>19</v>
      </c>
      <c r="R41" s="4" t="s">
        <v>20</v>
      </c>
    </row>
    <row r="42" customFormat="false" ht="15" hidden="false" customHeight="false" outlineLevel="0" collapsed="false">
      <c r="E42" s="5" t="s">
        <v>21</v>
      </c>
    </row>
    <row r="43" customFormat="false" ht="15" hidden="false" customHeight="false" outlineLevel="0" collapsed="false">
      <c r="A43" s="6" t="s">
        <v>22</v>
      </c>
      <c r="B43" s="7" t="s">
        <v>23</v>
      </c>
      <c r="C43" s="7" t="s">
        <v>24</v>
      </c>
      <c r="D43" s="8" t="str">
        <f aca="false">Datos_BBG!F6</f>
        <v>FY2024</v>
      </c>
      <c r="E43" s="9" t="n">
        <f aca="false">Datos_BBG!O6*Datos_BBG!S6</f>
        <v>3569919</v>
      </c>
      <c r="F43" s="9" t="n">
        <f aca="false">Datos_BBG!M6*Datos_BBG!S6</f>
        <v>1458589.137</v>
      </c>
      <c r="G43" s="9" t="n">
        <f aca="false">Datos_BBG!N6*Datos_BBG!S6</f>
        <v>33186.747</v>
      </c>
      <c r="H43" s="9" t="n">
        <f aca="false">Datos_BBG!T6*Datos_BBG!S6</f>
        <v>5061694.884</v>
      </c>
      <c r="I43" s="9" t="n">
        <f aca="false">Datos_BBG!G6*Datos_BBG!S6</f>
        <v>494605.239</v>
      </c>
      <c r="J43" s="9" t="n">
        <f aca="false">Datos_BBG!H6*Datos_BBG!S6</f>
        <v>380637</v>
      </c>
      <c r="K43" s="9" t="n">
        <f aca="false">Datos_BBG!J6*Datos_BBG!S6</f>
        <v>378525.191</v>
      </c>
      <c r="L43" s="9" t="n">
        <f aca="false">Datos_BBG!K6*Datos_BBG!S6</f>
        <v>335933.777</v>
      </c>
      <c r="M43" s="9" t="n">
        <f aca="false">Datos_BBG!L6*Datos_BBG!S6</f>
        <v>3157863.075</v>
      </c>
      <c r="N43" s="10" t="n">
        <f aca="false">IF(OR(L43&lt;=0,Datos_BBG!Q6=1),"NM",IF(E43/L43&gt;Supuestos!$B$17,"NM",E43/L43))</f>
        <v>10.6268533991448</v>
      </c>
      <c r="O43" s="10" t="n">
        <f aca="false">IF(OR(J43&lt;=0),"NM",IF(H43/J43&gt;Supuestos!$B$17,"NM",H43/J43))</f>
        <v>13.2979581175766</v>
      </c>
      <c r="P43" s="10" t="n">
        <f aca="false">IF(OR(K43&lt;=0),"NM",IF(H43/K43&gt;Supuestos!$B$17,"NM",H43/K43))</f>
        <v>13.3721480217152</v>
      </c>
      <c r="Q43" s="10" t="n">
        <f aca="false">IF(OR(I43&lt;=0),"NM",IF(H43/I43&gt;Supuestos!$B$17,"NM",H43/I43))</f>
        <v>10.2338076609011</v>
      </c>
      <c r="R43" s="10" t="n">
        <f aca="false">IF(OR(M43&lt;=0),"NM",IF(E43/M43&gt;Supuestos!$B$17,"NM",E43/M43))</f>
        <v>1.13048568453209</v>
      </c>
    </row>
    <row r="44" customFormat="false" ht="15" hidden="false" customHeight="false" outlineLevel="0" collapsed="false">
      <c r="A44" s="11" t="s">
        <v>25</v>
      </c>
      <c r="B44" s="12" t="s">
        <v>26</v>
      </c>
      <c r="C44" s="12" t="s">
        <v>24</v>
      </c>
      <c r="D44" s="13" t="str">
        <f aca="false">Datos_BBG!F11</f>
        <v>FY2024</v>
      </c>
      <c r="E44" s="14" t="n">
        <f aca="false">Datos_BBG!O11*Datos_BBG!S11</f>
        <v>1439091.965</v>
      </c>
      <c r="F44" s="14" t="n">
        <f aca="false">Datos_BBG!M11*Datos_BBG!S11</f>
        <v>1279923.402</v>
      </c>
      <c r="G44" s="14" t="n">
        <f aca="false">Datos_BBG!N11*Datos_BBG!S11</f>
        <v>323589.523</v>
      </c>
      <c r="H44" s="14" t="n">
        <f aca="false">Datos_BBG!T11*Datos_BBG!S11</f>
        <v>3042604.89</v>
      </c>
      <c r="I44" s="14" t="n">
        <f aca="false">Datos_BBG!G11*Datos_BBG!S11</f>
        <v>316775.711</v>
      </c>
      <c r="J44" s="14" t="n">
        <f aca="false">Datos_BBG!H11*Datos_BBG!S11</f>
        <v>227727</v>
      </c>
      <c r="K44" s="14" t="n">
        <f aca="false">Datos_BBG!J11*Datos_BBG!S11</f>
        <v>221208.094</v>
      </c>
      <c r="L44" s="14" t="n">
        <f aca="false">Datos_BBG!K11*Datos_BBG!S11</f>
        <v>120571.308</v>
      </c>
      <c r="M44" s="14" t="n">
        <f aca="false">Datos_BBG!L11*Datos_BBG!S11</f>
        <v>1464457.742</v>
      </c>
      <c r="N44" s="15" t="n">
        <f aca="false">IF(OR(L44&lt;=0,Datos_BBG!Q11=1),"NM",IF(E44/L44&gt;Supuestos!$B$17,"NM",E44/L44))</f>
        <v>11.9356088017225</v>
      </c>
      <c r="O44" s="15" t="n">
        <f aca="false">IF(OR(J44&lt;=0),"NM",IF(H44/J44&gt;Supuestos!$B$17,"NM",H44/J44))</f>
        <v>13.3607560368336</v>
      </c>
      <c r="P44" s="15" t="n">
        <f aca="false">IF(OR(K44&lt;=0),"NM",IF(H44/K44&gt;Supuestos!$B$17,"NM",H44/K44))</f>
        <v>13.7544916869091</v>
      </c>
      <c r="Q44" s="15" t="n">
        <f aca="false">IF(OR(I44&lt;=0),"NM",IF(H44/I44&gt;Supuestos!$B$17,"NM",H44/I44))</f>
        <v>9.60491850967703</v>
      </c>
      <c r="R44" s="15" t="n">
        <f aca="false">IF(OR(M44&lt;=0),"NM",IF(E44/M44&gt;Supuestos!$B$17,"NM",E44/M44))</f>
        <v>0.982679065245435</v>
      </c>
    </row>
    <row r="45" customFormat="false" ht="15" hidden="false" customHeight="false" outlineLevel="0" collapsed="false">
      <c r="A45" s="11" t="s">
        <v>27</v>
      </c>
      <c r="B45" s="12" t="s">
        <v>26</v>
      </c>
      <c r="C45" s="12" t="s">
        <v>24</v>
      </c>
      <c r="D45" s="13" t="str">
        <f aca="false">Datos_BBG!F16</f>
        <v>FY2024</v>
      </c>
      <c r="E45" s="14" t="n">
        <f aca="false">Datos_BBG!O16*Datos_BBG!S16</f>
        <v>2654273.157</v>
      </c>
      <c r="F45" s="14" t="n">
        <f aca="false">Datos_BBG!M16*Datos_BBG!S16</f>
        <v>679855.775</v>
      </c>
      <c r="G45" s="14" t="n">
        <f aca="false">Datos_BBG!N16*Datos_BBG!S16</f>
        <v>6467.54</v>
      </c>
      <c r="H45" s="14" t="n">
        <f aca="false">Datos_BBG!T16*Datos_BBG!S16</f>
        <v>3340596.472</v>
      </c>
      <c r="I45" s="14" t="n">
        <f aca="false">Datos_BBG!G16*Datos_BBG!S16</f>
        <v>353183.704</v>
      </c>
      <c r="J45" s="14" t="n">
        <f aca="false">Datos_BBG!H16*Datos_BBG!S16</f>
        <v>320677</v>
      </c>
      <c r="K45" s="14" t="n">
        <f aca="false">Datos_BBG!J16*Datos_BBG!S16</f>
        <v>320267.103</v>
      </c>
      <c r="L45" s="14" t="n">
        <f aca="false">Datos_BBG!K16*Datos_BBG!S16</f>
        <v>266953.083</v>
      </c>
      <c r="M45" s="14" t="n">
        <f aca="false">Datos_BBG!L16*Datos_BBG!S16</f>
        <v>2828031.717</v>
      </c>
      <c r="N45" s="15" t="n">
        <f aca="false">IF(OR(L45&lt;=0,Datos_BBG!Q16=1),"NM",IF(E45/L45&gt;Supuestos!$B$17,"NM",E45/L45))</f>
        <v>9.9428451140982</v>
      </c>
      <c r="O45" s="15" t="n">
        <f aca="false">IF(OR(J45&lt;=0),"NM",IF(H45/J45&gt;Supuestos!$B$17,"NM",H45/J45))</f>
        <v>10.4173248221731</v>
      </c>
      <c r="P45" s="15" t="n">
        <f aca="false">IF(OR(K45&lt;=0),"NM",IF(H45/K45&gt;Supuestos!$B$17,"NM",H45/K45))</f>
        <v>10.430657537749</v>
      </c>
      <c r="Q45" s="15" t="n">
        <f aca="false">IF(OR(I45&lt;=0),"NM",IF(H45/I45&gt;Supuestos!$B$17,"NM",H45/I45))</f>
        <v>9.45852380550378</v>
      </c>
      <c r="R45" s="15" t="n">
        <f aca="false">IF(OR(M45&lt;=0),"NM",IF(E45/M45&gt;Supuestos!$B$17,"NM",E45/M45))</f>
        <v>0.938558482581545</v>
      </c>
    </row>
    <row r="46" customFormat="false" ht="15" hidden="false" customHeight="false" outlineLevel="0" collapsed="false">
      <c r="A46" s="11" t="s">
        <v>28</v>
      </c>
      <c r="B46" s="12" t="s">
        <v>26</v>
      </c>
      <c r="C46" s="12" t="s">
        <v>29</v>
      </c>
      <c r="D46" s="13" t="str">
        <f aca="false">Datos_BBG!F21</f>
        <v>FY2024</v>
      </c>
      <c r="E46" s="14" t="n">
        <f aca="false">Datos_BBG!O21*Datos_BBG!S21</f>
        <v>1955076.89863878</v>
      </c>
      <c r="F46" s="14" t="n">
        <f aca="false">Datos_BBG!M21*Datos_BBG!S21</f>
        <v>967638.809568081</v>
      </c>
      <c r="G46" s="14" t="n">
        <f aca="false">Datos_BBG!N21*Datos_BBG!S21</f>
        <v>44.6610497772613</v>
      </c>
      <c r="H46" s="14" t="n">
        <f aca="false">Datos_BBG!T21*Datos_BBG!S21</f>
        <v>2922760.36925663</v>
      </c>
      <c r="I46" s="14" t="n">
        <f aca="false">Datos_BBG!G21*Datos_BBG!S21</f>
        <v>454611.792806508</v>
      </c>
      <c r="J46" s="14" t="n">
        <f aca="false">Datos_BBG!H21*Datos_BBG!S21</f>
        <v>330141.268433082</v>
      </c>
      <c r="K46" s="14" t="n">
        <f aca="false">Datos_BBG!J21*Datos_BBG!S21</f>
        <v>305397.617702886</v>
      </c>
      <c r="L46" s="14" t="n">
        <f aca="false">Datos_BBG!K21*Datos_BBG!S21</f>
        <v>239528.643184195</v>
      </c>
      <c r="M46" s="14" t="n">
        <f aca="false">Datos_BBG!L21*Datos_BBG!S21</f>
        <v>1008539.2203099</v>
      </c>
      <c r="N46" s="15" t="n">
        <f aca="false">IF(OR(L46&lt;=0,Datos_BBG!Q21=1),"NM",IF(E46/L46&gt;Supuestos!$B$17,"NM",E46/L46))</f>
        <v>8.16218416573813</v>
      </c>
      <c r="O46" s="15" t="n">
        <f aca="false">IF(OR(J46&lt;=0),"NM",IF(H46/J46&gt;Supuestos!$B$17,"NM",H46/J46))</f>
        <v>8.85305973145574</v>
      </c>
      <c r="P46" s="15" t="n">
        <f aca="false">IF(OR(K46&lt;=0),"NM",IF(H46/K46&gt;Supuestos!$B$17,"NM",H46/K46))</f>
        <v>9.57034436365551</v>
      </c>
      <c r="Q46" s="15" t="n">
        <f aca="false">IF(OR(I46&lt;=0),"NM",IF(H46/I46&gt;Supuestos!$B$17,"NM",H46/I46))</f>
        <v>6.42913451763584</v>
      </c>
      <c r="R46" s="15" t="n">
        <f aca="false">IF(OR(M46&lt;=0),"NM",IF(E46/M46&gt;Supuestos!$B$17,"NM",E46/M46))</f>
        <v>1.93852342007883</v>
      </c>
    </row>
    <row r="47" customFormat="false" ht="15" hidden="false" customHeight="false" outlineLevel="0" collapsed="false">
      <c r="A47" s="11" t="s">
        <v>30</v>
      </c>
      <c r="B47" s="12" t="s">
        <v>26</v>
      </c>
      <c r="C47" s="12" t="s">
        <v>29</v>
      </c>
      <c r="D47" s="13" t="str">
        <f aca="false">Datos_BBG!F26</f>
        <v>FY2024</v>
      </c>
      <c r="E47" s="14" t="n">
        <f aca="false">Datos_BBG!O26*Datos_BBG!S26</f>
        <v>1756534.70124269</v>
      </c>
      <c r="F47" s="14" t="n">
        <f aca="false">Datos_BBG!M26*Datos_BBG!S26</f>
        <v>1176662.34795661</v>
      </c>
      <c r="G47" s="14" t="n">
        <f aca="false">Datos_BBG!N26*Datos_BBG!S26</f>
        <v>137489.577671896</v>
      </c>
      <c r="H47" s="14" t="n">
        <f aca="false">Datos_BBG!T26*Datos_BBG!S26</f>
        <v>3070686.6268712</v>
      </c>
      <c r="I47" s="14" t="n">
        <f aca="false">Datos_BBG!G26*Datos_BBG!S26</f>
        <v>499713.200534573</v>
      </c>
      <c r="J47" s="14" t="n">
        <f aca="false">Datos_BBG!H26*Datos_BBG!S26</f>
        <v>356600.79669572</v>
      </c>
      <c r="K47" s="14" t="n">
        <f aca="false">Datos_BBG!J26*Datos_BBG!S26</f>
        <v>246050.22831687</v>
      </c>
      <c r="L47" s="14" t="n">
        <f aca="false">Datos_BBG!K26*Datos_BBG!S26</f>
        <v>124784.938163858</v>
      </c>
      <c r="M47" s="14" t="n">
        <f aca="false">Datos_BBG!L26*Datos_BBG!S26</f>
        <v>2387560.42751888</v>
      </c>
      <c r="N47" s="15" t="n">
        <f aca="false">IF(OR(L47&lt;=0,Datos_BBG!Q26=1),"NM",IF(E47/L47&gt;Supuestos!$B$17,"NM",E47/L47))</f>
        <v>14.0764961468037</v>
      </c>
      <c r="O47" s="15" t="n">
        <f aca="false">IF(OR(J47&lt;=0),"NM",IF(H47/J47&gt;Supuestos!$B$17,"NM",H47/J47))</f>
        <v>8.61099205420832</v>
      </c>
      <c r="P47" s="15" t="n">
        <f aca="false">IF(OR(K47&lt;=0),"NM",IF(H47/K47&gt;Supuestos!$B$17,"NM",H47/K47))</f>
        <v>12.4799178114019</v>
      </c>
      <c r="Q47" s="15" t="n">
        <f aca="false">IF(OR(I47&lt;=0),"NM",IF(H47/I47&gt;Supuestos!$B$17,"NM",H47/I47))</f>
        <v>6.14489796064283</v>
      </c>
      <c r="R47" s="15" t="n">
        <f aca="false">IF(OR(M47&lt;=0),"NM",IF(E47/M47&gt;Supuestos!$B$17,"NM",E47/M47))</f>
        <v>0.735702720231484</v>
      </c>
    </row>
    <row r="48" customFormat="false" ht="15" hidden="false" customHeight="false" outlineLevel="0" collapsed="false">
      <c r="A48" s="11" t="s">
        <v>31</v>
      </c>
      <c r="B48" s="12" t="s">
        <v>26</v>
      </c>
      <c r="C48" s="12" t="s">
        <v>29</v>
      </c>
      <c r="D48" s="13" t="str">
        <f aca="false">Datos_BBG!F31</f>
        <v>FY2024</v>
      </c>
      <c r="E48" s="14" t="n">
        <f aca="false">Datos_BBG!O31*Datos_BBG!S31</f>
        <v>905912.540433469</v>
      </c>
      <c r="F48" s="14" t="n">
        <f aca="false">Datos_BBG!M31*Datos_BBG!S31</f>
        <v>288482.513066047</v>
      </c>
      <c r="G48" s="14" t="n">
        <f aca="false">Datos_BBG!N31*Datos_BBG!S31</f>
        <v>38.5871470075537</v>
      </c>
      <c r="H48" s="14" t="n">
        <f aca="false">Datos_BBG!T31*Datos_BBG!S31</f>
        <v>1194433.64064652</v>
      </c>
      <c r="I48" s="14" t="n">
        <f aca="false">Datos_BBG!G31*Datos_BBG!S31</f>
        <v>220865.862347472</v>
      </c>
      <c r="J48" s="14" t="n">
        <f aca="false">Datos_BBG!H31*Datos_BBG!S31</f>
        <v>163416.924865388</v>
      </c>
      <c r="K48" s="14" t="n">
        <f aca="false">Datos_BBG!J31*Datos_BBG!S31</f>
        <v>129428.972763897</v>
      </c>
      <c r="L48" s="14" t="n">
        <f aca="false">Datos_BBG!K31*Datos_BBG!S31</f>
        <v>71416.7701220221</v>
      </c>
      <c r="M48" s="14" t="n">
        <f aca="false">Datos_BBG!L31*Datos_BBG!S31</f>
        <v>769921.483896959</v>
      </c>
      <c r="N48" s="15" t="n">
        <f aca="false">IF(OR(L48&lt;=0,Datos_BBG!Q31=1),"NM",IF(E48/L48&gt;Supuestos!$B$17,"NM",E48/L48))</f>
        <v>12.6848713388415</v>
      </c>
      <c r="O48" s="15" t="n">
        <f aca="false">IF(OR(J48&lt;=0),"NM",IF(H48/J48&gt;Supuestos!$B$17,"NM",H48/J48))</f>
        <v>7.30911832804599</v>
      </c>
      <c r="P48" s="15" t="n">
        <f aca="false">IF(OR(K48&lt;=0),"NM",IF(H48/K48&gt;Supuestos!$B$17,"NM",H48/K48))</f>
        <v>9.22848737141256</v>
      </c>
      <c r="Q48" s="15" t="n">
        <f aca="false">IF(OR(I48&lt;=0),"NM",IF(H48/I48&gt;Supuestos!$B$17,"NM",H48/I48))</f>
        <v>5.40795950968379</v>
      </c>
      <c r="R48" s="15" t="n">
        <f aca="false">IF(OR(M48&lt;=0),"NM",IF(E48/M48&gt;Supuestos!$B$17,"NM",E48/M48))</f>
        <v>1.17662977249081</v>
      </c>
    </row>
    <row r="49" customFormat="false" ht="15" hidden="false" customHeight="false" outlineLevel="0" collapsed="false">
      <c r="A49" s="11" t="s">
        <v>32</v>
      </c>
      <c r="B49" s="12" t="s">
        <v>33</v>
      </c>
      <c r="C49" s="12" t="s">
        <v>34</v>
      </c>
      <c r="D49" s="13" t="str">
        <f aca="false">Datos_BBG!F36</f>
        <v>FY2024 (jun)</v>
      </c>
      <c r="E49" s="14" t="n">
        <f aca="false">Datos_BBG!O36*Datos_BBG!S36</f>
        <v>559489.002475155</v>
      </c>
      <c r="F49" s="14" t="n">
        <f aca="false">Datos_BBG!M36*Datos_BBG!S36</f>
        <v>301536.720215924</v>
      </c>
      <c r="G49" s="14" t="n">
        <f aca="false">Datos_BBG!N36*Datos_BBG!S36</f>
        <v>64030.4360458839</v>
      </c>
      <c r="H49" s="14" t="n">
        <f aca="false">Datos_BBG!T36*Datos_BBG!S36</f>
        <v>925056.158736964</v>
      </c>
      <c r="I49" s="14" t="n">
        <f aca="false">Datos_BBG!G36*Datos_BBG!S36</f>
        <v>285078.365762483</v>
      </c>
      <c r="J49" s="14" t="n">
        <f aca="false">Datos_BBG!H36*Datos_BBG!S36</f>
        <v>144423.382847503</v>
      </c>
      <c r="K49" s="14" t="n">
        <f aca="false">Datos_BBG!J36*Datos_BBG!S36</f>
        <v>138741.220769231</v>
      </c>
      <c r="L49" s="14" t="n">
        <f aca="false">Datos_BBG!K36*Datos_BBG!S36</f>
        <v>-15945.5284345479</v>
      </c>
      <c r="M49" s="14" t="n">
        <f aca="false">Datos_BBG!L36*Datos_BBG!S36</f>
        <v>935936.113117409</v>
      </c>
      <c r="N49" s="15" t="str">
        <f aca="false">IF(OR(L49&lt;=0,Datos_BBG!Q36=1),"NM",IF(E49/L49&gt;Supuestos!$B$17,"NM",E49/L49))</f>
        <v>NM</v>
      </c>
      <c r="O49" s="15" t="n">
        <f aca="false">IF(OR(J49&lt;=0),"NM",IF(H49/J49&gt;Supuestos!$B$17,"NM",H49/J49))</f>
        <v>6.40516888954007</v>
      </c>
      <c r="P49" s="15" t="n">
        <f aca="false">IF(OR(K49&lt;=0),"NM",IF(H49/K49&gt;Supuestos!$B$17,"NM",H49/K49))</f>
        <v>6.66749329152593</v>
      </c>
      <c r="Q49" s="15" t="n">
        <f aca="false">IF(OR(I49&lt;=0),"NM",IF(H49/I49&gt;Supuestos!$B$17,"NM",H49/I49))</f>
        <v>3.24491883578316</v>
      </c>
      <c r="R49" s="15" t="n">
        <f aca="false">IF(OR(M49&lt;=0),"NM",IF(E49/M49&gt;Supuestos!$B$17,"NM",E49/M49))</f>
        <v>0.597785462740201</v>
      </c>
    </row>
    <row r="50" customFormat="false" ht="15" hidden="false" customHeight="false" outlineLevel="0" collapsed="false">
      <c r="A50" s="11" t="s">
        <v>35</v>
      </c>
      <c r="B50" s="12" t="s">
        <v>33</v>
      </c>
      <c r="C50" s="12" t="s">
        <v>36</v>
      </c>
      <c r="D50" s="13" t="str">
        <f aca="false">Datos_BBG!F41</f>
        <v>FY2024</v>
      </c>
      <c r="E50" s="14" t="n">
        <f aca="false">Datos_BBG!O41*Datos_BBG!S41</f>
        <v>1673054.39300493</v>
      </c>
      <c r="F50" s="14" t="n">
        <f aca="false">Datos_BBG!M41*Datos_BBG!S41</f>
        <v>472240.863054187</v>
      </c>
      <c r="G50" s="14" t="n">
        <f aca="false">Datos_BBG!N41*Datos_BBG!S41</f>
        <v>142009.345812808</v>
      </c>
      <c r="H50" s="14" t="n">
        <f aca="false">Datos_BBG!T41*Datos_BBG!S41</f>
        <v>2287304.60187192</v>
      </c>
      <c r="I50" s="14" t="n">
        <f aca="false">Datos_BBG!G41*Datos_BBG!S41</f>
        <v>357087.398379803</v>
      </c>
      <c r="J50" s="14" t="n">
        <f aca="false">Datos_BBG!H41*Datos_BBG!S41</f>
        <v>232183.67055468</v>
      </c>
      <c r="K50" s="14" t="n">
        <f aca="false">Datos_BBG!J41*Datos_BBG!S41</f>
        <v>231534.606709852</v>
      </c>
      <c r="L50" s="14" t="n">
        <f aca="false">Datos_BBG!K41*Datos_BBG!S41</f>
        <v>221443.145912315</v>
      </c>
      <c r="M50" s="14" t="n">
        <f aca="false">Datos_BBG!L41*Datos_BBG!S41</f>
        <v>3222458.48965517</v>
      </c>
      <c r="N50" s="15" t="n">
        <f aca="false">IF(OR(L50&lt;=0,Datos_BBG!Q41=1),"NM",IF(E50/L50&gt;Supuestos!$B$17,"NM",E50/L50))</f>
        <v>7.55523222952859</v>
      </c>
      <c r="O50" s="15" t="n">
        <f aca="false">IF(OR(J50&lt;=0),"NM",IF(H50/J50&gt;Supuestos!$B$17,"NM",H50/J50))</f>
        <v>9.8512724706592</v>
      </c>
      <c r="P50" s="15" t="n">
        <f aca="false">IF(OR(K50&lt;=0),"NM",IF(H50/K50&gt;Supuestos!$B$17,"NM",H50/K50))</f>
        <v>9.87888866539186</v>
      </c>
      <c r="Q50" s="15" t="n">
        <f aca="false">IF(OR(I50&lt;=0),"NM",IF(H50/I50&gt;Supuestos!$B$17,"NM",H50/I50))</f>
        <v>6.40544755219593</v>
      </c>
      <c r="R50" s="15" t="n">
        <f aca="false">IF(OR(M50&lt;=0),"NM",IF(E50/M50&gt;Supuestos!$B$17,"NM",E50/M50))</f>
        <v>0.519185708171513</v>
      </c>
    </row>
    <row r="51" customFormat="false" ht="15" hidden="false" customHeight="false" outlineLevel="0" collapsed="false">
      <c r="A51" s="16" t="s">
        <v>37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 t="n">
        <f aca="false">IFERROR(MEDIAN(N44:N48),"NM")</f>
        <v>11.9356088017225</v>
      </c>
      <c r="O51" s="18" t="n">
        <f aca="false">IFERROR(MEDIAN(O44:O48),"NM")</f>
        <v>8.85305973145574</v>
      </c>
      <c r="P51" s="18" t="n">
        <f aca="false">IFERROR(MEDIAN(P44:P48),"NM")</f>
        <v>10.430657537749</v>
      </c>
      <c r="Q51" s="18" t="n">
        <f aca="false">IFERROR(MEDIAN(Q44:Q48),"NM")</f>
        <v>6.42913451763584</v>
      </c>
      <c r="R51" s="18" t="n">
        <f aca="false">IFERROR(MEDIAN(R44:R48),"NM")</f>
        <v>0.982679065245435</v>
      </c>
    </row>
    <row r="52" customFormat="false" ht="15" hidden="false" customHeight="false" outlineLevel="0" collapsed="false">
      <c r="A52" s="16" t="s">
        <v>38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 t="n">
        <f aca="false">IFERROR(AVERAGE(N44:N48),"NM")</f>
        <v>11.3604011134408</v>
      </c>
      <c r="O52" s="18" t="n">
        <f aca="false">IFERROR(AVERAGE(O44:O48),"NM")</f>
        <v>9.71025019454334</v>
      </c>
      <c r="P52" s="18" t="n">
        <f aca="false">IFERROR(AVERAGE(P44:P48),"NM")</f>
        <v>11.0927797542256</v>
      </c>
      <c r="Q52" s="18" t="n">
        <f aca="false">IFERROR(AVERAGE(Q44:Q48),"NM")</f>
        <v>7.40908686062865</v>
      </c>
      <c r="R52" s="18" t="n">
        <f aca="false">IFERROR(AVERAGE(R44:R48),"NM")</f>
        <v>1.15441869212562</v>
      </c>
    </row>
    <row r="53" customFormat="false" ht="15" hidden="false" customHeight="false" outlineLevel="0" collapsed="false">
      <c r="A53" s="16" t="s">
        <v>39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 t="n">
        <f aca="false">IFERROR(MEDIAN(N44:N50),"NM")</f>
        <v>10.9392269579104</v>
      </c>
      <c r="O53" s="18" t="n">
        <f aca="false">IFERROR(MEDIAN(O44:O50),"NM")</f>
        <v>8.85305973145574</v>
      </c>
      <c r="P53" s="18" t="n">
        <f aca="false">IFERROR(MEDIAN(P44:P50),"NM")</f>
        <v>9.87888866539186</v>
      </c>
      <c r="Q53" s="18" t="n">
        <f aca="false">IFERROR(MEDIAN(Q44:Q50),"NM")</f>
        <v>6.40544755219593</v>
      </c>
      <c r="R53" s="18" t="n">
        <f aca="false">IFERROR(MEDIAN(R44:R50),"NM")</f>
        <v>0.938558482581545</v>
      </c>
    </row>
    <row r="54" customFormat="false" ht="15" hidden="false" customHeight="false" outlineLevel="0" collapsed="false">
      <c r="A54" s="16" t="s">
        <v>40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 t="n">
        <f aca="false">IFERROR(AVERAGE(N44:N50),"NM")</f>
        <v>10.7262062994554</v>
      </c>
      <c r="O54" s="18" t="n">
        <f aca="false">IFERROR(AVERAGE(O44:O50),"NM")</f>
        <v>9.25824176184514</v>
      </c>
      <c r="P54" s="18" t="n">
        <f aca="false">IFERROR(AVERAGE(P44:P50),"NM")</f>
        <v>10.2871829611494</v>
      </c>
      <c r="Q54" s="18" t="n">
        <f aca="false">IFERROR(AVERAGE(Q44:Q50),"NM")</f>
        <v>6.67082867016034</v>
      </c>
      <c r="R54" s="18" t="n">
        <f aca="false">IFERROR(AVERAGE(R44:R50),"NM")</f>
        <v>0.984152090219974</v>
      </c>
    </row>
    <row r="55" customFormat="false" ht="15" hidden="false" customHeight="false" outlineLevel="0" collapsed="false">
      <c r="A55" s="19" t="s">
        <v>41</v>
      </c>
      <c r="N55" s="20" t="n">
        <f aca="false">IFERROR(N43/N51-1,"NM")</f>
        <v>-0.109651331936153</v>
      </c>
      <c r="O55" s="20" t="n">
        <f aca="false">IFERROR(O43/O51-1,"NM")</f>
        <v>0.502074821694438</v>
      </c>
      <c r="P55" s="20" t="n">
        <f aca="false">IFERROR(P43/P51-1,"NM")</f>
        <v>0.282004319796783</v>
      </c>
      <c r="Q55" s="20" t="n">
        <f aca="false">IFERROR(Q43/Q51-1,"NM")</f>
        <v>0.591786208987939</v>
      </c>
      <c r="R55" s="20" t="n">
        <f aca="false">IFERROR(R43/R51-1,"NM")</f>
        <v>0.150411893886987</v>
      </c>
    </row>
    <row r="58" customFormat="false" ht="15" hidden="false" customHeight="false" outlineLevel="0" collapsed="false">
      <c r="A58" s="3" t="s">
        <v>52</v>
      </c>
    </row>
    <row r="59" customFormat="false" ht="30" hidden="false" customHeight="true" outlineLevel="0" collapsed="false">
      <c r="A59" s="4" t="s">
        <v>3</v>
      </c>
      <c r="B59" s="4" t="s">
        <v>4</v>
      </c>
      <c r="C59" s="4" t="s">
        <v>5</v>
      </c>
      <c r="D59" s="4" t="s">
        <v>6</v>
      </c>
      <c r="E59" s="4" t="s">
        <v>7</v>
      </c>
      <c r="F59" s="4" t="s">
        <v>8</v>
      </c>
      <c r="G59" s="4" t="s">
        <v>9</v>
      </c>
      <c r="H59" s="4" t="s">
        <v>10</v>
      </c>
      <c r="I59" s="4" t="s">
        <v>11</v>
      </c>
      <c r="J59" s="4" t="s">
        <v>12</v>
      </c>
      <c r="K59" s="4" t="s">
        <v>13</v>
      </c>
      <c r="L59" s="4" t="s">
        <v>14</v>
      </c>
      <c r="M59" s="4" t="s">
        <v>15</v>
      </c>
      <c r="N59" s="4" t="s">
        <v>16</v>
      </c>
      <c r="O59" s="4" t="s">
        <v>17</v>
      </c>
      <c r="P59" s="4" t="s">
        <v>18</v>
      </c>
      <c r="Q59" s="4" t="s">
        <v>19</v>
      </c>
      <c r="R59" s="4" t="s">
        <v>20</v>
      </c>
    </row>
    <row r="60" customFormat="false" ht="15" hidden="false" customHeight="false" outlineLevel="0" collapsed="false">
      <c r="E60" s="5" t="s">
        <v>21</v>
      </c>
    </row>
    <row r="61" customFormat="false" ht="15" hidden="false" customHeight="false" outlineLevel="0" collapsed="false">
      <c r="A61" s="6" t="s">
        <v>22</v>
      </c>
      <c r="B61" s="7" t="s">
        <v>23</v>
      </c>
      <c r="C61" s="7" t="s">
        <v>24</v>
      </c>
      <c r="D61" s="8" t="str">
        <f aca="false">Datos_BBG!F7</f>
        <v>FY2025</v>
      </c>
      <c r="E61" s="9" t="n">
        <f aca="false">Datos_BBG!O7*Datos_BBG!S7</f>
        <v>6977559</v>
      </c>
      <c r="F61" s="9" t="n">
        <f aca="false">Datos_BBG!M7*Datos_BBG!S7</f>
        <v>1327147.413</v>
      </c>
      <c r="G61" s="9" t="n">
        <f aca="false">Datos_BBG!N7*Datos_BBG!S7</f>
        <v>41649.187</v>
      </c>
      <c r="H61" s="9" t="n">
        <f aca="false">Datos_BBG!T7*Datos_BBG!S7</f>
        <v>8346355.6</v>
      </c>
      <c r="I61" s="9" t="n">
        <f aca="false">Datos_BBG!G7*Datos_BBG!S7</f>
        <v>653911.091</v>
      </c>
      <c r="J61" s="9" t="n">
        <f aca="false">Datos_BBG!H7*Datos_BBG!S7</f>
        <v>526228</v>
      </c>
      <c r="K61" s="9" t="n">
        <f aca="false">Datos_BBG!J7*Datos_BBG!S7</f>
        <v>522618.464</v>
      </c>
      <c r="L61" s="9" t="n">
        <f aca="false">Datos_BBG!K7*Datos_BBG!S7</f>
        <v>1431011.596</v>
      </c>
      <c r="M61" s="9" t="n">
        <f aca="false">Datos_BBG!L7*Datos_BBG!S7</f>
        <v>4482903.946</v>
      </c>
      <c r="N61" s="10" t="n">
        <f aca="false">IF(OR(L61&lt;=0,Datos_BBG!Q7=1),"NM",IF(E61/L61&gt;Supuestos!$B$17,"NM",E61/L61))</f>
        <v>4.87596258444296</v>
      </c>
      <c r="O61" s="10" t="n">
        <f aca="false">IF(OR(J61&lt;=0),"NM",IF(H61/J61&gt;Supuestos!$B$17,"NM",H61/J61))</f>
        <v>15.8607212082975</v>
      </c>
      <c r="P61" s="10" t="n">
        <f aca="false">IF(OR(K61&lt;=0),"NM",IF(H61/K61&gt;Supuestos!$B$17,"NM",H61/K61))</f>
        <v>15.970265451624</v>
      </c>
      <c r="Q61" s="10" t="n">
        <f aca="false">IF(OR(I61&lt;=0),"NM",IF(H61/I61&gt;Supuestos!$B$17,"NM",H61/I61))</f>
        <v>12.7637468072858</v>
      </c>
      <c r="R61" s="10" t="n">
        <f aca="false">IF(OR(M61&lt;=0),"NM",IF(E61/M61&gt;Supuestos!$B$17,"NM",E61/M61))</f>
        <v>1.55648193315093</v>
      </c>
    </row>
    <row r="62" customFormat="false" ht="15" hidden="false" customHeight="false" outlineLevel="0" collapsed="false">
      <c r="A62" s="11" t="s">
        <v>25</v>
      </c>
      <c r="B62" s="12" t="s">
        <v>26</v>
      </c>
      <c r="C62" s="12" t="s">
        <v>24</v>
      </c>
      <c r="D62" s="13" t="str">
        <f aca="false">Datos_BBG!F12</f>
        <v>FY2025</v>
      </c>
      <c r="E62" s="14" t="n">
        <f aca="false">Datos_BBG!O12*Datos_BBG!S12</f>
        <v>2708090.487</v>
      </c>
      <c r="F62" s="14" t="n">
        <f aca="false">Datos_BBG!M12*Datos_BBG!S12</f>
        <v>1631210.898</v>
      </c>
      <c r="G62" s="14" t="n">
        <f aca="false">Datos_BBG!N12*Datos_BBG!S12</f>
        <v>362360.837</v>
      </c>
      <c r="H62" s="14" t="n">
        <f aca="false">Datos_BBG!T12*Datos_BBG!S12</f>
        <v>4701662.222</v>
      </c>
      <c r="I62" s="14" t="n">
        <f aca="false">Datos_BBG!G12*Datos_BBG!S12</f>
        <v>383792.582</v>
      </c>
      <c r="J62" s="14" t="n">
        <f aca="false">Datos_BBG!H12*Datos_BBG!S12</f>
        <v>272233</v>
      </c>
      <c r="K62" s="14" t="n">
        <f aca="false">Datos_BBG!J12*Datos_BBG!S12</f>
        <v>267493.41</v>
      </c>
      <c r="L62" s="14" t="n">
        <f aca="false">Datos_BBG!K12*Datos_BBG!S12</f>
        <v>149972.703</v>
      </c>
      <c r="M62" s="14" t="n">
        <f aca="false">Datos_BBG!L12*Datos_BBG!S12</f>
        <v>1594521.872</v>
      </c>
      <c r="N62" s="15" t="n">
        <f aca="false">IF(OR(L62&lt;=0,Datos_BBG!Q12=1),"NM",IF(E62/L62&gt;Supuestos!$B$17,"NM",E62/L62))</f>
        <v>18.0572226333748</v>
      </c>
      <c r="O62" s="15" t="n">
        <f aca="false">IF(OR(J62&lt;=0),"NM",IF(H62/J62&gt;Supuestos!$B$17,"NM",H62/J62))</f>
        <v>17.27072846422</v>
      </c>
      <c r="P62" s="15" t="n">
        <f aca="false">IF(OR(K62&lt;=0),"NM",IF(H62/K62&gt;Supuestos!$B$17,"NM",H62/K62))</f>
        <v>17.5767403839968</v>
      </c>
      <c r="Q62" s="15" t="n">
        <f aca="false">IF(OR(I62&lt;=0),"NM",IF(H62/I62&gt;Supuestos!$B$17,"NM",H62/I62))</f>
        <v>12.2505291725519</v>
      </c>
      <c r="R62" s="15" t="n">
        <f aca="false">IF(OR(M62&lt;=0),"NM",IF(E62/M62&gt;Supuestos!$B$17,"NM",E62/M62))</f>
        <v>1.69837148963235</v>
      </c>
    </row>
    <row r="63" customFormat="false" ht="15" hidden="false" customHeight="false" outlineLevel="0" collapsed="false">
      <c r="A63" s="11" t="s">
        <v>27</v>
      </c>
      <c r="B63" s="12" t="s">
        <v>26</v>
      </c>
      <c r="C63" s="12" t="s">
        <v>24</v>
      </c>
      <c r="D63" s="13" t="str">
        <f aca="false">Datos_BBG!F17</f>
        <v>FY2025</v>
      </c>
      <c r="E63" s="14" t="n">
        <f aca="false">Datos_BBG!O17*Datos_BBG!S17</f>
        <v>3974586.412</v>
      </c>
      <c r="F63" s="14" t="n">
        <f aca="false">Datos_BBG!M17*Datos_BBG!S17</f>
        <v>769416.4</v>
      </c>
      <c r="G63" s="14" t="n">
        <f aca="false">Datos_BBG!N17*Datos_BBG!S17</f>
        <v>5505.4</v>
      </c>
      <c r="H63" s="14" t="n">
        <f aca="false">Datos_BBG!T17*Datos_BBG!S17</f>
        <v>4749508.212</v>
      </c>
      <c r="I63" s="14" t="n">
        <f aca="false">Datos_BBG!G17*Datos_BBG!S17</f>
        <v>377940.605</v>
      </c>
      <c r="J63" s="14" t="n">
        <f aca="false">Datos_BBG!H17*Datos_BBG!S17</f>
        <v>340557</v>
      </c>
      <c r="K63" s="14" t="n">
        <f aca="false">Datos_BBG!J17*Datos_BBG!S17</f>
        <v>340016.346</v>
      </c>
      <c r="L63" s="14" t="n">
        <f aca="false">Datos_BBG!K17*Datos_BBG!S17</f>
        <v>303966.192</v>
      </c>
      <c r="M63" s="14" t="n">
        <f aca="false">Datos_BBG!L17*Datos_BBG!S17</f>
        <v>2989170.608</v>
      </c>
      <c r="N63" s="15" t="n">
        <f aca="false">IF(OR(L63&lt;=0,Datos_BBG!Q17=1),"NM",IF(E63/L63&gt;Supuestos!$B$17,"NM",E63/L63))</f>
        <v>13.0757515691087</v>
      </c>
      <c r="O63" s="15" t="n">
        <f aca="false">IF(OR(J63&lt;=0),"NM",IF(H63/J63&gt;Supuestos!$B$17,"NM",H63/J63))</f>
        <v>13.9462944881474</v>
      </c>
      <c r="P63" s="15" t="n">
        <f aca="false">IF(OR(K63&lt;=0),"NM",IF(H63/K63&gt;Supuestos!$B$17,"NM",H63/K63))</f>
        <v>13.9684702452511</v>
      </c>
      <c r="Q63" s="15" t="n">
        <f aca="false">IF(OR(I63&lt;=0),"NM",IF(H63/I63&gt;Supuestos!$B$17,"NM",H63/I63))</f>
        <v>12.5668111580654</v>
      </c>
      <c r="R63" s="15" t="n">
        <f aca="false">IF(OR(M63&lt;=0),"NM",IF(E63/M63&gt;Supuestos!$B$17,"NM",E63/M63))</f>
        <v>1.3296619474856</v>
      </c>
    </row>
    <row r="64" customFormat="false" ht="15" hidden="false" customHeight="false" outlineLevel="0" collapsed="false">
      <c r="A64" s="11" t="s">
        <v>28</v>
      </c>
      <c r="B64" s="12" t="s">
        <v>26</v>
      </c>
      <c r="C64" s="12" t="s">
        <v>29</v>
      </c>
      <c r="D64" s="13" t="str">
        <f aca="false">Datos_BBG!F22</f>
        <v>FY2025</v>
      </c>
      <c r="E64" s="14" t="n">
        <f aca="false">Datos_BBG!O22*Datos_BBG!S22</f>
        <v>2498108.83430292</v>
      </c>
      <c r="F64" s="14" t="n">
        <f aca="false">Datos_BBG!M22*Datos_BBG!S22</f>
        <v>937685.00077087</v>
      </c>
      <c r="G64" s="14" t="n">
        <f aca="false">Datos_BBG!N22*Datos_BBG!S22</f>
        <v>42.3386751888437</v>
      </c>
      <c r="H64" s="14" t="n">
        <f aca="false">Datos_BBG!T22*Datos_BBG!S22</f>
        <v>3435836.17374898</v>
      </c>
      <c r="I64" s="14" t="n">
        <f aca="false">Datos_BBG!G22*Datos_BBG!S22</f>
        <v>489321.110184002</v>
      </c>
      <c r="J64" s="14" t="n">
        <f aca="false">Datos_BBG!H22*Datos_BBG!S22</f>
        <v>357887.570861902</v>
      </c>
      <c r="K64" s="14" t="n">
        <f aca="false">Datos_BBG!J22*Datos_BBG!S22</f>
        <v>333278.081925237</v>
      </c>
      <c r="L64" s="14" t="n">
        <f aca="false">Datos_BBG!K22*Datos_BBG!S22</f>
        <v>203854.468487314</v>
      </c>
      <c r="M64" s="14" t="n">
        <f aca="false">Datos_BBG!L22*Datos_BBG!S22</f>
        <v>1125305.17766415</v>
      </c>
      <c r="N64" s="15" t="n">
        <f aca="false">IF(OR(L64&lt;=0,Datos_BBG!Q22=1),"NM",IF(E64/L64&gt;Supuestos!$B$17,"NM",E64/L64))</f>
        <v>12.254373685502</v>
      </c>
      <c r="O64" s="15" t="n">
        <f aca="false">IF(OR(J64&lt;=0),"NM",IF(H64/J64&gt;Supuestos!$B$17,"NM",H64/J64))</f>
        <v>9.60032270881731</v>
      </c>
      <c r="P64" s="15" t="n">
        <f aca="false">IF(OR(K64&lt;=0),"NM",IF(H64/K64&gt;Supuestos!$B$17,"NM",H64/K64))</f>
        <v>10.3092173175664</v>
      </c>
      <c r="Q64" s="15" t="n">
        <f aca="false">IF(OR(I64&lt;=0),"NM",IF(H64/I64&gt;Supuestos!$B$17,"NM",H64/I64))</f>
        <v>7.02163896517154</v>
      </c>
      <c r="R64" s="15" t="n">
        <f aca="false">IF(OR(M64&lt;=0),"NM",IF(E64/M64&gt;Supuestos!$B$17,"NM",E64/M64))</f>
        <v>2.21993898534118</v>
      </c>
    </row>
    <row r="65" customFormat="false" ht="15" hidden="false" customHeight="false" outlineLevel="0" collapsed="false">
      <c r="A65" s="11" t="s">
        <v>30</v>
      </c>
      <c r="B65" s="12" t="s">
        <v>26</v>
      </c>
      <c r="C65" s="12" t="s">
        <v>29</v>
      </c>
      <c r="D65" s="13" t="str">
        <f aca="false">Datos_BBG!F27</f>
        <v>FY2025</v>
      </c>
      <c r="E65" s="14" t="n">
        <f aca="false">Datos_BBG!O27*Datos_BBG!S27</f>
        <v>2555308.25943211</v>
      </c>
      <c r="F65" s="14" t="n">
        <f aca="false">Datos_BBG!M27*Datos_BBG!S27</f>
        <v>1048992.48462134</v>
      </c>
      <c r="G65" s="14" t="n">
        <f aca="false">Datos_BBG!N27*Datos_BBG!S27</f>
        <v>134440.657125702</v>
      </c>
      <c r="H65" s="14" t="n">
        <f aca="false">Datos_BBG!T27*Datos_BBG!S27</f>
        <v>3738741.40117916</v>
      </c>
      <c r="I65" s="14" t="n">
        <f aca="false">Datos_BBG!G27*Datos_BBG!S27</f>
        <v>517993.682785202</v>
      </c>
      <c r="J65" s="14" t="n">
        <f aca="false">Datos_BBG!H27*Datos_BBG!S27</f>
        <v>369433.524094519</v>
      </c>
      <c r="K65" s="14" t="n">
        <f aca="false">Datos_BBG!J27*Datos_BBG!S27</f>
        <v>256025.720395119</v>
      </c>
      <c r="L65" s="14" t="n">
        <f aca="false">Datos_BBG!K27*Datos_BBG!S27</f>
        <v>149018.916993996</v>
      </c>
      <c r="M65" s="14" t="n">
        <f aca="false">Datos_BBG!L27*Datos_BBG!S27</f>
        <v>2348536.13815611</v>
      </c>
      <c r="N65" s="15" t="n">
        <f aca="false">IF(OR(L65&lt;=0,Datos_BBG!Q27=1),"NM",IF(E65/L65&gt;Supuestos!$B$17,"NM",E65/L65))</f>
        <v>17.147542815219</v>
      </c>
      <c r="O65" s="15" t="n">
        <f aca="false">IF(OR(J65&lt;=0),"NM",IF(H65/J65&gt;Supuestos!$B$17,"NM",H65/J65))</f>
        <v>10.1202006784382</v>
      </c>
      <c r="P65" s="15" t="n">
        <f aca="false">IF(OR(K65&lt;=0),"NM",IF(H65/K65&gt;Supuestos!$B$17,"NM",H65/K65))</f>
        <v>14.602991431522</v>
      </c>
      <c r="Q65" s="15" t="n">
        <f aca="false">IF(OR(I65&lt;=0),"NM",IF(H65/I65&gt;Supuestos!$B$17,"NM",H65/I65))</f>
        <v>7.2177355157621</v>
      </c>
      <c r="R65" s="15" t="n">
        <f aca="false">IF(OR(M65&lt;=0),"NM",IF(E65/M65&gt;Supuestos!$B$17,"NM",E65/M65))</f>
        <v>1.08804298044072</v>
      </c>
    </row>
    <row r="66" customFormat="false" ht="15" hidden="false" customHeight="false" outlineLevel="0" collapsed="false">
      <c r="A66" s="11" t="s">
        <v>31</v>
      </c>
      <c r="B66" s="12" t="s">
        <v>26</v>
      </c>
      <c r="C66" s="12" t="s">
        <v>29</v>
      </c>
      <c r="D66" s="13" t="str">
        <f aca="false">Datos_BBG!F32</f>
        <v>FY2025</v>
      </c>
      <c r="E66" s="14" t="n">
        <f aca="false">Datos_BBG!O32*Datos_BBG!S32</f>
        <v>1305356.87868913</v>
      </c>
      <c r="F66" s="14" t="n">
        <f aca="false">Datos_BBG!M32*Datos_BBG!S32</f>
        <v>394838.694294015</v>
      </c>
      <c r="G66" s="14" t="n">
        <f aca="false">Datos_BBG!N32*Datos_BBG!S32</f>
        <v>39.3017238039899</v>
      </c>
      <c r="H66" s="14" t="n">
        <f aca="false">Datos_BBG!T32*Datos_BBG!S32</f>
        <v>1700234.87470695</v>
      </c>
      <c r="I66" s="14" t="n">
        <f aca="false">Datos_BBG!G32*Datos_BBG!S32</f>
        <v>265614.090493899</v>
      </c>
      <c r="J66" s="14" t="n">
        <f aca="false">Datos_BBG!H32*Datos_BBG!S32</f>
        <v>183948.324024792</v>
      </c>
      <c r="K66" s="14" t="n">
        <f aca="false">Datos_BBG!J32*Datos_BBG!S32</f>
        <v>163589.495161728</v>
      </c>
      <c r="L66" s="14" t="n">
        <f aca="false">Datos_BBG!K32*Datos_BBG!S32</f>
        <v>104053.100213054</v>
      </c>
      <c r="M66" s="14" t="n">
        <f aca="false">Datos_BBG!L32*Datos_BBG!S32</f>
        <v>830989.216920395</v>
      </c>
      <c r="N66" s="15" t="n">
        <f aca="false">IF(OR(L66&lt;=0,Datos_BBG!Q32=1),"NM",IF(E66/L66&gt;Supuestos!$B$17,"NM",E66/L66))</f>
        <v>12.5451031830512</v>
      </c>
      <c r="O66" s="15" t="n">
        <f aca="false">IF(OR(J66&lt;=0),"NM",IF(H66/J66&gt;Supuestos!$B$17,"NM",H66/J66))</f>
        <v>9.24300280375375</v>
      </c>
      <c r="P66" s="15" t="n">
        <f aca="false">IF(OR(K66&lt;=0),"NM",IF(H66/K66&gt;Supuestos!$B$17,"NM",H66/K66))</f>
        <v>10.3933010675659</v>
      </c>
      <c r="Q66" s="15" t="n">
        <f aca="false">IF(OR(I66&lt;=0),"NM",IF(H66/I66&gt;Supuestos!$B$17,"NM",H66/I66))</f>
        <v>6.40114713622848</v>
      </c>
      <c r="R66" s="15" t="n">
        <f aca="false">IF(OR(M66&lt;=0),"NM",IF(E66/M66&gt;Supuestos!$B$17,"NM",E66/M66))</f>
        <v>1.57084695217433</v>
      </c>
    </row>
    <row r="67" customFormat="false" ht="15" hidden="false" customHeight="false" outlineLevel="0" collapsed="false">
      <c r="A67" s="11" t="s">
        <v>32</v>
      </c>
      <c r="B67" s="12" t="s">
        <v>33</v>
      </c>
      <c r="C67" s="12" t="s">
        <v>34</v>
      </c>
      <c r="D67" s="13" t="str">
        <f aca="false">Datos_BBG!F37</f>
        <v>FY2025 (jun)</v>
      </c>
      <c r="E67" s="14" t="n">
        <f aca="false">Datos_BBG!O37*Datos_BBG!S37</f>
        <v>784724.614694211</v>
      </c>
      <c r="F67" s="14" t="n">
        <f aca="false">Datos_BBG!M37*Datos_BBG!S37</f>
        <v>393612.640350877</v>
      </c>
      <c r="G67" s="14" t="n">
        <f aca="false">Datos_BBG!N37*Datos_BBG!S37</f>
        <v>78263.2251551957</v>
      </c>
      <c r="H67" s="14" t="n">
        <f aca="false">Datos_BBG!T37*Datos_BBG!S37</f>
        <v>1256600.48020028</v>
      </c>
      <c r="I67" s="14" t="n">
        <f aca="false">Datos_BBG!G37*Datos_BBG!S37</f>
        <v>389778.892442645</v>
      </c>
      <c r="J67" s="14" t="n">
        <f aca="false">Datos_BBG!H37*Datos_BBG!S37</f>
        <v>157170.594642375</v>
      </c>
      <c r="K67" s="14" t="n">
        <f aca="false">Datos_BBG!J37*Datos_BBG!S37</f>
        <v>148436.370917679</v>
      </c>
      <c r="L67" s="14" t="n">
        <f aca="false">Datos_BBG!K37*Datos_BBG!S37</f>
        <v>162225.416153846</v>
      </c>
      <c r="M67" s="14" t="n">
        <f aca="false">Datos_BBG!L37*Datos_BBG!S37</f>
        <v>1311391.9740081</v>
      </c>
      <c r="N67" s="15" t="n">
        <f aca="false">IF(OR(L67&lt;=0,Datos_BBG!Q37=1),"NM",IF(E67/L67&gt;Supuestos!$B$17,"NM",E67/L67))</f>
        <v>4.83724827649706</v>
      </c>
      <c r="O67" s="15" t="n">
        <f aca="false">IF(OR(J67&lt;=0),"NM",IF(H67/J67&gt;Supuestos!$B$17,"NM",H67/J67))</f>
        <v>7.9951372778066</v>
      </c>
      <c r="P67" s="15" t="n">
        <f aca="false">IF(OR(K67&lt;=0),"NM",IF(H67/K67&gt;Supuestos!$B$17,"NM",H67/K67))</f>
        <v>8.46558341753842</v>
      </c>
      <c r="Q67" s="15" t="n">
        <f aca="false">IF(OR(I67&lt;=0),"NM",IF(H67/I67&gt;Supuestos!$B$17,"NM",H67/I67))</f>
        <v>3.223880267927</v>
      </c>
      <c r="R67" s="15" t="n">
        <f aca="false">IF(OR(M67&lt;=0),"NM",IF(E67/M67&gt;Supuestos!$B$17,"NM",E67/M67))</f>
        <v>0.598390588205144</v>
      </c>
    </row>
    <row r="68" customFormat="false" ht="15" hidden="false" customHeight="false" outlineLevel="0" collapsed="false">
      <c r="A68" s="11" t="s">
        <v>35</v>
      </c>
      <c r="B68" s="12" t="s">
        <v>33</v>
      </c>
      <c r="C68" s="12" t="s">
        <v>36</v>
      </c>
      <c r="D68" s="13" t="str">
        <f aca="false">Datos_BBG!F42</f>
        <v>FY2025</v>
      </c>
      <c r="E68" s="14" t="n">
        <f aca="false">Datos_BBG!O42*Datos_BBG!S42</f>
        <v>2372464.51561576</v>
      </c>
      <c r="F68" s="14" t="n">
        <f aca="false">Datos_BBG!M42*Datos_BBG!S42</f>
        <v>545843.483310345</v>
      </c>
      <c r="G68" s="14" t="n">
        <f aca="false">Datos_BBG!N42*Datos_BBG!S42</f>
        <v>150581.675164532</v>
      </c>
      <c r="H68" s="14" t="n">
        <f aca="false">Datos_BBG!T42*Datos_BBG!S42</f>
        <v>3068889.67409064</v>
      </c>
      <c r="I68" s="14" t="n">
        <f aca="false">Datos_BBG!G42*Datos_BBG!S42</f>
        <v>399348.646158621</v>
      </c>
      <c r="J68" s="14" t="n">
        <f aca="false">Datos_BBG!H42*Datos_BBG!S42</f>
        <v>264817.695589655</v>
      </c>
      <c r="K68" s="14" t="n">
        <f aca="false">Datos_BBG!J42*Datos_BBG!S42</f>
        <v>264130.121812315</v>
      </c>
      <c r="L68" s="14" t="n">
        <f aca="false">Datos_BBG!K42*Datos_BBG!S42</f>
        <v>265291.200159606</v>
      </c>
      <c r="M68" s="14" t="n">
        <f aca="false">Datos_BBG!L42*Datos_BBG!S42</f>
        <v>3362943.01431035</v>
      </c>
      <c r="N68" s="15" t="n">
        <f aca="false">IF(OR(L68&lt;=0,Datos_BBG!Q42=1),"NM",IF(E68/L68&gt;Supuestos!$B$17,"NM",E68/L68))</f>
        <v>8.94286924778669</v>
      </c>
      <c r="O68" s="15" t="n">
        <f aca="false">IF(OR(J68&lt;=0),"NM",IF(H68/J68&gt;Supuestos!$B$17,"NM",H68/J68))</f>
        <v>11.5886880869396</v>
      </c>
      <c r="P68" s="15" t="n">
        <f aca="false">IF(OR(K68&lt;=0),"NM",IF(H68/K68&gt;Supuestos!$B$17,"NM",H68/K68))</f>
        <v>11.6188553317343</v>
      </c>
      <c r="Q68" s="15" t="n">
        <f aca="false">IF(OR(I68&lt;=0),"NM",IF(H68/I68&gt;Supuestos!$B$17,"NM",H68/I68))</f>
        <v>7.68473789409488</v>
      </c>
      <c r="R68" s="15" t="n">
        <f aca="false">IF(OR(M68&lt;=0),"NM",IF(E68/M68&gt;Supuestos!$B$17,"NM",E68/M68))</f>
        <v>0.705472708136952</v>
      </c>
    </row>
    <row r="69" customFormat="false" ht="15" hidden="false" customHeight="false" outlineLevel="0" collapsed="false">
      <c r="A69" s="16" t="s">
        <v>37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 t="n">
        <f aca="false">IFERROR(MEDIAN(N62:N66),"NM")</f>
        <v>13.0757515691087</v>
      </c>
      <c r="O69" s="18" t="n">
        <f aca="false">IFERROR(MEDIAN(O62:O66),"NM")</f>
        <v>10.1202006784382</v>
      </c>
      <c r="P69" s="18" t="n">
        <f aca="false">IFERROR(MEDIAN(P62:P66),"NM")</f>
        <v>13.9684702452511</v>
      </c>
      <c r="Q69" s="18" t="n">
        <f aca="false">IFERROR(MEDIAN(Q62:Q66),"NM")</f>
        <v>7.2177355157621</v>
      </c>
      <c r="R69" s="18" t="n">
        <f aca="false">IFERROR(MEDIAN(R62:R66),"NM")</f>
        <v>1.57084695217433</v>
      </c>
    </row>
    <row r="70" customFormat="false" ht="15" hidden="false" customHeight="false" outlineLevel="0" collapsed="false">
      <c r="A70" s="16" t="s">
        <v>38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 t="n">
        <f aca="false">IFERROR(AVERAGE(N62:N66),"NM")</f>
        <v>14.6159987772511</v>
      </c>
      <c r="O70" s="18" t="n">
        <f aca="false">IFERROR(AVERAGE(O62:O66),"NM")</f>
        <v>12.0361098286753</v>
      </c>
      <c r="P70" s="18" t="n">
        <f aca="false">IFERROR(AVERAGE(P62:P66),"NM")</f>
        <v>13.3701440891804</v>
      </c>
      <c r="Q70" s="18" t="n">
        <f aca="false">IFERROR(AVERAGE(Q62:Q66),"NM")</f>
        <v>9.09157238955588</v>
      </c>
      <c r="R70" s="18" t="n">
        <f aca="false">IFERROR(AVERAGE(R62:R66),"NM")</f>
        <v>1.58137247101484</v>
      </c>
    </row>
    <row r="71" customFormat="false" ht="15" hidden="false" customHeight="false" outlineLevel="0" collapsed="false">
      <c r="A71" s="16" t="s">
        <v>39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 t="n">
        <f aca="false">IFERROR(MEDIAN(N62:N68),"NM")</f>
        <v>12.5451031830512</v>
      </c>
      <c r="O71" s="18" t="n">
        <f aca="false">IFERROR(MEDIAN(O62:O68),"NM")</f>
        <v>10.1202006784382</v>
      </c>
      <c r="P71" s="18" t="n">
        <f aca="false">IFERROR(MEDIAN(P62:P68),"NM")</f>
        <v>11.6188553317343</v>
      </c>
      <c r="Q71" s="18" t="n">
        <f aca="false">IFERROR(MEDIAN(Q62:Q68),"NM")</f>
        <v>7.2177355157621</v>
      </c>
      <c r="R71" s="18" t="n">
        <f aca="false">IFERROR(MEDIAN(R62:R68),"NM")</f>
        <v>1.3296619474856</v>
      </c>
    </row>
    <row r="72" customFormat="false" ht="15" hidden="false" customHeight="false" outlineLevel="0" collapsed="false">
      <c r="A72" s="16" t="s">
        <v>40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 t="n">
        <f aca="false">IFERROR(AVERAGE(N62:N68),"NM")</f>
        <v>12.4085873443628</v>
      </c>
      <c r="O72" s="18" t="n">
        <f aca="false">IFERROR(AVERAGE(O62:O68),"NM")</f>
        <v>11.3949106440175</v>
      </c>
      <c r="P72" s="18" t="n">
        <f aca="false">IFERROR(AVERAGE(P62:P68),"NM")</f>
        <v>12.4193084564535</v>
      </c>
      <c r="Q72" s="18" t="n">
        <f aca="false">IFERROR(AVERAGE(Q62:Q68),"NM")</f>
        <v>8.05235430140018</v>
      </c>
      <c r="R72" s="18" t="n">
        <f aca="false">IFERROR(AVERAGE(R62:R68),"NM")</f>
        <v>1.31581795020232</v>
      </c>
    </row>
    <row r="73" customFormat="false" ht="15" hidden="false" customHeight="false" outlineLevel="0" collapsed="false">
      <c r="A73" s="19" t="s">
        <v>41</v>
      </c>
      <c r="N73" s="20" t="n">
        <f aca="false">IFERROR(N61/N69-1,"NM")</f>
        <v>-0.627098866273786</v>
      </c>
      <c r="O73" s="20" t="n">
        <f aca="false">IFERROR(O61/O69-1,"NM")</f>
        <v>0.567233863463789</v>
      </c>
      <c r="P73" s="20" t="n">
        <f aca="false">IFERROR(P61/P69-1,"NM")</f>
        <v>0.143308119731541</v>
      </c>
      <c r="Q73" s="20" t="n">
        <f aca="false">IFERROR(Q61/Q69-1,"NM")</f>
        <v>0.768386605385067</v>
      </c>
      <c r="R73" s="20" t="n">
        <f aca="false">IFERROR(R61/R69-1,"NM")</f>
        <v>-0.00914476041317525</v>
      </c>
    </row>
    <row r="76" customFormat="false" ht="15" hidden="false" customHeight="false" outlineLevel="0" collapsed="false">
      <c r="A76" s="3" t="s">
        <v>53</v>
      </c>
    </row>
    <row r="77" customFormat="false" ht="30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  <c r="K77" s="4" t="s">
        <v>13</v>
      </c>
      <c r="L77" s="4" t="s">
        <v>14</v>
      </c>
      <c r="M77" s="4" t="s">
        <v>15</v>
      </c>
      <c r="N77" s="4" t="s">
        <v>16</v>
      </c>
      <c r="O77" s="4" t="s">
        <v>17</v>
      </c>
      <c r="P77" s="4" t="s">
        <v>18</v>
      </c>
      <c r="Q77" s="4" t="s">
        <v>19</v>
      </c>
      <c r="R77" s="4" t="s">
        <v>20</v>
      </c>
    </row>
    <row r="78" customFormat="false" ht="15" hidden="false" customHeight="false" outlineLevel="0" collapsed="false">
      <c r="E78" s="5" t="s">
        <v>21</v>
      </c>
    </row>
    <row r="79" customFormat="false" ht="15" hidden="false" customHeight="false" outlineLevel="0" collapsed="false">
      <c r="A79" s="6" t="s">
        <v>22</v>
      </c>
      <c r="B79" s="7" t="s">
        <v>23</v>
      </c>
      <c r="C79" s="7" t="s">
        <v>24</v>
      </c>
      <c r="D79" s="8" t="str">
        <f aca="false">Datos_BBG!F8</f>
        <v>LTM</v>
      </c>
      <c r="E79" s="9" t="n">
        <f aca="false">Datos_BBG!O8*Datos_BBG!S8</f>
        <v>7785450</v>
      </c>
      <c r="F79" s="9" t="n">
        <f aca="false">Datos_BBG!M8*Datos_BBG!S8</f>
        <v>1311568.558</v>
      </c>
      <c r="G79" s="9" t="n">
        <f aca="false">Datos_BBG!N8*Datos_BBG!S8</f>
        <v>50841.428</v>
      </c>
      <c r="H79" s="9" t="n">
        <f aca="false">Datos_BBG!T8*Datos_BBG!S8</f>
        <v>9147859.986</v>
      </c>
      <c r="I79" s="9" t="n">
        <f aca="false">Datos_BBG!G8*Datos_BBG!S8</f>
        <v>677333.306</v>
      </c>
      <c r="J79" s="9" t="n">
        <f aca="false">Datos_BBG!H8*Datos_BBG!S8</f>
        <v>544935</v>
      </c>
      <c r="K79" s="9" t="n">
        <f aca="false">Datos_BBG!J8*Datos_BBG!S8</f>
        <v>540372.726</v>
      </c>
      <c r="L79" s="9" t="n">
        <f aca="false">Datos_BBG!K8*Datos_BBG!S8</f>
        <v>1258052.743</v>
      </c>
      <c r="M79" s="9" t="n">
        <f aca="false">Datos_BBG!L8*Datos_BBG!S8</f>
        <v>4820897.848</v>
      </c>
      <c r="N79" s="10" t="n">
        <f aca="false">IF(OR(L79&lt;=0,Datos_BBG!Q8=1),"NM",IF(E79/L79&gt;Supuestos!$B$17,"NM",E79/L79))</f>
        <v>6.18849252809109</v>
      </c>
      <c r="O79" s="10" t="n">
        <f aca="false">IF(OR(J79&lt;=0),"NM",IF(H79/J79&gt;Supuestos!$B$17,"NM",H79/J79))</f>
        <v>16.7870663216714</v>
      </c>
      <c r="P79" s="10" t="n">
        <f aca="false">IF(OR(K79&lt;=0),"NM",IF(H79/K79&gt;Supuestos!$B$17,"NM",H79/K79))</f>
        <v>16.9287966358243</v>
      </c>
      <c r="Q79" s="10" t="n">
        <f aca="false">IF(OR(I79&lt;=0),"NM",IF(H79/I79&gt;Supuestos!$B$17,"NM",H79/I79))</f>
        <v>13.5056993432418</v>
      </c>
      <c r="R79" s="10" t="n">
        <f aca="false">IF(OR(M79&lt;=0),"NM",IF(E79/M79&gt;Supuestos!$B$17,"NM",E79/M79))</f>
        <v>1.61493776584166</v>
      </c>
    </row>
    <row r="80" customFormat="false" ht="15" hidden="false" customHeight="false" outlineLevel="0" collapsed="false">
      <c r="A80" s="11" t="s">
        <v>25</v>
      </c>
      <c r="B80" s="12" t="s">
        <v>26</v>
      </c>
      <c r="C80" s="12" t="s">
        <v>24</v>
      </c>
      <c r="D80" s="13" t="str">
        <f aca="false">Datos_BBG!F13</f>
        <v>LTM</v>
      </c>
      <c r="E80" s="14" t="n">
        <f aca="false">Datos_BBG!O13*Datos_BBG!S13</f>
        <v>3440408.419</v>
      </c>
      <c r="F80" s="14" t="n">
        <f aca="false">Datos_BBG!M13*Datos_BBG!S13</f>
        <v>1602287.611</v>
      </c>
      <c r="G80" s="14" t="n">
        <f aca="false">Datos_BBG!N13*Datos_BBG!S13</f>
        <v>386791.135</v>
      </c>
      <c r="H80" s="14" t="n">
        <f aca="false">Datos_BBG!T13*Datos_BBG!S13</f>
        <v>5429487.165</v>
      </c>
      <c r="I80" s="14" t="n">
        <f aca="false">Datos_BBG!G13*Datos_BBG!S13</f>
        <v>416366.832</v>
      </c>
      <c r="J80" s="14" t="n">
        <f aca="false">Datos_BBG!H13*Datos_BBG!S13</f>
        <v>294411</v>
      </c>
      <c r="K80" s="14" t="n">
        <f aca="false">Datos_BBG!J13*Datos_BBG!S13</f>
        <v>289515.61</v>
      </c>
      <c r="L80" s="14" t="n">
        <f aca="false">Datos_BBG!K13*Datos_BBG!S13</f>
        <v>154352.778</v>
      </c>
      <c r="M80" s="14" t="n">
        <f aca="false">Datos_BBG!L13*Datos_BBG!S13</f>
        <v>1961393.215</v>
      </c>
      <c r="N80" s="15" t="n">
        <f aca="false">IF(OR(L80&lt;=0,Datos_BBG!Q13=1),"NM",IF(E80/L80&gt;Supuestos!$B$17,"NM",E80/L80))</f>
        <v>22.2892549365066</v>
      </c>
      <c r="O80" s="15" t="n">
        <f aca="false">IF(OR(J80&lt;=0),"NM",IF(H80/J80&gt;Supuestos!$B$17,"NM",H80/J80))</f>
        <v>18.441862447395</v>
      </c>
      <c r="P80" s="15" t="n">
        <f aca="false">IF(OR(K80&lt;=0),"NM",IF(H80/K80&gt;Supuestos!$B$17,"NM",H80/K80))</f>
        <v>18.7536940236141</v>
      </c>
      <c r="Q80" s="15" t="n">
        <f aca="false">IF(OR(I80&lt;=0),"NM",IF(H80/I80&gt;Supuestos!$B$17,"NM",H80/I80))</f>
        <v>13.0401529317782</v>
      </c>
      <c r="R80" s="15" t="n">
        <f aca="false">IF(OR(M80&lt;=0),"NM",IF(E80/M80&gt;Supuestos!$B$17,"NM",E80/M80))</f>
        <v>1.75406358739749</v>
      </c>
    </row>
    <row r="81" customFormat="false" ht="15" hidden="false" customHeight="false" outlineLevel="0" collapsed="false">
      <c r="A81" s="11" t="s">
        <v>27</v>
      </c>
      <c r="B81" s="12" t="s">
        <v>26</v>
      </c>
      <c r="C81" s="12" t="s">
        <v>24</v>
      </c>
      <c r="D81" s="13" t="str">
        <f aca="false">Datos_BBG!F18</f>
        <v>LTM</v>
      </c>
      <c r="E81" s="14" t="n">
        <f aca="false">Datos_BBG!O18*Datos_BBG!S18</f>
        <v>3710182.595</v>
      </c>
      <c r="F81" s="14" t="n">
        <f aca="false">Datos_BBG!M18*Datos_BBG!S18</f>
        <v>852533.941</v>
      </c>
      <c r="G81" s="14" t="n">
        <f aca="false">Datos_BBG!N18*Datos_BBG!S18</f>
        <v>6464.021</v>
      </c>
      <c r="H81" s="14" t="n">
        <f aca="false">Datos_BBG!T18*Datos_BBG!S18</f>
        <v>4569180.557</v>
      </c>
      <c r="I81" s="14" t="n">
        <f aca="false">Datos_BBG!G18*Datos_BBG!S18</f>
        <v>390677.946</v>
      </c>
      <c r="J81" s="14" t="n">
        <f aca="false">Datos_BBG!H18*Datos_BBG!S18</f>
        <v>350561.254</v>
      </c>
      <c r="K81" s="14" t="n">
        <f aca="false">Datos_BBG!J18*Datos_BBG!S18</f>
        <v>349975.943</v>
      </c>
      <c r="L81" s="14" t="n">
        <f aca="false">Datos_BBG!K18*Datos_BBG!S18</f>
        <v>353938.282</v>
      </c>
      <c r="M81" s="14" t="n">
        <f aca="false">Datos_BBG!L18*Datos_BBG!S18</f>
        <v>3136456.799</v>
      </c>
      <c r="N81" s="15" t="n">
        <f aca="false">IF(OR(L81&lt;=0,Datos_BBG!Q18=1),"NM",IF(E81/L81&gt;Supuestos!$B$17,"NM",E81/L81))</f>
        <v>10.4825693734932</v>
      </c>
      <c r="O81" s="15" t="n">
        <f aca="false">IF(OR(J81&lt;=0),"NM",IF(H81/J81&gt;Supuestos!$B$17,"NM",H81/J81))</f>
        <v>13.0339006517817</v>
      </c>
      <c r="P81" s="15" t="n">
        <f aca="false">IF(OR(K81&lt;=0),"NM",IF(H81/K81&gt;Supuestos!$B$17,"NM",H81/K81))</f>
        <v>13.0556989655715</v>
      </c>
      <c r="Q81" s="15" t="n">
        <f aca="false">IF(OR(I81&lt;=0),"NM",IF(H81/I81&gt;Supuestos!$B$17,"NM",H81/I81))</f>
        <v>11.6955169949624</v>
      </c>
      <c r="R81" s="15" t="n">
        <f aca="false">IF(OR(M81&lt;=0),"NM",IF(E81/M81&gt;Supuestos!$B$17,"NM",E81/M81))</f>
        <v>1.18292163188185</v>
      </c>
    </row>
    <row r="82" customFormat="false" ht="15" hidden="false" customHeight="false" outlineLevel="0" collapsed="false">
      <c r="A82" s="11" t="s">
        <v>28</v>
      </c>
      <c r="B82" s="12" t="s">
        <v>26</v>
      </c>
      <c r="C82" s="12" t="s">
        <v>29</v>
      </c>
      <c r="D82" s="13" t="str">
        <f aca="false">Datos_BBG!F23</f>
        <v>LTM</v>
      </c>
      <c r="E82" s="14" t="n">
        <f aca="false">Datos_BBG!O23*Datos_BBG!S23</f>
        <v>2907890.34768236</v>
      </c>
      <c r="F82" s="14" t="n">
        <f aca="false">Datos_BBG!M23*Datos_BBG!S23</f>
        <v>888983.197853961</v>
      </c>
      <c r="G82" s="14" t="n">
        <f aca="false">Datos_BBG!N23*Datos_BBG!S23</f>
        <v>33.0491768351734</v>
      </c>
      <c r="H82" s="14" t="n">
        <f aca="false">Datos_BBG!T23*Datos_BBG!S23</f>
        <v>3796906.59471315</v>
      </c>
      <c r="I82" s="14" t="n">
        <f aca="false">Datos_BBG!G23*Datos_BBG!S23</f>
        <v>570440.404048034</v>
      </c>
      <c r="J82" s="14" t="n">
        <f aca="false">Datos_BBG!H23*Datos_BBG!S23</f>
        <v>421296.078826264</v>
      </c>
      <c r="K82" s="14" t="n">
        <f aca="false">Datos_BBG!J23*Datos_BBG!S23</f>
        <v>397146.062769708</v>
      </c>
      <c r="L82" s="14" t="n">
        <f aca="false">Datos_BBG!K23*Datos_BBG!S23</f>
        <v>247648.3793221</v>
      </c>
      <c r="M82" s="14" t="n">
        <f aca="false">Datos_BBG!L23*Datos_BBG!S23</f>
        <v>1206875.90541933</v>
      </c>
      <c r="N82" s="15" t="n">
        <f aca="false">IF(OR(L82&lt;=0,Datos_BBG!Q23=1),"NM",IF(E82/L82&gt;Supuestos!$B$17,"NM",E82/L82))</f>
        <v>11.7420124276293</v>
      </c>
      <c r="O82" s="15" t="n">
        <f aca="false">IF(OR(J82&lt;=0),"NM",IF(H82/J82&gt;Supuestos!$B$17,"NM",H82/J82))</f>
        <v>9.0124422835631</v>
      </c>
      <c r="P82" s="15" t="n">
        <f aca="false">IF(OR(K82&lt;=0),"NM",IF(H82/K82&gt;Supuestos!$B$17,"NM",H82/K82))</f>
        <v>9.56047900420672</v>
      </c>
      <c r="Q82" s="15" t="n">
        <f aca="false">IF(OR(I82&lt;=0),"NM",IF(H82/I82&gt;Supuestos!$B$17,"NM",H82/I82))</f>
        <v>6.65609688193376</v>
      </c>
      <c r="R82" s="15" t="n">
        <f aca="false">IF(OR(M82&lt;=0),"NM",IF(E82/M82&gt;Supuestos!$B$17,"NM",E82/M82))</f>
        <v>2.40943607758248</v>
      </c>
    </row>
    <row r="83" customFormat="false" ht="15" hidden="false" customHeight="false" outlineLevel="0" collapsed="false">
      <c r="A83" s="11" t="s">
        <v>30</v>
      </c>
      <c r="B83" s="12" t="s">
        <v>26</v>
      </c>
      <c r="C83" s="12" t="s">
        <v>29</v>
      </c>
      <c r="D83" s="13" t="str">
        <f aca="false">Datos_BBG!F28</f>
        <v>LTM</v>
      </c>
      <c r="E83" s="14" t="n">
        <f aca="false">Datos_BBG!O28*Datos_BBG!S28</f>
        <v>2656187.53107496</v>
      </c>
      <c r="F83" s="14" t="n">
        <f aca="false">Datos_BBG!M28*Datos_BBG!S28</f>
        <v>1221640.66983149</v>
      </c>
      <c r="G83" s="14" t="n">
        <f aca="false">Datos_BBG!N28*Datos_BBG!S28</f>
        <v>17188.9661940732</v>
      </c>
      <c r="H83" s="14" t="n">
        <f aca="false">Datos_BBG!T28*Datos_BBG!S28</f>
        <v>3895017.16710052</v>
      </c>
      <c r="I83" s="14" t="n">
        <f aca="false">Datos_BBG!G28*Datos_BBG!S28</f>
        <v>524937.582804571</v>
      </c>
      <c r="J83" s="14" t="n">
        <f aca="false">Datos_BBG!H28*Datos_BBG!S28</f>
        <v>388838.750222739</v>
      </c>
      <c r="K83" s="14" t="n">
        <f aca="false">Datos_BBG!J28*Datos_BBG!S28</f>
        <v>276308.446829363</v>
      </c>
      <c r="L83" s="14" t="n">
        <f aca="false">Datos_BBG!K28*Datos_BBG!S28</f>
        <v>166950.149835367</v>
      </c>
      <c r="M83" s="14" t="n">
        <f aca="false">Datos_BBG!L28*Datos_BBG!S28</f>
        <v>2296067.80094519</v>
      </c>
      <c r="N83" s="15" t="n">
        <f aca="false">IF(OR(L83&lt;=0,Datos_BBG!Q28=1),"NM",IF(E83/L83&gt;Supuestos!$B$17,"NM",E83/L83))</f>
        <v>15.9100637746913</v>
      </c>
      <c r="O83" s="15" t="n">
        <f aca="false">IF(OR(J83&lt;=0),"NM",IF(H83/J83&gt;Supuestos!$B$17,"NM",H83/J83))</f>
        <v>10.0170499078843</v>
      </c>
      <c r="P83" s="15" t="n">
        <f aca="false">IF(OR(K83&lt;=0),"NM",IF(H83/K83&gt;Supuestos!$B$17,"NM",H83/K83))</f>
        <v>14.0966271997683</v>
      </c>
      <c r="Q83" s="15" t="n">
        <f aca="false">IF(OR(I83&lt;=0),"NM",IF(H83/I83&gt;Supuestos!$B$17,"NM",H83/I83))</f>
        <v>7.41996247685432</v>
      </c>
      <c r="R83" s="15" t="n">
        <f aca="false">IF(OR(M83&lt;=0),"NM",IF(E83/M83&gt;Supuestos!$B$17,"NM",E83/M83))</f>
        <v>1.15684194080921</v>
      </c>
    </row>
    <row r="84" customFormat="false" ht="15" hidden="false" customHeight="false" outlineLevel="0" collapsed="false">
      <c r="A84" s="11" t="s">
        <v>31</v>
      </c>
      <c r="B84" s="12" t="s">
        <v>26</v>
      </c>
      <c r="C84" s="12" t="s">
        <v>29</v>
      </c>
      <c r="D84" s="13" t="str">
        <f aca="false">Datos_BBG!F33</f>
        <v>LTM</v>
      </c>
      <c r="E84" s="14" t="n">
        <f aca="false">Datos_BBG!O33*Datos_BBG!S33</f>
        <v>1381189.73341313</v>
      </c>
      <c r="F84" s="14" t="n">
        <f aca="false">Datos_BBG!M33*Datos_BBG!S33</f>
        <v>382047.948282007</v>
      </c>
      <c r="G84" s="14" t="n">
        <f aca="false">Datos_BBG!N33*Datos_BBG!S33</f>
        <v>38.9444354057718</v>
      </c>
      <c r="H84" s="14" t="n">
        <f aca="false">Datos_BBG!T33*Datos_BBG!S33</f>
        <v>1763276.62613054</v>
      </c>
      <c r="I84" s="14" t="n">
        <f aca="false">Datos_BBG!G33*Datos_BBG!S33</f>
        <v>272862.757516948</v>
      </c>
      <c r="J84" s="14" t="n">
        <f aca="false">Datos_BBG!H33*Datos_BBG!S33</f>
        <v>201422.94229324</v>
      </c>
      <c r="K84" s="14" t="n">
        <f aca="false">Datos_BBG!J33*Datos_BBG!S33</f>
        <v>178237.783556072</v>
      </c>
      <c r="L84" s="14" t="n">
        <f aca="false">Datos_BBG!K33*Datos_BBG!S33</f>
        <v>114077.004869262</v>
      </c>
      <c r="M84" s="14" t="n">
        <f aca="false">Datos_BBG!L33*Datos_BBG!S33</f>
        <v>881991.063900833</v>
      </c>
      <c r="N84" s="15" t="n">
        <f aca="false">IF(OR(L84&lt;=0,Datos_BBG!Q33=1),"NM",IF(E84/L84&gt;Supuestos!$B$17,"NM",E84/L84))</f>
        <v>12.1075210117591</v>
      </c>
      <c r="O84" s="15" t="n">
        <f aca="false">IF(OR(J84&lt;=0),"NM",IF(H84/J84&gt;Supuestos!$B$17,"NM",H84/J84))</f>
        <v>8.75410023334625</v>
      </c>
      <c r="P84" s="15" t="n">
        <f aca="false">IF(OR(K84&lt;=0),"NM",IF(H84/K84&gt;Supuestos!$B$17,"NM",H84/K84))</f>
        <v>9.89283299506377</v>
      </c>
      <c r="Q84" s="15" t="n">
        <f aca="false">IF(OR(I84&lt;=0),"NM",IF(H84/I84&gt;Supuestos!$B$17,"NM",H84/I84))</f>
        <v>6.46213738428934</v>
      </c>
      <c r="R84" s="15" t="n">
        <f aca="false">IF(OR(M84&lt;=0),"NM",IF(E84/M84&gt;Supuestos!$B$17,"NM",E84/M84))</f>
        <v>1.56599062047688</v>
      </c>
    </row>
    <row r="85" customFormat="false" ht="15" hidden="false" customHeight="false" outlineLevel="0" collapsed="false">
      <c r="A85" s="11" t="s">
        <v>32</v>
      </c>
      <c r="B85" s="12" t="s">
        <v>33</v>
      </c>
      <c r="C85" s="12" t="s">
        <v>34</v>
      </c>
      <c r="D85" s="13" t="str">
        <f aca="false">Datos_BBG!F38</f>
        <v>LTM</v>
      </c>
      <c r="E85" s="14" t="n">
        <f aca="false">Datos_BBG!O38*Datos_BBG!S38</f>
        <v>1140416.45830563</v>
      </c>
      <c r="F85" s="14" t="n">
        <f aca="false">Datos_BBG!M38*Datos_BBG!S38</f>
        <v>561235.176936572</v>
      </c>
      <c r="G85" s="14" t="n">
        <f aca="false">Datos_BBG!N38*Datos_BBG!S38</f>
        <v>87538.9035357625</v>
      </c>
      <c r="H85" s="14" t="n">
        <f aca="false">Datos_BBG!T38*Datos_BBG!S38</f>
        <v>1789190.53877796</v>
      </c>
      <c r="I85" s="14" t="n">
        <f aca="false">Datos_BBG!G38*Datos_BBG!S38</f>
        <v>409298.643967611</v>
      </c>
      <c r="J85" s="14" t="n">
        <f aca="false">Datos_BBG!H38*Datos_BBG!S38</f>
        <v>145686.203093304</v>
      </c>
      <c r="K85" s="14" t="n">
        <f aca="false">Datos_BBG!J38*Datos_BBG!S38</f>
        <v>135134.942757649</v>
      </c>
      <c r="L85" s="14" t="n">
        <f aca="false">Datos_BBG!K38*Datos_BBG!S38</f>
        <v>244905.542105263</v>
      </c>
      <c r="M85" s="14" t="n">
        <f aca="false">Datos_BBG!L38*Datos_BBG!S38</f>
        <v>1418831.51441296</v>
      </c>
      <c r="N85" s="15" t="n">
        <f aca="false">IF(OR(L85&lt;=0,Datos_BBG!Q38=1),"NM",IF(E85/L85&gt;Supuestos!$B$17,"NM",E85/L85))</f>
        <v>4.65655635434932</v>
      </c>
      <c r="O85" s="15" t="n">
        <f aca="false">IF(OR(J85&lt;=0),"NM",IF(H85/J85&gt;Supuestos!$B$17,"NM",H85/J85))</f>
        <v>12.2811254654779</v>
      </c>
      <c r="P85" s="15" t="n">
        <f aca="false">IF(OR(K85&lt;=0),"NM",IF(H85/K85&gt;Supuestos!$B$17,"NM",H85/K85))</f>
        <v>13.2400288353746</v>
      </c>
      <c r="Q85" s="15" t="n">
        <f aca="false">IF(OR(I85&lt;=0),"NM",IF(H85/I85&gt;Supuestos!$B$17,"NM",H85/I85))</f>
        <v>4.3713571133149</v>
      </c>
      <c r="R85" s="15" t="n">
        <f aca="false">IF(OR(M85&lt;=0),"NM",IF(E85/M85&gt;Supuestos!$B$17,"NM",E85/M85))</f>
        <v>0.803771587197566</v>
      </c>
    </row>
    <row r="86" customFormat="false" ht="15" hidden="false" customHeight="false" outlineLevel="0" collapsed="false">
      <c r="A86" s="11" t="s">
        <v>35</v>
      </c>
      <c r="B86" s="12" t="s">
        <v>33</v>
      </c>
      <c r="C86" s="12" t="s">
        <v>36</v>
      </c>
      <c r="D86" s="13" t="str">
        <f aca="false">Datos_BBG!F43</f>
        <v>LTM</v>
      </c>
      <c r="E86" s="14" t="n">
        <f aca="false">Datos_BBG!O43*Datos_BBG!S43</f>
        <v>2383999.42133005</v>
      </c>
      <c r="F86" s="14" t="n">
        <f aca="false">Datos_BBG!M43*Datos_BBG!S43</f>
        <v>618003.431527094</v>
      </c>
      <c r="G86" s="14" t="n">
        <f aca="false">Datos_BBG!N43*Datos_BBG!S43</f>
        <v>155940.903940887</v>
      </c>
      <c r="H86" s="14" t="n">
        <f aca="false">Datos_BBG!T43*Datos_BBG!S43</f>
        <v>3157943.75679803</v>
      </c>
      <c r="I86" s="14" t="n">
        <f aca="false">Datos_BBG!G43*Datos_BBG!S43</f>
        <v>417411.607746798</v>
      </c>
      <c r="J86" s="14" t="n">
        <f aca="false">Datos_BBG!H43*Datos_BBG!S43</f>
        <v>277625.057532512</v>
      </c>
      <c r="K86" s="14" t="n">
        <f aca="false">Datos_BBG!J43*Datos_BBG!S43</f>
        <v>276925.518730542</v>
      </c>
      <c r="L86" s="14" t="n">
        <f aca="false">Datos_BBG!K43*Datos_BBG!S43</f>
        <v>301542.114937931</v>
      </c>
      <c r="M86" s="14" t="n">
        <f aca="false">Datos_BBG!L43*Datos_BBG!S43</f>
        <v>3445417.07783251</v>
      </c>
      <c r="N86" s="15" t="n">
        <f aca="false">IF(OR(L86&lt;=0,Datos_BBG!Q43=1),"NM",IF(E86/L86&gt;Supuestos!$B$17,"NM",E86/L86))</f>
        <v>7.90602474158798</v>
      </c>
      <c r="O86" s="15" t="n">
        <f aca="false">IF(OR(J86&lt;=0),"NM",IF(H86/J86&gt;Supuestos!$B$17,"NM",H86/J86))</f>
        <v>11.3748513367825</v>
      </c>
      <c r="P86" s="15" t="n">
        <f aca="false">IF(OR(K86&lt;=0),"NM",IF(H86/K86&gt;Supuestos!$B$17,"NM",H86/K86))</f>
        <v>11.40358523575</v>
      </c>
      <c r="Q86" s="15" t="n">
        <f aca="false">IF(OR(I86&lt;=0),"NM",IF(H86/I86&gt;Supuestos!$B$17,"NM",H86/I86))</f>
        <v>7.56553890258279</v>
      </c>
      <c r="R86" s="15" t="n">
        <f aca="false">IF(OR(M86&lt;=0),"NM",IF(E86/M86&gt;Supuestos!$B$17,"NM",E86/M86))</f>
        <v>0.691933477856274</v>
      </c>
    </row>
    <row r="87" customFormat="false" ht="15" hidden="false" customHeight="false" outlineLevel="0" collapsed="false">
      <c r="A87" s="16" t="s">
        <v>37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 t="n">
        <f aca="false">IFERROR(MEDIAN(N80:N84),"NM")</f>
        <v>12.1075210117591</v>
      </c>
      <c r="O87" s="18" t="n">
        <f aca="false">IFERROR(MEDIAN(O80:O84),"NM")</f>
        <v>10.0170499078843</v>
      </c>
      <c r="P87" s="18" t="n">
        <f aca="false">IFERROR(MEDIAN(P80:P84),"NM")</f>
        <v>13.0556989655715</v>
      </c>
      <c r="Q87" s="18" t="n">
        <f aca="false">IFERROR(MEDIAN(Q80:Q84),"NM")</f>
        <v>7.41996247685432</v>
      </c>
      <c r="R87" s="18" t="n">
        <f aca="false">IFERROR(MEDIAN(R80:R84),"NM")</f>
        <v>1.56599062047688</v>
      </c>
    </row>
    <row r="88" customFormat="false" ht="15" hidden="false" customHeight="false" outlineLevel="0" collapsed="false">
      <c r="A88" s="16" t="s">
        <v>38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 t="n">
        <f aca="false">IFERROR(AVERAGE(N80:N84),"NM")</f>
        <v>14.5062843048159</v>
      </c>
      <c r="O88" s="18" t="n">
        <f aca="false">IFERROR(AVERAGE(O80:O84),"NM")</f>
        <v>11.8518711047941</v>
      </c>
      <c r="P88" s="18" t="n">
        <f aca="false">IFERROR(AVERAGE(P80:P84),"NM")</f>
        <v>13.0718664376449</v>
      </c>
      <c r="Q88" s="18" t="n">
        <f aca="false">IFERROR(AVERAGE(Q80:Q84),"NM")</f>
        <v>9.0547733339636</v>
      </c>
      <c r="R88" s="18" t="n">
        <f aca="false">IFERROR(AVERAGE(R80:R84),"NM")</f>
        <v>1.61385077162958</v>
      </c>
    </row>
    <row r="89" customFormat="false" ht="15" hidden="false" customHeight="false" outlineLevel="0" collapsed="false">
      <c r="A89" s="16" t="s">
        <v>39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 t="n">
        <f aca="false">IFERROR(MEDIAN(N80:N86),"NM")</f>
        <v>11.7420124276293</v>
      </c>
      <c r="O89" s="18" t="n">
        <f aca="false">IFERROR(MEDIAN(O80:O86),"NM")</f>
        <v>11.3748513367825</v>
      </c>
      <c r="P89" s="18" t="n">
        <f aca="false">IFERROR(MEDIAN(P80:P86),"NM")</f>
        <v>13.0556989655715</v>
      </c>
      <c r="Q89" s="18" t="n">
        <f aca="false">IFERROR(MEDIAN(Q80:Q86),"NM")</f>
        <v>7.41996247685432</v>
      </c>
      <c r="R89" s="18" t="n">
        <f aca="false">IFERROR(MEDIAN(R80:R86),"NM")</f>
        <v>1.18292163188185</v>
      </c>
    </row>
    <row r="90" customFormat="false" ht="15" hidden="false" customHeight="false" outlineLevel="0" collapsed="false">
      <c r="A90" s="16" t="s">
        <v>40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 t="n">
        <f aca="false">IFERROR(AVERAGE(N80:N86),"NM")</f>
        <v>12.1562860885738</v>
      </c>
      <c r="O90" s="18" t="n">
        <f aca="false">IFERROR(AVERAGE(O80:O86),"NM")</f>
        <v>11.8450474751758</v>
      </c>
      <c r="P90" s="18" t="n">
        <f aca="false">IFERROR(AVERAGE(P80:P86),"NM")</f>
        <v>12.8575637513356</v>
      </c>
      <c r="Q90" s="18" t="n">
        <f aca="false">IFERROR(AVERAGE(Q80:Q86),"NM")</f>
        <v>8.17296609795939</v>
      </c>
      <c r="R90" s="18" t="n">
        <f aca="false">IFERROR(AVERAGE(R80:R86),"NM")</f>
        <v>1.36642270331454</v>
      </c>
    </row>
    <row r="91" customFormat="false" ht="15" hidden="false" customHeight="false" outlineLevel="0" collapsed="false">
      <c r="A91" s="19" t="s">
        <v>41</v>
      </c>
      <c r="N91" s="20" t="n">
        <f aca="false">IFERROR(N79/N87-1,"NM")</f>
        <v>-0.488872038951599</v>
      </c>
      <c r="O91" s="20" t="n">
        <f aca="false">IFERROR(O79/O87-1,"NM")</f>
        <v>0.675849324506064</v>
      </c>
      <c r="P91" s="20" t="n">
        <f aca="false">IFERROR(P79/P87-1,"NM")</f>
        <v>0.296659541589184</v>
      </c>
      <c r="Q91" s="20" t="n">
        <f aca="false">IFERROR(Q79/Q87-1,"NM")</f>
        <v>0.820184318367002</v>
      </c>
      <c r="R91" s="20" t="n">
        <f aca="false">IFERROR(R79/R87-1,"NM")</f>
        <v>0.031256346445979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60"/>
    <col collapsed="false" customWidth="true" hidden="false" outlineLevel="0" max="19" min="19" style="0" width="10"/>
    <col collapsed="false" customWidth="true" hidden="false" outlineLevel="0" max="20" min="20" style="0" width="13"/>
  </cols>
  <sheetData>
    <row r="1" customFormat="false" ht="15" hidden="false" customHeight="false" outlineLevel="0" collapsed="false">
      <c r="A1" s="3" t="s">
        <v>54</v>
      </c>
    </row>
    <row r="3" customFormat="false" ht="42" hidden="false" customHeight="true" outlineLevel="0" collapsed="false">
      <c r="A3" s="4" t="s">
        <v>3</v>
      </c>
      <c r="B3" s="4" t="s">
        <v>55</v>
      </c>
      <c r="C3" s="4" t="s">
        <v>4</v>
      </c>
      <c r="D3" s="4" t="s">
        <v>5</v>
      </c>
      <c r="E3" s="4" t="s">
        <v>56</v>
      </c>
      <c r="F3" s="4" t="s">
        <v>6</v>
      </c>
      <c r="G3" s="4" t="s">
        <v>11</v>
      </c>
      <c r="H3" s="4" t="s">
        <v>12</v>
      </c>
      <c r="I3" s="4" t="s">
        <v>57</v>
      </c>
      <c r="J3" s="4" t="s">
        <v>13</v>
      </c>
      <c r="K3" s="4" t="s">
        <v>58</v>
      </c>
      <c r="L3" s="4" t="s">
        <v>59</v>
      </c>
      <c r="M3" s="4" t="s">
        <v>60</v>
      </c>
      <c r="N3" s="4" t="s">
        <v>9</v>
      </c>
      <c r="O3" s="4" t="s">
        <v>7</v>
      </c>
      <c r="P3" s="4" t="s">
        <v>61</v>
      </c>
      <c r="Q3" s="4" t="s">
        <v>62</v>
      </c>
      <c r="R3" s="4" t="s">
        <v>63</v>
      </c>
      <c r="S3" s="4" t="s">
        <v>64</v>
      </c>
      <c r="T3" s="4" t="s">
        <v>65</v>
      </c>
    </row>
    <row r="4" customFormat="false" ht="15" hidden="false" customHeight="false" outlineLevel="0" collapsed="false">
      <c r="A4" s="21" t="s">
        <v>22</v>
      </c>
      <c r="B4" s="21" t="s">
        <v>66</v>
      </c>
      <c r="C4" s="21" t="s">
        <v>23</v>
      </c>
      <c r="D4" s="21" t="s">
        <v>24</v>
      </c>
      <c r="E4" s="21" t="s">
        <v>67</v>
      </c>
      <c r="F4" s="21" t="s">
        <v>49</v>
      </c>
      <c r="G4" s="22" t="n">
        <v>370898.935</v>
      </c>
      <c r="H4" s="22" t="n">
        <v>282699</v>
      </c>
      <c r="I4" s="22" t="n">
        <v>2165.395</v>
      </c>
      <c r="J4" s="23" t="n">
        <f aca="false">H4-I4</f>
        <v>280533.605</v>
      </c>
      <c r="K4" s="22" t="n">
        <v>157666.755</v>
      </c>
      <c r="L4" s="22" t="n">
        <v>2263298.479</v>
      </c>
      <c r="M4" s="22" t="n">
        <v>1011613.326</v>
      </c>
      <c r="N4" s="22" t="n">
        <v>168378.479</v>
      </c>
      <c r="O4" s="22" t="n">
        <v>2073680</v>
      </c>
      <c r="P4" s="24" t="n">
        <v>1050.647</v>
      </c>
      <c r="Q4" s="25" t="n">
        <v>0</v>
      </c>
      <c r="R4" s="26"/>
      <c r="S4" s="27" t="n">
        <f aca="false">Supuestos!$C$11</f>
        <v>1</v>
      </c>
      <c r="T4" s="28" t="n">
        <f aca="false">O4+M4+N4</f>
        <v>3253671.805</v>
      </c>
    </row>
    <row r="5" customFormat="false" ht="15" hidden="false" customHeight="false" outlineLevel="0" collapsed="false">
      <c r="A5" s="21" t="s">
        <v>22</v>
      </c>
      <c r="B5" s="21" t="s">
        <v>66</v>
      </c>
      <c r="C5" s="21" t="s">
        <v>23</v>
      </c>
      <c r="D5" s="21" t="s">
        <v>24</v>
      </c>
      <c r="E5" s="21" t="s">
        <v>67</v>
      </c>
      <c r="F5" s="21" t="s">
        <v>50</v>
      </c>
      <c r="G5" s="22" t="n">
        <v>419903.778</v>
      </c>
      <c r="H5" s="22" t="n">
        <v>322185</v>
      </c>
      <c r="I5" s="22" t="n">
        <v>2153.51</v>
      </c>
      <c r="J5" s="23" t="n">
        <f aca="false">H5-I5</f>
        <v>320031.49</v>
      </c>
      <c r="K5" s="22" t="n">
        <v>349758.853</v>
      </c>
      <c r="L5" s="22" t="n">
        <v>2601053.165</v>
      </c>
      <c r="M5" s="22" t="n">
        <v>1081082.31</v>
      </c>
      <c r="N5" s="22" t="n">
        <v>31634.353</v>
      </c>
      <c r="O5" s="22" t="n">
        <v>2439612</v>
      </c>
      <c r="P5" s="24" t="n">
        <v>1236.049</v>
      </c>
      <c r="Q5" s="25" t="n">
        <v>0</v>
      </c>
      <c r="R5" s="26"/>
      <c r="S5" s="27" t="n">
        <f aca="false">Supuestos!$C$11</f>
        <v>1</v>
      </c>
      <c r="T5" s="28" t="n">
        <f aca="false">O5+M5+N5</f>
        <v>3552328.663</v>
      </c>
    </row>
    <row r="6" customFormat="false" ht="15" hidden="false" customHeight="false" outlineLevel="0" collapsed="false">
      <c r="A6" s="21" t="s">
        <v>22</v>
      </c>
      <c r="B6" s="21" t="s">
        <v>66</v>
      </c>
      <c r="C6" s="21" t="s">
        <v>23</v>
      </c>
      <c r="D6" s="21" t="s">
        <v>24</v>
      </c>
      <c r="E6" s="21" t="s">
        <v>67</v>
      </c>
      <c r="F6" s="21" t="s">
        <v>51</v>
      </c>
      <c r="G6" s="22" t="n">
        <v>494605.239</v>
      </c>
      <c r="H6" s="22" t="n">
        <v>380637</v>
      </c>
      <c r="I6" s="22" t="n">
        <v>2111.809</v>
      </c>
      <c r="J6" s="23" t="n">
        <f aca="false">H6-I6</f>
        <v>378525.191</v>
      </c>
      <c r="K6" s="22" t="n">
        <v>335933.777</v>
      </c>
      <c r="L6" s="22" t="n">
        <v>3157863.075</v>
      </c>
      <c r="M6" s="22" t="n">
        <v>1458589.137</v>
      </c>
      <c r="N6" s="22" t="n">
        <v>33186.747</v>
      </c>
      <c r="O6" s="22" t="n">
        <v>3569919</v>
      </c>
      <c r="P6" s="24" t="n">
        <v>1630.1</v>
      </c>
      <c r="Q6" s="25" t="n">
        <v>0</v>
      </c>
      <c r="R6" s="26"/>
      <c r="S6" s="27" t="n">
        <f aca="false">Supuestos!$C$11</f>
        <v>1</v>
      </c>
      <c r="T6" s="28" t="n">
        <f aca="false">O6+M6+N6</f>
        <v>5061694.884</v>
      </c>
    </row>
    <row r="7" customFormat="false" ht="15" hidden="false" customHeight="false" outlineLevel="0" collapsed="false">
      <c r="A7" s="21" t="s">
        <v>22</v>
      </c>
      <c r="B7" s="21" t="s">
        <v>66</v>
      </c>
      <c r="C7" s="21" t="s">
        <v>23</v>
      </c>
      <c r="D7" s="21" t="s">
        <v>24</v>
      </c>
      <c r="E7" s="21" t="s">
        <v>67</v>
      </c>
      <c r="F7" s="21" t="s">
        <v>52</v>
      </c>
      <c r="G7" s="22" t="n">
        <v>653911.091</v>
      </c>
      <c r="H7" s="22" t="n">
        <v>526228</v>
      </c>
      <c r="I7" s="22" t="n">
        <v>3609.536</v>
      </c>
      <c r="J7" s="23" t="n">
        <f aca="false">H7-I7</f>
        <v>522618.464</v>
      </c>
      <c r="K7" s="22" t="n">
        <v>1431011.596</v>
      </c>
      <c r="L7" s="22" t="n">
        <v>4482903.946</v>
      </c>
      <c r="M7" s="22" t="n">
        <v>1327147.413</v>
      </c>
      <c r="N7" s="22" t="n">
        <v>41649.187</v>
      </c>
      <c r="O7" s="22" t="n">
        <v>6977559</v>
      </c>
      <c r="P7" s="24" t="n">
        <v>3186.1</v>
      </c>
      <c r="Q7" s="25" t="n">
        <v>0</v>
      </c>
      <c r="R7" s="26" t="s">
        <v>68</v>
      </c>
      <c r="S7" s="27" t="n">
        <f aca="false">Supuestos!$C$11</f>
        <v>1</v>
      </c>
      <c r="T7" s="28" t="n">
        <f aca="false">O7+M7+N7</f>
        <v>8346355.6</v>
      </c>
    </row>
    <row r="8" customFormat="false" ht="15" hidden="false" customHeight="false" outlineLevel="0" collapsed="false">
      <c r="A8" s="21" t="s">
        <v>22</v>
      </c>
      <c r="B8" s="21" t="s">
        <v>66</v>
      </c>
      <c r="C8" s="21" t="s">
        <v>23</v>
      </c>
      <c r="D8" s="21" t="s">
        <v>24</v>
      </c>
      <c r="E8" s="21" t="s">
        <v>67</v>
      </c>
      <c r="F8" s="21" t="s">
        <v>69</v>
      </c>
      <c r="G8" s="22" t="n">
        <v>677333.306</v>
      </c>
      <c r="H8" s="22" t="n">
        <v>544935</v>
      </c>
      <c r="I8" s="22" t="n">
        <v>4562.274</v>
      </c>
      <c r="J8" s="23" t="n">
        <f aca="false">H8-I8</f>
        <v>540372.726</v>
      </c>
      <c r="K8" s="22" t="n">
        <v>1258052.743</v>
      </c>
      <c r="L8" s="22" t="n">
        <v>4820897.848</v>
      </c>
      <c r="M8" s="22" t="n">
        <v>1311568.558</v>
      </c>
      <c r="N8" s="22" t="n">
        <v>50841.428</v>
      </c>
      <c r="O8" s="22" t="n">
        <v>7785450</v>
      </c>
      <c r="P8" s="24" t="n">
        <v>3555</v>
      </c>
      <c r="Q8" s="25" t="n">
        <v>0</v>
      </c>
      <c r="R8" s="26"/>
      <c r="S8" s="27" t="n">
        <f aca="false">Supuestos!$C$11</f>
        <v>1</v>
      </c>
      <c r="T8" s="28" t="n">
        <f aca="false">O8+M8+N8</f>
        <v>9147859.986</v>
      </c>
    </row>
    <row r="9" customFormat="false" ht="15" hidden="false" customHeight="false" outlineLevel="0" collapsed="false">
      <c r="A9" s="29" t="s">
        <v>25</v>
      </c>
      <c r="B9" s="29" t="s">
        <v>70</v>
      </c>
      <c r="C9" s="29" t="s">
        <v>26</v>
      </c>
      <c r="D9" s="29" t="s">
        <v>24</v>
      </c>
      <c r="E9" s="29" t="s">
        <v>67</v>
      </c>
      <c r="F9" s="29" t="s">
        <v>49</v>
      </c>
      <c r="G9" s="22" t="n">
        <v>243119.543</v>
      </c>
      <c r="H9" s="22" t="n">
        <v>170697</v>
      </c>
      <c r="I9" s="22" t="n">
        <v>5128.377</v>
      </c>
      <c r="J9" s="23" t="n">
        <f aca="false">H9-I9</f>
        <v>165568.623</v>
      </c>
      <c r="K9" s="22" t="n">
        <v>101031.635</v>
      </c>
      <c r="L9" s="22" t="n">
        <v>1144928.854</v>
      </c>
      <c r="M9" s="22" t="n">
        <v>989079.049</v>
      </c>
      <c r="N9" s="22" t="n">
        <v>211136.224</v>
      </c>
      <c r="O9" s="22" t="n">
        <v>979894.0127</v>
      </c>
      <c r="P9" s="24" t="n">
        <v>1067.16</v>
      </c>
      <c r="Q9" s="25" t="n">
        <v>0</v>
      </c>
      <c r="R9" s="26"/>
      <c r="S9" s="27" t="n">
        <f aca="false">Supuestos!$C$11</f>
        <v>1</v>
      </c>
      <c r="T9" s="28" t="n">
        <f aca="false">O9+M9+N9</f>
        <v>2180109.2857</v>
      </c>
    </row>
    <row r="10" customFormat="false" ht="15" hidden="false" customHeight="false" outlineLevel="0" collapsed="false">
      <c r="A10" s="29" t="s">
        <v>25</v>
      </c>
      <c r="B10" s="29" t="s">
        <v>70</v>
      </c>
      <c r="C10" s="29" t="s">
        <v>26</v>
      </c>
      <c r="D10" s="29" t="s">
        <v>24</v>
      </c>
      <c r="E10" s="29" t="s">
        <v>67</v>
      </c>
      <c r="F10" s="29" t="s">
        <v>50</v>
      </c>
      <c r="G10" s="22" t="n">
        <v>264312.607</v>
      </c>
      <c r="H10" s="22" t="n">
        <v>188159</v>
      </c>
      <c r="I10" s="22" t="n">
        <v>5280.937</v>
      </c>
      <c r="J10" s="23" t="n">
        <f aca="false">H10-I10</f>
        <v>182878.063</v>
      </c>
      <c r="K10" s="22" t="n">
        <v>112345.334</v>
      </c>
      <c r="L10" s="22" t="n">
        <v>1298911.303</v>
      </c>
      <c r="M10" s="22" t="n">
        <v>1113749.367</v>
      </c>
      <c r="N10" s="22" t="n">
        <v>332049.13</v>
      </c>
      <c r="O10" s="22" t="n">
        <v>1286116.552</v>
      </c>
      <c r="P10" s="24" t="n">
        <v>1400.66</v>
      </c>
      <c r="Q10" s="25" t="n">
        <v>0</v>
      </c>
      <c r="R10" s="26"/>
      <c r="S10" s="27" t="n">
        <f aca="false">Supuestos!$C$11</f>
        <v>1</v>
      </c>
      <c r="T10" s="28" t="n">
        <f aca="false">O10+M10+N10</f>
        <v>2731915.049</v>
      </c>
    </row>
    <row r="11" customFormat="false" ht="15" hidden="false" customHeight="false" outlineLevel="0" collapsed="false">
      <c r="A11" s="29" t="s">
        <v>25</v>
      </c>
      <c r="B11" s="29" t="s">
        <v>70</v>
      </c>
      <c r="C11" s="29" t="s">
        <v>26</v>
      </c>
      <c r="D11" s="29" t="s">
        <v>24</v>
      </c>
      <c r="E11" s="29" t="s">
        <v>67</v>
      </c>
      <c r="F11" s="29" t="s">
        <v>51</v>
      </c>
      <c r="G11" s="22" t="n">
        <v>316775.711</v>
      </c>
      <c r="H11" s="22" t="n">
        <v>227727</v>
      </c>
      <c r="I11" s="22" t="n">
        <v>6518.906</v>
      </c>
      <c r="J11" s="23" t="n">
        <f aca="false">H11-I11</f>
        <v>221208.094</v>
      </c>
      <c r="K11" s="22" t="n">
        <v>120571.308</v>
      </c>
      <c r="L11" s="22" t="n">
        <v>1464457.742</v>
      </c>
      <c r="M11" s="22" t="n">
        <v>1279923.402</v>
      </c>
      <c r="N11" s="22" t="n">
        <v>323589.523</v>
      </c>
      <c r="O11" s="22" t="n">
        <v>1439091.965</v>
      </c>
      <c r="P11" s="24" t="n">
        <v>1567.26</v>
      </c>
      <c r="Q11" s="25" t="n">
        <v>0</v>
      </c>
      <c r="R11" s="26"/>
      <c r="S11" s="27" t="n">
        <f aca="false">Supuestos!$C$11</f>
        <v>1</v>
      </c>
      <c r="T11" s="28" t="n">
        <f aca="false">O11+M11+N11</f>
        <v>3042604.89</v>
      </c>
    </row>
    <row r="12" customFormat="false" ht="15" hidden="false" customHeight="false" outlineLevel="0" collapsed="false">
      <c r="A12" s="29" t="s">
        <v>25</v>
      </c>
      <c r="B12" s="29" t="s">
        <v>70</v>
      </c>
      <c r="C12" s="29" t="s">
        <v>26</v>
      </c>
      <c r="D12" s="29" t="s">
        <v>24</v>
      </c>
      <c r="E12" s="29" t="s">
        <v>67</v>
      </c>
      <c r="F12" s="29" t="s">
        <v>52</v>
      </c>
      <c r="G12" s="22" t="n">
        <v>383792.582</v>
      </c>
      <c r="H12" s="22" t="n">
        <v>272233</v>
      </c>
      <c r="I12" s="22" t="n">
        <v>4739.59</v>
      </c>
      <c r="J12" s="23" t="n">
        <f aca="false">H12-I12</f>
        <v>267493.41</v>
      </c>
      <c r="K12" s="22" t="n">
        <v>149972.703</v>
      </c>
      <c r="L12" s="22" t="n">
        <v>1594521.872</v>
      </c>
      <c r="M12" s="22" t="n">
        <v>1631210.898</v>
      </c>
      <c r="N12" s="22" t="n">
        <v>362360.837</v>
      </c>
      <c r="O12" s="22" t="n">
        <v>2708090.487</v>
      </c>
      <c r="P12" s="24" t="n">
        <v>2949.27</v>
      </c>
      <c r="Q12" s="25" t="n">
        <v>0</v>
      </c>
      <c r="R12" s="26"/>
      <c r="S12" s="27" t="n">
        <f aca="false">Supuestos!$C$11</f>
        <v>1</v>
      </c>
      <c r="T12" s="28" t="n">
        <f aca="false">O12+M12+N12</f>
        <v>4701662.222</v>
      </c>
    </row>
    <row r="13" customFormat="false" ht="15" hidden="false" customHeight="false" outlineLevel="0" collapsed="false">
      <c r="A13" s="29" t="s">
        <v>25</v>
      </c>
      <c r="B13" s="29" t="s">
        <v>70</v>
      </c>
      <c r="C13" s="29" t="s">
        <v>26</v>
      </c>
      <c r="D13" s="29" t="s">
        <v>24</v>
      </c>
      <c r="E13" s="29" t="s">
        <v>67</v>
      </c>
      <c r="F13" s="29" t="s">
        <v>69</v>
      </c>
      <c r="G13" s="22" t="n">
        <v>416366.832</v>
      </c>
      <c r="H13" s="22" t="n">
        <v>294411</v>
      </c>
      <c r="I13" s="22" t="n">
        <v>4895.39</v>
      </c>
      <c r="J13" s="23" t="n">
        <f aca="false">H13-I13</f>
        <v>289515.61</v>
      </c>
      <c r="K13" s="22" t="n">
        <v>154352.778</v>
      </c>
      <c r="L13" s="22" t="n">
        <v>1961393.215</v>
      </c>
      <c r="M13" s="22" t="n">
        <v>1602287.611</v>
      </c>
      <c r="N13" s="22" t="n">
        <v>386791.135</v>
      </c>
      <c r="O13" s="22" t="n">
        <v>3440408.419</v>
      </c>
      <c r="P13" s="24" t="n">
        <v>3505</v>
      </c>
      <c r="Q13" s="25" t="n">
        <v>0</v>
      </c>
      <c r="R13" s="26"/>
      <c r="S13" s="27" t="n">
        <f aca="false">Supuestos!$C$11</f>
        <v>1</v>
      </c>
      <c r="T13" s="28" t="n">
        <f aca="false">O13+M13+N13</f>
        <v>5429487.165</v>
      </c>
    </row>
    <row r="14" customFormat="false" ht="15" hidden="false" customHeight="false" outlineLevel="0" collapsed="false">
      <c r="A14" s="29" t="s">
        <v>27</v>
      </c>
      <c r="B14" s="29" t="s">
        <v>71</v>
      </c>
      <c r="C14" s="29" t="s">
        <v>26</v>
      </c>
      <c r="D14" s="29" t="s">
        <v>24</v>
      </c>
      <c r="E14" s="29" t="s">
        <v>67</v>
      </c>
      <c r="F14" s="29" t="s">
        <v>49</v>
      </c>
      <c r="G14" s="22" t="n">
        <v>286949.855</v>
      </c>
      <c r="H14" s="22" t="n">
        <v>258583.696</v>
      </c>
      <c r="I14" s="22" t="n">
        <v>178.837</v>
      </c>
      <c r="J14" s="23" t="n">
        <f aca="false">H14-I14</f>
        <v>258404.859</v>
      </c>
      <c r="K14" s="22" t="n">
        <v>181875.546</v>
      </c>
      <c r="L14" s="22" t="n">
        <v>2679608.628</v>
      </c>
      <c r="M14" s="22" t="n">
        <v>636796.49</v>
      </c>
      <c r="N14" s="22" t="n">
        <v>4966.978</v>
      </c>
      <c r="O14" s="22" t="n">
        <v>2283766.647</v>
      </c>
      <c r="P14" s="24" t="n">
        <v>1338.8</v>
      </c>
      <c r="Q14" s="25" t="n">
        <v>0</v>
      </c>
      <c r="R14" s="26" t="s">
        <v>72</v>
      </c>
      <c r="S14" s="27" t="n">
        <f aca="false">Supuestos!$C$11</f>
        <v>1</v>
      </c>
      <c r="T14" s="28" t="n">
        <f aca="false">O14+M14+N14</f>
        <v>2925530.115</v>
      </c>
    </row>
    <row r="15" customFormat="false" ht="15" hidden="false" customHeight="false" outlineLevel="0" collapsed="false">
      <c r="A15" s="29" t="s">
        <v>27</v>
      </c>
      <c r="B15" s="29" t="s">
        <v>71</v>
      </c>
      <c r="C15" s="29" t="s">
        <v>26</v>
      </c>
      <c r="D15" s="29" t="s">
        <v>24</v>
      </c>
      <c r="E15" s="29" t="s">
        <v>67</v>
      </c>
      <c r="F15" s="29" t="s">
        <v>50</v>
      </c>
      <c r="G15" s="22" t="n">
        <v>314784.929</v>
      </c>
      <c r="H15" s="22" t="n">
        <v>272791.98</v>
      </c>
      <c r="I15" s="22" t="n">
        <v>213.006</v>
      </c>
      <c r="J15" s="23" t="n">
        <f aca="false">H15-I15</f>
        <v>272578.974</v>
      </c>
      <c r="K15" s="22" t="n">
        <v>187329.711</v>
      </c>
      <c r="L15" s="22" t="n">
        <v>2744754.862</v>
      </c>
      <c r="M15" s="22" t="n">
        <v>650170.984</v>
      </c>
      <c r="N15" s="22" t="n">
        <v>5991.871</v>
      </c>
      <c r="O15" s="22" t="n">
        <v>2405221.82</v>
      </c>
      <c r="P15" s="24" t="n">
        <v>1410</v>
      </c>
      <c r="Q15" s="25" t="n">
        <v>0</v>
      </c>
      <c r="R15" s="26"/>
      <c r="S15" s="27" t="n">
        <f aca="false">Supuestos!$C$11</f>
        <v>1</v>
      </c>
      <c r="T15" s="28" t="n">
        <f aca="false">O15+M15+N15</f>
        <v>3061384.675</v>
      </c>
    </row>
    <row r="16" customFormat="false" ht="15" hidden="false" customHeight="false" outlineLevel="0" collapsed="false">
      <c r="A16" s="29" t="s">
        <v>27</v>
      </c>
      <c r="B16" s="29" t="s">
        <v>71</v>
      </c>
      <c r="C16" s="29" t="s">
        <v>26</v>
      </c>
      <c r="D16" s="29" t="s">
        <v>24</v>
      </c>
      <c r="E16" s="29" t="s">
        <v>67</v>
      </c>
      <c r="F16" s="29" t="s">
        <v>51</v>
      </c>
      <c r="G16" s="22" t="n">
        <v>353183.704</v>
      </c>
      <c r="H16" s="22" t="n">
        <v>320677</v>
      </c>
      <c r="I16" s="22" t="n">
        <v>409.897</v>
      </c>
      <c r="J16" s="23" t="n">
        <f aca="false">H16-I16</f>
        <v>320267.103</v>
      </c>
      <c r="K16" s="22" t="n">
        <v>266953.083</v>
      </c>
      <c r="L16" s="22" t="n">
        <v>2828031.717</v>
      </c>
      <c r="M16" s="22" t="n">
        <v>679855.775</v>
      </c>
      <c r="N16" s="22" t="n">
        <v>6467.54</v>
      </c>
      <c r="O16" s="22" t="n">
        <v>2654273.157</v>
      </c>
      <c r="P16" s="24" t="n">
        <v>1556</v>
      </c>
      <c r="Q16" s="25" t="n">
        <v>0</v>
      </c>
      <c r="R16" s="26"/>
      <c r="S16" s="27" t="n">
        <f aca="false">Supuestos!$C$11</f>
        <v>1</v>
      </c>
      <c r="T16" s="28" t="n">
        <f aca="false">O16+M16+N16</f>
        <v>3340596.472</v>
      </c>
    </row>
    <row r="17" customFormat="false" ht="15" hidden="false" customHeight="false" outlineLevel="0" collapsed="false">
      <c r="A17" s="29" t="s">
        <v>27</v>
      </c>
      <c r="B17" s="29" t="s">
        <v>71</v>
      </c>
      <c r="C17" s="29" t="s">
        <v>26</v>
      </c>
      <c r="D17" s="29" t="s">
        <v>24</v>
      </c>
      <c r="E17" s="29" t="s">
        <v>67</v>
      </c>
      <c r="F17" s="29" t="s">
        <v>52</v>
      </c>
      <c r="G17" s="22" t="n">
        <v>377940.605</v>
      </c>
      <c r="H17" s="22" t="n">
        <v>340557</v>
      </c>
      <c r="I17" s="22" t="n">
        <v>540.654</v>
      </c>
      <c r="J17" s="23" t="n">
        <f aca="false">H17-I17</f>
        <v>340016.346</v>
      </c>
      <c r="K17" s="22" t="n">
        <v>303966.192</v>
      </c>
      <c r="L17" s="22" t="n">
        <v>2989170.608</v>
      </c>
      <c r="M17" s="22" t="n">
        <v>769416.4</v>
      </c>
      <c r="N17" s="22" t="n">
        <v>5505.4</v>
      </c>
      <c r="O17" s="22" t="n">
        <v>3974586.412</v>
      </c>
      <c r="P17" s="24" t="n">
        <v>2330</v>
      </c>
      <c r="Q17" s="25" t="n">
        <v>0</v>
      </c>
      <c r="R17" s="26"/>
      <c r="S17" s="27" t="n">
        <f aca="false">Supuestos!$C$11</f>
        <v>1</v>
      </c>
      <c r="T17" s="28" t="n">
        <f aca="false">O17+M17+N17</f>
        <v>4749508.212</v>
      </c>
    </row>
    <row r="18" customFormat="false" ht="15" hidden="false" customHeight="false" outlineLevel="0" collapsed="false">
      <c r="A18" s="29" t="s">
        <v>27</v>
      </c>
      <c r="B18" s="29" t="s">
        <v>71</v>
      </c>
      <c r="C18" s="29" t="s">
        <v>26</v>
      </c>
      <c r="D18" s="29" t="s">
        <v>24</v>
      </c>
      <c r="E18" s="29" t="s">
        <v>67</v>
      </c>
      <c r="F18" s="29" t="s">
        <v>69</v>
      </c>
      <c r="G18" s="22" t="n">
        <v>390677.946</v>
      </c>
      <c r="H18" s="22" t="n">
        <v>350561.254</v>
      </c>
      <c r="I18" s="22" t="n">
        <v>585.311</v>
      </c>
      <c r="J18" s="23" t="n">
        <f aca="false">H18-I18</f>
        <v>349975.943</v>
      </c>
      <c r="K18" s="22" t="n">
        <v>353938.282</v>
      </c>
      <c r="L18" s="22" t="n">
        <v>3136456.799</v>
      </c>
      <c r="M18" s="22" t="n">
        <v>852533.941</v>
      </c>
      <c r="N18" s="22" t="n">
        <v>6464.021</v>
      </c>
      <c r="O18" s="22" t="n">
        <v>3710182.595</v>
      </c>
      <c r="P18" s="24" t="n">
        <v>2175</v>
      </c>
      <c r="Q18" s="25" t="n">
        <v>0</v>
      </c>
      <c r="R18" s="26" t="s">
        <v>73</v>
      </c>
      <c r="S18" s="27" t="n">
        <f aca="false">Supuestos!$C$11</f>
        <v>1</v>
      </c>
      <c r="T18" s="28" t="n">
        <f aca="false">O18+M18+N18</f>
        <v>4569180.557</v>
      </c>
    </row>
    <row r="19" customFormat="false" ht="15" hidden="false" customHeight="false" outlineLevel="0" collapsed="false">
      <c r="A19" s="29" t="s">
        <v>28</v>
      </c>
      <c r="B19" s="29" t="s">
        <v>74</v>
      </c>
      <c r="C19" s="29" t="s">
        <v>26</v>
      </c>
      <c r="D19" s="29" t="s">
        <v>29</v>
      </c>
      <c r="E19" s="29" t="s">
        <v>75</v>
      </c>
      <c r="F19" s="29" t="s">
        <v>49</v>
      </c>
      <c r="G19" s="22" t="n">
        <v>1797.605</v>
      </c>
      <c r="H19" s="22" t="n">
        <v>1275.254</v>
      </c>
      <c r="I19" s="22" t="n">
        <v>206.751</v>
      </c>
      <c r="J19" s="23" t="n">
        <f aca="false">H19-I19</f>
        <v>1068.503</v>
      </c>
      <c r="K19" s="22" t="n">
        <v>769.255</v>
      </c>
      <c r="L19" s="22" t="n">
        <v>6582.34</v>
      </c>
      <c r="M19" s="22" t="n">
        <v>3086.169</v>
      </c>
      <c r="N19" s="22" t="n">
        <v>0.203</v>
      </c>
      <c r="O19" s="22" t="n">
        <v>13156.6632</v>
      </c>
      <c r="P19" s="24" t="n">
        <v>21.9</v>
      </c>
      <c r="Q19" s="25" t="n">
        <v>0</v>
      </c>
      <c r="R19" s="26"/>
      <c r="S19" s="27" t="n">
        <f aca="false">Supuestos!$C$13</f>
        <v>178.644199109045</v>
      </c>
      <c r="T19" s="28" t="n">
        <f aca="false">O19+M19+N19</f>
        <v>16243.0352</v>
      </c>
    </row>
    <row r="20" customFormat="false" ht="15" hidden="false" customHeight="false" outlineLevel="0" collapsed="false">
      <c r="A20" s="29" t="s">
        <v>28</v>
      </c>
      <c r="B20" s="29" t="s">
        <v>74</v>
      </c>
      <c r="C20" s="29" t="s">
        <v>26</v>
      </c>
      <c r="D20" s="29" t="s">
        <v>29</v>
      </c>
      <c r="E20" s="29" t="s">
        <v>75</v>
      </c>
      <c r="F20" s="29" t="s">
        <v>50</v>
      </c>
      <c r="G20" s="22" t="n">
        <v>2029.569</v>
      </c>
      <c r="H20" s="22" t="n">
        <v>1506.5</v>
      </c>
      <c r="I20" s="22" t="n">
        <v>170.144</v>
      </c>
      <c r="J20" s="23" t="n">
        <f aca="false">H20-I20</f>
        <v>1336.356</v>
      </c>
      <c r="K20" s="22" t="n">
        <v>1020.39</v>
      </c>
      <c r="L20" s="22" t="n">
        <v>6933.916</v>
      </c>
      <c r="M20" s="22" t="n">
        <v>3103.816</v>
      </c>
      <c r="N20" s="22" t="n">
        <v>0.082</v>
      </c>
      <c r="O20" s="22" t="n">
        <v>17073.6241</v>
      </c>
      <c r="P20" s="24" t="n">
        <v>28.42</v>
      </c>
      <c r="Q20" s="25" t="n">
        <v>0</v>
      </c>
      <c r="R20" s="26"/>
      <c r="S20" s="27" t="n">
        <f aca="false">Supuestos!$C$13</f>
        <v>178.644199109045</v>
      </c>
      <c r="T20" s="28" t="n">
        <f aca="false">O20+M20+N20</f>
        <v>20177.5221</v>
      </c>
    </row>
    <row r="21" customFormat="false" ht="15" hidden="false" customHeight="false" outlineLevel="0" collapsed="false">
      <c r="A21" s="29" t="s">
        <v>28</v>
      </c>
      <c r="B21" s="29" t="s">
        <v>74</v>
      </c>
      <c r="C21" s="29" t="s">
        <v>26</v>
      </c>
      <c r="D21" s="29" t="s">
        <v>29</v>
      </c>
      <c r="E21" s="29" t="s">
        <v>75</v>
      </c>
      <c r="F21" s="29" t="s">
        <v>51</v>
      </c>
      <c r="G21" s="22" t="n">
        <v>2544.789</v>
      </c>
      <c r="H21" s="22" t="n">
        <v>1848.038</v>
      </c>
      <c r="I21" s="22" t="n">
        <v>138.508</v>
      </c>
      <c r="J21" s="23" t="n">
        <f aca="false">H21-I21</f>
        <v>1709.53</v>
      </c>
      <c r="K21" s="22" t="n">
        <v>1340.814</v>
      </c>
      <c r="L21" s="22" t="n">
        <v>5645.519</v>
      </c>
      <c r="M21" s="22" t="n">
        <v>5416.57</v>
      </c>
      <c r="N21" s="22" t="n">
        <v>0.25</v>
      </c>
      <c r="O21" s="22" t="n">
        <v>10943.9708</v>
      </c>
      <c r="P21" s="24" t="n">
        <v>21.08</v>
      </c>
      <c r="Q21" s="25" t="n">
        <v>0</v>
      </c>
      <c r="R21" s="26"/>
      <c r="S21" s="27" t="n">
        <f aca="false">Supuestos!$C$13</f>
        <v>178.644199109045</v>
      </c>
      <c r="T21" s="28" t="n">
        <f aca="false">O21+M21+N21</f>
        <v>16360.7908</v>
      </c>
    </row>
    <row r="22" customFormat="false" ht="15" hidden="false" customHeight="false" outlineLevel="0" collapsed="false">
      <c r="A22" s="29" t="s">
        <v>28</v>
      </c>
      <c r="B22" s="29" t="s">
        <v>74</v>
      </c>
      <c r="C22" s="29" t="s">
        <v>26</v>
      </c>
      <c r="D22" s="29" t="s">
        <v>29</v>
      </c>
      <c r="E22" s="29" t="s">
        <v>75</v>
      </c>
      <c r="F22" s="29" t="s">
        <v>52</v>
      </c>
      <c r="G22" s="22" t="n">
        <v>2739.082</v>
      </c>
      <c r="H22" s="22" t="n">
        <v>2003.354</v>
      </c>
      <c r="I22" s="22" t="n">
        <v>137.757</v>
      </c>
      <c r="J22" s="23" t="n">
        <f aca="false">H22-I22</f>
        <v>1865.597</v>
      </c>
      <c r="K22" s="22" t="n">
        <v>1141.12</v>
      </c>
      <c r="L22" s="22" t="n">
        <v>6299.142</v>
      </c>
      <c r="M22" s="22" t="n">
        <v>5248.897</v>
      </c>
      <c r="N22" s="22" t="n">
        <v>0.237</v>
      </c>
      <c r="O22" s="22" t="n">
        <v>13983.7109</v>
      </c>
      <c r="P22" s="24" t="n">
        <v>27.25</v>
      </c>
      <c r="Q22" s="25" t="n">
        <v>0</v>
      </c>
      <c r="R22" s="26"/>
      <c r="S22" s="27" t="n">
        <f aca="false">Supuestos!$C$13</f>
        <v>178.644199109045</v>
      </c>
      <c r="T22" s="28" t="n">
        <f aca="false">O22+M22+N22</f>
        <v>19232.8449</v>
      </c>
    </row>
    <row r="23" customFormat="false" ht="15" hidden="false" customHeight="false" outlineLevel="0" collapsed="false">
      <c r="A23" s="29" t="s">
        <v>28</v>
      </c>
      <c r="B23" s="29" t="s">
        <v>74</v>
      </c>
      <c r="C23" s="29" t="s">
        <v>26</v>
      </c>
      <c r="D23" s="29" t="s">
        <v>29</v>
      </c>
      <c r="E23" s="29" t="s">
        <v>75</v>
      </c>
      <c r="F23" s="29" t="s">
        <v>69</v>
      </c>
      <c r="G23" s="22" t="n">
        <v>3193.165</v>
      </c>
      <c r="H23" s="22" t="n">
        <v>2358.297</v>
      </c>
      <c r="I23" s="22" t="n">
        <v>135.185</v>
      </c>
      <c r="J23" s="23" t="n">
        <f aca="false">H23-I23</f>
        <v>2223.112</v>
      </c>
      <c r="K23" s="22" t="n">
        <v>1386.266</v>
      </c>
      <c r="L23" s="22" t="n">
        <v>6755.752</v>
      </c>
      <c r="M23" s="22" t="n">
        <v>4976.278</v>
      </c>
      <c r="N23" s="22" t="n">
        <v>0.185</v>
      </c>
      <c r="O23" s="22" t="n">
        <v>16277.5526</v>
      </c>
      <c r="P23" s="24" t="n">
        <v>31.72</v>
      </c>
      <c r="Q23" s="25" t="n">
        <v>0</v>
      </c>
      <c r="R23" s="26"/>
      <c r="S23" s="27" t="n">
        <f aca="false">Supuestos!$C$13</f>
        <v>178.644199109045</v>
      </c>
      <c r="T23" s="28" t="n">
        <f aca="false">O23+M23+N23</f>
        <v>21254.0156</v>
      </c>
    </row>
    <row r="24" customFormat="false" ht="15" hidden="false" customHeight="false" outlineLevel="0" collapsed="false">
      <c r="A24" s="29" t="s">
        <v>30</v>
      </c>
      <c r="B24" s="29" t="s">
        <v>76</v>
      </c>
      <c r="C24" s="29" t="s">
        <v>26</v>
      </c>
      <c r="D24" s="29" t="s">
        <v>29</v>
      </c>
      <c r="E24" s="29" t="s">
        <v>75</v>
      </c>
      <c r="F24" s="29" t="s">
        <v>49</v>
      </c>
      <c r="G24" s="22" t="n">
        <v>1111.321</v>
      </c>
      <c r="H24" s="22" t="n">
        <v>816.975</v>
      </c>
      <c r="I24" s="22" t="n">
        <v>202.11</v>
      </c>
      <c r="J24" s="23" t="n">
        <f aca="false">H24-I24</f>
        <v>614.865</v>
      </c>
      <c r="K24" s="22" t="n">
        <v>155.875</v>
      </c>
      <c r="L24" s="22" t="n">
        <v>6805.618</v>
      </c>
      <c r="M24" s="22" t="n">
        <v>2968.103</v>
      </c>
      <c r="N24" s="22" t="n">
        <v>1071.413</v>
      </c>
      <c r="O24" s="22" t="n">
        <v>10077.9772</v>
      </c>
      <c r="P24" s="24" t="n">
        <v>17.01</v>
      </c>
      <c r="Q24" s="25" t="n">
        <v>0</v>
      </c>
      <c r="R24" s="26"/>
      <c r="S24" s="27" t="n">
        <f aca="false">Supuestos!$C$13</f>
        <v>178.644199109045</v>
      </c>
      <c r="T24" s="28" t="n">
        <f aca="false">O24+M24+N24</f>
        <v>14117.4932</v>
      </c>
    </row>
    <row r="25" customFormat="false" ht="22.35" hidden="false" customHeight="false" outlineLevel="0" collapsed="false">
      <c r="A25" s="29" t="s">
        <v>30</v>
      </c>
      <c r="B25" s="29" t="s">
        <v>76</v>
      </c>
      <c r="C25" s="29" t="s">
        <v>26</v>
      </c>
      <c r="D25" s="29" t="s">
        <v>29</v>
      </c>
      <c r="E25" s="29" t="s">
        <v>75</v>
      </c>
      <c r="F25" s="29" t="s">
        <v>50</v>
      </c>
      <c r="G25" s="22" t="n">
        <v>2804</v>
      </c>
      <c r="H25" s="22" t="n">
        <v>1941.141</v>
      </c>
      <c r="I25" s="22" t="n">
        <v>684.466</v>
      </c>
      <c r="J25" s="23" t="n">
        <f aca="false">H25-I25</f>
        <v>1256.675</v>
      </c>
      <c r="K25" s="22" t="n">
        <v>3386.958</v>
      </c>
      <c r="L25" s="22" t="n">
        <v>13997.882</v>
      </c>
      <c r="M25" s="22" t="n">
        <v>5632.802</v>
      </c>
      <c r="N25" s="22" t="n">
        <v>1106.85</v>
      </c>
      <c r="O25" s="22" t="n">
        <v>15238.0249</v>
      </c>
      <c r="P25" s="24" t="n">
        <v>26.55</v>
      </c>
      <c r="Q25" s="25" t="n">
        <v>1</v>
      </c>
      <c r="R25" s="26" t="s">
        <v>77</v>
      </c>
      <c r="S25" s="27" t="n">
        <f aca="false">Supuestos!$C$13</f>
        <v>178.644199109045</v>
      </c>
      <c r="T25" s="28" t="n">
        <f aca="false">O25+M25+N25</f>
        <v>21977.6769</v>
      </c>
    </row>
    <row r="26" customFormat="false" ht="15" hidden="false" customHeight="false" outlineLevel="0" collapsed="false">
      <c r="A26" s="29" t="s">
        <v>30</v>
      </c>
      <c r="B26" s="29" t="s">
        <v>76</v>
      </c>
      <c r="C26" s="29" t="s">
        <v>26</v>
      </c>
      <c r="D26" s="29" t="s">
        <v>29</v>
      </c>
      <c r="E26" s="29" t="s">
        <v>75</v>
      </c>
      <c r="F26" s="29" t="s">
        <v>51</v>
      </c>
      <c r="G26" s="22" t="n">
        <v>2797.254</v>
      </c>
      <c r="H26" s="22" t="n">
        <v>1996.151</v>
      </c>
      <c r="I26" s="22" t="n">
        <v>618.831</v>
      </c>
      <c r="J26" s="23" t="n">
        <f aca="false">H26-I26</f>
        <v>1377.32</v>
      </c>
      <c r="K26" s="22" t="n">
        <v>698.511</v>
      </c>
      <c r="L26" s="22" t="n">
        <v>13364.892</v>
      </c>
      <c r="M26" s="22" t="n">
        <v>6586.625</v>
      </c>
      <c r="N26" s="22" t="n">
        <v>769.628</v>
      </c>
      <c r="O26" s="22" t="n">
        <v>9832.5874</v>
      </c>
      <c r="P26" s="24" t="n">
        <v>18.11</v>
      </c>
      <c r="Q26" s="25" t="n">
        <v>0</v>
      </c>
      <c r="R26" s="26"/>
      <c r="S26" s="27" t="n">
        <f aca="false">Supuestos!$C$13</f>
        <v>178.644199109045</v>
      </c>
      <c r="T26" s="28" t="n">
        <f aca="false">O26+M26+N26</f>
        <v>17188.8404</v>
      </c>
    </row>
    <row r="27" customFormat="false" ht="15" hidden="false" customHeight="false" outlineLevel="0" collapsed="false">
      <c r="A27" s="29" t="s">
        <v>30</v>
      </c>
      <c r="B27" s="29" t="s">
        <v>76</v>
      </c>
      <c r="C27" s="29" t="s">
        <v>26</v>
      </c>
      <c r="D27" s="29" t="s">
        <v>29</v>
      </c>
      <c r="E27" s="29" t="s">
        <v>75</v>
      </c>
      <c r="F27" s="29" t="s">
        <v>52</v>
      </c>
      <c r="G27" s="22" t="n">
        <v>2899.583</v>
      </c>
      <c r="H27" s="22" t="n">
        <v>2067.985</v>
      </c>
      <c r="I27" s="22" t="n">
        <v>634.825</v>
      </c>
      <c r="J27" s="23" t="n">
        <f aca="false">H27-I27</f>
        <v>1433.16</v>
      </c>
      <c r="K27" s="22" t="n">
        <v>834.166</v>
      </c>
      <c r="L27" s="22" t="n">
        <v>13146.445</v>
      </c>
      <c r="M27" s="22" t="n">
        <v>5871.965</v>
      </c>
      <c r="N27" s="22" t="n">
        <v>752.561</v>
      </c>
      <c r="O27" s="22" t="n">
        <v>14303.8972</v>
      </c>
      <c r="P27" s="24" t="n">
        <v>28.37</v>
      </c>
      <c r="Q27" s="25" t="n">
        <v>0</v>
      </c>
      <c r="R27" s="26"/>
      <c r="S27" s="27" t="n">
        <f aca="false">Supuestos!$C$13</f>
        <v>178.644199109045</v>
      </c>
      <c r="T27" s="28" t="n">
        <f aca="false">O27+M27+N27</f>
        <v>20928.4232</v>
      </c>
    </row>
    <row r="28" customFormat="false" ht="15" hidden="false" customHeight="false" outlineLevel="0" collapsed="false">
      <c r="A28" s="29" t="s">
        <v>30</v>
      </c>
      <c r="B28" s="29" t="s">
        <v>76</v>
      </c>
      <c r="C28" s="29" t="s">
        <v>26</v>
      </c>
      <c r="D28" s="29" t="s">
        <v>29</v>
      </c>
      <c r="E28" s="29" t="s">
        <v>75</v>
      </c>
      <c r="F28" s="29" t="s">
        <v>69</v>
      </c>
      <c r="G28" s="22" t="n">
        <v>2938.453</v>
      </c>
      <c r="H28" s="22" t="n">
        <v>2176.61</v>
      </c>
      <c r="I28" s="22" t="n">
        <v>629.913</v>
      </c>
      <c r="J28" s="23" t="n">
        <f aca="false">H28-I28</f>
        <v>1546.697</v>
      </c>
      <c r="K28" s="22" t="n">
        <v>934.54</v>
      </c>
      <c r="L28" s="22" t="n">
        <v>12852.742</v>
      </c>
      <c r="M28" s="22" t="n">
        <v>6838.401</v>
      </c>
      <c r="N28" s="22" t="n">
        <v>96.219</v>
      </c>
      <c r="O28" s="22" t="n">
        <v>14868.591</v>
      </c>
      <c r="P28" s="24" t="n">
        <v>29.49</v>
      </c>
      <c r="Q28" s="25" t="n">
        <v>0</v>
      </c>
      <c r="R28" s="26"/>
      <c r="S28" s="27" t="n">
        <f aca="false">Supuestos!$C$13</f>
        <v>178.644199109045</v>
      </c>
      <c r="T28" s="28" t="n">
        <f aca="false">O28+M28+N28</f>
        <v>21803.211</v>
      </c>
    </row>
    <row r="29" customFormat="false" ht="15" hidden="false" customHeight="false" outlineLevel="0" collapsed="false">
      <c r="A29" s="29" t="s">
        <v>31</v>
      </c>
      <c r="B29" s="29" t="s">
        <v>78</v>
      </c>
      <c r="C29" s="29" t="s">
        <v>26</v>
      </c>
      <c r="D29" s="29" t="s">
        <v>29</v>
      </c>
      <c r="E29" s="29" t="s">
        <v>75</v>
      </c>
      <c r="F29" s="29" t="s">
        <v>49</v>
      </c>
      <c r="G29" s="22" t="n">
        <v>1016.341</v>
      </c>
      <c r="H29" s="22" t="n">
        <v>653.8</v>
      </c>
      <c r="I29" s="22" t="n">
        <v>159.03</v>
      </c>
      <c r="J29" s="23" t="n">
        <f aca="false">H29-I29</f>
        <v>494.77</v>
      </c>
      <c r="K29" s="22" t="n">
        <v>7.568</v>
      </c>
      <c r="L29" s="22" t="n">
        <v>4093.329</v>
      </c>
      <c r="M29" s="22" t="n">
        <v>1193.596</v>
      </c>
      <c r="N29" s="22" t="n">
        <v>14.359</v>
      </c>
      <c r="O29" s="22" t="n">
        <v>5667.3061</v>
      </c>
      <c r="P29" s="24" t="n">
        <v>18.5</v>
      </c>
      <c r="Q29" s="25" t="n">
        <v>0</v>
      </c>
      <c r="R29" s="26"/>
      <c r="S29" s="27" t="n">
        <f aca="false">Supuestos!$C$13</f>
        <v>178.644199109045</v>
      </c>
      <c r="T29" s="28" t="n">
        <f aca="false">O29+M29+N29</f>
        <v>6875.2611</v>
      </c>
    </row>
    <row r="30" customFormat="false" ht="15" hidden="false" customHeight="false" outlineLevel="0" collapsed="false">
      <c r="A30" s="29" t="s">
        <v>31</v>
      </c>
      <c r="B30" s="29" t="s">
        <v>78</v>
      </c>
      <c r="C30" s="29" t="s">
        <v>26</v>
      </c>
      <c r="D30" s="29" t="s">
        <v>29</v>
      </c>
      <c r="E30" s="29" t="s">
        <v>75</v>
      </c>
      <c r="F30" s="29" t="s">
        <v>50</v>
      </c>
      <c r="G30" s="22" t="n">
        <v>1157.163</v>
      </c>
      <c r="H30" s="22" t="n">
        <v>919.704</v>
      </c>
      <c r="I30" s="22" t="n">
        <v>174.376</v>
      </c>
      <c r="J30" s="23" t="n">
        <f aca="false">H30-I30</f>
        <v>745.328</v>
      </c>
      <c r="K30" s="22" t="n">
        <v>304.713</v>
      </c>
      <c r="L30" s="22" t="n">
        <v>4177.323</v>
      </c>
      <c r="M30" s="22" t="n">
        <v>1757.145</v>
      </c>
      <c r="N30" s="22" t="n">
        <v>0.195</v>
      </c>
      <c r="O30" s="22" t="n">
        <v>7059.6783</v>
      </c>
      <c r="P30" s="24" t="n">
        <v>24.38</v>
      </c>
      <c r="Q30" s="25" t="n">
        <v>0</v>
      </c>
      <c r="R30" s="26"/>
      <c r="S30" s="27" t="n">
        <f aca="false">Supuestos!$C$13</f>
        <v>178.644199109045</v>
      </c>
      <c r="T30" s="28" t="n">
        <f aca="false">O30+M30+N30</f>
        <v>8817.0183</v>
      </c>
    </row>
    <row r="31" customFormat="false" ht="15" hidden="false" customHeight="false" outlineLevel="0" collapsed="false">
      <c r="A31" s="29" t="s">
        <v>31</v>
      </c>
      <c r="B31" s="29" t="s">
        <v>78</v>
      </c>
      <c r="C31" s="29" t="s">
        <v>26</v>
      </c>
      <c r="D31" s="29" t="s">
        <v>29</v>
      </c>
      <c r="E31" s="29" t="s">
        <v>75</v>
      </c>
      <c r="F31" s="29" t="s">
        <v>51</v>
      </c>
      <c r="G31" s="22" t="n">
        <v>1236.345</v>
      </c>
      <c r="H31" s="22" t="n">
        <v>914.762</v>
      </c>
      <c r="I31" s="22" t="n">
        <v>190.255</v>
      </c>
      <c r="J31" s="23" t="n">
        <f aca="false">H31-I31</f>
        <v>724.507</v>
      </c>
      <c r="K31" s="22" t="n">
        <v>399.771</v>
      </c>
      <c r="L31" s="22" t="n">
        <v>4309.804</v>
      </c>
      <c r="M31" s="22" t="n">
        <v>1614.844</v>
      </c>
      <c r="N31" s="22" t="n">
        <v>0.216</v>
      </c>
      <c r="O31" s="22" t="n">
        <v>5071.0437</v>
      </c>
      <c r="P31" s="24" t="n">
        <v>17.27</v>
      </c>
      <c r="Q31" s="25" t="n">
        <v>0</v>
      </c>
      <c r="R31" s="26"/>
      <c r="S31" s="27" t="n">
        <f aca="false">Supuestos!$C$13</f>
        <v>178.644199109045</v>
      </c>
      <c r="T31" s="28" t="n">
        <f aca="false">O31+M31+N31</f>
        <v>6686.1037</v>
      </c>
    </row>
    <row r="32" customFormat="false" ht="22.35" hidden="false" customHeight="false" outlineLevel="0" collapsed="false">
      <c r="A32" s="29" t="s">
        <v>31</v>
      </c>
      <c r="B32" s="29" t="s">
        <v>78</v>
      </c>
      <c r="C32" s="29" t="s">
        <v>26</v>
      </c>
      <c r="D32" s="29" t="s">
        <v>29</v>
      </c>
      <c r="E32" s="29" t="s">
        <v>75</v>
      </c>
      <c r="F32" s="29" t="s">
        <v>52</v>
      </c>
      <c r="G32" s="22" t="n">
        <v>1486.833</v>
      </c>
      <c r="H32" s="22" t="n">
        <v>1029.691</v>
      </c>
      <c r="I32" s="22" t="n">
        <v>113.963</v>
      </c>
      <c r="J32" s="23" t="n">
        <f aca="false">H32-I32</f>
        <v>915.728</v>
      </c>
      <c r="K32" s="22" t="n">
        <v>582.46</v>
      </c>
      <c r="L32" s="22" t="n">
        <v>4651.644</v>
      </c>
      <c r="M32" s="22" t="n">
        <v>2210.196</v>
      </c>
      <c r="N32" s="22" t="n">
        <v>0.22</v>
      </c>
      <c r="O32" s="22" t="n">
        <v>7307.0208</v>
      </c>
      <c r="P32" s="24" t="n">
        <v>25.57</v>
      </c>
      <c r="Q32" s="25" t="n">
        <v>0</v>
      </c>
      <c r="R32" s="26" t="s">
        <v>79</v>
      </c>
      <c r="S32" s="27" t="n">
        <f aca="false">Supuestos!$C$13</f>
        <v>178.644199109045</v>
      </c>
      <c r="T32" s="28" t="n">
        <f aca="false">O32+M32+N32</f>
        <v>9517.4368</v>
      </c>
    </row>
    <row r="33" customFormat="false" ht="15" hidden="false" customHeight="false" outlineLevel="0" collapsed="false">
      <c r="A33" s="29" t="s">
        <v>31</v>
      </c>
      <c r="B33" s="29" t="s">
        <v>78</v>
      </c>
      <c r="C33" s="29" t="s">
        <v>26</v>
      </c>
      <c r="D33" s="29" t="s">
        <v>29</v>
      </c>
      <c r="E33" s="29" t="s">
        <v>75</v>
      </c>
      <c r="F33" s="29" t="s">
        <v>69</v>
      </c>
      <c r="G33" s="22" t="n">
        <v>1527.409</v>
      </c>
      <c r="H33" s="22" t="n">
        <v>1127.509</v>
      </c>
      <c r="I33" s="22" t="n">
        <v>129.784</v>
      </c>
      <c r="J33" s="23" t="n">
        <f aca="false">H33-I33</f>
        <v>997.725</v>
      </c>
      <c r="K33" s="22" t="n">
        <v>638.571</v>
      </c>
      <c r="L33" s="22" t="n">
        <v>4937.138</v>
      </c>
      <c r="M33" s="22" t="n">
        <v>2138.597</v>
      </c>
      <c r="N33" s="22" t="n">
        <v>0.218</v>
      </c>
      <c r="O33" s="22" t="n">
        <v>7731.5118</v>
      </c>
      <c r="P33" s="24" t="n">
        <v>27.02</v>
      </c>
      <c r="Q33" s="25" t="n">
        <v>0</v>
      </c>
      <c r="R33" s="26" t="s">
        <v>80</v>
      </c>
      <c r="S33" s="27" t="n">
        <f aca="false">Supuestos!$C$13</f>
        <v>178.644199109045</v>
      </c>
      <c r="T33" s="28" t="n">
        <f aca="false">O33+M33+N33</f>
        <v>9870.3268</v>
      </c>
    </row>
    <row r="34" customFormat="false" ht="15" hidden="false" customHeight="false" outlineLevel="0" collapsed="false">
      <c r="A34" s="29" t="s">
        <v>32</v>
      </c>
      <c r="B34" s="29" t="s">
        <v>81</v>
      </c>
      <c r="C34" s="29" t="s">
        <v>33</v>
      </c>
      <c r="D34" s="29" t="s">
        <v>34</v>
      </c>
      <c r="E34" s="29" t="s">
        <v>82</v>
      </c>
      <c r="F34" s="29" t="s">
        <v>83</v>
      </c>
      <c r="G34" s="22" t="n">
        <v>69299</v>
      </c>
      <c r="H34" s="22" t="n">
        <v>28988</v>
      </c>
      <c r="I34" s="22" t="n">
        <v>2007</v>
      </c>
      <c r="J34" s="23" t="n">
        <f aca="false">H34-I34</f>
        <v>26981</v>
      </c>
      <c r="K34" s="22" t="n">
        <v>74487</v>
      </c>
      <c r="L34" s="22" t="n">
        <v>342457</v>
      </c>
      <c r="M34" s="22" t="n">
        <v>136044</v>
      </c>
      <c r="N34" s="22" t="n">
        <v>23443</v>
      </c>
      <c r="O34" s="22" t="n">
        <v>74930.179</v>
      </c>
      <c r="P34" s="24" t="n">
        <v>97.185</v>
      </c>
      <c r="Q34" s="25" t="n">
        <v>0</v>
      </c>
      <c r="R34" s="26"/>
      <c r="S34" s="27" t="n">
        <f aca="false">Supuestos!$C$15</f>
        <v>0.622361673414305</v>
      </c>
      <c r="T34" s="28" t="n">
        <f aca="false">O34+M34+N34</f>
        <v>234417.179</v>
      </c>
    </row>
    <row r="35" customFormat="false" ht="15" hidden="false" customHeight="false" outlineLevel="0" collapsed="false">
      <c r="A35" s="29" t="s">
        <v>32</v>
      </c>
      <c r="B35" s="29" t="s">
        <v>81</v>
      </c>
      <c r="C35" s="29" t="s">
        <v>33</v>
      </c>
      <c r="D35" s="29" t="s">
        <v>34</v>
      </c>
      <c r="E35" s="29" t="s">
        <v>82</v>
      </c>
      <c r="F35" s="29" t="s">
        <v>84</v>
      </c>
      <c r="G35" s="22" t="n">
        <v>331721</v>
      </c>
      <c r="H35" s="22" t="n">
        <v>92531</v>
      </c>
      <c r="I35" s="22" t="n">
        <v>7056</v>
      </c>
      <c r="J35" s="23" t="n">
        <f aca="false">H35-I35</f>
        <v>85475</v>
      </c>
      <c r="K35" s="22" t="n">
        <v>213076</v>
      </c>
      <c r="L35" s="22" t="n">
        <v>1345130</v>
      </c>
      <c r="M35" s="22" t="n">
        <v>378401</v>
      </c>
      <c r="N35" s="22" t="n">
        <v>82965</v>
      </c>
      <c r="O35" s="22" t="n">
        <v>331336.4595</v>
      </c>
      <c r="P35" s="24" t="n">
        <v>433.728</v>
      </c>
      <c r="Q35" s="25" t="n">
        <v>0</v>
      </c>
      <c r="R35" s="26"/>
      <c r="S35" s="27" t="n">
        <f aca="false">Supuestos!$C$15</f>
        <v>0.622361673414305</v>
      </c>
      <c r="T35" s="28" t="n">
        <f aca="false">O35+M35+N35</f>
        <v>792702.4595</v>
      </c>
    </row>
    <row r="36" customFormat="false" ht="15" hidden="false" customHeight="false" outlineLevel="0" collapsed="false">
      <c r="A36" s="29" t="s">
        <v>32</v>
      </c>
      <c r="B36" s="29" t="s">
        <v>81</v>
      </c>
      <c r="C36" s="29" t="s">
        <v>33</v>
      </c>
      <c r="D36" s="29" t="s">
        <v>34</v>
      </c>
      <c r="E36" s="29" t="s">
        <v>82</v>
      </c>
      <c r="F36" s="29" t="s">
        <v>85</v>
      </c>
      <c r="G36" s="22" t="n">
        <v>458059</v>
      </c>
      <c r="H36" s="22" t="n">
        <v>232057</v>
      </c>
      <c r="I36" s="22" t="n">
        <v>9130</v>
      </c>
      <c r="J36" s="23" t="n">
        <f aca="false">H36-I36</f>
        <v>222927</v>
      </c>
      <c r="K36" s="22" t="n">
        <v>-25621</v>
      </c>
      <c r="L36" s="22" t="n">
        <v>1503846</v>
      </c>
      <c r="M36" s="22" t="n">
        <v>484504</v>
      </c>
      <c r="N36" s="22" t="n">
        <v>102883</v>
      </c>
      <c r="O36" s="22" t="n">
        <v>898977.277</v>
      </c>
      <c r="P36" s="24" t="n">
        <v>1178.315</v>
      </c>
      <c r="Q36" s="25" t="n">
        <v>0</v>
      </c>
      <c r="R36" s="26" t="s">
        <v>86</v>
      </c>
      <c r="S36" s="27" t="n">
        <f aca="false">Supuestos!$C$15</f>
        <v>0.622361673414305</v>
      </c>
      <c r="T36" s="28" t="n">
        <f aca="false">O36+M36+N36</f>
        <v>1486364.277</v>
      </c>
    </row>
    <row r="37" customFormat="false" ht="15" hidden="false" customHeight="false" outlineLevel="0" collapsed="false">
      <c r="A37" s="29" t="s">
        <v>32</v>
      </c>
      <c r="B37" s="29" t="s">
        <v>81</v>
      </c>
      <c r="C37" s="29" t="s">
        <v>33</v>
      </c>
      <c r="D37" s="29" t="s">
        <v>34</v>
      </c>
      <c r="E37" s="29" t="s">
        <v>82</v>
      </c>
      <c r="F37" s="29" t="s">
        <v>87</v>
      </c>
      <c r="G37" s="22" t="n">
        <v>626290</v>
      </c>
      <c r="H37" s="22" t="n">
        <v>252539</v>
      </c>
      <c r="I37" s="22" t="n">
        <v>14034</v>
      </c>
      <c r="J37" s="23" t="n">
        <f aca="false">H37-I37</f>
        <v>238505</v>
      </c>
      <c r="K37" s="22" t="n">
        <v>260661</v>
      </c>
      <c r="L37" s="22" t="n">
        <v>2107122</v>
      </c>
      <c r="M37" s="22" t="n">
        <v>632450</v>
      </c>
      <c r="N37" s="22" t="n">
        <v>125752</v>
      </c>
      <c r="O37" s="22" t="n">
        <v>1260881.973</v>
      </c>
      <c r="P37" s="24" t="n">
        <v>1685</v>
      </c>
      <c r="Q37" s="25" t="n">
        <v>0</v>
      </c>
      <c r="R37" s="26"/>
      <c r="S37" s="27" t="n">
        <f aca="false">Supuestos!$C$15</f>
        <v>0.622361673414305</v>
      </c>
      <c r="T37" s="28" t="n">
        <f aca="false">O37+M37+N37</f>
        <v>2019083.973</v>
      </c>
    </row>
    <row r="38" customFormat="false" ht="22.35" hidden="false" customHeight="false" outlineLevel="0" collapsed="false">
      <c r="A38" s="29" t="s">
        <v>32</v>
      </c>
      <c r="B38" s="29" t="s">
        <v>81</v>
      </c>
      <c r="C38" s="29" t="s">
        <v>33</v>
      </c>
      <c r="D38" s="29" t="s">
        <v>34</v>
      </c>
      <c r="E38" s="29" t="s">
        <v>82</v>
      </c>
      <c r="F38" s="29" t="s">
        <v>69</v>
      </c>
      <c r="G38" s="22" t="n">
        <v>657654</v>
      </c>
      <c r="H38" s="22" t="n">
        <v>234086.077785064</v>
      </c>
      <c r="I38" s="22" t="n">
        <v>16953.5830793859</v>
      </c>
      <c r="J38" s="23" t="n">
        <f aca="false">H38-I38</f>
        <v>217132.494705678</v>
      </c>
      <c r="K38" s="22" t="n">
        <v>393510</v>
      </c>
      <c r="L38" s="22" t="n">
        <v>2279754</v>
      </c>
      <c r="M38" s="22" t="n">
        <v>901783</v>
      </c>
      <c r="N38" s="22" t="n">
        <v>140656</v>
      </c>
      <c r="O38" s="22" t="n">
        <v>1832401.491</v>
      </c>
      <c r="P38" s="24" t="n">
        <v>2260</v>
      </c>
      <c r="Q38" s="25" t="n">
        <v>0</v>
      </c>
      <c r="R38" s="26" t="s">
        <v>88</v>
      </c>
      <c r="S38" s="27" t="n">
        <f aca="false">Supuestos!$C$15</f>
        <v>0.622361673414305</v>
      </c>
      <c r="T38" s="28" t="n">
        <f aca="false">O38+M38+N38</f>
        <v>2874840.491</v>
      </c>
    </row>
    <row r="39" customFormat="false" ht="15" hidden="false" customHeight="false" outlineLevel="0" collapsed="false">
      <c r="A39" s="29" t="s">
        <v>35</v>
      </c>
      <c r="B39" s="29" t="s">
        <v>89</v>
      </c>
      <c r="C39" s="29" t="s">
        <v>33</v>
      </c>
      <c r="D39" s="29" t="s">
        <v>36</v>
      </c>
      <c r="E39" s="29" t="s">
        <v>90</v>
      </c>
      <c r="F39" s="29" t="s">
        <v>49</v>
      </c>
      <c r="G39" s="22" t="n">
        <v>5513.075093</v>
      </c>
      <c r="H39" s="22" t="n">
        <v>3548.488</v>
      </c>
      <c r="I39" s="22" t="n">
        <v>17.399054</v>
      </c>
      <c r="J39" s="23" t="n">
        <f aca="false">H39-I39</f>
        <v>3531.088946</v>
      </c>
      <c r="K39" s="22" t="n">
        <v>2839.273649</v>
      </c>
      <c r="L39" s="22" t="n">
        <v>58859.10501</v>
      </c>
      <c r="M39" s="22" t="n">
        <v>5777.214826</v>
      </c>
      <c r="N39" s="22" t="n">
        <v>2514.053494</v>
      </c>
      <c r="O39" s="22" t="n">
        <v>35837.309</v>
      </c>
      <c r="P39" s="24" t="n">
        <v>23.4</v>
      </c>
      <c r="Q39" s="25" t="n">
        <v>0</v>
      </c>
      <c r="R39" s="26"/>
      <c r="S39" s="27" t="n">
        <f aca="false">Supuestos!$C$14</f>
        <v>52.7093596059113</v>
      </c>
      <c r="T39" s="28" t="n">
        <f aca="false">O39+M39+N39</f>
        <v>44128.57732</v>
      </c>
    </row>
    <row r="40" customFormat="false" ht="15" hidden="false" customHeight="false" outlineLevel="0" collapsed="false">
      <c r="A40" s="29" t="s">
        <v>35</v>
      </c>
      <c r="B40" s="29" t="s">
        <v>89</v>
      </c>
      <c r="C40" s="29" t="s">
        <v>33</v>
      </c>
      <c r="D40" s="29" t="s">
        <v>36</v>
      </c>
      <c r="E40" s="29" t="s">
        <v>90</v>
      </c>
      <c r="F40" s="29" t="s">
        <v>50</v>
      </c>
      <c r="G40" s="22" t="n">
        <v>6188.989063</v>
      </c>
      <c r="H40" s="22" t="n">
        <v>3946.793719</v>
      </c>
      <c r="I40" s="22" t="n">
        <v>16.68704</v>
      </c>
      <c r="J40" s="23" t="n">
        <f aca="false">H40-I40</f>
        <v>3930.106679</v>
      </c>
      <c r="K40" s="22" t="n">
        <v>3309.20402</v>
      </c>
      <c r="L40" s="22" t="n">
        <v>59273.71025</v>
      </c>
      <c r="M40" s="22" t="n">
        <v>7103.915032</v>
      </c>
      <c r="N40" s="22" t="n">
        <v>2779.691784</v>
      </c>
      <c r="O40" s="22" t="n">
        <v>32666.0343</v>
      </c>
      <c r="P40" s="24" t="n">
        <v>20.96</v>
      </c>
      <c r="Q40" s="25" t="n">
        <v>0</v>
      </c>
      <c r="R40" s="26"/>
      <c r="S40" s="27" t="n">
        <f aca="false">Supuestos!$C$14</f>
        <v>52.7093596059113</v>
      </c>
      <c r="T40" s="28" t="n">
        <f aca="false">O40+M40+N40</f>
        <v>42549.641116</v>
      </c>
    </row>
    <row r="41" customFormat="false" ht="15" hidden="false" customHeight="false" outlineLevel="0" collapsed="false">
      <c r="A41" s="29" t="s">
        <v>35</v>
      </c>
      <c r="B41" s="29" t="s">
        <v>89</v>
      </c>
      <c r="C41" s="29" t="s">
        <v>33</v>
      </c>
      <c r="D41" s="29" t="s">
        <v>36</v>
      </c>
      <c r="E41" s="29" t="s">
        <v>90</v>
      </c>
      <c r="F41" s="29" t="s">
        <v>51</v>
      </c>
      <c r="G41" s="22" t="n">
        <v>6774.648773</v>
      </c>
      <c r="H41" s="22" t="n">
        <v>4404.979918</v>
      </c>
      <c r="I41" s="22" t="n">
        <v>12.314015</v>
      </c>
      <c r="J41" s="23" t="n">
        <f aca="false">H41-I41</f>
        <v>4392.665903</v>
      </c>
      <c r="K41" s="22" t="n">
        <v>4201.211086</v>
      </c>
      <c r="L41" s="22" t="n">
        <v>61136.362</v>
      </c>
      <c r="M41" s="22" t="n">
        <v>8959.336</v>
      </c>
      <c r="N41" s="22" t="n">
        <v>2694.196</v>
      </c>
      <c r="O41" s="22" t="n">
        <v>31741.1254</v>
      </c>
      <c r="P41" s="24" t="n">
        <v>20.06</v>
      </c>
      <c r="Q41" s="25" t="n">
        <v>0</v>
      </c>
      <c r="R41" s="26"/>
      <c r="S41" s="27" t="n">
        <f aca="false">Supuestos!$C$14</f>
        <v>52.7093596059113</v>
      </c>
      <c r="T41" s="28" t="n">
        <f aca="false">O41+M41+N41</f>
        <v>43394.6574</v>
      </c>
    </row>
    <row r="42" customFormat="false" ht="15" hidden="false" customHeight="false" outlineLevel="0" collapsed="false">
      <c r="A42" s="29" t="s">
        <v>35</v>
      </c>
      <c r="B42" s="29" t="s">
        <v>89</v>
      </c>
      <c r="C42" s="29" t="s">
        <v>33</v>
      </c>
      <c r="D42" s="29" t="s">
        <v>36</v>
      </c>
      <c r="E42" s="29" t="s">
        <v>90</v>
      </c>
      <c r="F42" s="29" t="s">
        <v>52</v>
      </c>
      <c r="G42" s="22" t="n">
        <v>7576.427586</v>
      </c>
      <c r="H42" s="22" t="n">
        <v>5024.111421</v>
      </c>
      <c r="I42" s="22" t="n">
        <v>13.044624</v>
      </c>
      <c r="J42" s="23" t="n">
        <f aca="false">H42-I42</f>
        <v>5011.066797</v>
      </c>
      <c r="K42" s="22" t="n">
        <v>5033.094732</v>
      </c>
      <c r="L42" s="22" t="n">
        <v>63801.62915</v>
      </c>
      <c r="M42" s="22" t="n">
        <v>10355.72216</v>
      </c>
      <c r="N42" s="22" t="n">
        <v>2856.829912</v>
      </c>
      <c r="O42" s="22" t="n">
        <v>45010.3081</v>
      </c>
      <c r="P42" s="24" t="n">
        <v>28.06</v>
      </c>
      <c r="Q42" s="25" t="n">
        <v>0</v>
      </c>
      <c r="R42" s="26"/>
      <c r="S42" s="27" t="n">
        <f aca="false">Supuestos!$C$14</f>
        <v>52.7093596059113</v>
      </c>
      <c r="T42" s="28" t="n">
        <f aca="false">O42+M42+N42</f>
        <v>58222.860172</v>
      </c>
    </row>
    <row r="43" customFormat="false" ht="15" hidden="false" customHeight="false" outlineLevel="0" collapsed="false">
      <c r="A43" s="29" t="s">
        <v>35</v>
      </c>
      <c r="B43" s="29" t="s">
        <v>89</v>
      </c>
      <c r="C43" s="29" t="s">
        <v>33</v>
      </c>
      <c r="D43" s="29" t="s">
        <v>36</v>
      </c>
      <c r="E43" s="29" t="s">
        <v>90</v>
      </c>
      <c r="F43" s="29" t="s">
        <v>69</v>
      </c>
      <c r="G43" s="22" t="n">
        <v>7919.117418</v>
      </c>
      <c r="H43" s="22" t="n">
        <v>5267.092213</v>
      </c>
      <c r="I43" s="22" t="n">
        <v>13.271624</v>
      </c>
      <c r="J43" s="23" t="n">
        <f aca="false">H43-I43</f>
        <v>5253.820589</v>
      </c>
      <c r="K43" s="22" t="n">
        <v>5720.845732</v>
      </c>
      <c r="L43" s="22" t="n">
        <v>65366.324</v>
      </c>
      <c r="M43" s="22" t="n">
        <v>11724.738</v>
      </c>
      <c r="N43" s="22" t="n">
        <v>2958.505</v>
      </c>
      <c r="O43" s="22" t="n">
        <v>45229.1479</v>
      </c>
      <c r="P43" s="24" t="n">
        <v>27.94</v>
      </c>
      <c r="Q43" s="25" t="n">
        <v>0</v>
      </c>
      <c r="R43" s="26"/>
      <c r="S43" s="27" t="n">
        <f aca="false">Supuestos!$C$14</f>
        <v>52.7093596059113</v>
      </c>
      <c r="T43" s="28" t="n">
        <f aca="false">O43+M43+N43</f>
        <v>59912.3909</v>
      </c>
    </row>
    <row r="45" customFormat="false" ht="15" hidden="false" customHeight="false" outlineLevel="0" collapsed="false">
      <c r="A45" s="3" t="s">
        <v>91</v>
      </c>
    </row>
    <row r="46" customFormat="false" ht="35.05" hidden="false" customHeight="false" outlineLevel="0" collapsed="false">
      <c r="A46" s="4" t="s">
        <v>3</v>
      </c>
      <c r="B46" s="4" t="s">
        <v>55</v>
      </c>
      <c r="C46" s="4" t="s">
        <v>4</v>
      </c>
      <c r="D46" s="4" t="s">
        <v>5</v>
      </c>
      <c r="E46" s="4" t="s">
        <v>56</v>
      </c>
      <c r="F46" s="4" t="s">
        <v>6</v>
      </c>
      <c r="G46" s="4" t="s">
        <v>92</v>
      </c>
      <c r="H46" s="4" t="s">
        <v>93</v>
      </c>
      <c r="I46" s="4" t="s">
        <v>94</v>
      </c>
      <c r="J46" s="4" t="s">
        <v>95</v>
      </c>
      <c r="K46" s="4" t="s">
        <v>96</v>
      </c>
      <c r="L46" s="4"/>
      <c r="M46" s="4"/>
      <c r="N46" s="4"/>
      <c r="O46" s="4"/>
      <c r="P46" s="4"/>
      <c r="Q46" s="4"/>
      <c r="R46" s="4" t="s">
        <v>63</v>
      </c>
      <c r="S46" s="4" t="s">
        <v>64</v>
      </c>
    </row>
    <row r="47" customFormat="false" ht="15" hidden="false" customHeight="false" outlineLevel="0" collapsed="false">
      <c r="A47" s="21" t="s">
        <v>22</v>
      </c>
      <c r="B47" s="21" t="s">
        <v>66</v>
      </c>
      <c r="C47" s="21" t="s">
        <v>23</v>
      </c>
      <c r="D47" s="21" t="s">
        <v>24</v>
      </c>
      <c r="E47" s="21" t="s">
        <v>67</v>
      </c>
      <c r="F47" s="21" t="s">
        <v>97</v>
      </c>
      <c r="G47" s="30" t="n">
        <v>758569.5251</v>
      </c>
      <c r="H47" s="30" t="n">
        <v>617130.3379</v>
      </c>
      <c r="I47" s="30" t="n">
        <v>611889.8174</v>
      </c>
      <c r="J47" s="30" t="n">
        <v>488981.2456</v>
      </c>
      <c r="K47" s="25" t="n">
        <v>13</v>
      </c>
      <c r="R47" s="31"/>
      <c r="S47" s="27" t="n">
        <f aca="false">Supuestos!$C$11</f>
        <v>1</v>
      </c>
    </row>
    <row r="48" customFormat="false" ht="15" hidden="false" customHeight="false" outlineLevel="0" collapsed="false">
      <c r="A48" s="29" t="s">
        <v>25</v>
      </c>
      <c r="B48" s="29" t="s">
        <v>70</v>
      </c>
      <c r="C48" s="29" t="s">
        <v>26</v>
      </c>
      <c r="D48" s="29" t="s">
        <v>24</v>
      </c>
      <c r="E48" s="29" t="s">
        <v>67</v>
      </c>
      <c r="F48" s="29" t="s">
        <v>97</v>
      </c>
      <c r="G48" s="30" t="n">
        <v>475685.589</v>
      </c>
      <c r="H48" s="30" t="n">
        <v>342581.9503</v>
      </c>
      <c r="I48" s="30" t="n">
        <v>347536.9589</v>
      </c>
      <c r="J48" s="30" t="n">
        <v>166719.8491</v>
      </c>
      <c r="K48" s="25" t="n">
        <v>13</v>
      </c>
      <c r="R48" s="31" t="s">
        <v>98</v>
      </c>
      <c r="S48" s="27" t="n">
        <f aca="false">Supuestos!$C$11</f>
        <v>1</v>
      </c>
    </row>
    <row r="49" customFormat="false" ht="15" hidden="false" customHeight="false" outlineLevel="0" collapsed="false">
      <c r="A49" s="29" t="s">
        <v>27</v>
      </c>
      <c r="B49" s="29" t="s">
        <v>71</v>
      </c>
      <c r="C49" s="29" t="s">
        <v>26</v>
      </c>
      <c r="D49" s="29" t="s">
        <v>24</v>
      </c>
      <c r="E49" s="29" t="s">
        <v>67</v>
      </c>
      <c r="F49" s="29" t="s">
        <v>97</v>
      </c>
      <c r="G49" s="30" t="n">
        <v>436396.6493</v>
      </c>
      <c r="H49" s="30" t="n">
        <v>392093.8</v>
      </c>
      <c r="I49" s="30" t="n">
        <v>395608.2021</v>
      </c>
      <c r="J49" s="30" t="n">
        <v>278140.7303</v>
      </c>
      <c r="K49" s="25" t="n">
        <v>11</v>
      </c>
      <c r="R49" s="31" t="s">
        <v>98</v>
      </c>
      <c r="S49" s="27" t="n">
        <f aca="false">Supuestos!$C$11</f>
        <v>1</v>
      </c>
    </row>
    <row r="50" customFormat="false" ht="15" hidden="false" customHeight="false" outlineLevel="0" collapsed="false">
      <c r="A50" s="29" t="s">
        <v>28</v>
      </c>
      <c r="B50" s="29" t="s">
        <v>74</v>
      </c>
      <c r="C50" s="29" t="s">
        <v>26</v>
      </c>
      <c r="D50" s="29" t="s">
        <v>29</v>
      </c>
      <c r="E50" s="29" t="s">
        <v>75</v>
      </c>
      <c r="F50" s="29" t="s">
        <v>97</v>
      </c>
      <c r="G50" s="30" t="n">
        <v>2802.804483</v>
      </c>
      <c r="H50" s="30" t="n">
        <v>2109.070776</v>
      </c>
      <c r="I50" s="30" t="n">
        <v>1967.476961</v>
      </c>
      <c r="J50" s="30" t="n">
        <v>1291.497506</v>
      </c>
      <c r="K50" s="25" t="n">
        <v>15</v>
      </c>
      <c r="R50" s="31"/>
      <c r="S50" s="27" t="n">
        <f aca="false">Supuestos!$C$13</f>
        <v>178.644199109045</v>
      </c>
    </row>
    <row r="51" customFormat="false" ht="15" hidden="false" customHeight="false" outlineLevel="0" collapsed="false">
      <c r="A51" s="29" t="s">
        <v>30</v>
      </c>
      <c r="B51" s="29" t="s">
        <v>76</v>
      </c>
      <c r="C51" s="29" t="s">
        <v>26</v>
      </c>
      <c r="D51" s="29" t="s">
        <v>29</v>
      </c>
      <c r="E51" s="29" t="s">
        <v>75</v>
      </c>
      <c r="F51" s="29" t="s">
        <v>97</v>
      </c>
      <c r="G51" s="30" t="n">
        <v>3116.17637</v>
      </c>
      <c r="H51" s="30" t="n">
        <v>2315.443836</v>
      </c>
      <c r="I51" s="30" t="n">
        <v>1723.195205</v>
      </c>
      <c r="J51" s="30" t="n">
        <v>949.7683602</v>
      </c>
      <c r="K51" s="25" t="n">
        <v>14</v>
      </c>
      <c r="R51" s="31"/>
      <c r="S51" s="27" t="n">
        <f aca="false">Supuestos!$C$13</f>
        <v>178.644199109045</v>
      </c>
    </row>
    <row r="52" customFormat="false" ht="15" hidden="false" customHeight="false" outlineLevel="0" collapsed="false">
      <c r="A52" s="29" t="s">
        <v>31</v>
      </c>
      <c r="B52" s="29" t="s">
        <v>78</v>
      </c>
      <c r="C52" s="29" t="s">
        <v>26</v>
      </c>
      <c r="D52" s="29" t="s">
        <v>29</v>
      </c>
      <c r="E52" s="29" t="s">
        <v>75</v>
      </c>
      <c r="F52" s="29" t="s">
        <v>97</v>
      </c>
      <c r="G52" s="30" t="n">
        <v>1781.472603</v>
      </c>
      <c r="H52" s="30" t="n">
        <v>1333.787671</v>
      </c>
      <c r="I52" s="30" t="n">
        <v>1112.771689</v>
      </c>
      <c r="J52" s="30" t="n">
        <v>649.873092</v>
      </c>
      <c r="K52" s="25" t="n">
        <v>13</v>
      </c>
      <c r="R52" s="31"/>
      <c r="S52" s="27" t="n">
        <f aca="false">Supuestos!$C$13</f>
        <v>178.644199109045</v>
      </c>
    </row>
    <row r="53" customFormat="false" ht="15" hidden="false" customHeight="false" outlineLevel="0" collapsed="false">
      <c r="A53" s="29" t="s">
        <v>32</v>
      </c>
      <c r="B53" s="29" t="s">
        <v>81</v>
      </c>
      <c r="C53" s="29" t="s">
        <v>33</v>
      </c>
      <c r="D53" s="29" t="s">
        <v>34</v>
      </c>
      <c r="E53" s="29" t="s">
        <v>82</v>
      </c>
      <c r="F53" s="29" t="s">
        <v>97</v>
      </c>
      <c r="G53" s="30" t="n">
        <v>708864.6243</v>
      </c>
      <c r="H53" s="30" t="n">
        <v>460784.7301</v>
      </c>
      <c r="I53" s="30" t="n">
        <v>444193.9164</v>
      </c>
      <c r="J53" s="30" t="n">
        <v>199514.5402</v>
      </c>
      <c r="K53" s="25" t="n">
        <v>1</v>
      </c>
      <c r="R53" s="31" t="s">
        <v>99</v>
      </c>
      <c r="S53" s="27" t="n">
        <f aca="false">Supuestos!$C$15</f>
        <v>0.622361673414305</v>
      </c>
    </row>
    <row r="54" customFormat="false" ht="15" hidden="false" customHeight="false" outlineLevel="0" collapsed="false">
      <c r="A54" s="29" t="s">
        <v>35</v>
      </c>
      <c r="B54" s="29" t="s">
        <v>89</v>
      </c>
      <c r="C54" s="29" t="s">
        <v>33</v>
      </c>
      <c r="D54" s="29" t="s">
        <v>36</v>
      </c>
      <c r="E54" s="29" t="s">
        <v>90</v>
      </c>
      <c r="F54" s="29" t="s">
        <v>97</v>
      </c>
      <c r="G54" s="30" t="n">
        <v>8336.520548</v>
      </c>
      <c r="H54" s="30" t="n">
        <v>5945.221461</v>
      </c>
      <c r="I54" s="30" t="n">
        <v>5956.345205</v>
      </c>
      <c r="J54" s="30" t="n">
        <v>5316.659004</v>
      </c>
      <c r="K54" s="25" t="n">
        <v>9</v>
      </c>
      <c r="R54" s="31" t="s">
        <v>98</v>
      </c>
      <c r="S54" s="27" t="n">
        <f aca="false">Supuestos!$C$14</f>
        <v>52.7093596059113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1" t="s">
        <v>100</v>
      </c>
    </row>
    <row r="3" customFormat="false" ht="15" hidden="false" customHeight="false" outlineLevel="0" collapsed="false">
      <c r="A3" s="32" t="s">
        <v>101</v>
      </c>
      <c r="B3" s="33" t="s">
        <v>102</v>
      </c>
    </row>
    <row r="4" customFormat="false" ht="15" hidden="false" customHeight="false" outlineLevel="0" collapsed="false">
      <c r="A4" s="32" t="s">
        <v>103</v>
      </c>
      <c r="B4" s="33" t="s">
        <v>104</v>
      </c>
    </row>
    <row r="5" customFormat="false" ht="15" hidden="false" customHeight="false" outlineLevel="0" collapsed="false">
      <c r="A5" s="32" t="s">
        <v>105</v>
      </c>
      <c r="B5" s="33" t="s">
        <v>106</v>
      </c>
    </row>
    <row r="6" customFormat="false" ht="15" hidden="false" customHeight="false" outlineLevel="0" collapsed="false">
      <c r="A6" s="32" t="s">
        <v>107</v>
      </c>
      <c r="B6" s="33" t="s">
        <v>108</v>
      </c>
    </row>
    <row r="7" customFormat="false" ht="15" hidden="false" customHeight="false" outlineLevel="0" collapsed="false">
      <c r="A7" s="32" t="s">
        <v>109</v>
      </c>
      <c r="B7" s="33" t="s">
        <v>110</v>
      </c>
    </row>
    <row r="9" customFormat="false" ht="15" hidden="false" customHeight="false" outlineLevel="0" collapsed="false">
      <c r="A9" s="32" t="s">
        <v>111</v>
      </c>
    </row>
    <row r="10" customFormat="false" ht="15" hidden="false" customHeight="false" outlineLevel="0" collapsed="false">
      <c r="A10" s="4" t="s">
        <v>56</v>
      </c>
      <c r="B10" s="4" t="s">
        <v>112</v>
      </c>
      <c r="C10" s="4" t="s">
        <v>113</v>
      </c>
      <c r="D10" s="4" t="s">
        <v>114</v>
      </c>
    </row>
    <row r="11" customFormat="false" ht="15" hidden="false" customHeight="false" outlineLevel="0" collapsed="false">
      <c r="A11" s="32" t="s">
        <v>67</v>
      </c>
      <c r="B11" s="34" t="s">
        <v>115</v>
      </c>
      <c r="C11" s="35" t="n">
        <v>1</v>
      </c>
      <c r="D11" s="2" t="s">
        <v>115</v>
      </c>
    </row>
    <row r="12" customFormat="false" ht="15" hidden="false" customHeight="false" outlineLevel="0" collapsed="false">
      <c r="A12" s="32" t="s">
        <v>116</v>
      </c>
      <c r="B12" s="0" t="n">
        <v>1</v>
      </c>
      <c r="C12" s="36" t="n">
        <v>922.34</v>
      </c>
      <c r="D12" s="2" t="s">
        <v>117</v>
      </c>
    </row>
    <row r="13" customFormat="false" ht="15" hidden="false" customHeight="false" outlineLevel="0" collapsed="false">
      <c r="A13" s="32" t="s">
        <v>75</v>
      </c>
      <c r="B13" s="33" t="n">
        <v>5.163</v>
      </c>
      <c r="C13" s="35" t="n">
        <f aca="false">$C$12/B13</f>
        <v>178.644199109045</v>
      </c>
      <c r="D13" s="2" t="s">
        <v>118</v>
      </c>
    </row>
    <row r="14" customFormat="false" ht="15" hidden="false" customHeight="false" outlineLevel="0" collapsed="false">
      <c r="A14" s="32" t="s">
        <v>90</v>
      </c>
      <c r="B14" s="33" t="n">
        <v>17.4986</v>
      </c>
      <c r="C14" s="35" t="n">
        <f aca="false">$C$12/B14</f>
        <v>52.7093596059113</v>
      </c>
      <c r="D14" s="2" t="s">
        <v>119</v>
      </c>
    </row>
    <row r="15" customFormat="false" ht="15" hidden="false" customHeight="false" outlineLevel="0" collapsed="false">
      <c r="A15" s="32" t="s">
        <v>82</v>
      </c>
      <c r="B15" s="33" t="n">
        <v>1482</v>
      </c>
      <c r="C15" s="35" t="n">
        <f aca="false">$C$12/B15</f>
        <v>0.622361673414305</v>
      </c>
      <c r="D15" s="2" t="s">
        <v>120</v>
      </c>
    </row>
    <row r="17" customFormat="false" ht="15" hidden="false" customHeight="false" outlineLevel="0" collapsed="false">
      <c r="A17" s="0" t="s">
        <v>121</v>
      </c>
      <c r="B17" s="37" t="n">
        <v>100</v>
      </c>
    </row>
    <row r="19" customFormat="false" ht="15" hidden="false" customHeight="false" outlineLevel="0" collapsed="false">
      <c r="A19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0"/>
  </cols>
  <sheetData>
    <row r="1" customFormat="false" ht="16.15" hidden="false" customHeight="false" outlineLevel="0" collapsed="false">
      <c r="A1" s="1" t="s">
        <v>123</v>
      </c>
    </row>
    <row r="3" customFormat="false" ht="22.35" hidden="false" customHeight="false" outlineLevel="0" collapsed="false">
      <c r="A3" s="38" t="s">
        <v>114</v>
      </c>
      <c r="B3" s="39" t="s">
        <v>124</v>
      </c>
    </row>
    <row r="4" customFormat="false" ht="32.8" hidden="false" customHeight="false" outlineLevel="0" collapsed="false">
      <c r="A4" s="38" t="s">
        <v>125</v>
      </c>
      <c r="B4" s="39" t="s">
        <v>126</v>
      </c>
    </row>
    <row r="5" customFormat="false" ht="23.85" hidden="false" customHeight="false" outlineLevel="0" collapsed="false">
      <c r="A5" s="38" t="s">
        <v>127</v>
      </c>
      <c r="B5" s="39" t="s">
        <v>128</v>
      </c>
    </row>
    <row r="6" customFormat="false" ht="22.35" hidden="false" customHeight="false" outlineLevel="0" collapsed="false">
      <c r="A6" s="38" t="s">
        <v>129</v>
      </c>
      <c r="B6" s="39" t="s">
        <v>130</v>
      </c>
    </row>
    <row r="7" customFormat="false" ht="22.35" hidden="false" customHeight="false" outlineLevel="0" collapsed="false">
      <c r="A7" s="38" t="s">
        <v>69</v>
      </c>
      <c r="B7" s="39" t="s">
        <v>131</v>
      </c>
    </row>
    <row r="8" customFormat="false" ht="22.35" hidden="false" customHeight="false" outlineLevel="0" collapsed="false">
      <c r="A8" s="38" t="s">
        <v>97</v>
      </c>
      <c r="B8" s="39" t="s">
        <v>132</v>
      </c>
    </row>
    <row r="9" customFormat="false" ht="15" hidden="false" customHeight="false" outlineLevel="0" collapsed="false">
      <c r="A9" s="38" t="s">
        <v>56</v>
      </c>
      <c r="B9" s="39" t="s">
        <v>133</v>
      </c>
    </row>
    <row r="10" customFormat="false" ht="15" hidden="false" customHeight="false" outlineLevel="0" collapsed="false">
      <c r="A10" s="38" t="s">
        <v>134</v>
      </c>
      <c r="B10" s="39" t="s">
        <v>135</v>
      </c>
    </row>
    <row r="11" customFormat="false" ht="15" hidden="false" customHeight="false" outlineLevel="0" collapsed="false">
      <c r="A11" s="38" t="s">
        <v>32</v>
      </c>
      <c r="B11" s="39" t="s">
        <v>136</v>
      </c>
    </row>
    <row r="12" customFormat="false" ht="22.35" hidden="false" customHeight="false" outlineLevel="0" collapsed="false">
      <c r="A12" s="38" t="s">
        <v>137</v>
      </c>
      <c r="B12" s="39" t="s">
        <v>138</v>
      </c>
    </row>
    <row r="13" customFormat="false" ht="22.35" hidden="false" customHeight="false" outlineLevel="0" collapsed="false">
      <c r="A13" s="38" t="s">
        <v>139</v>
      </c>
      <c r="B13" s="3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2026-10-07T12:47:12Z</dcterms:created>
  <dc:creator>openpyxl</dc:creator>
  <dc:description/>
  <dc:language>en-US</dc:language>
  <cp:lastModifiedBy/>
  <dcterms:modified xsi:type="dcterms:W3CDTF">2026-10-07T12:47:12Z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