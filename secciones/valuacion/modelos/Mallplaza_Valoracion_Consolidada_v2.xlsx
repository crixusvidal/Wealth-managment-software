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crividal2022_udec_cl/Documents/CFA Researsh challenge CVR/Valuacion/"/>
    </mc:Choice>
  </mc:AlternateContent>
  <xr:revisionPtr revIDLastSave="1" documentId="11_3C2653E63A43246B413DAE50CE1F257DC2751C9F" xr6:coauthVersionLast="47" xr6:coauthVersionMax="47" xr10:uidLastSave="{1C493737-3A91-464D-8340-042FF82B06EE}"/>
  <bookViews>
    <workbookView xWindow="-120" yWindow="-120" windowWidth="29040" windowHeight="15840" tabRatio="500" firstSheet="1" activeTab="3" xr2:uid="{00000000-000D-0000-FFFF-FFFF00000000}"/>
  </bookViews>
  <sheets>
    <sheet name="Cambios" sheetId="1" r:id="rId1"/>
    <sheet name="Supuestos" sheetId="2" r:id="rId2"/>
    <sheet name="WACC" sheetId="3" r:id="rId3"/>
    <sheet name="Forecast_Base" sheetId="4" r:id="rId4"/>
    <sheet name="Expansion" sheetId="5" r:id="rId5"/>
    <sheet name="Capital_Trabajo" sheetId="6" r:id="rId6"/>
    <sheet name="DCF" sheetId="7" r:id="rId7"/>
    <sheet name="Deuda" sheetId="8" r:id="rId8"/>
    <sheet name="APV" sheetId="9" r:id="rId9"/>
    <sheet name="Sensibilidad" sheetId="10" r:id="rId10"/>
    <sheet name="Comparables" sheetId="11" r:id="rId11"/>
    <sheet name="Precio_Objetivo" sheetId="12" r:id="rId12"/>
    <sheet name="Datos_BBG" sheetId="13" r:id="rId13"/>
    <sheet name="Notas_Fuentes" sheetId="14" r:id="rId14"/>
  </sheets>
  <calcPr calcId="191029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7" l="1"/>
  <c r="S50" i="13"/>
  <c r="S49" i="13"/>
  <c r="S48" i="13"/>
  <c r="T44" i="13"/>
  <c r="J44" i="13"/>
  <c r="T43" i="13"/>
  <c r="J43" i="13"/>
  <c r="T42" i="13"/>
  <c r="J42" i="13"/>
  <c r="T41" i="13"/>
  <c r="J41" i="13"/>
  <c r="T40" i="13"/>
  <c r="J40" i="13"/>
  <c r="T39" i="13"/>
  <c r="J39" i="13"/>
  <c r="T38" i="13"/>
  <c r="J38" i="13"/>
  <c r="T37" i="13"/>
  <c r="J37" i="13"/>
  <c r="T36" i="13"/>
  <c r="J36" i="13"/>
  <c r="T35" i="13"/>
  <c r="J35" i="13"/>
  <c r="T34" i="13"/>
  <c r="J34" i="13"/>
  <c r="T33" i="13"/>
  <c r="J33" i="13"/>
  <c r="T32" i="13"/>
  <c r="J32" i="13"/>
  <c r="T31" i="13"/>
  <c r="J31" i="13"/>
  <c r="T30" i="13"/>
  <c r="J30" i="13"/>
  <c r="T29" i="13"/>
  <c r="J29" i="13"/>
  <c r="T28" i="13"/>
  <c r="J28" i="13"/>
  <c r="T27" i="13"/>
  <c r="J27" i="13"/>
  <c r="T26" i="13"/>
  <c r="J26" i="13"/>
  <c r="T25" i="13"/>
  <c r="J25" i="13"/>
  <c r="T24" i="13"/>
  <c r="J24" i="13"/>
  <c r="T23" i="13"/>
  <c r="J23" i="13"/>
  <c r="T22" i="13"/>
  <c r="J22" i="13"/>
  <c r="T21" i="13"/>
  <c r="J21" i="13"/>
  <c r="T20" i="13"/>
  <c r="J20" i="13"/>
  <c r="T19" i="13"/>
  <c r="S19" i="13"/>
  <c r="J19" i="13"/>
  <c r="T18" i="13"/>
  <c r="S18" i="13"/>
  <c r="J18" i="13"/>
  <c r="T17" i="13"/>
  <c r="S17" i="13"/>
  <c r="J17" i="13"/>
  <c r="T16" i="13"/>
  <c r="S16" i="13"/>
  <c r="J16" i="13"/>
  <c r="T15" i="13"/>
  <c r="S15" i="13"/>
  <c r="J15" i="13"/>
  <c r="T14" i="13"/>
  <c r="S14" i="13"/>
  <c r="J14" i="13"/>
  <c r="T13" i="13"/>
  <c r="S13" i="13"/>
  <c r="J13" i="13"/>
  <c r="T12" i="13"/>
  <c r="S12" i="13"/>
  <c r="J12" i="13"/>
  <c r="T11" i="13"/>
  <c r="S11" i="13"/>
  <c r="J11" i="13"/>
  <c r="T10" i="13"/>
  <c r="S10" i="13"/>
  <c r="J10" i="13"/>
  <c r="T9" i="13"/>
  <c r="S9" i="13"/>
  <c r="J9" i="13"/>
  <c r="T8" i="13"/>
  <c r="S8" i="13"/>
  <c r="J8" i="13"/>
  <c r="T7" i="13"/>
  <c r="S7" i="13"/>
  <c r="J7" i="13"/>
  <c r="T6" i="13"/>
  <c r="S6" i="13"/>
  <c r="J6" i="13"/>
  <c r="T5" i="13"/>
  <c r="S5" i="13"/>
  <c r="J5" i="13"/>
  <c r="B18" i="12"/>
  <c r="B16" i="12"/>
  <c r="B14" i="12"/>
  <c r="C12" i="11"/>
  <c r="B12" i="11"/>
  <c r="C11" i="11"/>
  <c r="B11" i="11"/>
  <c r="C10" i="11"/>
  <c r="B10" i="11"/>
  <c r="C9" i="11"/>
  <c r="B9" i="11"/>
  <c r="C8" i="11"/>
  <c r="B8" i="11"/>
  <c r="O7" i="11"/>
  <c r="N7" i="11"/>
  <c r="T7" i="11" s="1"/>
  <c r="M7" i="11"/>
  <c r="L7" i="11"/>
  <c r="K7" i="11"/>
  <c r="J7" i="11"/>
  <c r="H7" i="11"/>
  <c r="G7" i="11"/>
  <c r="F7" i="11"/>
  <c r="C7" i="11"/>
  <c r="B7" i="11"/>
  <c r="O6" i="11"/>
  <c r="N6" i="11"/>
  <c r="T6" i="11" s="1"/>
  <c r="M6" i="11"/>
  <c r="S6" i="11" s="1"/>
  <c r="L6" i="11"/>
  <c r="R6" i="11" s="1"/>
  <c r="K6" i="11"/>
  <c r="P6" i="11" s="1"/>
  <c r="AB6" i="11" s="1"/>
  <c r="J6" i="11"/>
  <c r="I6" i="11"/>
  <c r="Q6" i="11" s="1"/>
  <c r="X6" i="11" s="1"/>
  <c r="H6" i="11"/>
  <c r="G6" i="11"/>
  <c r="F6" i="11"/>
  <c r="C6" i="11"/>
  <c r="B6" i="11"/>
  <c r="O5" i="11"/>
  <c r="N5" i="11"/>
  <c r="C9" i="12" s="1"/>
  <c r="M5" i="11"/>
  <c r="C8" i="12" s="1"/>
  <c r="L5" i="11"/>
  <c r="C7" i="12" s="1"/>
  <c r="K5" i="11"/>
  <c r="C5" i="12" s="1"/>
  <c r="J5" i="11"/>
  <c r="H5" i="11"/>
  <c r="G5" i="11"/>
  <c r="F5" i="11"/>
  <c r="I5" i="11" s="1"/>
  <c r="P5" i="11" s="1"/>
  <c r="C5" i="11"/>
  <c r="B5" i="11"/>
  <c r="C12" i="9"/>
  <c r="C16" i="8"/>
  <c r="C15" i="8"/>
  <c r="D16" i="8" s="1"/>
  <c r="C7" i="8"/>
  <c r="D5" i="8"/>
  <c r="C5" i="8"/>
  <c r="C61" i="7"/>
  <c r="C50" i="7"/>
  <c r="C48" i="7"/>
  <c r="C46" i="7"/>
  <c r="C45" i="7"/>
  <c r="C39" i="7"/>
  <c r="C32" i="7"/>
  <c r="I15" i="7"/>
  <c r="H15" i="7"/>
  <c r="G15" i="7"/>
  <c r="F15" i="7"/>
  <c r="E15" i="7"/>
  <c r="D15" i="7"/>
  <c r="G9" i="7"/>
  <c r="D5" i="7"/>
  <c r="E33" i="6"/>
  <c r="D33" i="6"/>
  <c r="C33" i="6"/>
  <c r="D18" i="6"/>
  <c r="E17" i="6"/>
  <c r="D17" i="6"/>
  <c r="E10" i="6"/>
  <c r="D10" i="6"/>
  <c r="C10" i="6"/>
  <c r="C17" i="6" s="1"/>
  <c r="C18" i="6" s="1"/>
  <c r="H31" i="5"/>
  <c r="F31" i="5"/>
  <c r="D31" i="5"/>
  <c r="G29" i="5"/>
  <c r="F29" i="5"/>
  <c r="D29" i="5"/>
  <c r="C29" i="5"/>
  <c r="A29" i="5"/>
  <c r="F28" i="5"/>
  <c r="E28" i="5"/>
  <c r="C28" i="5"/>
  <c r="E27" i="5"/>
  <c r="D27" i="5"/>
  <c r="A27" i="5"/>
  <c r="A23" i="5"/>
  <c r="A21" i="5"/>
  <c r="A20" i="5"/>
  <c r="A16" i="5"/>
  <c r="E31" i="5" s="1"/>
  <c r="A15" i="5"/>
  <c r="H30" i="5" s="1"/>
  <c r="A14" i="5"/>
  <c r="A13" i="5"/>
  <c r="A28" i="5" s="1"/>
  <c r="A12" i="5"/>
  <c r="A19" i="5" s="1"/>
  <c r="F7" i="5"/>
  <c r="H6" i="5"/>
  <c r="G6" i="5"/>
  <c r="F6" i="5"/>
  <c r="E6" i="5"/>
  <c r="D6" i="5"/>
  <c r="C6" i="5"/>
  <c r="G16" i="4"/>
  <c r="G19" i="7" s="1"/>
  <c r="H15" i="4"/>
  <c r="G15" i="4"/>
  <c r="F15" i="4"/>
  <c r="E15" i="4"/>
  <c r="D15" i="4"/>
  <c r="D16" i="4" s="1"/>
  <c r="D19" i="7" s="1"/>
  <c r="C15" i="4"/>
  <c r="H14" i="4"/>
  <c r="G14" i="4"/>
  <c r="F14" i="4"/>
  <c r="F16" i="4" s="1"/>
  <c r="F19" i="7" s="1"/>
  <c r="E14" i="4"/>
  <c r="E16" i="4" s="1"/>
  <c r="E19" i="7" s="1"/>
  <c r="D14" i="4"/>
  <c r="C14" i="4"/>
  <c r="C16" i="4" s="1"/>
  <c r="C19" i="7" s="1"/>
  <c r="H10" i="4"/>
  <c r="F10" i="4"/>
  <c r="D10" i="4"/>
  <c r="G9" i="4"/>
  <c r="F9" i="4"/>
  <c r="D9" i="4"/>
  <c r="H8" i="4"/>
  <c r="G8" i="4"/>
  <c r="F8" i="4"/>
  <c r="F9" i="7" s="1"/>
  <c r="E8" i="4"/>
  <c r="E9" i="4" s="1"/>
  <c r="D8" i="4"/>
  <c r="D9" i="7" s="1"/>
  <c r="C8" i="4"/>
  <c r="C9" i="7" s="1"/>
  <c r="H6" i="4"/>
  <c r="H5" i="7" s="1"/>
  <c r="G6" i="4"/>
  <c r="G5" i="7" s="1"/>
  <c r="F6" i="4"/>
  <c r="F5" i="7" s="1"/>
  <c r="E6" i="4"/>
  <c r="E5" i="7" s="1"/>
  <c r="D6" i="4"/>
  <c r="C6" i="4"/>
  <c r="C46" i="3"/>
  <c r="D33" i="3"/>
  <c r="C33" i="3"/>
  <c r="I32" i="3"/>
  <c r="I40" i="3" s="1"/>
  <c r="I41" i="3" s="1"/>
  <c r="I13" i="9" s="1"/>
  <c r="C27" i="3"/>
  <c r="I34" i="3" s="1"/>
  <c r="I35" i="3" s="1"/>
  <c r="I36" i="3" s="1"/>
  <c r="C26" i="3"/>
  <c r="C25" i="3"/>
  <c r="C22" i="3"/>
  <c r="C18" i="3"/>
  <c r="C17" i="3"/>
  <c r="C16" i="3"/>
  <c r="C20" i="3" s="1"/>
  <c r="I12" i="3"/>
  <c r="H12" i="3"/>
  <c r="J12" i="3" s="1"/>
  <c r="I11" i="3"/>
  <c r="J11" i="3" s="1"/>
  <c r="H11" i="3"/>
  <c r="I10" i="3"/>
  <c r="J10" i="3" s="1"/>
  <c r="H10" i="3"/>
  <c r="I9" i="3"/>
  <c r="J9" i="3" s="1"/>
  <c r="H9" i="3"/>
  <c r="I8" i="3"/>
  <c r="J8" i="3" s="1"/>
  <c r="H8" i="3"/>
  <c r="I7" i="3"/>
  <c r="J7" i="3" s="1"/>
  <c r="H7" i="3"/>
  <c r="J6" i="3"/>
  <c r="I6" i="3"/>
  <c r="H6" i="3"/>
  <c r="B105" i="2"/>
  <c r="B104" i="2"/>
  <c r="B103" i="2"/>
  <c r="B89" i="2"/>
  <c r="B75" i="2"/>
  <c r="D9" i="5" s="1"/>
  <c r="B71" i="2"/>
  <c r="H7" i="5" s="1"/>
  <c r="B66" i="2"/>
  <c r="B15" i="5" s="1"/>
  <c r="B44" i="2"/>
  <c r="B41" i="2"/>
  <c r="B17" i="1"/>
  <c r="B15" i="1"/>
  <c r="B12" i="1"/>
  <c r="B8" i="1"/>
  <c r="B12" i="5" l="1"/>
  <c r="D19" i="5" s="1"/>
  <c r="C34" i="3"/>
  <c r="C35" i="3" s="1"/>
  <c r="C36" i="3" s="1"/>
  <c r="D8" i="5"/>
  <c r="C30" i="5"/>
  <c r="E9" i="7"/>
  <c r="E5" i="8"/>
  <c r="E18" i="8" s="1"/>
  <c r="D18" i="8"/>
  <c r="B16" i="5"/>
  <c r="S31" i="13"/>
  <c r="S23" i="13"/>
  <c r="S28" i="13"/>
  <c r="S20" i="13"/>
  <c r="S53" i="13"/>
  <c r="O10" i="11" s="1"/>
  <c r="S33" i="13"/>
  <c r="S25" i="13"/>
  <c r="S52" i="13"/>
  <c r="O9" i="11" s="1"/>
  <c r="S30" i="13"/>
  <c r="S22" i="13"/>
  <c r="S51" i="13"/>
  <c r="O8" i="11" s="1"/>
  <c r="S27" i="13"/>
  <c r="S32" i="13"/>
  <c r="S24" i="13"/>
  <c r="S29" i="13"/>
  <c r="S21" i="13"/>
  <c r="S34" i="13"/>
  <c r="S26" i="13"/>
  <c r="C19" i="3"/>
  <c r="D34" i="3"/>
  <c r="D35" i="3" s="1"/>
  <c r="D36" i="3" s="1"/>
  <c r="H9" i="4"/>
  <c r="H9" i="7"/>
  <c r="E8" i="5"/>
  <c r="B13" i="5"/>
  <c r="E30" i="5"/>
  <c r="Z6" i="11"/>
  <c r="AE6" i="11"/>
  <c r="C21" i="3"/>
  <c r="H8" i="5"/>
  <c r="G30" i="5"/>
  <c r="I42" i="3"/>
  <c r="S39" i="13"/>
  <c r="S54" i="13"/>
  <c r="O11" i="11" s="1"/>
  <c r="S36" i="13"/>
  <c r="S38" i="13"/>
  <c r="S35" i="13"/>
  <c r="S37" i="13"/>
  <c r="G7" i="5"/>
  <c r="E7" i="5"/>
  <c r="E22" i="5" s="1"/>
  <c r="D7" i="5"/>
  <c r="D22" i="5" s="1"/>
  <c r="B14" i="5"/>
  <c r="E19" i="6"/>
  <c r="E18" i="6"/>
  <c r="F20" i="6" s="1"/>
  <c r="B85" i="2" s="1"/>
  <c r="C9" i="4"/>
  <c r="C10" i="4"/>
  <c r="C5" i="7"/>
  <c r="E32" i="5"/>
  <c r="C9" i="5"/>
  <c r="G8" i="5"/>
  <c r="H9" i="5"/>
  <c r="F8" i="5"/>
  <c r="E9" i="5"/>
  <c r="C8" i="5"/>
  <c r="I13" i="3"/>
  <c r="F9" i="5"/>
  <c r="D30" i="5"/>
  <c r="A30" i="5"/>
  <c r="C22" i="5"/>
  <c r="A22" i="5"/>
  <c r="F30" i="5"/>
  <c r="G22" i="5"/>
  <c r="F22" i="5"/>
  <c r="H13" i="3"/>
  <c r="H16" i="4"/>
  <c r="H19" i="7" s="1"/>
  <c r="C7" i="5"/>
  <c r="G9" i="5"/>
  <c r="H22" i="5"/>
  <c r="D32" i="5"/>
  <c r="AA6" i="11"/>
  <c r="AF6" i="11"/>
  <c r="I7" i="11"/>
  <c r="G10" i="4"/>
  <c r="E20" i="5"/>
  <c r="F21" i="5"/>
  <c r="H23" i="5"/>
  <c r="C27" i="5"/>
  <c r="D28" i="5"/>
  <c r="E29" i="5"/>
  <c r="G31" i="5"/>
  <c r="W6" i="11"/>
  <c r="B22" i="12"/>
  <c r="Q5" i="11"/>
  <c r="C8" i="8"/>
  <c r="C9" i="8" s="1"/>
  <c r="C11" i="8" s="1"/>
  <c r="C12" i="8" s="1"/>
  <c r="S55" i="13"/>
  <c r="O12" i="11" s="1"/>
  <c r="S44" i="13"/>
  <c r="S41" i="13"/>
  <c r="S43" i="13"/>
  <c r="S40" i="13"/>
  <c r="S42" i="13"/>
  <c r="G19" i="5"/>
  <c r="H20" i="5"/>
  <c r="C23" i="5"/>
  <c r="A31" i="5"/>
  <c r="R5" i="11"/>
  <c r="AC6" i="11"/>
  <c r="H19" i="5"/>
  <c r="D23" i="5"/>
  <c r="C31" i="5"/>
  <c r="T5" i="11"/>
  <c r="AD6" i="11"/>
  <c r="Y6" i="11"/>
  <c r="E10" i="4"/>
  <c r="C20" i="5"/>
  <c r="F23" i="5"/>
  <c r="C18" i="8"/>
  <c r="AA7" i="11"/>
  <c r="AF7" i="11"/>
  <c r="S7" i="11"/>
  <c r="C6" i="12"/>
  <c r="S5" i="11"/>
  <c r="C13" i="8"/>
  <c r="C14" i="8" s="1"/>
  <c r="N8" i="11" l="1"/>
  <c r="T8" i="11" s="1"/>
  <c r="F8" i="11"/>
  <c r="L8" i="11"/>
  <c r="K8" i="11"/>
  <c r="J8" i="11"/>
  <c r="H8" i="11"/>
  <c r="G8" i="11"/>
  <c r="M8" i="11"/>
  <c r="S8" i="11" s="1"/>
  <c r="G24" i="5"/>
  <c r="G20" i="7" s="1"/>
  <c r="E33" i="5"/>
  <c r="E10" i="7" s="1"/>
  <c r="E11" i="7" s="1"/>
  <c r="E6" i="7"/>
  <c r="E7" i="7" s="1"/>
  <c r="C36" i="5"/>
  <c r="C37" i="5" s="1"/>
  <c r="F5" i="8"/>
  <c r="E33" i="3"/>
  <c r="E34" i="3" s="1"/>
  <c r="E35" i="3" s="1"/>
  <c r="E36" i="3" s="1"/>
  <c r="Q7" i="11"/>
  <c r="R7" i="11"/>
  <c r="P7" i="11"/>
  <c r="H10" i="11"/>
  <c r="N10" i="11"/>
  <c r="T10" i="11" s="1"/>
  <c r="F10" i="11"/>
  <c r="M10" i="11"/>
  <c r="S10" i="11" s="1"/>
  <c r="L10" i="11"/>
  <c r="K10" i="11"/>
  <c r="J10" i="11"/>
  <c r="G10" i="11"/>
  <c r="H24" i="5"/>
  <c r="H20" i="7" s="1"/>
  <c r="D21" i="5"/>
  <c r="H21" i="5"/>
  <c r="G21" i="5"/>
  <c r="E21" i="5"/>
  <c r="C21" i="5"/>
  <c r="C33" i="7"/>
  <c r="F19" i="5"/>
  <c r="F24" i="5" s="1"/>
  <c r="F20" i="7" s="1"/>
  <c r="E19" i="5"/>
  <c r="C19" i="5"/>
  <c r="AE7" i="11"/>
  <c r="Z7" i="11"/>
  <c r="J12" i="11"/>
  <c r="H12" i="11"/>
  <c r="G12" i="11"/>
  <c r="N12" i="11"/>
  <c r="F12" i="11"/>
  <c r="I12" i="11" s="1"/>
  <c r="Q12" i="11" s="1"/>
  <c r="M12" i="11"/>
  <c r="S12" i="11" s="1"/>
  <c r="L12" i="11"/>
  <c r="R12" i="11" s="1"/>
  <c r="K12" i="11"/>
  <c r="P12" i="11" s="1"/>
  <c r="C32" i="5"/>
  <c r="C21" i="7"/>
  <c r="G20" i="5"/>
  <c r="F20" i="5"/>
  <c r="D20" i="5"/>
  <c r="D24" i="5" s="1"/>
  <c r="D20" i="7" s="1"/>
  <c r="G23" i="5"/>
  <c r="E23" i="5"/>
  <c r="D6" i="7"/>
  <c r="D7" i="7" s="1"/>
  <c r="E21" i="7" s="1"/>
  <c r="D33" i="5"/>
  <c r="D10" i="7" s="1"/>
  <c r="D11" i="7" s="1"/>
  <c r="M11" i="11"/>
  <c r="S11" i="11" s="1"/>
  <c r="L11" i="11"/>
  <c r="K11" i="11"/>
  <c r="J11" i="11"/>
  <c r="H11" i="11"/>
  <c r="G11" i="11"/>
  <c r="N11" i="11"/>
  <c r="T11" i="11" s="1"/>
  <c r="F11" i="11"/>
  <c r="C28" i="3"/>
  <c r="C37" i="3"/>
  <c r="C38" i="3" s="1"/>
  <c r="C39" i="3" s="1"/>
  <c r="D37" i="3"/>
  <c r="D38" i="3" s="1"/>
  <c r="D39" i="3" s="1"/>
  <c r="I37" i="3"/>
  <c r="I38" i="3" s="1"/>
  <c r="I39" i="3" s="1"/>
  <c r="I43" i="3" s="1"/>
  <c r="C4" i="9"/>
  <c r="C5" i="9" s="1"/>
  <c r="K9" i="11"/>
  <c r="H9" i="11"/>
  <c r="G9" i="11"/>
  <c r="N9" i="11"/>
  <c r="F9" i="11"/>
  <c r="I9" i="11" s="1"/>
  <c r="Q9" i="11" s="1"/>
  <c r="M9" i="11"/>
  <c r="S9" i="11" s="1"/>
  <c r="L9" i="11"/>
  <c r="R9" i="11" s="1"/>
  <c r="J9" i="11"/>
  <c r="AC9" i="11" l="1"/>
  <c r="X9" i="11"/>
  <c r="S16" i="11"/>
  <c r="E6" i="8"/>
  <c r="E12" i="7"/>
  <c r="X12" i="11"/>
  <c r="AC12" i="11"/>
  <c r="AB12" i="11"/>
  <c r="W12" i="11"/>
  <c r="C34" i="7"/>
  <c r="Y7" i="11"/>
  <c r="AD7" i="11"/>
  <c r="G5" i="8"/>
  <c r="F33" i="3"/>
  <c r="F34" i="3" s="1"/>
  <c r="F18" i="8"/>
  <c r="AF10" i="11"/>
  <c r="AA10" i="11"/>
  <c r="Y9" i="11"/>
  <c r="AD9" i="11"/>
  <c r="Z8" i="11"/>
  <c r="S18" i="11" s="1"/>
  <c r="AE8" i="11"/>
  <c r="I25" i="7"/>
  <c r="C38" i="7" s="1"/>
  <c r="B24" i="12" s="1"/>
  <c r="I44" i="3"/>
  <c r="C58" i="7" s="1"/>
  <c r="B25" i="12" s="1"/>
  <c r="C11" i="1"/>
  <c r="X7" i="11"/>
  <c r="AC7" i="11"/>
  <c r="C38" i="5"/>
  <c r="C39" i="5"/>
  <c r="D13" i="7"/>
  <c r="D18" i="7" s="1"/>
  <c r="D8" i="7"/>
  <c r="AF8" i="11"/>
  <c r="AA8" i="11"/>
  <c r="Z9" i="11"/>
  <c r="AE9" i="11"/>
  <c r="Y12" i="11"/>
  <c r="AD12" i="11"/>
  <c r="W7" i="11"/>
  <c r="AB7" i="11"/>
  <c r="R11" i="11"/>
  <c r="D21" i="7"/>
  <c r="T12" i="11"/>
  <c r="R10" i="11"/>
  <c r="E13" i="7"/>
  <c r="E18" i="7" s="1"/>
  <c r="E8" i="7"/>
  <c r="C9" i="9"/>
  <c r="C10" i="9"/>
  <c r="Z10" i="11"/>
  <c r="AE10" i="11"/>
  <c r="R8" i="11"/>
  <c r="AA11" i="11"/>
  <c r="AF11" i="11"/>
  <c r="C33" i="5"/>
  <c r="C10" i="7" s="1"/>
  <c r="C6" i="7"/>
  <c r="E24" i="5"/>
  <c r="E20" i="7" s="1"/>
  <c r="Z12" i="11"/>
  <c r="AE12" i="11"/>
  <c r="T9" i="11"/>
  <c r="AE11" i="11"/>
  <c r="Z11" i="11"/>
  <c r="P9" i="11"/>
  <c r="E37" i="3"/>
  <c r="E38" i="3" s="1"/>
  <c r="E39" i="3" s="1"/>
  <c r="I11" i="11"/>
  <c r="Q11" i="11" s="1"/>
  <c r="D6" i="8"/>
  <c r="D12" i="7"/>
  <c r="D14" i="7"/>
  <c r="C24" i="5"/>
  <c r="C20" i="7" s="1"/>
  <c r="I10" i="11"/>
  <c r="Q10" i="11" s="1"/>
  <c r="I8" i="11"/>
  <c r="Q8" i="11" s="1"/>
  <c r="C59" i="7" l="1"/>
  <c r="C40" i="7"/>
  <c r="E14" i="7"/>
  <c r="AD8" i="11"/>
  <c r="R16" i="11" s="1"/>
  <c r="R17" i="11" s="1"/>
  <c r="Y8" i="11"/>
  <c r="R18" i="11" s="1"/>
  <c r="Q16" i="11"/>
  <c r="Q17" i="11" s="1"/>
  <c r="AC11" i="11"/>
  <c r="X11" i="11"/>
  <c r="AA12" i="11"/>
  <c r="AF12" i="11"/>
  <c r="Q15" i="11"/>
  <c r="R15" i="11"/>
  <c r="E19" i="8"/>
  <c r="T15" i="11"/>
  <c r="P10" i="11"/>
  <c r="I7" i="7"/>
  <c r="C35" i="7"/>
  <c r="S15" i="11"/>
  <c r="S17" i="11" s="1"/>
  <c r="D9" i="9"/>
  <c r="D10" i="9"/>
  <c r="H5" i="8"/>
  <c r="G33" i="3"/>
  <c r="G34" i="3" s="1"/>
  <c r="G18" i="8"/>
  <c r="D19" i="8"/>
  <c r="X8" i="11"/>
  <c r="Q18" i="11" s="1"/>
  <c r="AC8" i="11"/>
  <c r="T16" i="11"/>
  <c r="T17" i="11" s="1"/>
  <c r="P8" i="11"/>
  <c r="AA9" i="11"/>
  <c r="T18" i="11" s="1"/>
  <c r="AF9" i="11"/>
  <c r="AD10" i="11"/>
  <c r="Y10" i="11"/>
  <c r="W9" i="11"/>
  <c r="AB9" i="11"/>
  <c r="AD11" i="11"/>
  <c r="Y11" i="11"/>
  <c r="X10" i="11"/>
  <c r="AC10" i="11"/>
  <c r="C8" i="7"/>
  <c r="C7" i="7"/>
  <c r="C13" i="7" s="1"/>
  <c r="C18" i="7" s="1"/>
  <c r="C6" i="8"/>
  <c r="C11" i="7"/>
  <c r="D16" i="7"/>
  <c r="D17" i="7" s="1"/>
  <c r="D22" i="7" s="1"/>
  <c r="P11" i="11"/>
  <c r="H28" i="5"/>
  <c r="G27" i="5"/>
  <c r="G32" i="5" s="1"/>
  <c r="F27" i="5"/>
  <c r="F32" i="5" s="1"/>
  <c r="H27" i="5"/>
  <c r="H32" i="5" s="1"/>
  <c r="H29" i="5"/>
  <c r="G28" i="5"/>
  <c r="F35" i="3"/>
  <c r="F36" i="3" s="1"/>
  <c r="F37" i="3"/>
  <c r="F38" i="3" s="1"/>
  <c r="F39" i="3" s="1"/>
  <c r="D8" i="9" l="1"/>
  <c r="D11" i="9" s="1"/>
  <c r="D10" i="8"/>
  <c r="B8" i="12"/>
  <c r="D8" i="12" s="1"/>
  <c r="S19" i="11"/>
  <c r="B7" i="12"/>
  <c r="D7" i="12" s="1"/>
  <c r="R19" i="11"/>
  <c r="B9" i="12"/>
  <c r="D9" i="12" s="1"/>
  <c r="T19" i="11"/>
  <c r="G6" i="7"/>
  <c r="G7" i="7" s="1"/>
  <c r="G33" i="5"/>
  <c r="G10" i="7" s="1"/>
  <c r="G11" i="7" s="1"/>
  <c r="C19" i="8"/>
  <c r="E16" i="7"/>
  <c r="E17" i="7"/>
  <c r="E22" i="7" s="1"/>
  <c r="G35" i="3"/>
  <c r="G36" i="3" s="1"/>
  <c r="G37" i="3"/>
  <c r="G38" i="3" s="1"/>
  <c r="G39" i="3" s="1"/>
  <c r="I13" i="7"/>
  <c r="I18" i="7" s="1"/>
  <c r="I19" i="7"/>
  <c r="I21" i="7"/>
  <c r="E9" i="9"/>
  <c r="E10" i="9"/>
  <c r="B6" i="12"/>
  <c r="D6" i="12" s="1"/>
  <c r="Q19" i="11"/>
  <c r="H6" i="7"/>
  <c r="H7" i="7" s="1"/>
  <c r="H33" i="5"/>
  <c r="H10" i="7" s="1"/>
  <c r="H11" i="7" s="1"/>
  <c r="AB8" i="11"/>
  <c r="W8" i="11"/>
  <c r="F33" i="5"/>
  <c r="F10" i="7" s="1"/>
  <c r="F11" i="7" s="1"/>
  <c r="F6" i="7"/>
  <c r="F7" i="7" s="1"/>
  <c r="H33" i="3"/>
  <c r="H34" i="3" s="1"/>
  <c r="H18" i="8"/>
  <c r="W10" i="11"/>
  <c r="AB10" i="11"/>
  <c r="W11" i="11"/>
  <c r="AB11" i="11"/>
  <c r="C14" i="7"/>
  <c r="C12" i="7"/>
  <c r="E25" i="10"/>
  <c r="D25" i="10"/>
  <c r="C25" i="10"/>
  <c r="I11" i="7"/>
  <c r="B25" i="10"/>
  <c r="H35" i="3" l="1"/>
  <c r="H36" i="3" s="1"/>
  <c r="H37" i="3"/>
  <c r="H38" i="3" s="1"/>
  <c r="H39" i="3" s="1"/>
  <c r="G13" i="7"/>
  <c r="G18" i="7" s="1"/>
  <c r="G8" i="7"/>
  <c r="G21" i="7"/>
  <c r="F13" i="7"/>
  <c r="F18" i="7" s="1"/>
  <c r="F8" i="7"/>
  <c r="F21" i="7"/>
  <c r="C16" i="7"/>
  <c r="C17" i="7" s="1"/>
  <c r="C22" i="7" s="1"/>
  <c r="F12" i="7"/>
  <c r="F6" i="8"/>
  <c r="E10" i="8"/>
  <c r="E8" i="9"/>
  <c r="E11" i="9" s="1"/>
  <c r="I12" i="7"/>
  <c r="I14" i="7"/>
  <c r="P16" i="11"/>
  <c r="F10" i="9"/>
  <c r="F9" i="9"/>
  <c r="H14" i="7"/>
  <c r="H6" i="8"/>
  <c r="H12" i="7"/>
  <c r="G6" i="8"/>
  <c r="G14" i="7"/>
  <c r="G12" i="7"/>
  <c r="P15" i="11"/>
  <c r="P18" i="11"/>
  <c r="H13" i="7"/>
  <c r="H18" i="7" s="1"/>
  <c r="H8" i="7"/>
  <c r="H21" i="7"/>
  <c r="C8" i="9" l="1"/>
  <c r="C11" i="9" s="1"/>
  <c r="C10" i="8"/>
  <c r="C17" i="8" s="1"/>
  <c r="F14" i="7"/>
  <c r="H16" i="7"/>
  <c r="H17" i="7" s="1"/>
  <c r="H22" i="7" s="1"/>
  <c r="P17" i="11"/>
  <c r="B23" i="12"/>
  <c r="F19" i="8"/>
  <c r="G16" i="7"/>
  <c r="G17" i="7"/>
  <c r="G22" i="7" s="1"/>
  <c r="G9" i="9"/>
  <c r="G10" i="9"/>
  <c r="I16" i="7"/>
  <c r="I17" i="7" s="1"/>
  <c r="G19" i="8"/>
  <c r="H19" i="8"/>
  <c r="I20" i="7" l="1"/>
  <c r="I22" i="7" s="1"/>
  <c r="H10" i="8"/>
  <c r="H8" i="9"/>
  <c r="C20" i="8"/>
  <c r="C25" i="8" s="1"/>
  <c r="H9" i="9"/>
  <c r="H10" i="9"/>
  <c r="G8" i="9"/>
  <c r="G11" i="9" s="1"/>
  <c r="G10" i="8"/>
  <c r="B5" i="12"/>
  <c r="D5" i="12" s="1"/>
  <c r="P19" i="11"/>
  <c r="F16" i="7"/>
  <c r="F17" i="7" s="1"/>
  <c r="F22" i="7" s="1"/>
  <c r="F8" i="9" l="1"/>
  <c r="F11" i="9" s="1"/>
  <c r="C17" i="9" s="1"/>
  <c r="F10" i="8"/>
  <c r="C41" i="7"/>
  <c r="I8" i="9"/>
  <c r="I11" i="9" s="1"/>
  <c r="C21" i="8"/>
  <c r="B13" i="12"/>
  <c r="B6" i="1"/>
  <c r="H11" i="9"/>
  <c r="C22" i="9" l="1"/>
  <c r="C23" i="8"/>
  <c r="D12" i="9" s="1"/>
  <c r="D7" i="8"/>
  <c r="C22" i="8"/>
  <c r="C24" i="8"/>
  <c r="C57" i="7"/>
  <c r="D13" i="8" l="1"/>
  <c r="D14" i="8" s="1"/>
  <c r="D8" i="8"/>
  <c r="D9" i="8" s="1"/>
  <c r="D11" i="8" s="1"/>
  <c r="C32" i="3"/>
  <c r="C40" i="3" s="1"/>
  <c r="C41" i="3" s="1"/>
  <c r="D12" i="8" l="1"/>
  <c r="D17" i="8" s="1"/>
  <c r="D15" i="8"/>
  <c r="E16" i="8" s="1"/>
  <c r="C42" i="3"/>
  <c r="C43" i="3" s="1"/>
  <c r="C13" i="9"/>
  <c r="C14" i="9" s="1"/>
  <c r="C15" i="9" s="1"/>
  <c r="C25" i="7" l="1"/>
  <c r="C44" i="3"/>
  <c r="B11" i="1"/>
  <c r="D20" i="8"/>
  <c r="D25" i="8" s="1"/>
  <c r="D21" i="8" l="1"/>
  <c r="C41" i="10"/>
  <c r="C42" i="10" s="1"/>
  <c r="C37" i="10"/>
  <c r="C29" i="10"/>
  <c r="C30" i="10" s="1"/>
  <c r="C35" i="10"/>
  <c r="C36" i="10" s="1"/>
  <c r="C28" i="10"/>
  <c r="C34" i="10"/>
  <c r="C40" i="10"/>
  <c r="C32" i="10"/>
  <c r="C33" i="10" s="1"/>
  <c r="C38" i="10"/>
  <c r="C39" i="10" s="1"/>
  <c r="C28" i="7"/>
  <c r="C29" i="7" s="1"/>
  <c r="C31" i="10"/>
  <c r="C27" i="7"/>
  <c r="E7" i="8" l="1"/>
  <c r="D22" i="8"/>
  <c r="D23" i="8"/>
  <c r="E12" i="9" s="1"/>
  <c r="D24" i="8"/>
  <c r="E8" i="8" l="1"/>
  <c r="E9" i="8" s="1"/>
  <c r="D32" i="3"/>
  <c r="D40" i="3" s="1"/>
  <c r="D41" i="3" s="1"/>
  <c r="E13" i="8"/>
  <c r="E14" i="8" s="1"/>
  <c r="E11" i="8"/>
  <c r="E12" i="8" l="1"/>
  <c r="E17" i="8" s="1"/>
  <c r="E15" i="8"/>
  <c r="F16" i="8" s="1"/>
  <c r="D13" i="9"/>
  <c r="D14" i="9" s="1"/>
  <c r="D15" i="9" s="1"/>
  <c r="D42" i="3"/>
  <c r="D43" i="3" s="1"/>
  <c r="D25" i="7" l="1"/>
  <c r="D44" i="3"/>
  <c r="E20" i="8"/>
  <c r="E25" i="8" s="1"/>
  <c r="E21" i="8" l="1"/>
  <c r="D35" i="10"/>
  <c r="D36" i="10" s="1"/>
  <c r="D37" i="10"/>
  <c r="D28" i="7"/>
  <c r="D29" i="7" s="1"/>
  <c r="D32" i="10"/>
  <c r="D33" i="10" s="1"/>
  <c r="D34" i="10"/>
  <c r="D38" i="10"/>
  <c r="D39" i="10" s="1"/>
  <c r="D40" i="10"/>
  <c r="D27" i="7"/>
  <c r="D31" i="10"/>
  <c r="D28" i="10"/>
  <c r="D29" i="10"/>
  <c r="D30" i="10" s="1"/>
  <c r="D41" i="10"/>
  <c r="D42" i="10" s="1"/>
  <c r="E22" i="8" l="1"/>
  <c r="E23" i="8"/>
  <c r="F12" i="9" s="1"/>
  <c r="F7" i="8"/>
  <c r="E24" i="8"/>
  <c r="F13" i="8" l="1"/>
  <c r="F14" i="8" s="1"/>
  <c r="F8" i="8"/>
  <c r="F9" i="8" s="1"/>
  <c r="F11" i="8" s="1"/>
  <c r="E32" i="3"/>
  <c r="E40" i="3" s="1"/>
  <c r="E41" i="3" s="1"/>
  <c r="F12" i="8" l="1"/>
  <c r="F17" i="8" s="1"/>
  <c r="F15" i="8"/>
  <c r="G16" i="8" s="1"/>
  <c r="E13" i="9"/>
  <c r="E14" i="9" s="1"/>
  <c r="E15" i="9" s="1"/>
  <c r="E42" i="3"/>
  <c r="E43" i="3" s="1"/>
  <c r="E44" i="3" l="1"/>
  <c r="E25" i="7"/>
  <c r="F20" i="8"/>
  <c r="F25" i="8" s="1"/>
  <c r="E34" i="10" l="1"/>
  <c r="E37" i="10"/>
  <c r="E41" i="10"/>
  <c r="E42" i="10" s="1"/>
  <c r="E29" i="10"/>
  <c r="E30" i="10" s="1"/>
  <c r="E35" i="10"/>
  <c r="E36" i="10" s="1"/>
  <c r="E27" i="7"/>
  <c r="E28" i="7"/>
  <c r="E29" i="7" s="1"/>
  <c r="E31" i="10"/>
  <c r="E40" i="10"/>
  <c r="E32" i="10"/>
  <c r="E33" i="10" s="1"/>
  <c r="E28" i="10"/>
  <c r="E38" i="10"/>
  <c r="E39" i="10" s="1"/>
  <c r="F21" i="8"/>
  <c r="G7" i="8" l="1"/>
  <c r="F22" i="8"/>
  <c r="F23" i="8"/>
  <c r="G12" i="9" s="1"/>
  <c r="F24" i="8"/>
  <c r="G8" i="8" l="1"/>
  <c r="G9" i="8" s="1"/>
  <c r="F32" i="3"/>
  <c r="F40" i="3" s="1"/>
  <c r="F41" i="3" s="1"/>
  <c r="G11" i="8"/>
  <c r="G13" i="8"/>
  <c r="G14" i="8" s="1"/>
  <c r="F13" i="9" l="1"/>
  <c r="F14" i="9" s="1"/>
  <c r="F15" i="9" s="1"/>
  <c r="F42" i="3"/>
  <c r="F43" i="3" s="1"/>
  <c r="G12" i="8"/>
  <c r="G17" i="8" s="1"/>
  <c r="G15" i="8"/>
  <c r="H16" i="8" s="1"/>
  <c r="F25" i="7" l="1"/>
  <c r="F44" i="3"/>
  <c r="G20" i="8"/>
  <c r="G25" i="8" s="1"/>
  <c r="G21" i="8" l="1"/>
  <c r="F38" i="10"/>
  <c r="F39" i="10" s="1"/>
  <c r="F35" i="10"/>
  <c r="F36" i="10" s="1"/>
  <c r="F28" i="10"/>
  <c r="F41" i="10"/>
  <c r="F42" i="10" s="1"/>
  <c r="F32" i="10"/>
  <c r="F33" i="10" s="1"/>
  <c r="F37" i="10"/>
  <c r="F31" i="10"/>
  <c r="F29" i="10"/>
  <c r="F30" i="10" s="1"/>
  <c r="F28" i="7"/>
  <c r="F29" i="7" s="1"/>
  <c r="F40" i="10"/>
  <c r="F27" i="7"/>
  <c r="F34" i="10"/>
  <c r="G23" i="8" l="1"/>
  <c r="H12" i="9" s="1"/>
  <c r="G22" i="8"/>
  <c r="H7" i="8"/>
  <c r="G24" i="8"/>
  <c r="G32" i="3" l="1"/>
  <c r="G40" i="3" s="1"/>
  <c r="G41" i="3" s="1"/>
  <c r="H8" i="8"/>
  <c r="H9" i="8" s="1"/>
  <c r="H11" i="8" s="1"/>
  <c r="H13" i="8"/>
  <c r="H14" i="8" s="1"/>
  <c r="H12" i="8" l="1"/>
  <c r="H17" i="8" s="1"/>
  <c r="H15" i="8"/>
  <c r="G13" i="9"/>
  <c r="G14" i="9" s="1"/>
  <c r="G15" i="9" s="1"/>
  <c r="G42" i="3"/>
  <c r="G43" i="3" s="1"/>
  <c r="G44" i="3" l="1"/>
  <c r="G25" i="7"/>
  <c r="H20" i="8"/>
  <c r="H25" i="8" s="1"/>
  <c r="H21" i="8" l="1"/>
  <c r="G29" i="10"/>
  <c r="G30" i="10" s="1"/>
  <c r="G38" i="10"/>
  <c r="G39" i="10" s="1"/>
  <c r="G34" i="10"/>
  <c r="G41" i="10"/>
  <c r="G42" i="10" s="1"/>
  <c r="G27" i="7"/>
  <c r="G28" i="10"/>
  <c r="G35" i="10"/>
  <c r="G36" i="10" s="1"/>
  <c r="G37" i="10"/>
  <c r="G40" i="10"/>
  <c r="G28" i="7"/>
  <c r="G29" i="7" s="1"/>
  <c r="G31" i="10"/>
  <c r="G32" i="10"/>
  <c r="G33" i="10" s="1"/>
  <c r="H22" i="8" l="1"/>
  <c r="H23" i="8"/>
  <c r="I12" i="9" s="1"/>
  <c r="I14" i="9" s="1"/>
  <c r="I15" i="9" s="1"/>
  <c r="H24" i="8"/>
  <c r="C60" i="7" l="1"/>
  <c r="C12" i="1"/>
  <c r="H32" i="3"/>
  <c r="H40" i="3" s="1"/>
  <c r="H41" i="3" s="1"/>
  <c r="H13" i="9" l="1"/>
  <c r="H14" i="9" s="1"/>
  <c r="H15" i="9" s="1"/>
  <c r="C18" i="9" s="1"/>
  <c r="H42" i="3"/>
  <c r="H43" i="3" s="1"/>
  <c r="H25" i="7" l="1"/>
  <c r="H44" i="3"/>
  <c r="C23" i="9"/>
  <c r="C19" i="9"/>
  <c r="C20" i="9" s="1"/>
  <c r="C21" i="9" s="1"/>
  <c r="C63" i="7" s="1"/>
  <c r="B10" i="1" s="1"/>
  <c r="H29" i="10" l="1"/>
  <c r="H30" i="10" s="1"/>
  <c r="H41" i="10"/>
  <c r="H42" i="10" s="1"/>
  <c r="H37" i="10"/>
  <c r="H38" i="10"/>
  <c r="H39" i="10" s="1"/>
  <c r="H27" i="7"/>
  <c r="C42" i="7" s="1"/>
  <c r="H28" i="10"/>
  <c r="H40" i="10"/>
  <c r="H35" i="10"/>
  <c r="H36" i="10" s="1"/>
  <c r="H28" i="7"/>
  <c r="H29" i="7" s="1"/>
  <c r="C43" i="7" s="1"/>
  <c r="H31" i="10"/>
  <c r="H32" i="10"/>
  <c r="H33" i="10" s="1"/>
  <c r="H34" i="10"/>
  <c r="B9" i="10" l="1"/>
  <c r="D9" i="10"/>
  <c r="E9" i="10"/>
  <c r="C9" i="10"/>
  <c r="B6" i="10"/>
  <c r="D6" i="10"/>
  <c r="C6" i="10"/>
  <c r="E6" i="10"/>
  <c r="C8" i="10"/>
  <c r="D8" i="10"/>
  <c r="B8" i="10"/>
  <c r="E8" i="10"/>
  <c r="D10" i="10"/>
  <c r="E10" i="10"/>
  <c r="B10" i="10"/>
  <c r="C10" i="10"/>
  <c r="B7" i="10"/>
  <c r="C7" i="10"/>
  <c r="D7" i="10"/>
  <c r="E7" i="10"/>
  <c r="C44" i="7"/>
  <c r="C47" i="7" l="1"/>
  <c r="C49" i="7" s="1"/>
  <c r="C56" i="7"/>
  <c r="B21" i="12" s="1"/>
  <c r="C55" i="7"/>
  <c r="C54" i="7"/>
  <c r="B12" i="12" l="1"/>
  <c r="B15" i="12" s="1"/>
  <c r="C51" i="7"/>
  <c r="C64" i="7"/>
  <c r="C62" i="7"/>
  <c r="B16" i="1" s="1"/>
  <c r="B5" i="1"/>
  <c r="B17" i="12" l="1"/>
  <c r="B9" i="1" s="1"/>
  <c r="B7" i="1"/>
</calcChain>
</file>

<file path=xl/sharedStrings.xml><?xml version="1.0" encoding="utf-8"?>
<sst xmlns="http://schemas.openxmlformats.org/spreadsheetml/2006/main" count="1190" uniqueCount="674">
  <si>
    <t>Mallplaza (Plaza S.A.) — Valorización consolidada v2</t>
  </si>
  <si>
    <t>Resumen y cambios respecto de 'Mallplaza Valoracion Consolidada VF.xlsx'. Todas las cifras de esta hoja son vínculos vivos.</t>
  </si>
  <si>
    <t>Resultado</t>
  </si>
  <si>
    <t>Valor por acción DCF (CLP)</t>
  </si>
  <si>
    <t>Valor por acción por múltiplos — EV/EBITDA LTM (CLP)</t>
  </si>
  <si>
    <t>Precio objetivo 80% DCF / 20% múltiplos (CLP)</t>
  </si>
  <si>
    <t>Precio 30-09-2026 (CLP)</t>
  </si>
  <si>
    <t>Upside / (downside) del precio objetivo</t>
  </si>
  <si>
    <t>Valor por acción APV — chequeo (CLP)</t>
  </si>
  <si>
    <t>WACC nominal: 2S26E → terminal</t>
  </si>
  <si>
    <t>DFN/EBITDA: hoy → 2031</t>
  </si>
  <si>
    <t>Comparación con el VF</t>
  </si>
  <si>
    <t>Valor por acción DCF VF (CLP)</t>
  </si>
  <si>
    <t>Diferencia DCF v2 − VF (CLP)</t>
  </si>
  <si>
    <t>Precio objetivo VF (CLP)</t>
  </si>
  <si>
    <t>Qué cambió en v2</t>
  </si>
  <si>
    <t>1. Estructura de capital: parte en la DFN/EBITDA real de jun-26 (2,36x) y converge linealmente a 3,5x al cierre de 2031 (Supuestos C, editable). El valor terminal usa 3,5x.</t>
  </si>
  <si>
    <t>2. Deuda: la caja sobrante se registra como distribución adicional a accionistas (recompra o dividendo extra), de modo que la DFN sigue la trayectoria objetivo. En el VF la DFN bajaba a ~1,0x mientras la WACC suponía 3,5x.</t>
  </si>
  <si>
    <t>3. WACC por período: el D/E parte en la estructura actual del modelo original (19,98%) y converge a la objetivo (28,52%) en 2031; beta, Ke, Kd y WACC se recalculan cada año y el DCF descuenta con factores acumulados.</t>
  </si>
  <si>
    <t>4. Costo de la deuda: +25 pb de Kd real por cada vuelta de DFN/EBITDA sobre 2,36x (supuesto del equipo). Afecta la WACC y el costo financiero.</t>
  </si>
  <si>
    <t>5. Reajuste UF tratado como gasto deducible en la hoja Deuda (no cambia el EV).</t>
  </si>
  <si>
    <t>6. Nuevas hojas: APV (chequeo de consistencia) y Sensibilidad (WACC vs g con fórmulas vivas; objetivo de deuda vs spread).</t>
  </si>
  <si>
    <t>7. Todo el libro queda vinculado: betas y CRP → WACC; Capital_Trabajo → Supuestos; Expansion → DCF; Datos_BBG → Comparables → Precio_Objetivo.</t>
  </si>
  <si>
    <t>8. Sin cambios de supuestos: forecast operativo, expansión, capital de trabajo, g terminal, múltiplos y puente a patrimonio.</t>
  </si>
  <si>
    <t>Control: Supuestos C, switch = 0 → reproduce exactamente el VF (WACC 10,37% constante; CLP 1.880; precio objetivo CLP 2.095).</t>
  </si>
  <si>
    <t>Supuestos — modelo consolidado de valoración Mallplaza (Plaza S.A.) · v2</t>
  </si>
  <si>
    <t>Única hoja de inputs. Azul = dato ingresado · negro = fórmula · verde = vínculo a otra hoja · fondo amarillo = supuesto clave del equipo. MM CLP salvo indicación. Tags: [R] reportado · [P] consenso/forecast · [C] cálculo · [S] supuesto del equipo.</t>
  </si>
  <si>
    <t>Concepto</t>
  </si>
  <si>
    <t>Valor</t>
  </si>
  <si>
    <t>Unidad</t>
  </si>
  <si>
    <t>Tag</t>
  </si>
  <si>
    <t>Fuente / comentario</t>
  </si>
  <si>
    <t>A. General y puente a patrimonio</t>
  </si>
  <si>
    <t>Fecha de valorización</t>
  </si>
  <si>
    <t>30-06-2026</t>
  </si>
  <si>
    <t>fecha</t>
  </si>
  <si>
    <t>S</t>
  </si>
  <si>
    <t>Coincide con la última DFN y minoritarios reportados (Release 2Q26).</t>
  </si>
  <si>
    <t>Precio de referencia</t>
  </si>
  <si>
    <t>CLP</t>
  </si>
  <si>
    <t>R</t>
  </si>
  <si>
    <t>Bloomberg PX_LAST al 30-09-2026 (Datos_BBG).</t>
  </si>
  <si>
    <t>Acciones en circulación</t>
  </si>
  <si>
    <t>MM</t>
  </si>
  <si>
    <t>Bloomberg: market cap / precio (Datos_BBG).</t>
  </si>
  <si>
    <t>Deuda financiera neta 30-06-2026 (definición compañía)</t>
  </si>
  <si>
    <t>MM CLP</t>
  </si>
  <si>
    <t>Release 2Q26 / Análisis Razonado 1S26.</t>
  </si>
  <si>
    <t>Participaciones no controladoras (libro) 30-06-2026</t>
  </si>
  <si>
    <t>Release 2Q26. Libro como proxy del valor de mercado [S].</t>
  </si>
  <si>
    <t>Caja y equivalentes 30-06-2026</t>
  </si>
  <si>
    <t>Release 2Q26. Se mantiene constante para pasar de DFN a deuda bruta.</t>
  </si>
  <si>
    <t>EBITDA LTM 2T26 (definición compañía)</t>
  </si>
  <si>
    <t>Release 2Q26, p. 29.</t>
  </si>
  <si>
    <t>Deuda neta Mallplaza para múltiplos (BBG NET_DEBT)</t>
  </si>
  <si>
    <t>Misma definición que los pares (Bloomberg), solo para el método de múltiplos.</t>
  </si>
  <si>
    <t>B. WACC (fórmulas en hoja WACC)</t>
  </si>
  <si>
    <t>Rf — bono del Tesoro de EE.UU.</t>
  </si>
  <si>
    <t>%</t>
  </si>
  <si>
    <t>Tasa_WACC.xlsm, FFCF!C11.</t>
  </si>
  <si>
    <t>Rf — tasa "Chile" del archivo original</t>
  </si>
  <si>
    <t>Tasa_WACC.xlsm, FFCF!E11. Si ya incluye riesgo Chile, el CRP se contaría dos veces.</t>
  </si>
  <si>
    <t>Rf usada en el Ke (1 = "Chile" · 2 = EE.UU.)</t>
  </si>
  <si>
    <t>switch</t>
  </si>
  <si>
    <t>Rf = bono de EE.UU.; el CRP se suma aparte (sin doble conteo).</t>
  </si>
  <si>
    <t>Inflación de largo plazo EE.UU. (breakeven 10Y, jun-26)</t>
  </si>
  <si>
    <t>Bloomberg USGG10YR − USGGT10Y al 30-06-2026.</t>
  </si>
  <si>
    <t>Convertir el Ke en USD a CLP con el diferencial de inflación (1 = sí)</t>
  </si>
  <si>
    <t>Ke CLP = (1 + Ke USD) × (1 + inflación Chile) / (1 + inflación EE.UU.) − 1.</t>
  </si>
  <si>
    <t>Prima por riesgo de mercado (ERP)</t>
  </si>
  <si>
    <t>Damodaran (Tasa_WACC.xlsm, FFCF!B73).</t>
  </si>
  <si>
    <t>CRP Chile</t>
  </si>
  <si>
    <t>Tasa_WACC.xlsm, FFCF!C79.</t>
  </si>
  <si>
    <t>CRP Perú</t>
  </si>
  <si>
    <t>Tasa_WACC.xlsm, FFCF!C80.</t>
  </si>
  <si>
    <t>CRP Colombia</t>
  </si>
  <si>
    <t>Tasa_WACC.xlsm, FFCF!C81.</t>
  </si>
  <si>
    <t>Ingresos LTM consolidados (ponderador CRP)</t>
  </si>
  <si>
    <t>Tasa_WACC.xlsm, FFCF!C83.</t>
  </si>
  <si>
    <t>Ingresos LTM Chile</t>
  </si>
  <si>
    <t>Tasa_WACC.xlsm, FFCF!C86.</t>
  </si>
  <si>
    <t>Ingresos LTM Perú</t>
  </si>
  <si>
    <t>miles PEN</t>
  </si>
  <si>
    <t>Tasa_WACC.xlsm, FFCF!C90.</t>
  </si>
  <si>
    <t>Ingresos LTM Colombia</t>
  </si>
  <si>
    <t>MM COP</t>
  </si>
  <si>
    <t>Tasa_WACC.xlsm, FFCF!C93.</t>
  </si>
  <si>
    <t>USDCLP (ponderador CRP)</t>
  </si>
  <si>
    <t>CLP/USD</t>
  </si>
  <si>
    <t>Tasa_WACC.xlsm, FFCF!C87.</t>
  </si>
  <si>
    <t>USDPEN (ponderador CRP)</t>
  </si>
  <si>
    <t>PEN/USD</t>
  </si>
  <si>
    <t>Tasa_WACC.xlsm, FFCF!C91.</t>
  </si>
  <si>
    <t>USDCOP (ponderador CRP)</t>
  </si>
  <si>
    <t>COP/USD</t>
  </si>
  <si>
    <t>Tasa_WACC.xlsm, FFCF!C94.</t>
  </si>
  <si>
    <t>Kd real — cupón última emisión en UF (nivel de apalancamiento actual)</t>
  </si>
  <si>
    <t>Tasa_WACC.xlsm, FFCF!B115. Tasa REAL (UF): se pasa a nominal con la inflación LP.</t>
  </si>
  <si>
    <t>Inflación de largo plazo Chile</t>
  </si>
  <si>
    <t>Meta BCCh. Se usa para Kd nominal, conversión del Ke y crecimiento terminal real.</t>
  </si>
  <si>
    <t>Tasa de impuesto Chile (escudo de la deuda y re-apalancamiento)</t>
  </si>
  <si>
    <t>Ley de Impuesto a la Renta. La deuda está emitida en Chile (79% en UF).</t>
  </si>
  <si>
    <t>Deuda financiera bruta Mallplaza (estructura actual)</t>
  </si>
  <si>
    <t>Tasa_WACC.xlsm, FFCF!G23:G24.</t>
  </si>
  <si>
    <t>Market cap Mallplaza (estructura de la WACC)</t>
  </si>
  <si>
    <t>Tasa_WACC.xlsm, FFCF!G26.</t>
  </si>
  <si>
    <t>C. Política de deuda (v2: estructura actual → objetivo de largo plazo)</t>
  </si>
  <si>
    <t>Política de deuda (1 = convergencia al objetivo · 0 = WACC constante del VF)</t>
  </si>
  <si>
    <t>Con 0 se reproduce el DCF VF: 3,5x desde hoy, WACC 10,37% constante, CLP 1.880.</t>
  </si>
  <si>
    <t>DFN / EBITDA inicial (30-06-2026)</t>
  </si>
  <si>
    <t>x</t>
  </si>
  <si>
    <t>C</t>
  </si>
  <si>
    <t>DFN / EBITDA LTM.</t>
  </si>
  <si>
    <t>DFN / EBITDA objetivo de largo plazo</t>
  </si>
  <si>
    <t>La compañía usa su capacidad de deuda para crecer. Referencias: 3,78x dic-24 (post Open Plaza Perú); Parque Arauco 5,7x; Cencosud Shopping 2,1x.</t>
  </si>
  <si>
    <t>Año en que se alcanza el objetivo (al 31-dic)</t>
  </si>
  <si>
    <t>año</t>
  </si>
  <si>
    <t>Convergencia lineal desde el nivel inicial; el valor terminal usa el objetivo.</t>
  </si>
  <si>
    <t>Horizonte de convergencia</t>
  </si>
  <si>
    <t>años</t>
  </si>
  <si>
    <t>Años entre el 30-06-2026 y el 31-dic del año objetivo.</t>
  </si>
  <si>
    <t>Aumento del Kd real por cada 1,0x de DFN/EBITDA sobre el nivel inicial</t>
  </si>
  <si>
    <t>Más deuda → menor clasificación y mayor spread. Calibrar con spreads de bonos corporativos UF por clasificación. Afecta la WACC y el costo financiero de la hoja Deuda.</t>
  </si>
  <si>
    <t>Costo financiero neto / DFN de apertura (sin reajuste UF), nivel inicial</t>
  </si>
  <si>
    <t>Exhibits v6: 1S26 anualizado.</t>
  </si>
  <si>
    <t>Deuda en UF / deuda total</t>
  </si>
  <si>
    <t>Release 2Q26.</t>
  </si>
  <si>
    <t>Payout sobre utilidad distribuible</t>
  </si>
  <si>
    <t>Política de dividendos (EEFF dic-25, Nota 20e).</t>
  </si>
  <si>
    <t>Dividendos 2026E totales</t>
  </si>
  <si>
    <t>P</t>
  </si>
  <si>
    <t>Exhibits v6 (40% × distribuible 2025).</t>
  </si>
  <si>
    <t>Dividendos pagados 1S26</t>
  </si>
  <si>
    <t>EEFF jun-26, flujos.</t>
  </si>
  <si>
    <t>Utilidad distribuible 2026E (año completo)</t>
  </si>
  <si>
    <t>Exhibits v6.</t>
  </si>
  <si>
    <t>D. Forecast base (motor operativo, Exhibits v6)</t>
  </si>
  <si>
    <t>Ingresos 1S26 real</t>
  </si>
  <si>
    <t>Release 2Q26, p. 31.</t>
  </si>
  <si>
    <t>EBITDA 1S26 real usado para aislar el 2S26</t>
  </si>
  <si>
    <t>Release informa 270.573 (p. 8): diferencia de redondeo.</t>
  </si>
  <si>
    <t>Ingresos 2025A</t>
  </si>
  <si>
    <t>EEFF dic-25.</t>
  </si>
  <si>
    <t>D&amp;A / ingresos</t>
  </si>
  <si>
    <t>D&amp;A LTM / ingresos LTM (Exhibits v6).</t>
  </si>
  <si>
    <t>Capex de mantención + TI / ingresos</t>
  </si>
  <si>
    <t>Entre 2024 (~4,8%) y UDM 2T26 (~6,6%).</t>
  </si>
  <si>
    <t>Tasa de impuesto operacional de largo plazo</t>
  </si>
  <si>
    <t>Trayectoria 16,8% → 27%; 27% desde 2030.</t>
  </si>
  <si>
    <t>E. Expansión continua post-pipeline</t>
  </si>
  <si>
    <t>Incluir expansión continua (1 = sí)</t>
  </si>
  <si>
    <t>La compañía sigue expandiendo GLA después de 2028 a un ritmo parecido al histórico.</t>
  </si>
  <si>
    <t>GLA orgánico agregado 2022</t>
  </si>
  <si>
    <t>m²</t>
  </si>
  <si>
    <t>GLA orgánico agregado 2023</t>
  </si>
  <si>
    <t>GLA orgánico agregado 2025</t>
  </si>
  <si>
    <t>Release 2Q26, p. 29. Se excluye 2024 (413.628 m², incluye compra de Open Plaza Perú).</t>
  </si>
  <si>
    <t>GLA nuevo por año desde la primera apertura</t>
  </si>
  <si>
    <t>Promedio 2022, 2023 y 2025. El pipeline 2026–2028 promedia ~41.000 m²/año.</t>
  </si>
  <si>
    <t>Primer año de apertura de la expansión genérica</t>
  </si>
  <si>
    <t>El pipeline informado termina en 2028 (Release 2Q26, p. 13).</t>
  </si>
  <si>
    <t>Capex desembolsado 2 años antes de abrir</t>
  </si>
  <si>
    <t>50% en t−2 y 50% en t−1. Ingresos desde el año de apertura.</t>
  </si>
  <si>
    <t>Inversión total pipeline en curso</t>
  </si>
  <si>
    <t>MMUSD</t>
  </si>
  <si>
    <t>Release 2Q26, p. 13.</t>
  </si>
  <si>
    <t>m² del pipeline en curso</t>
  </si>
  <si>
    <t>Costo por m² de expansión</t>
  </si>
  <si>
    <t>USD/m²</t>
  </si>
  <si>
    <t>Inversión total / m² del pipeline.</t>
  </si>
  <si>
    <t>USDCLP para convertir el costo (2026)</t>
  </si>
  <si>
    <t>Forecast v6 (consenso ECFC).</t>
  </si>
  <si>
    <t>m² del pipeline en Chile</t>
  </si>
  <si>
    <t>Release 2Q26, p. 13: Trébol, Oeste, Norte, La Serena.</t>
  </si>
  <si>
    <t>m² del pipeline en Perú</t>
  </si>
  <si>
    <t>Release 2Q26, p. 13: Trujillo, Piura, La Marina, Angamos.</t>
  </si>
  <si>
    <t>Mix de la expansión en Chile</t>
  </si>
  <si>
    <t>Replica el mix país del pipeline actual; el resto va a Perú.</t>
  </si>
  <si>
    <t>Margen EBITDA Chile</t>
  </si>
  <si>
    <t>Forecast v6.</t>
  </si>
  <si>
    <t>Margen EBITDA Perú</t>
  </si>
  <si>
    <t>Factor de ingreso: año de apertura</t>
  </si>
  <si>
    <t>Apertura a mitad de año × 70% de productividad.</t>
  </si>
  <si>
    <t>Factor de ingreso: segundo año</t>
  </si>
  <si>
    <t>Factor de ingreso: tercer año en adelante</t>
  </si>
  <si>
    <t>Yield on cost (EBITDA maduro / inversión) — dejar vacío para usar el derivado</t>
  </si>
  <si>
    <t>Si el equipo tiene la guía de retorno de proyectos, ingresarla aquí.</t>
  </si>
  <si>
    <t>F. Capital de trabajo</t>
  </si>
  <si>
    <t>Incluir variación de capital de trabajo (1 = sí)</t>
  </si>
  <si>
    <t>Ver hoja Capital_Trabajo.</t>
  </si>
  <si>
    <t>Capital de trabajo neto / ingresos (dic-25, constante)</t>
  </si>
  <si>
    <t>Hoja Capital_Trabajo.</t>
  </si>
  <si>
    <t>G. Valor terminal</t>
  </si>
  <si>
    <t>Crecimiento terminal nominal (g)</t>
  </si>
  <si>
    <t>Igual a la inflación LP (0% real). Con RONIC &lt; WACC real, crecer resta valor.</t>
  </si>
  <si>
    <t>Crecimiento terminal real implícito</t>
  </si>
  <si>
    <t>Solo el crecimiento real exige reinversión.</t>
  </si>
  <si>
    <t>H. Precio objetivo y múltiplos</t>
  </si>
  <si>
    <t>Peso del DCF en el precio objetivo</t>
  </si>
  <si>
    <t>80% DCF / 20% múltiplos.</t>
  </si>
  <si>
    <t>Peso de los comparables chilenos en el múltiplo</t>
  </si>
  <si>
    <t>70% mediana Chile + 30% mediana del set común.</t>
  </si>
  <si>
    <t>Umbral 'no significativo' (múltiplo mayor a → NM)</t>
  </si>
  <si>
    <t>Archivo de comparables.</t>
  </si>
  <si>
    <t>I. Tipos de cambio para comparables (30-06-2026)</t>
  </si>
  <si>
    <t>USD por USD</t>
  </si>
  <si>
    <t>—</t>
  </si>
  <si>
    <t>BRL por USD</t>
  </si>
  <si>
    <t>BRL</t>
  </si>
  <si>
    <t>Cierre 30-jun-2026.</t>
  </si>
  <si>
    <t>MXN por USD</t>
  </si>
  <si>
    <t>MXN</t>
  </si>
  <si>
    <t>Banxico, cierre 30-jun-2026.</t>
  </si>
  <si>
    <t>ARS por USD</t>
  </si>
  <si>
    <t>ARS</t>
  </si>
  <si>
    <t>Oficial mayorista, cierre 30-jun-2026.</t>
  </si>
  <si>
    <t>CLP por CLP</t>
  </si>
  <si>
    <t>CLP por USD</t>
  </si>
  <si>
    <t>Dólar observado BCCh 30-jun-2026.</t>
  </si>
  <si>
    <t>CLP por BRL</t>
  </si>
  <si>
    <t>CLP por MXN</t>
  </si>
  <si>
    <t>CLP por ARS</t>
  </si>
  <si>
    <t>J. Referencias de control (modelo VF)</t>
  </si>
  <si>
    <t>Valor por acción DCF VF</t>
  </si>
  <si>
    <t>DCF VF. El switch de la sección C en 0 debe reproducirlo.</t>
  </si>
  <si>
    <t>WACC nominal VF (constante)</t>
  </si>
  <si>
    <t>Hoja WACC del VF.</t>
  </si>
  <si>
    <t>Precio objetivo VF</t>
  </si>
  <si>
    <t>Hoja Precio_Objetivo del VF.</t>
  </si>
  <si>
    <t>WACC nominal en CLP por período — misma lógica que Tasa_WACC.xlsm (FFCF) con correcciones</t>
  </si>
  <si>
    <t>Correcciones del VF: (1) Kd real UF pasado a nominal; (2) escudo fiscal (1 − t); (3) set de pares = coincidencia betas–comparables. v2: la estructura de capital, la beta y el Kd cambian cada período según la hoja Deuda.</t>
  </si>
  <si>
    <t>A. Betas de los pares</t>
  </si>
  <si>
    <t>Empresa</t>
  </si>
  <si>
    <t>Ticker BBG</t>
  </si>
  <si>
    <t>País</t>
  </si>
  <si>
    <t>Beta apalancada</t>
  </si>
  <si>
    <t>Deuda</t>
  </si>
  <si>
    <t>Market cap</t>
  </si>
  <si>
    <t>Impuesto</t>
  </si>
  <si>
    <t>Beta desapalancada</t>
  </si>
  <si>
    <t>En set común (1/0)</t>
  </si>
  <si>
    <t>Beta incluida</t>
  </si>
  <si>
    <t>Parque Arauco</t>
  </si>
  <si>
    <t>PARAUCO CI</t>
  </si>
  <si>
    <t>Chile</t>
  </si>
  <si>
    <t>Cencosud Shopping</t>
  </si>
  <si>
    <t>CENCOMAL CI</t>
  </si>
  <si>
    <t>Allos</t>
  </si>
  <si>
    <t>ALOS3 BZ</t>
  </si>
  <si>
    <t>Brasil</t>
  </si>
  <si>
    <t>Iguatemi</t>
  </si>
  <si>
    <t>IGTI11 BZ</t>
  </si>
  <si>
    <t>Costa Verde</t>
  </si>
  <si>
    <t>n/d (no está en comparables)</t>
  </si>
  <si>
    <t>México</t>
  </si>
  <si>
    <t>IRSA</t>
  </si>
  <si>
    <t>IRSA AR</t>
  </si>
  <si>
    <t>Argentina</t>
  </si>
  <si>
    <t>Multiplan</t>
  </si>
  <si>
    <t>MULT3 BZ</t>
  </si>
  <si>
    <t>Beta desapalancada: mediana del set común</t>
  </si>
  <si>
    <t>B. Riesgo país ponderado por ingresos</t>
  </si>
  <si>
    <t>Ponderación Chile (ingresos)</t>
  </si>
  <si>
    <t>Ingresos Perú en MM CLP</t>
  </si>
  <si>
    <t>Ingresos Colombia en MM CLP</t>
  </si>
  <si>
    <t>Ponderación Perú</t>
  </si>
  <si>
    <t>Ponderación Colombia</t>
  </si>
  <si>
    <t>CRP ponderado Mallplaza</t>
  </si>
  <si>
    <t>Rf usada</t>
  </si>
  <si>
    <t>C. Estructura de capital original del modelo (extremos de la convergencia)</t>
  </si>
  <si>
    <t>Deuda bruta actual / market cap = D/E actual (punto de partida)</t>
  </si>
  <si>
    <t>Estructura actual calculada en el modelo original (Tasa_WACC.xlsm, FFCF!G23:G26): 1.579.315 / 7.905.900.</t>
  </si>
  <si>
    <t>Deuda objetivo = DFN/EBITDA objetivo × EBITDA LTM + caja</t>
  </si>
  <si>
    <t>D/E objetivo (punto de llegada, valor terminal)</t>
  </si>
  <si>
    <t>Estructura objetivo calculada en el modelo original (3,5x): 28,52%.</t>
  </si>
  <si>
    <t>Control: Ke del archivo original (Rf "Chile", estructura actual, sin conversión)</t>
  </si>
  <si>
    <t>Debe dar 11,31% (Tasa_WACC.xlsm, FFCF!B112).</t>
  </si>
  <si>
    <t>D. WACC por período (D/E converge linealmente de la estructura actual a la objetivo)</t>
  </si>
  <si>
    <t>2S26E</t>
  </si>
  <si>
    <t>2027E</t>
  </si>
  <si>
    <t>2028E</t>
  </si>
  <si>
    <t>2029E</t>
  </si>
  <si>
    <t>2030E</t>
  </si>
  <si>
    <t>2031E</t>
  </si>
  <si>
    <t>Terminal</t>
  </si>
  <si>
    <t>DFN / EBITDA (cierre del período)</t>
  </si>
  <si>
    <t>Años desde 30-06-2026 al cierre del período</t>
  </si>
  <si>
    <t>D/E usado</t>
  </si>
  <si>
    <t>Convergencia lineal desde el D/E actual (19,98%) hasta el objetivo (28,52%) en el año objetivo de Supuestos C; el terminal usa el objetivo. Switch 0: objetivo desde hoy (VF).</t>
  </si>
  <si>
    <t>D/V</t>
  </si>
  <si>
    <t>E/V</t>
  </si>
  <si>
    <t>Beta re-apalancada</t>
  </si>
  <si>
    <t>Ke antes de conversión = Rf + β × ERP + CRP</t>
  </si>
  <si>
    <t>Ke nominal CLP</t>
  </si>
  <si>
    <t>Con Rf de EE.UU. el Ke queda en USD y se pasa a CLP por diferencial de inflación.</t>
  </si>
  <si>
    <t>Kd real (UF) con spread por apalancamiento</t>
  </si>
  <si>
    <t>Kd nominal CLP = (1 + Kd real)(1 + inflación) − 1</t>
  </si>
  <si>
    <t>Kd nominal después de impuestos</t>
  </si>
  <si>
    <t>WACC nominal CLP</t>
  </si>
  <si>
    <t>WACC real implícita</t>
  </si>
  <si>
    <t>Referencia: WACC constante del VF</t>
  </si>
  <si>
    <t>Con el switch de política de deuda en 0, todas las columnas deben dar este valor.</t>
  </si>
  <si>
    <t>Referencia: WACC real tasación Nota 11 Chile jun-26</t>
  </si>
  <si>
    <t>Punto medio del rango de la Nota 11 (Exhibits v6, E7).</t>
  </si>
  <si>
    <t>Forecast base — motor operativo (Mallplaza_FA_Exhibits_v6.xlsx), 2S26E–2031E</t>
  </si>
  <si>
    <t>Cifras del forecast del equipo en azul, basadas en el pipeline anunciado hasta 2028. Sin la expansión post-2028 (hoja Expansion).</t>
  </si>
  <si>
    <t>Fuente / supuesto</t>
  </si>
  <si>
    <t>Ingresos año calendario (2026E = año completo)</t>
  </si>
  <si>
    <t>Exhibits v6, Forecast fila "Ingresos ordinarios consolidados".</t>
  </si>
  <si>
    <t>Ingresos del período (2S26E = 2026E − 1S26 real)</t>
  </si>
  <si>
    <t>EBITDA año calendario</t>
  </si>
  <si>
    <t>Exhibits v6, Forecast bloque E.</t>
  </si>
  <si>
    <t>EBITDA del período</t>
  </si>
  <si>
    <t>Margen EBITDA</t>
  </si>
  <si>
    <t>D&amp;A</t>
  </si>
  <si>
    <t>D&amp;A / ingresos LTM × ingresos.</t>
  </si>
  <si>
    <t>Tasa de impuesto operacional en caja</t>
  </si>
  <si>
    <t>Exhibits v6: impuesto corriente / (EBITDA − costo financiero), 16,8% → 27%.</t>
  </si>
  <si>
    <t>Capex de proyectos en curso (MMUSD)</t>
  </si>
  <si>
    <t>Release 2Q26, pp. 12–14: remanente por proyecto repartido hasta su apertura.</t>
  </si>
  <si>
    <t>USDCLP promedio</t>
  </si>
  <si>
    <t>2S26E promedio del semestre; 2027+ consenso ECFC; 2029+ constante.</t>
  </si>
  <si>
    <t>Capex de proyectos en curso (MM CLP)</t>
  </si>
  <si>
    <t>Capex de mantención + TI</t>
  </si>
  <si>
    <t>5,5% de ingresos (2S26E: medio año de 2026E).</t>
  </si>
  <si>
    <t>Capex base total</t>
  </si>
  <si>
    <t>Sin la expansión post-pipeline (hoja Expansion).</t>
  </si>
  <si>
    <t>Ingreso anual por m² Chile (CLP)</t>
  </si>
  <si>
    <t>Exhibits v6, Forecast bloque D, Chile. Se aplica al GLA nuevo.</t>
  </si>
  <si>
    <t>Ingreso anual por m² Perú (PEN)</t>
  </si>
  <si>
    <t>Exhibits v6, Forecast bloque D, Perú.</t>
  </si>
  <si>
    <t>CLP por PEN (promedio)</t>
  </si>
  <si>
    <t>Exhibits v6, Forecast bloque A.</t>
  </si>
  <si>
    <t>Expansión continua post-pipeline — capex con 2 años de construcción y rampa de ingresos</t>
  </si>
  <si>
    <t>Cada cohorte abre GLA nuevo al ritmo histórico. El capex se gasta en los 2 años previos a la apertura y los ingresos parten en el año de apertura con la rampa 35% / 90% / 100%. Se apaga con Supuestos E.</t>
  </si>
  <si>
    <t>Año del período</t>
  </si>
  <si>
    <t>Año (número)</t>
  </si>
  <si>
    <t>Índice de costo (IPC Chile, 2026 = 1)</t>
  </si>
  <si>
    <t>Costo por m² (MM CLP)</t>
  </si>
  <si>
    <t>Costo del pipeline (USD/m²) × USDCLP 2026, indexado a IPC (obras en UF).</t>
  </si>
  <si>
    <t>Ingreso por m² de la expansión (CLP, mix Chile/Perú)</t>
  </si>
  <si>
    <t>Margen EBITDA de la expansión</t>
  </si>
  <si>
    <t>A. m² que abre cada cohorte</t>
  </si>
  <si>
    <t>Las cohortes que abren después de 2031 tienen su capex dentro del horizonte: sostienen el valor terminal.</t>
  </si>
  <si>
    <t>B. Capex por cohorte (MM CLP)</t>
  </si>
  <si>
    <t>Total</t>
  </si>
  <si>
    <t>C. Ingresos por cohorte (MM CLP)</t>
  </si>
  <si>
    <t>EBITDA de la expansión</t>
  </si>
  <si>
    <t>D. Retorno de la expansión (alimenta el valor terminal)</t>
  </si>
  <si>
    <t>Yield on cost derivado (EBITDA maduro por m² / costo por m², 2026)</t>
  </si>
  <si>
    <t>Misma productividad que el forecast asume para el pipeline actual. El ingreso se indexa a inflación: es un yield real.</t>
  </si>
  <si>
    <t>Yield on cost usado</t>
  </si>
  <si>
    <t>RONIC real después de impuestos = yield × (1 − t)</t>
  </si>
  <si>
    <t>Comparar con la WACC real (hoja WACC): si el RONIC es menor, crecer destruye valor.</t>
  </si>
  <si>
    <t>Ajuste de productividad de la expansión = yield usado / derivado</t>
  </si>
  <si>
    <t>Multiplica los ingresos de la expansión.</t>
  </si>
  <si>
    <t>Capital de trabajo — saldos de los EEFF y supuesto del modelo</t>
  </si>
  <si>
    <t>A. Saldos de balance operativos (MM CLP; EEFF consolidados Plaza S.A. y Filiales)</t>
  </si>
  <si>
    <t>Cuenta</t>
  </si>
  <si>
    <t>dic-23</t>
  </si>
  <si>
    <t>dic-24</t>
  </si>
  <si>
    <t>dic-25</t>
  </si>
  <si>
    <t>mar-26</t>
  </si>
  <si>
    <t>Fuente</t>
  </si>
  <si>
    <t>(+) Deudores comerciales y otras cuentas por cobrar corrientes</t>
  </si>
  <si>
    <t>dic-23: EEFF mar-24, p. 3 · dic-24: EEFF jun-25, p. 3 · dic-25 y mar-26: EEFF mar-26, p. 3 (M$ / 1.000).</t>
  </si>
  <si>
    <t>(+) Cuentas por cobrar a entidades relacionadas corrientes</t>
  </si>
  <si>
    <t>Arriendos por cobrar a tiendas del grupo controlador: operativo.</t>
  </si>
  <si>
    <t>Cuentas por pagar comerciales y otras cuentas por pagar (total)</t>
  </si>
  <si>
    <t>Incluye la provisión del dividendo mínimo (Nota 2.25), que es financiamiento y se excluye.</t>
  </si>
  <si>
    <t xml:space="preserve">    menos: dividendo mínimo provisionado estimado (30% × utilidad distribuible)</t>
  </si>
  <si>
    <t>Nota 2.25. Supone sin dividendos provisorios.</t>
  </si>
  <si>
    <t>(−) Cuentas por pagar comerciales operativas (sin dividendos)</t>
  </si>
  <si>
    <t>(−) Cuentas por pagar a entidades relacionadas corrientes</t>
  </si>
  <si>
    <t>(−) Otros pasivos no financieros corrientes</t>
  </si>
  <si>
    <t>Principalmente arriendos cobrados por anticipado y garantías: operativo.</t>
  </si>
  <si>
    <t>Ingresos del año</t>
  </si>
  <si>
    <t>Exhibits v6, Inputs.</t>
  </si>
  <si>
    <t>Excluidos: caja, deuda financiera y activos/pasivos por impuestos (los impuestos ya están en caja en el NOPAT).</t>
  </si>
  <si>
    <t>B. Capital de trabajo neto operativo</t>
  </si>
  <si>
    <t>Capital de trabajo neto operativo</t>
  </si>
  <si>
    <t>Capital de trabajo neto / ingresos</t>
  </si>
  <si>
    <t>Referencia: Δ capital de trabajo neto / Δ ingresos (dic-23 → dic-25)</t>
  </si>
  <si>
    <t>Distorsionado: dic-24 ya consolida Perú pero los ingresos 2024 solo traen un mes.</t>
  </si>
  <si>
    <t>Supuesto del modelo: capital de trabajo neto / ingresos constante al nivel de dic-25</t>
  </si>
  <si>
    <t>Inversión anual = este % × Δ ingresos. Va a Supuestos (sección F).</t>
  </si>
  <si>
    <t>C. Lectura</t>
  </si>
  <si>
    <t>1. Capital de trabajo neto operativo = deudores + cuentas por cobrar relacionadas − cuentas por pagar comerciales (sin dividendos) − cuentas por pagar relacionadas − otros pasivos no financieros.</t>
  </si>
  <si>
    <t>2. La provisión del dividendo mínimo se resta de las cuentas por pagar porque es una obligación con accionistas, no de la operación.</t>
  </si>
  <si>
    <t>3. Limitación: las cuentas por pagar comerciales también incluyen proveedores de obras (capex). Sin el desglose de la Nota 14/15 no se pueden separar.</t>
  </si>
  <si>
    <t>4. Hay estacionalidad (mar-26: deudores bajan por recaudación, cuentas por pagar suben por el dividendo): se compara cierre contra cierre.</t>
  </si>
  <si>
    <t>5. Se usa el nivel de dic-25 porque es el primer cierre con Perú completo tanto en balance como en ingresos.</t>
  </si>
  <si>
    <t>D. Referencia: brecha EBITDA − flujo operativo (MM CLP)</t>
  </si>
  <si>
    <t>FY2024</t>
  </si>
  <si>
    <t>FY2025</t>
  </si>
  <si>
    <t>1S26</t>
  </si>
  <si>
    <t>EBITDA</t>
  </si>
  <si>
    <t>Flujo operativo (EEFF)</t>
  </si>
  <si>
    <t>Brecha = impuestos pagados + capital de trabajo + otros</t>
  </si>
  <si>
    <t>Exhibits v6 (Inputs, E4_Cash). Mezcla impuestos y capital de trabajo: solo referencial.</t>
  </si>
  <si>
    <t>DCF de FCFF — Mallplaza · CLP nominales · valorización 30-06-2026 · WACC por período</t>
  </si>
  <si>
    <t>Flujos 2S26E–2031E con la expansión continua; valor terminal con reinversión explícita (solo el crecimiento real exige capex). Convención de mitad de período. Cada período se descuenta con su propia WACC (hoja WACC).</t>
  </si>
  <si>
    <t>Terminal (2032E)</t>
  </si>
  <si>
    <t>Ingresos base</t>
  </si>
  <si>
    <t>Ingresos expansión</t>
  </si>
  <si>
    <t>Ingresos totales</t>
  </si>
  <si>
    <t>Crecimiento ingresos (año calendario)</t>
  </si>
  <si>
    <t>EBITDA base</t>
  </si>
  <si>
    <t>EBITDA expansión</t>
  </si>
  <si>
    <t>EBITDA total</t>
  </si>
  <si>
    <t>(−) D&amp;A</t>
  </si>
  <si>
    <t>EBIT</t>
  </si>
  <si>
    <t>Tasa de impuesto operacional</t>
  </si>
  <si>
    <t>(−) Impuestos operacionales</t>
  </si>
  <si>
    <t>NOPAT</t>
  </si>
  <si>
    <t>(+) D&amp;A</t>
  </si>
  <si>
    <t>(−) Capex base (pipeline + mantención)</t>
  </si>
  <si>
    <t>Terminal: mantención 5,5% de ingresos.</t>
  </si>
  <si>
    <t>(−) Capex expansión / reinversión terminal</t>
  </si>
  <si>
    <t>Terminal: reinversión = g real / RONIC × NOPAT (value driver).</t>
  </si>
  <si>
    <t>(−) Inversión en capital de trabajo</t>
  </si>
  <si>
    <t>% del Δ ingresos (Supuestos F). 2S26E: medio año.</t>
  </si>
  <si>
    <t>FCFF</t>
  </si>
  <si>
    <t>Descuento: WACC por período</t>
  </si>
  <si>
    <t>WACC nominal del período (hoja WACC)</t>
  </si>
  <si>
    <t>Fracción de año del período</t>
  </si>
  <si>
    <t>Factor de descuento al cierre del período</t>
  </si>
  <si>
    <t>Factor de descuento a mitad del período</t>
  </si>
  <si>
    <t>2S26E a 0,25 años; luego la mitad de cada año desde el 30-06-2026.</t>
  </si>
  <si>
    <t>Valor presente del FCFF</t>
  </si>
  <si>
    <t>Normalización 2031: base + expansión financiada (cohortes cuyo capex cae completo en el horizonte) a madurez</t>
  </si>
  <si>
    <t>Último año de apertura con capex completo dentro del horizonte</t>
  </si>
  <si>
    <t>El capex de esas cohortes ya está en el FCFF explícito, pero sus ingresos maduran después de 2031: el año terminal los cuenta al 100%. La cohorte siguiente (solo parte del capex dentro) queda en la reinversión terminal.</t>
  </si>
  <si>
    <t>m² maduros que se suman al año terminal</t>
  </si>
  <si>
    <t>Ingresos 2031 normalizados</t>
  </si>
  <si>
    <t>EBITDA 2031 normalizado</t>
  </si>
  <si>
    <t>Valor de la empresa → valor por acción</t>
  </si>
  <si>
    <t>WACC terminal (estructura objetivo)</t>
  </si>
  <si>
    <t>Tasa de reinversión terminal (g real / RONIC)</t>
  </si>
  <si>
    <t>Valor terminal al 31-12-2031 = FCFF 2032E / (WACC terminal − g)</t>
  </si>
  <si>
    <t>Valor presente del valor terminal</t>
  </si>
  <si>
    <t>Suma VP del FCFF explícito</t>
  </si>
  <si>
    <t>Enterprise value</t>
  </si>
  <si>
    <t>(−) Deuda financiera neta 30-06-2026</t>
  </si>
  <si>
    <t>(−) Minoritarios (libro)</t>
  </si>
  <si>
    <t>Valor del patrimonio</t>
  </si>
  <si>
    <t>Acciones (MM)</t>
  </si>
  <si>
    <t>Las distribuciones adicionales de la hoja Deuda no se restan: el patrimonio de hoy es EV − DFN de hoy.</t>
  </si>
  <si>
    <t>Upside / (downside)</t>
  </si>
  <si>
    <t>Chequeos</t>
  </si>
  <si>
    <t>VP del valor terminal / EV</t>
  </si>
  <si>
    <t>DCF anterior del equipo: 72%.</t>
  </si>
  <si>
    <t>EV / EBITDA LTM implícito</t>
  </si>
  <si>
    <t>Comparar con la hoja Comparables.</t>
  </si>
  <si>
    <t>Cap rate implícito sobre el EV (EBITDA LTM / EV)</t>
  </si>
  <si>
    <t>Mercado ~6,0%; pares Chile ~6,4%; libro (EBITDA LTM / PI) 7,5%; Gran Plaza 9,4%.</t>
  </si>
  <si>
    <t>Cap rate implícito del valor terminal (EBITDA 2032E / VT)</t>
  </si>
  <si>
    <t>WACC real terminal</t>
  </si>
  <si>
    <t>Nota 11 Chile jun-26: 5,55% real.</t>
  </si>
  <si>
    <t>RONIC real de la expansión</t>
  </si>
  <si>
    <t>Si es menor que la WACC real, la expansión resta valor.</t>
  </si>
  <si>
    <t>DFN / EBITDA al cierre de 2031 (hoja Deuda)</t>
  </si>
  <si>
    <t>Debe igualar el objetivo de Supuestos C.</t>
  </si>
  <si>
    <t>Valor por acción DCF VF (WACC constante 10,37%)</t>
  </si>
  <si>
    <t>Diferencia v2 vs VF (CLP)</t>
  </si>
  <si>
    <t>Valor por acción APV (hoja APV)</t>
  </si>
  <si>
    <t>Diferencia DCF vs APV (% del APV)</t>
  </si>
  <si>
    <t>Chequeo de consistencia: deben quedar cerca.</t>
  </si>
  <si>
    <t>Deuda — trayectoria desde la estructura actual hasta el objetivo de largo plazo</t>
  </si>
  <si>
    <t>DFN(t) = DFN(t−1) − FCFF + costo financiero y reajuste UF (después de impuestos) + dividendos ordinarios + distribución adicional. La distribución adicional (recompra o dividendo extra) cierra la brecha con el DFN/EBITDA objetivo. No entra en el EV (FCFF desapalancado): define la estructura de capital de la WACC.</t>
  </si>
  <si>
    <t>EBITDA año calendario (para el ratio)</t>
  </si>
  <si>
    <t>2S26E: EBITDA 2026E año completo (LTM al cierre).</t>
  </si>
  <si>
    <t>DFN de apertura</t>
  </si>
  <si>
    <t>DFN / EBITDA de apertura</t>
  </si>
  <si>
    <t>Costo financiero neto / DFN (con spread por apalancamiento)</t>
  </si>
  <si>
    <t>3,08% inicial + spread por cada vuelta sobre el nivel inicial.</t>
  </si>
  <si>
    <t>(−) FCFF</t>
  </si>
  <si>
    <t>Costo financiero neto antes de impuestos</t>
  </si>
  <si>
    <t>(+) Costo financiero neto después de impuestos</t>
  </si>
  <si>
    <t>Reajuste UF de la deuda antes de impuestos</t>
  </si>
  <si>
    <t>(+) Reajuste UF después de impuestos</t>
  </si>
  <si>
    <t>v2: el reajuste UF es gasto financiero deducible (el VF lo sumaba sin escudo). Consistente con Kd nominal × (1 − t) en la WACC.</t>
  </si>
  <si>
    <t>Utilidad distribuible proxy (FFO − reajuste UF)</t>
  </si>
  <si>
    <t>2S26E: distribuible 2026E de Exhibits v6. Proxy sin minoritarios.</t>
  </si>
  <si>
    <t>(+) Dividendos ordinarios</t>
  </si>
  <si>
    <t>2S26E: dividendos 2026E − pagado 1S26. 2027E+: payout × distribuible del año anterior.</t>
  </si>
  <si>
    <t>DFN de cierre antes de distribución adicional</t>
  </si>
  <si>
    <t>DFN / EBITDA objetivo del período</t>
  </si>
  <si>
    <t>Convergencia lineal hasta el año objetivo (Supuestos C).</t>
  </si>
  <si>
    <t>DFN objetivo</t>
  </si>
  <si>
    <t>(+) Distribución adicional a accionistas (recompra / dividendo extra)</t>
  </si>
  <si>
    <t>Negativo = la compañía tendría que retener caja para no superar el objetivo.</t>
  </si>
  <si>
    <t>DFN de cierre</t>
  </si>
  <si>
    <t>DFN / EBITDA de cierre</t>
  </si>
  <si>
    <t>Deuda financiera bruta de cierre (DFN + caja)</t>
  </si>
  <si>
    <t>Caja constante al nivel de jun-26.</t>
  </si>
  <si>
    <t>Capacidad de deuda remanente al objetivo de LP (objetivo × EBITDA − DFN)</t>
  </si>
  <si>
    <t>Distribuciones adicionales acumuladas</t>
  </si>
  <si>
    <t>APV — chequeo de consistencia: valor desapalancado + VP de los escudos fiscales de la deuda proyectada</t>
  </si>
  <si>
    <t>Los escudos se descuentan a Ku porque la deuda se reajusta con el tamaño de la empresa (objetivo como múltiplo del EBITDA), el mismo supuesto implícito en una WACC.</t>
  </si>
  <si>
    <t>Ku antes de conversión = Rf + βu × ERP + CRP</t>
  </si>
  <si>
    <t>Ku nominal CLP</t>
  </si>
  <si>
    <t>Factor de descuento a Ku, cierre</t>
  </si>
  <si>
    <t>Factor de descuento a Ku, mitad</t>
  </si>
  <si>
    <t>VP del FCFF a Ku</t>
  </si>
  <si>
    <t>Deuda bruta de apertura</t>
  </si>
  <si>
    <t>Kd nominal del período (hoja WACC)</t>
  </si>
  <si>
    <t>Escudo fiscal = t × Kd × D</t>
  </si>
  <si>
    <t>Terminal: escudo 2032E sobre la deuda de cierre 2031, creciendo con g.</t>
  </si>
  <si>
    <t>VP del escudo fiscal a Ku</t>
  </si>
  <si>
    <t>Valor desapalancado (FCFF a Ku)</t>
  </si>
  <si>
    <t>VP de los escudos fiscales</t>
  </si>
  <si>
    <t>Enterprise value APV</t>
  </si>
  <si>
    <t>Valor por acción APV (CLP)</t>
  </si>
  <si>
    <t xml:space="preserve">  de lo cual: valor sin deuda (CLP/acción)</t>
  </si>
  <si>
    <t xml:space="preserve">  de lo cual: escudos fiscales (CLP/acción)</t>
  </si>
  <si>
    <t>Sensibilidad — valor por acción DCF (CLP)</t>
  </si>
  <si>
    <t>Tabla 1: desplazamiento paralelo de la WACC de todos los períodos (filas) vs g nominal terminal (columnas). Fórmulas vivas.</t>
  </si>
  <si>
    <t>Δ WACC \ g</t>
  </si>
  <si>
    <t>La celda resaltada debe igualar el valor por acción de la hoja DCF.</t>
  </si>
  <si>
    <t>Tabla 2 (estática): DFN/EBITDA objetivo (filas) vs spread por vuelta de apalancamiento (columnas). El D/E objetivo se recalcula con cada nivel. Generada cambiando Supuestos C; no se actualiza sola.</t>
  </si>
  <si>
    <t>DFN/EBITDA objetivo \ spread</t>
  </si>
  <si>
    <t>Actual (2,36x, sin aumento)</t>
  </si>
  <si>
    <t>3,0x</t>
  </si>
  <si>
    <t>3,5x</t>
  </si>
  <si>
    <t>4,0x</t>
  </si>
  <si>
    <t>Valores estáticos (no se recalculan). Resaltado = caso base.</t>
  </si>
  <si>
    <t>Auxiliar (no editar): FCFF 2032E según g</t>
  </si>
  <si>
    <t>FCFF 2032E</t>
  </si>
  <si>
    <t>Auxiliar: factores de descuento por Δ (C–H = períodos)</t>
  </si>
  <si>
    <t>DF cierre (Δ -1.00%)</t>
  </si>
  <si>
    <t>DF mitad (Δ -1.00%)</t>
  </si>
  <si>
    <t>VP FCFF (Δ -1.00%)</t>
  </si>
  <si>
    <t>DF cierre (Δ -0.50%)</t>
  </si>
  <si>
    <t>DF mitad (Δ -0.50%)</t>
  </si>
  <si>
    <t>VP FCFF (Δ -0.50%)</t>
  </si>
  <si>
    <t>DF cierre (Δ +0.00%)</t>
  </si>
  <si>
    <t>DF mitad (Δ +0.00%)</t>
  </si>
  <si>
    <t>VP FCFF (Δ +0.00%)</t>
  </si>
  <si>
    <t>DF cierre (Δ +0.50%)</t>
  </si>
  <si>
    <t>DF mitad (Δ +0.50%)</t>
  </si>
  <si>
    <t>VP FCFF (Δ +0.50%)</t>
  </si>
  <si>
    <t>DF cierre (Δ +1.00%)</t>
  </si>
  <si>
    <t>DF mitad (Δ +1.00%)</t>
  </si>
  <si>
    <t>VP FCFF (Δ +1.00%)</t>
  </si>
  <si>
    <t>Comparables — múltiplos LTM y NTM con el mismo set de pares que la WACC</t>
  </si>
  <si>
    <t>Set común = empresas con beta en la WACC y con datos en Bloomberg. Estadístico principal: 70% mediana Chile + 30% mediana del set común (Supuestos H). MM CLP con TC del 30-06-2026; precio 30-09-2026.</t>
  </si>
  <si>
    <t>Columnas auxiliares para las medianas (no editar)</t>
  </si>
  <si>
    <t>Ticker</t>
  </si>
  <si>
    <t>Set (1/0)</t>
  </si>
  <si>
    <t>Chile (1/0)</t>
  </si>
  <si>
    <t>Deuda neta</t>
  </si>
  <si>
    <t>Minoritarios</t>
  </si>
  <si>
    <t>EV</t>
  </si>
  <si>
    <t>Ingresos LTM</t>
  </si>
  <si>
    <t>EBITDA LTM</t>
  </si>
  <si>
    <t>EBIT LTM</t>
  </si>
  <si>
    <t>Utilidad LTM</t>
  </si>
  <si>
    <t>Patrimonio</t>
  </si>
  <si>
    <t>EBITDA NTM</t>
  </si>
  <si>
    <t>EV/EBITDA LTM</t>
  </si>
  <si>
    <t>EV/EBITDA NTM</t>
  </si>
  <si>
    <t>EV/EBIT LTM</t>
  </si>
  <si>
    <t>P/E LTM</t>
  </si>
  <si>
    <t>P/BV</t>
  </si>
  <si>
    <t>EV/EBITDA LTM set</t>
  </si>
  <si>
    <t>EV/EBITDA NTM set</t>
  </si>
  <si>
    <t>EV/EBIT LTM set</t>
  </si>
  <si>
    <t>P/E LTM set</t>
  </si>
  <si>
    <t>P/BV set</t>
  </si>
  <si>
    <t>EV/EBITDA LTM Chile</t>
  </si>
  <si>
    <t>EV/EBITDA NTM Chile</t>
  </si>
  <si>
    <t>EV/EBIT LTM Chile</t>
  </si>
  <si>
    <t>P/E LTM Chile</t>
  </si>
  <si>
    <t>P/BV Chile</t>
  </si>
  <si>
    <t>Mallplaza</t>
  </si>
  <si>
    <t>Target</t>
  </si>
  <si>
    <t>Fibra Danhos</t>
  </si>
  <si>
    <t>Estadísticos (excluyen a Mallplaza)</t>
  </si>
  <si>
    <t>Mediana set común</t>
  </si>
  <si>
    <t>Mediana Chile (set común)</t>
  </si>
  <si>
    <t>Múltiplo ponderado (70% Chile / 30% set común)</t>
  </si>
  <si>
    <t>N° pares set común</t>
  </si>
  <si>
    <t>Mallplaza vs ponderado (prima / (descuento))</t>
  </si>
  <si>
    <t>Notas: P/E y P/BV mezclan pares a valor razonable (Chile, IRSA) con pares a costo (Brasil); usar como referencia. EV/EBITDA es el método principal (neutral a la contabilidad de propiedades). IRSA: cifras NIC 29 y NTM de 1 analista. Fibra Danhos queda fuera del set (no tiene beta en la WACC).</t>
  </si>
  <si>
    <t>Precio objetivo — 80% DCF / 20% múltiplos (EV/EBITDA ponderado 70% Chile)</t>
  </si>
  <si>
    <t>A. Valor por múltiplos (Mallplaza)</t>
  </si>
  <si>
    <t>Múltiplo</t>
  </si>
  <si>
    <t>Múltiplo ponderado</t>
  </si>
  <si>
    <t>Métrica Mallplaza</t>
  </si>
  <si>
    <t>Valor por acción (CLP)</t>
  </si>
  <si>
    <t>EV/EBITDA LTM (método principal)</t>
  </si>
  <si>
    <t>EV implícito − deuda neta BBG − minoritarios, / acciones.</t>
  </si>
  <si>
    <t>P/E LTM (referencia: incluye revalorización)</t>
  </si>
  <si>
    <t>P/BV (referencia)</t>
  </si>
  <si>
    <t>B. Precio objetivo combinado</t>
  </si>
  <si>
    <t>Valor DCF (CLP)</t>
  </si>
  <si>
    <t>Valor por múltiplos: EV/EBITDA LTM ponderado (CLP)</t>
  </si>
  <si>
    <t>Peso DCF</t>
  </si>
  <si>
    <t>Precio objetivo (CLP)</t>
  </si>
  <si>
    <t>Referencia: precio objetivo VF (CLP)</t>
  </si>
  <si>
    <t>C. Lectura rápida</t>
  </si>
  <si>
    <t>Cap rate implícito del DCF (EBITDA LTM / EV)</t>
  </si>
  <si>
    <t>Cap rate implícito del mercado (EBITDA LTM / EV de mercado)</t>
  </si>
  <si>
    <t>Cap rate de los pares chilenos (1 / EV/EBITDA LTM mediana Chile)</t>
  </si>
  <si>
    <t>WACC nominal terminal</t>
  </si>
  <si>
    <t>Datos Bloomberg en moneda local (millones)</t>
  </si>
  <si>
    <t>EBITDA = IS_COMPARABLE_EBITDA (salvo nota) · EBIT = EBITDA − D&amp;A (CF_DEPR_AMORT) · LTM = suma 3T25–2T26 · Balance LTM al 30-jun-2026</t>
  </si>
  <si>
    <t>Grupo</t>
  </si>
  <si>
    <t>Moneda</t>
  </si>
  <si>
    <t>Período</t>
  </si>
  <si>
    <t>Revenue</t>
  </si>
  <si>
    <t>Net Income (controladora)</t>
  </si>
  <si>
    <t>Book Value</t>
  </si>
  <si>
    <t>Net Debt (BBG)</t>
  </si>
  <si>
    <t>Market Cap</t>
  </si>
  <si>
    <t>Precio</t>
  </si>
  <si>
    <t>Forzar P/E NM</t>
  </si>
  <si>
    <t>Nota</t>
  </si>
  <si>
    <t>Factor a CLP</t>
  </si>
  <si>
    <t>EV (local)</t>
  </si>
  <si>
    <t>MALLPLAZ CI</t>
  </si>
  <si>
    <t>FY2022</t>
  </si>
  <si>
    <t>FY2023</t>
  </si>
  <si>
    <t>Net Income incluye revalorización de propiedades (~1,0 bn).</t>
  </si>
  <si>
    <t>LTM</t>
  </si>
  <si>
    <t>Core</t>
  </si>
  <si>
    <t>EBITDA = EBITDA_ADJUSTED (comparable BBG incluía revalorización).</t>
  </si>
  <si>
    <t>Q1-26 EBITDA = EBITDA_ADJUSTED (comparable incluía revalorización).</t>
  </si>
  <si>
    <t>Revenue BBG 7.481 incluye ítems no recurrentes de la combinación con brMalls; se usa 2.804 (S&amp;P). P/E NM por ganancia no recurrente.</t>
  </si>
  <si>
    <t>EBITDA = EBITDA_ADJUSTED (comparable incluía ganancia por venta de activos).</t>
  </si>
  <si>
    <t>Q1-26 EBITDA = EBITDA_ADJUSTED.</t>
  </si>
  <si>
    <t>Sensibilidad</t>
  </si>
  <si>
    <t>FY2022 (jun)</t>
  </si>
  <si>
    <t>FY2023 (jun)</t>
  </si>
  <si>
    <t>FY2024 (jun)</t>
  </si>
  <si>
    <t>Utilidad negativa → P/E NM.</t>
  </si>
  <si>
    <t>FY2025 (jun)</t>
  </si>
  <si>
    <t>FY jun-2026. Revenue y NI anuales (TRAIL_12M); EBITDA = Revenue × margen ajustado de los 4 trimestres (cifras NIC 29).</t>
  </si>
  <si>
    <t>DANHOS13 MM</t>
  </si>
  <si>
    <t>NTM — consenso Bloomberg BEst, 12 meses forward mezclado (BEST_FPERIOD_OVERRIDE = BF), al 07-oct-2026</t>
  </si>
  <si>
    <t>Revenue NTM</t>
  </si>
  <si>
    <t>EBIT NTM</t>
  </si>
  <si>
    <t>Net Income NTM</t>
  </si>
  <si>
    <t>Nº analistas</t>
  </si>
  <si>
    <t>NTM</t>
  </si>
  <si>
    <t>Consenso EBIT &gt; EBITDA (distintos sets de analistas).</t>
  </si>
  <si>
    <t>Solo 1 analista: consenso no representativo.</t>
  </si>
  <si>
    <t>Metodología, advertencias y fuentes</t>
  </si>
  <si>
    <t>Bloomberg Terminal vía Excel Add-in (BDP/BDH), extraído el 07-oct-2026 desde el terminal del laboratorio. Tickers: MALLPLAZ CI, PARAUCO CI, CENCOMAL CI, MULT3 BZ, ALOS3 BZ, IGTI11 BZ, IRSA AR, DANHOS13 MM.</t>
  </si>
  <si>
    <t>Campos</t>
  </si>
  <si>
    <t>Revenue = SALES_REV_TURN · EBITDA = IS_COMPARABLE_EBITDA (excluye ítems no recurrentes) · D&amp;A = CF_DEPR_AMORT · EBIT = EBITDA − D&amp;A · Net Income = NET_INCOME (controladora) · Book Value = TOT_COMMON_EQY · Deuda neta = NET_DEBT · Minoritarios = MINORITY_NONCONTROLLING_INTEREST · Market Cap = CUR_MKT_CAP histórico (BDH) · Precio = PX_LAST.</t>
  </si>
  <si>
    <t>Por qué no el EBITDA 'normal' de Bloomberg</t>
  </si>
  <si>
    <t>El campo EBITDA estándar incluye la revalorización de propiedades para las empresas a valor razonable (ej. Mallplaza FY2025: 1,97 bn vs ingresos 0,65 bn). Por eso se usa el EBITDA comparable, y EBIT se reconstruye como EBITDA − D&amp;A.</t>
  </si>
  <si>
    <t>Excepciones EBITDA</t>
  </si>
  <si>
    <t>Se usó EBITDA_ADJUSTED donde el comparable era inconsistente: Cencosud Shopping FY2022 y 1T26; Iguatemi FY2025 y 1T26; IRSA todos los períodos.</t>
  </si>
  <si>
    <t>Suma de 3T25, 4T25, 1T26 y 2T26 (verificada contra TRAIL_12M de Bloomberg: Mallplaza revenue 677.333 = 677.334). Balance al 30-jun-2026. IRSA: FY2026 (jul-25 a jun-26).</t>
  </si>
  <si>
    <t>Consenso BEst blended forward 12m. Cobertura: Mallplaza 13, Parque Arauco 13, Cencosud 11, Multiplan 15, Allos 14, Iguatemi 13, Fibra Danhos 9, IRSA 1 analista. La tabla principal es LTM.</t>
  </si>
  <si>
    <t>MM CLP con TC fijo del 30-jun-2026 (dólar observado 922,34) y cruces vía USD. Los múltiplos no cambian con el TC.</t>
  </si>
  <si>
    <t>Allos FY2023</t>
  </si>
  <si>
    <t>Revenue de Bloomberg (7.481) incluye efectos de la combinación con brMalls; se reemplazó por 2.804 (S&amp;P Global). P/E FY2023 NM.</t>
  </si>
  <si>
    <t>Ejercicio jul-jun; cifras bajo NIC 29: los múltiplos de cada columna son consistentes, los montos históricos en CLP no son comparables entre años.</t>
  </si>
  <si>
    <t>Valor razonable</t>
  </si>
  <si>
    <t>Mallplaza, Parque Arauco, Cencosud Shopping, IRSA y Danhos registran revalorizaciones en resultados → P/E bajo y volátil. Priorizar EV/EBITDA.</t>
  </si>
  <si>
    <t>v2 — Estructura de capital</t>
  </si>
  <si>
    <t>La WACC del VF suponía 3,5x DFN/EBITDA desde hoy y para siempre, mientras los flujos del propio modelo desapalancaban la compañía a ~1,0x en 2031. v2 parte en 2,36x, converge a 3,5x en 2031 y registra la caja sobrante como distribución adicional a accionistas, de modo que la deuda de la WACC existe en el plan.</t>
  </si>
  <si>
    <t>v2 — WACC por período</t>
  </si>
  <si>
    <t>El D/E converge linealmente desde la estructura actual del modelo original (deuda bruta / market cap = 19,98%) hasta la objetivo (28,52%, 3,5x) en 2031; beta, Ke, Kd y WACC se recalculan cada año. El DCF descuenta con factores acumulados.</t>
  </si>
  <si>
    <t>v2 — Costo de la deuda</t>
  </si>
  <si>
    <t>+25 pb de Kd real por cada vuelta de DFN/EBITDA sobre el nivel inicial (supuesto del equipo, editable). Afecta la WACC y el costo financiero de la hoja Deuda.</t>
  </si>
  <si>
    <t>v2 — Reajuste UF</t>
  </si>
  <si>
    <t>Tratado como gasto financiero deducible en la hoja Deuda. No afecta el EV.</t>
  </si>
  <si>
    <t>v2 — Chequeos</t>
  </si>
  <si>
    <t>Switch de política de deuda = 0 reproduce el VF (CLP 1.880). La hoja APV (valor sin deuda + escudos fiscales) debe quedar cerca del DCF.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</si>
</sst>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%;\(0.00%\);\-"/>
    <numFmt numFmtId="165" formatCode="0.00\x"/>
    <numFmt numFmtId="166" formatCode="#,##0;\(#,##0\)"/>
    <numFmt numFmtId="167" formatCode="#,##0;\(#,##0\);\-"/>
    <numFmt numFmtId="168" formatCode="0.0"/>
    <numFmt numFmtId="169" formatCode="#,##0.0"/>
    <numFmt numFmtId="170" formatCode="0.000"/>
    <numFmt numFmtId="171" formatCode="0.0000"/>
    <numFmt numFmtId="172" formatCode="#,##0.0000"/>
    <numFmt numFmtId="173" formatCode="0.000000"/>
    <numFmt numFmtId="174" formatCode="#,##0.00;\(#,##0.00\);\-"/>
    <numFmt numFmtId="175" formatCode="0.00000"/>
    <numFmt numFmtId="176" formatCode="0.0\x"/>
    <numFmt numFmtId="177" formatCode="\+0.00%;\-0.00%;0.00%"/>
    <numFmt numFmtId="178" formatCode="#,##0.000"/>
    <numFmt numFmtId="179" formatCode="#,##0.000000"/>
  </numFmts>
  <fonts count="11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b/>
      <sz val="10"/>
      <color rgb="FF008000"/>
      <name val="Arial"/>
      <charset val="1"/>
    </font>
    <font>
      <b/>
      <sz val="10"/>
      <color rgb="FF0000FF"/>
      <name val="Arial"/>
      <charset val="1"/>
    </font>
    <font>
      <sz val="10"/>
      <color rgb="FF595959"/>
      <name val="Arial"/>
      <charset val="1"/>
    </font>
    <font>
      <b/>
      <sz val="10"/>
      <color rgb="FF59595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2" borderId="0" xfId="0" applyNumberFormat="1" applyFont="1" applyFill="1"/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3" fillId="3" borderId="0" xfId="0" applyFont="1" applyFill="1"/>
    <xf numFmtId="49" fontId="6" fillId="0" borderId="0" xfId="0" applyNumberFormat="1" applyFont="1"/>
    <xf numFmtId="3" fontId="6" fillId="0" borderId="0" xfId="0" applyNumberFormat="1" applyFont="1"/>
    <xf numFmtId="167" fontId="6" fillId="0" borderId="0" xfId="0" applyNumberFormat="1" applyFont="1"/>
    <xf numFmtId="164" fontId="6" fillId="0" borderId="0" xfId="0" applyNumberFormat="1" applyFont="1"/>
    <xf numFmtId="1" fontId="6" fillId="4" borderId="0" xfId="0" applyNumberFormat="1" applyFont="1" applyFill="1"/>
    <xf numFmtId="1" fontId="6" fillId="0" borderId="0" xfId="0" applyNumberFormat="1" applyFont="1"/>
    <xf numFmtId="4" fontId="6" fillId="0" borderId="0" xfId="0" applyNumberFormat="1" applyFont="1"/>
    <xf numFmtId="2" fontId="6" fillId="0" borderId="0" xfId="0" applyNumberFormat="1" applyFont="1"/>
    <xf numFmtId="165" fontId="4" fillId="0" borderId="0" xfId="0" applyNumberFormat="1" applyFont="1"/>
    <xf numFmtId="165" fontId="6" fillId="4" borderId="0" xfId="0" applyNumberFormat="1" applyFont="1" applyFill="1"/>
    <xf numFmtId="168" fontId="4" fillId="0" borderId="0" xfId="0" applyNumberFormat="1" applyFont="1"/>
    <xf numFmtId="164" fontId="6" fillId="4" borderId="0" xfId="0" applyNumberFormat="1" applyFont="1" applyFill="1"/>
    <xf numFmtId="3" fontId="4" fillId="0" borderId="0" xfId="0" applyNumberFormat="1" applyFont="1"/>
    <xf numFmtId="169" fontId="6" fillId="0" borderId="0" xfId="0" applyNumberFormat="1" applyFont="1"/>
    <xf numFmtId="4" fontId="4" fillId="0" borderId="0" xfId="0" applyNumberFormat="1" applyFont="1"/>
    <xf numFmtId="164" fontId="4" fillId="0" borderId="0" xfId="0" applyNumberFormat="1" applyFont="1"/>
    <xf numFmtId="170" fontId="6" fillId="0" borderId="0" xfId="0" applyNumberFormat="1" applyFont="1"/>
    <xf numFmtId="171" fontId="6" fillId="0" borderId="0" xfId="0" applyNumberFormat="1" applyFont="1"/>
    <xf numFmtId="172" fontId="4" fillId="0" borderId="0" xfId="0" applyNumberFormat="1" applyFont="1"/>
    <xf numFmtId="173" fontId="4" fillId="0" borderId="0" xfId="0" applyNumberFormat="1" applyFont="1"/>
    <xf numFmtId="170" fontId="4" fillId="0" borderId="0" xfId="0" applyNumberFormat="1" applyFont="1"/>
    <xf numFmtId="1" fontId="4" fillId="0" borderId="0" xfId="0" applyNumberFormat="1" applyFont="1"/>
    <xf numFmtId="170" fontId="3" fillId="2" borderId="0" xfId="0" applyNumberFormat="1" applyFont="1" applyFill="1"/>
    <xf numFmtId="167" fontId="4" fillId="0" borderId="0" xfId="0" applyNumberFormat="1" applyFont="1"/>
    <xf numFmtId="164" fontId="3" fillId="2" borderId="0" xfId="0" applyNumberFormat="1" applyFont="1" applyFill="1"/>
    <xf numFmtId="0" fontId="0" fillId="3" borderId="0" xfId="0" applyFill="1"/>
    <xf numFmtId="0" fontId="3" fillId="3" borderId="0" xfId="0" applyFont="1" applyFill="1" applyAlignment="1">
      <alignment horizontal="center"/>
    </xf>
    <xf numFmtId="168" fontId="5" fillId="0" borderId="0" xfId="0" applyNumberFormat="1" applyFont="1"/>
    <xf numFmtId="164" fontId="3" fillId="0" borderId="0" xfId="0" applyNumberFormat="1" applyFont="1"/>
    <xf numFmtId="164" fontId="7" fillId="0" borderId="0" xfId="0" applyNumberFormat="1" applyFont="1"/>
    <xf numFmtId="174" fontId="6" fillId="0" borderId="0" xfId="0" applyNumberFormat="1" applyFont="1"/>
    <xf numFmtId="167" fontId="3" fillId="0" borderId="0" xfId="0" applyNumberFormat="1" applyFont="1"/>
    <xf numFmtId="171" fontId="4" fillId="0" borderId="0" xfId="0" applyNumberFormat="1" applyFont="1"/>
    <xf numFmtId="175" fontId="4" fillId="0" borderId="0" xfId="0" applyNumberFormat="1" applyFont="1"/>
    <xf numFmtId="167" fontId="5" fillId="0" borderId="0" xfId="0" applyNumberFormat="1" applyFont="1"/>
    <xf numFmtId="167" fontId="3" fillId="2" borderId="0" xfId="0" applyNumberFormat="1" applyFont="1" applyFill="1"/>
    <xf numFmtId="3" fontId="3" fillId="2" borderId="0" xfId="0" applyNumberFormat="1" applyFont="1" applyFill="1"/>
    <xf numFmtId="176" fontId="4" fillId="0" borderId="0" xfId="0" applyNumberFormat="1" applyFont="1"/>
    <xf numFmtId="167" fontId="7" fillId="0" borderId="0" xfId="0" applyNumberFormat="1" applyFont="1"/>
    <xf numFmtId="165" fontId="3" fillId="2" borderId="0" xfId="0" applyNumberFormat="1" applyFont="1" applyFill="1"/>
    <xf numFmtId="164" fontId="8" fillId="3" borderId="0" xfId="0" applyNumberFormat="1" applyFont="1" applyFill="1"/>
    <xf numFmtId="177" fontId="8" fillId="3" borderId="0" xfId="0" applyNumberFormat="1" applyFont="1" applyFill="1"/>
    <xf numFmtId="3" fontId="4" fillId="2" borderId="0" xfId="0" applyNumberFormat="1" applyFont="1" applyFill="1"/>
    <xf numFmtId="10" fontId="3" fillId="3" borderId="0" xfId="0" applyNumberFormat="1" applyFont="1" applyFill="1"/>
    <xf numFmtId="3" fontId="2" fillId="0" borderId="0" xfId="0" applyNumberFormat="1" applyFont="1"/>
    <xf numFmtId="3" fontId="2" fillId="2" borderId="0" xfId="0" applyNumberFormat="1" applyFont="1" applyFill="1"/>
    <xf numFmtId="167" fontId="9" fillId="0" borderId="0" xfId="0" applyNumberFormat="1" applyFont="1"/>
    <xf numFmtId="0" fontId="9" fillId="0" borderId="0" xfId="0" applyFont="1"/>
    <xf numFmtId="171" fontId="9" fillId="0" borderId="0" xfId="0" applyNumberFormat="1" applyFont="1"/>
    <xf numFmtId="0" fontId="10" fillId="0" borderId="0" xfId="0" applyFont="1"/>
    <xf numFmtId="0" fontId="5" fillId="0" borderId="0" xfId="0" applyFont="1"/>
    <xf numFmtId="0" fontId="6" fillId="0" borderId="0" xfId="0" applyFont="1"/>
    <xf numFmtId="165" fontId="9" fillId="0" borderId="0" xfId="0" applyNumberFormat="1" applyFont="1"/>
    <xf numFmtId="3" fontId="3" fillId="0" borderId="0" xfId="0" applyNumberFormat="1" applyFont="1"/>
    <xf numFmtId="178" fontId="6" fillId="0" borderId="0" xfId="0" applyNumberFormat="1" applyFont="1"/>
    <xf numFmtId="178" fontId="4" fillId="0" borderId="0" xfId="0" applyNumberFormat="1" applyFont="1"/>
    <xf numFmtId="179" fontId="5" fillId="0" borderId="0" xfId="0" applyNumberFormat="1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showGridLines="0" zoomScaleNormal="100" workbookViewId="0"/>
  </sheetViews>
  <sheetFormatPr baseColWidth="10" defaultColWidth="8.7109375" defaultRowHeight="15" x14ac:dyDescent="0.25"/>
  <cols>
    <col min="1" max="1" width="62" customWidth="1"/>
    <col min="2" max="3" width="14" customWidth="1"/>
  </cols>
  <sheetData>
    <row r="1" spans="1:3" ht="15.75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4" t="s">
        <v>3</v>
      </c>
      <c r="B5" s="5">
        <f>DCF!C49</f>
        <v>1856.8119971801468</v>
      </c>
    </row>
    <row r="6" spans="1:3" x14ac:dyDescent="0.25">
      <c r="A6" s="4" t="s">
        <v>4</v>
      </c>
      <c r="B6" s="6">
        <f>Precio_Objetivo!D5</f>
        <v>2951.3854708310091</v>
      </c>
    </row>
    <row r="7" spans="1:3" x14ac:dyDescent="0.25">
      <c r="A7" s="4" t="s">
        <v>5</v>
      </c>
      <c r="B7" s="5">
        <f>Precio_Objetivo!B15</f>
        <v>2075.726691910319</v>
      </c>
    </row>
    <row r="8" spans="1:3" x14ac:dyDescent="0.25">
      <c r="A8" s="4" t="s">
        <v>6</v>
      </c>
      <c r="B8" s="6">
        <f>Supuestos!$B$8</f>
        <v>3555</v>
      </c>
    </row>
    <row r="9" spans="1:3" x14ac:dyDescent="0.25">
      <c r="A9" s="4" t="s">
        <v>7</v>
      </c>
      <c r="B9" s="7">
        <f>Precio_Objetivo!B17</f>
        <v>-0.41611063518697078</v>
      </c>
    </row>
    <row r="10" spans="1:3" x14ac:dyDescent="0.25">
      <c r="A10" s="4" t="s">
        <v>8</v>
      </c>
      <c r="B10" s="6">
        <f>DCF!C63</f>
        <v>1893.6531238185803</v>
      </c>
    </row>
    <row r="11" spans="1:3" x14ac:dyDescent="0.25">
      <c r="A11" s="4" t="s">
        <v>9</v>
      </c>
      <c r="B11" s="7">
        <f>WACC!C43</f>
        <v>0.10536861207682024</v>
      </c>
      <c r="C11" s="7">
        <f>WACC!I43</f>
        <v>0.10413886741610846</v>
      </c>
    </row>
    <row r="12" spans="1:3" x14ac:dyDescent="0.25">
      <c r="A12" s="4" t="s">
        <v>10</v>
      </c>
      <c r="B12" s="8">
        <f>Supuestos!$B$41</f>
        <v>2.3594373640892949</v>
      </c>
      <c r="C12" s="8">
        <f>Deuda!H22</f>
        <v>3.5</v>
      </c>
    </row>
    <row r="13" spans="1:3" x14ac:dyDescent="0.25">
      <c r="A13" s="4"/>
    </row>
    <row r="14" spans="1:3" x14ac:dyDescent="0.25">
      <c r="A14" s="3" t="s">
        <v>11</v>
      </c>
    </row>
    <row r="15" spans="1:3" x14ac:dyDescent="0.25">
      <c r="A15" s="4" t="s">
        <v>12</v>
      </c>
      <c r="B15" s="6">
        <f>Supuestos!$B$108</f>
        <v>1880.3683582112201</v>
      </c>
    </row>
    <row r="16" spans="1:3" x14ac:dyDescent="0.25">
      <c r="A16" s="4" t="s">
        <v>13</v>
      </c>
      <c r="B16" s="9">
        <f>DCF!C62</f>
        <v>-23.556361031073266</v>
      </c>
    </row>
    <row r="17" spans="1:2" x14ac:dyDescent="0.25">
      <c r="A17" s="4" t="s">
        <v>14</v>
      </c>
      <c r="B17" s="6">
        <f>Supuestos!$B$110</f>
        <v>2094.5718198219402</v>
      </c>
    </row>
    <row r="20" spans="1:2" x14ac:dyDescent="0.25">
      <c r="A20" s="3" t="s">
        <v>15</v>
      </c>
    </row>
    <row r="21" spans="1:2" x14ac:dyDescent="0.25">
      <c r="A21" s="4" t="s">
        <v>16</v>
      </c>
    </row>
    <row r="22" spans="1:2" x14ac:dyDescent="0.25">
      <c r="A22" s="4" t="s">
        <v>17</v>
      </c>
    </row>
    <row r="23" spans="1:2" x14ac:dyDescent="0.25">
      <c r="A23" s="4" t="s">
        <v>18</v>
      </c>
    </row>
    <row r="24" spans="1:2" x14ac:dyDescent="0.25">
      <c r="A24" s="4" t="s">
        <v>19</v>
      </c>
    </row>
    <row r="25" spans="1:2" x14ac:dyDescent="0.25">
      <c r="A25" s="4" t="s">
        <v>20</v>
      </c>
    </row>
    <row r="26" spans="1:2" x14ac:dyDescent="0.25">
      <c r="A26" s="4" t="s">
        <v>21</v>
      </c>
    </row>
    <row r="27" spans="1:2" x14ac:dyDescent="0.25">
      <c r="A27" s="4" t="s">
        <v>22</v>
      </c>
    </row>
    <row r="28" spans="1:2" x14ac:dyDescent="0.25">
      <c r="A28" s="4" t="s">
        <v>23</v>
      </c>
    </row>
    <row r="29" spans="1:2" x14ac:dyDescent="0.25">
      <c r="A29" s="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0"/>
  <sheetViews>
    <sheetView showGridLines="0" zoomScaleNormal="100" workbookViewId="0">
      <pane ySplit="4" topLeftCell="A83" activePane="bottomLeft" state="frozen"/>
      <selection pane="bottomLeft"/>
    </sheetView>
  </sheetViews>
  <sheetFormatPr baseColWidth="10" defaultColWidth="8.7109375" defaultRowHeight="15" x14ac:dyDescent="0.25"/>
  <cols>
    <col min="1" max="1" width="70" customWidth="1"/>
    <col min="2" max="2" width="14" customWidth="1"/>
    <col min="3" max="3" width="10" customWidth="1"/>
    <col min="4" max="4" width="6" customWidth="1"/>
    <col min="5" max="5" width="110" customWidth="1"/>
  </cols>
  <sheetData>
    <row r="1" spans="1:5" ht="15.75" x14ac:dyDescent="0.25">
      <c r="A1" s="1" t="s">
        <v>25</v>
      </c>
    </row>
    <row r="2" spans="1:5" x14ac:dyDescent="0.25">
      <c r="A2" s="2" t="s">
        <v>26</v>
      </c>
    </row>
    <row r="4" spans="1:5" x14ac:dyDescent="0.25">
      <c r="A4" s="10" t="s">
        <v>27</v>
      </c>
      <c r="B4" s="10" t="s">
        <v>28</v>
      </c>
      <c r="C4" s="10" t="s">
        <v>29</v>
      </c>
      <c r="D4" s="10" t="s">
        <v>30</v>
      </c>
      <c r="E4" s="10" t="s">
        <v>31</v>
      </c>
    </row>
    <row r="6" spans="1:5" x14ac:dyDescent="0.25">
      <c r="A6" s="3" t="s">
        <v>32</v>
      </c>
    </row>
    <row r="7" spans="1:5" x14ac:dyDescent="0.25">
      <c r="A7" s="4" t="s">
        <v>33</v>
      </c>
      <c r="B7" s="11" t="s">
        <v>34</v>
      </c>
      <c r="C7" s="4" t="s">
        <v>35</v>
      </c>
      <c r="D7" s="4" t="s">
        <v>36</v>
      </c>
      <c r="E7" s="4" t="s">
        <v>37</v>
      </c>
    </row>
    <row r="8" spans="1:5" x14ac:dyDescent="0.25">
      <c r="A8" s="4" t="s">
        <v>38</v>
      </c>
      <c r="B8" s="12">
        <v>3555</v>
      </c>
      <c r="C8" s="4" t="s">
        <v>39</v>
      </c>
      <c r="D8" s="4" t="s">
        <v>40</v>
      </c>
      <c r="E8" s="4" t="s">
        <v>41</v>
      </c>
    </row>
    <row r="9" spans="1:5" x14ac:dyDescent="0.25">
      <c r="A9" s="4" t="s">
        <v>42</v>
      </c>
      <c r="B9" s="12">
        <v>2190</v>
      </c>
      <c r="C9" s="4" t="s">
        <v>43</v>
      </c>
      <c r="D9" s="4" t="s">
        <v>40</v>
      </c>
      <c r="E9" s="4" t="s">
        <v>44</v>
      </c>
    </row>
    <row r="10" spans="1:5" x14ac:dyDescent="0.25">
      <c r="A10" s="4" t="s">
        <v>45</v>
      </c>
      <c r="B10" s="13">
        <v>1285740</v>
      </c>
      <c r="C10" s="4" t="s">
        <v>46</v>
      </c>
      <c r="D10" s="4" t="s">
        <v>40</v>
      </c>
      <c r="E10" s="4" t="s">
        <v>47</v>
      </c>
    </row>
    <row r="11" spans="1:5" x14ac:dyDescent="0.25">
      <c r="A11" s="4" t="s">
        <v>48</v>
      </c>
      <c r="B11" s="13">
        <v>50841</v>
      </c>
      <c r="C11" s="4" t="s">
        <v>46</v>
      </c>
      <c r="D11" s="4" t="s">
        <v>40</v>
      </c>
      <c r="E11" s="4" t="s">
        <v>49</v>
      </c>
    </row>
    <row r="12" spans="1:5" x14ac:dyDescent="0.25">
      <c r="A12" s="4" t="s">
        <v>50</v>
      </c>
      <c r="B12" s="13">
        <v>347621</v>
      </c>
      <c r="C12" s="4" t="s">
        <v>46</v>
      </c>
      <c r="D12" s="4" t="s">
        <v>40</v>
      </c>
      <c r="E12" s="4" t="s">
        <v>51</v>
      </c>
    </row>
    <row r="13" spans="1:5" x14ac:dyDescent="0.25">
      <c r="A13" s="4" t="s">
        <v>52</v>
      </c>
      <c r="B13" s="13">
        <v>544935</v>
      </c>
      <c r="C13" s="4" t="s">
        <v>46</v>
      </c>
      <c r="D13" s="4" t="s">
        <v>40</v>
      </c>
      <c r="E13" s="4" t="s">
        <v>53</v>
      </c>
    </row>
    <row r="14" spans="1:5" x14ac:dyDescent="0.25">
      <c r="A14" s="4" t="s">
        <v>54</v>
      </c>
      <c r="B14" s="13">
        <v>1311568.558</v>
      </c>
      <c r="C14" s="4" t="s">
        <v>46</v>
      </c>
      <c r="D14" s="4" t="s">
        <v>40</v>
      </c>
      <c r="E14" s="4" t="s">
        <v>55</v>
      </c>
    </row>
    <row r="16" spans="1:5" x14ac:dyDescent="0.25">
      <c r="A16" s="3" t="s">
        <v>56</v>
      </c>
    </row>
    <row r="17" spans="1:5" x14ac:dyDescent="0.25">
      <c r="A17" s="4" t="s">
        <v>57</v>
      </c>
      <c r="B17" s="14">
        <v>4.9778000000000003E-2</v>
      </c>
      <c r="C17" s="4" t="s">
        <v>58</v>
      </c>
      <c r="D17" s="4" t="s">
        <v>40</v>
      </c>
      <c r="E17" s="4" t="s">
        <v>59</v>
      </c>
    </row>
    <row r="18" spans="1:5" x14ac:dyDescent="0.25">
      <c r="A18" s="4" t="s">
        <v>60</v>
      </c>
      <c r="B18" s="14">
        <v>5.4300000000000001E-2</v>
      </c>
      <c r="C18" s="4" t="s">
        <v>58</v>
      </c>
      <c r="D18" s="4" t="s">
        <v>40</v>
      </c>
      <c r="E18" s="4" t="s">
        <v>61</v>
      </c>
    </row>
    <row r="19" spans="1:5" x14ac:dyDescent="0.25">
      <c r="A19" s="4" t="s">
        <v>62</v>
      </c>
      <c r="B19" s="15">
        <v>2</v>
      </c>
      <c r="C19" s="4" t="s">
        <v>63</v>
      </c>
      <c r="D19" s="4" t="s">
        <v>36</v>
      </c>
      <c r="E19" s="4" t="s">
        <v>64</v>
      </c>
    </row>
    <row r="20" spans="1:5" x14ac:dyDescent="0.25">
      <c r="A20" s="4" t="s">
        <v>65</v>
      </c>
      <c r="B20" s="14">
        <v>2.2431E-2</v>
      </c>
      <c r="C20" s="4" t="s">
        <v>58</v>
      </c>
      <c r="D20" s="4" t="s">
        <v>40</v>
      </c>
      <c r="E20" s="4" t="s">
        <v>66</v>
      </c>
    </row>
    <row r="21" spans="1:5" x14ac:dyDescent="0.25">
      <c r="A21" s="4" t="s">
        <v>67</v>
      </c>
      <c r="B21" s="16">
        <v>1</v>
      </c>
      <c r="C21" s="4" t="s">
        <v>63</v>
      </c>
      <c r="D21" s="4" t="s">
        <v>36</v>
      </c>
      <c r="E21" s="4" t="s">
        <v>68</v>
      </c>
    </row>
    <row r="22" spans="1:5" x14ac:dyDescent="0.25">
      <c r="A22" s="4" t="s">
        <v>69</v>
      </c>
      <c r="B22" s="14">
        <v>4.1399999999999999E-2</v>
      </c>
      <c r="C22" s="4" t="s">
        <v>58</v>
      </c>
      <c r="D22" s="4" t="s">
        <v>40</v>
      </c>
      <c r="E22" s="4" t="s">
        <v>70</v>
      </c>
    </row>
    <row r="23" spans="1:5" x14ac:dyDescent="0.25">
      <c r="A23" s="4" t="s">
        <v>71</v>
      </c>
      <c r="B23" s="14">
        <v>1.04E-2</v>
      </c>
      <c r="C23" s="4" t="s">
        <v>58</v>
      </c>
      <c r="D23" s="4" t="s">
        <v>40</v>
      </c>
      <c r="E23" s="4" t="s">
        <v>72</v>
      </c>
    </row>
    <row r="24" spans="1:5" x14ac:dyDescent="0.25">
      <c r="A24" s="4" t="s">
        <v>73</v>
      </c>
      <c r="B24" s="14">
        <v>1.55E-2</v>
      </c>
      <c r="C24" s="4" t="s">
        <v>58</v>
      </c>
      <c r="D24" s="4" t="s">
        <v>40</v>
      </c>
      <c r="E24" s="4" t="s">
        <v>74</v>
      </c>
    </row>
    <row r="25" spans="1:5" x14ac:dyDescent="0.25">
      <c r="A25" s="4" t="s">
        <v>75</v>
      </c>
      <c r="B25" s="14">
        <v>3.6999999999999998E-2</v>
      </c>
      <c r="C25" s="4" t="s">
        <v>58</v>
      </c>
      <c r="D25" s="4" t="s">
        <v>40</v>
      </c>
      <c r="E25" s="4" t="s">
        <v>76</v>
      </c>
    </row>
    <row r="26" spans="1:5" x14ac:dyDescent="0.25">
      <c r="A26" s="4" t="s">
        <v>77</v>
      </c>
      <c r="B26" s="13">
        <v>677333</v>
      </c>
      <c r="C26" s="4" t="s">
        <v>46</v>
      </c>
      <c r="D26" s="4" t="s">
        <v>40</v>
      </c>
      <c r="E26" s="4" t="s">
        <v>78</v>
      </c>
    </row>
    <row r="27" spans="1:5" x14ac:dyDescent="0.25">
      <c r="A27" s="4" t="s">
        <v>79</v>
      </c>
      <c r="B27" s="13">
        <v>486084</v>
      </c>
      <c r="C27" s="4" t="s">
        <v>46</v>
      </c>
      <c r="D27" s="4" t="s">
        <v>40</v>
      </c>
      <c r="E27" s="4" t="s">
        <v>80</v>
      </c>
    </row>
    <row r="28" spans="1:5" x14ac:dyDescent="0.25">
      <c r="A28" s="4" t="s">
        <v>81</v>
      </c>
      <c r="B28" s="13">
        <v>463174</v>
      </c>
      <c r="C28" s="4" t="s">
        <v>82</v>
      </c>
      <c r="D28" s="4" t="s">
        <v>40</v>
      </c>
      <c r="E28" s="4" t="s">
        <v>83</v>
      </c>
    </row>
    <row r="29" spans="1:5" x14ac:dyDescent="0.25">
      <c r="A29" s="4" t="s">
        <v>84</v>
      </c>
      <c r="B29" s="13">
        <v>275461</v>
      </c>
      <c r="C29" s="4" t="s">
        <v>85</v>
      </c>
      <c r="D29" s="4" t="s">
        <v>40</v>
      </c>
      <c r="E29" s="4" t="s">
        <v>86</v>
      </c>
    </row>
    <row r="30" spans="1:5" x14ac:dyDescent="0.25">
      <c r="A30" s="4" t="s">
        <v>87</v>
      </c>
      <c r="B30" s="17">
        <v>922.21</v>
      </c>
      <c r="C30" s="4" t="s">
        <v>88</v>
      </c>
      <c r="D30" s="4" t="s">
        <v>40</v>
      </c>
      <c r="E30" s="4" t="s">
        <v>89</v>
      </c>
    </row>
    <row r="31" spans="1:5" x14ac:dyDescent="0.25">
      <c r="A31" s="4" t="s">
        <v>90</v>
      </c>
      <c r="B31" s="18">
        <v>3.41</v>
      </c>
      <c r="C31" s="4" t="s">
        <v>91</v>
      </c>
      <c r="D31" s="4" t="s">
        <v>40</v>
      </c>
      <c r="E31" s="4" t="s">
        <v>92</v>
      </c>
    </row>
    <row r="32" spans="1:5" x14ac:dyDescent="0.25">
      <c r="A32" s="4" t="s">
        <v>93</v>
      </c>
      <c r="B32" s="17">
        <v>3416.45</v>
      </c>
      <c r="C32" s="4" t="s">
        <v>94</v>
      </c>
      <c r="D32" s="4" t="s">
        <v>40</v>
      </c>
      <c r="E32" s="4" t="s">
        <v>95</v>
      </c>
    </row>
    <row r="33" spans="1:5" x14ac:dyDescent="0.25">
      <c r="A33" s="4" t="s">
        <v>96</v>
      </c>
      <c r="B33" s="14">
        <v>3.5999999999999997E-2</v>
      </c>
      <c r="C33" s="4" t="s">
        <v>58</v>
      </c>
      <c r="D33" s="4" t="s">
        <v>40</v>
      </c>
      <c r="E33" s="4" t="s">
        <v>97</v>
      </c>
    </row>
    <row r="34" spans="1:5" x14ac:dyDescent="0.25">
      <c r="A34" s="4" t="s">
        <v>98</v>
      </c>
      <c r="B34" s="14">
        <v>0.03</v>
      </c>
      <c r="C34" s="4" t="s">
        <v>58</v>
      </c>
      <c r="D34" s="4" t="s">
        <v>36</v>
      </c>
      <c r="E34" s="4" t="s">
        <v>99</v>
      </c>
    </row>
    <row r="35" spans="1:5" x14ac:dyDescent="0.25">
      <c r="A35" s="4" t="s">
        <v>100</v>
      </c>
      <c r="B35" s="14">
        <v>0.27</v>
      </c>
      <c r="C35" s="4" t="s">
        <v>58</v>
      </c>
      <c r="D35" s="4" t="s">
        <v>40</v>
      </c>
      <c r="E35" s="4" t="s">
        <v>101</v>
      </c>
    </row>
    <row r="36" spans="1:5" x14ac:dyDescent="0.25">
      <c r="A36" s="4" t="s">
        <v>102</v>
      </c>
      <c r="B36" s="13">
        <v>1579315.2</v>
      </c>
      <c r="C36" s="4" t="s">
        <v>46</v>
      </c>
      <c r="D36" s="4" t="s">
        <v>40</v>
      </c>
      <c r="E36" s="4" t="s">
        <v>103</v>
      </c>
    </row>
    <row r="37" spans="1:5" x14ac:dyDescent="0.25">
      <c r="A37" s="4" t="s">
        <v>104</v>
      </c>
      <c r="B37" s="13">
        <v>7905900</v>
      </c>
      <c r="C37" s="4" t="s">
        <v>46</v>
      </c>
      <c r="D37" s="4" t="s">
        <v>40</v>
      </c>
      <c r="E37" s="4" t="s">
        <v>105</v>
      </c>
    </row>
    <row r="39" spans="1:5" x14ac:dyDescent="0.25">
      <c r="A39" s="3" t="s">
        <v>106</v>
      </c>
    </row>
    <row r="40" spans="1:5" x14ac:dyDescent="0.25">
      <c r="A40" s="4" t="s">
        <v>107</v>
      </c>
      <c r="B40" s="15">
        <v>1</v>
      </c>
      <c r="C40" s="4" t="s">
        <v>63</v>
      </c>
      <c r="D40" s="4" t="s">
        <v>36</v>
      </c>
      <c r="E40" s="4" t="s">
        <v>108</v>
      </c>
    </row>
    <row r="41" spans="1:5" x14ac:dyDescent="0.25">
      <c r="A41" s="4" t="s">
        <v>109</v>
      </c>
      <c r="B41" s="19">
        <f>$B$10/$B$13</f>
        <v>2.3594373640892949</v>
      </c>
      <c r="C41" s="4" t="s">
        <v>110</v>
      </c>
      <c r="D41" s="4" t="s">
        <v>111</v>
      </c>
      <c r="E41" s="4" t="s">
        <v>112</v>
      </c>
    </row>
    <row r="42" spans="1:5" x14ac:dyDescent="0.25">
      <c r="A42" s="4" t="s">
        <v>113</v>
      </c>
      <c r="B42" s="20">
        <v>3.5</v>
      </c>
      <c r="C42" s="4" t="s">
        <v>110</v>
      </c>
      <c r="D42" s="4" t="s">
        <v>36</v>
      </c>
      <c r="E42" s="4" t="s">
        <v>114</v>
      </c>
    </row>
    <row r="43" spans="1:5" x14ac:dyDescent="0.25">
      <c r="A43" s="4" t="s">
        <v>115</v>
      </c>
      <c r="B43" s="15">
        <v>2031</v>
      </c>
      <c r="C43" s="4" t="s">
        <v>116</v>
      </c>
      <c r="D43" s="4" t="s">
        <v>36</v>
      </c>
      <c r="E43" s="4" t="s">
        <v>117</v>
      </c>
    </row>
    <row r="44" spans="1:5" x14ac:dyDescent="0.25">
      <c r="A44" s="4" t="s">
        <v>118</v>
      </c>
      <c r="B44" s="21">
        <f>$B$43-2026+0.5</f>
        <v>5.5</v>
      </c>
      <c r="C44" s="4" t="s">
        <v>119</v>
      </c>
      <c r="D44" s="4" t="s">
        <v>111</v>
      </c>
      <c r="E44" s="4" t="s">
        <v>120</v>
      </c>
    </row>
    <row r="45" spans="1:5" x14ac:dyDescent="0.25">
      <c r="A45" s="4" t="s">
        <v>121</v>
      </c>
      <c r="B45" s="22">
        <v>2.5000000000000001E-3</v>
      </c>
      <c r="C45" s="4" t="s">
        <v>58</v>
      </c>
      <c r="D45" s="4" t="s">
        <v>36</v>
      </c>
      <c r="E45" s="4" t="s">
        <v>122</v>
      </c>
    </row>
    <row r="46" spans="1:5" x14ac:dyDescent="0.25">
      <c r="A46" s="4" t="s">
        <v>123</v>
      </c>
      <c r="B46" s="14">
        <v>3.0800000000000001E-2</v>
      </c>
      <c r="C46" s="4" t="s">
        <v>58</v>
      </c>
      <c r="D46" s="4" t="s">
        <v>111</v>
      </c>
      <c r="E46" s="4" t="s">
        <v>124</v>
      </c>
    </row>
    <row r="47" spans="1:5" x14ac:dyDescent="0.25">
      <c r="A47" s="4" t="s">
        <v>125</v>
      </c>
      <c r="B47" s="14">
        <v>0.79</v>
      </c>
      <c r="C47" s="4" t="s">
        <v>58</v>
      </c>
      <c r="D47" s="4" t="s">
        <v>40</v>
      </c>
      <c r="E47" s="4" t="s">
        <v>126</v>
      </c>
    </row>
    <row r="48" spans="1:5" x14ac:dyDescent="0.25">
      <c r="A48" s="4" t="s">
        <v>127</v>
      </c>
      <c r="B48" s="14">
        <v>0.4</v>
      </c>
      <c r="C48" s="4" t="s">
        <v>58</v>
      </c>
      <c r="D48" s="4" t="s">
        <v>40</v>
      </c>
      <c r="E48" s="4" t="s">
        <v>128</v>
      </c>
    </row>
    <row r="49" spans="1:5" x14ac:dyDescent="0.25">
      <c r="A49" s="4" t="s">
        <v>129</v>
      </c>
      <c r="B49" s="13">
        <v>147724.79999999999</v>
      </c>
      <c r="C49" s="4" t="s">
        <v>46</v>
      </c>
      <c r="D49" s="4" t="s">
        <v>130</v>
      </c>
      <c r="E49" s="4" t="s">
        <v>131</v>
      </c>
    </row>
    <row r="50" spans="1:5" x14ac:dyDescent="0.25">
      <c r="A50" s="4" t="s">
        <v>132</v>
      </c>
      <c r="B50" s="13">
        <v>87617</v>
      </c>
      <c r="C50" s="4" t="s">
        <v>46</v>
      </c>
      <c r="D50" s="4" t="s">
        <v>40</v>
      </c>
      <c r="E50" s="4" t="s">
        <v>133</v>
      </c>
    </row>
    <row r="51" spans="1:5" x14ac:dyDescent="0.25">
      <c r="A51" s="4" t="s">
        <v>134</v>
      </c>
      <c r="B51" s="13">
        <v>380038.81638231198</v>
      </c>
      <c r="C51" s="4" t="s">
        <v>46</v>
      </c>
      <c r="D51" s="4" t="s">
        <v>130</v>
      </c>
      <c r="E51" s="4" t="s">
        <v>135</v>
      </c>
    </row>
    <row r="53" spans="1:5" x14ac:dyDescent="0.25">
      <c r="A53" s="3" t="s">
        <v>136</v>
      </c>
    </row>
    <row r="54" spans="1:5" x14ac:dyDescent="0.25">
      <c r="A54" s="4" t="s">
        <v>137</v>
      </c>
      <c r="B54" s="13">
        <v>339530</v>
      </c>
      <c r="C54" s="4" t="s">
        <v>46</v>
      </c>
      <c r="D54" s="4" t="s">
        <v>40</v>
      </c>
      <c r="E54" s="4" t="s">
        <v>138</v>
      </c>
    </row>
    <row r="55" spans="1:5" x14ac:dyDescent="0.25">
      <c r="A55" s="4" t="s">
        <v>139</v>
      </c>
      <c r="B55" s="13">
        <v>270574</v>
      </c>
      <c r="C55" s="4" t="s">
        <v>46</v>
      </c>
      <c r="D55" s="4" t="s">
        <v>40</v>
      </c>
      <c r="E55" s="4" t="s">
        <v>140</v>
      </c>
    </row>
    <row r="56" spans="1:5" x14ac:dyDescent="0.25">
      <c r="A56" s="4" t="s">
        <v>141</v>
      </c>
      <c r="B56" s="13">
        <v>653911</v>
      </c>
      <c r="C56" s="4" t="s">
        <v>46</v>
      </c>
      <c r="D56" s="4" t="s">
        <v>40</v>
      </c>
      <c r="E56" s="4" t="s">
        <v>142</v>
      </c>
    </row>
    <row r="57" spans="1:5" x14ac:dyDescent="0.25">
      <c r="A57" s="4" t="s">
        <v>143</v>
      </c>
      <c r="B57" s="14">
        <v>7.03642078564015E-3</v>
      </c>
      <c r="C57" s="4" t="s">
        <v>58</v>
      </c>
      <c r="D57" s="4" t="s">
        <v>111</v>
      </c>
      <c r="E57" s="4" t="s">
        <v>144</v>
      </c>
    </row>
    <row r="58" spans="1:5" x14ac:dyDescent="0.25">
      <c r="A58" s="4" t="s">
        <v>145</v>
      </c>
      <c r="B58" s="14">
        <v>5.5E-2</v>
      </c>
      <c r="C58" s="4" t="s">
        <v>58</v>
      </c>
      <c r="D58" s="4" t="s">
        <v>36</v>
      </c>
      <c r="E58" s="4" t="s">
        <v>146</v>
      </c>
    </row>
    <row r="59" spans="1:5" x14ac:dyDescent="0.25">
      <c r="A59" s="4" t="s">
        <v>147</v>
      </c>
      <c r="B59" s="14">
        <v>0.27</v>
      </c>
      <c r="C59" s="4" t="s">
        <v>58</v>
      </c>
      <c r="D59" s="4" t="s">
        <v>36</v>
      </c>
      <c r="E59" s="4" t="s">
        <v>148</v>
      </c>
    </row>
    <row r="61" spans="1:5" x14ac:dyDescent="0.25">
      <c r="A61" s="3" t="s">
        <v>149</v>
      </c>
    </row>
    <row r="62" spans="1:5" x14ac:dyDescent="0.25">
      <c r="A62" s="4" t="s">
        <v>150</v>
      </c>
      <c r="B62" s="15">
        <v>1</v>
      </c>
      <c r="C62" s="4" t="s">
        <v>63</v>
      </c>
      <c r="D62" s="4" t="s">
        <v>36</v>
      </c>
      <c r="E62" s="4" t="s">
        <v>151</v>
      </c>
    </row>
    <row r="63" spans="1:5" x14ac:dyDescent="0.25">
      <c r="A63" s="4" t="s">
        <v>152</v>
      </c>
      <c r="B63" s="12">
        <v>30458</v>
      </c>
      <c r="C63" s="4" t="s">
        <v>153</v>
      </c>
      <c r="D63" s="4" t="s">
        <v>40</v>
      </c>
      <c r="E63" s="4" t="s">
        <v>53</v>
      </c>
    </row>
    <row r="64" spans="1:5" x14ac:dyDescent="0.25">
      <c r="A64" s="4" t="s">
        <v>154</v>
      </c>
      <c r="B64" s="12">
        <v>38618</v>
      </c>
      <c r="C64" s="4" t="s">
        <v>153</v>
      </c>
      <c r="D64" s="4" t="s">
        <v>40</v>
      </c>
      <c r="E64" s="4" t="s">
        <v>53</v>
      </c>
    </row>
    <row r="65" spans="1:5" x14ac:dyDescent="0.25">
      <c r="A65" s="4" t="s">
        <v>155</v>
      </c>
      <c r="B65" s="12">
        <v>12150</v>
      </c>
      <c r="C65" s="4" t="s">
        <v>153</v>
      </c>
      <c r="D65" s="4" t="s">
        <v>40</v>
      </c>
      <c r="E65" s="4" t="s">
        <v>156</v>
      </c>
    </row>
    <row r="66" spans="1:5" x14ac:dyDescent="0.25">
      <c r="A66" s="4" t="s">
        <v>157</v>
      </c>
      <c r="B66" s="23">
        <f>AVERAGE($B$63,$B$64,$B$65)</f>
        <v>27075.333333333332</v>
      </c>
      <c r="C66" s="4" t="s">
        <v>153</v>
      </c>
      <c r="D66" s="4" t="s">
        <v>111</v>
      </c>
      <c r="E66" s="4" t="s">
        <v>158</v>
      </c>
    </row>
    <row r="67" spans="1:5" x14ac:dyDescent="0.25">
      <c r="A67" s="4" t="s">
        <v>159</v>
      </c>
      <c r="B67" s="16">
        <v>2029</v>
      </c>
      <c r="C67" s="4" t="s">
        <v>116</v>
      </c>
      <c r="D67" s="4" t="s">
        <v>36</v>
      </c>
      <c r="E67" s="4" t="s">
        <v>160</v>
      </c>
    </row>
    <row r="68" spans="1:5" x14ac:dyDescent="0.25">
      <c r="A68" s="4" t="s">
        <v>161</v>
      </c>
      <c r="B68" s="14">
        <v>0.5</v>
      </c>
      <c r="C68" s="4" t="s">
        <v>58</v>
      </c>
      <c r="D68" s="4" t="s">
        <v>36</v>
      </c>
      <c r="E68" s="4" t="s">
        <v>162</v>
      </c>
    </row>
    <row r="69" spans="1:5" x14ac:dyDescent="0.25">
      <c r="A69" s="4" t="s">
        <v>163</v>
      </c>
      <c r="B69" s="24">
        <v>613.20000000000005</v>
      </c>
      <c r="C69" s="4" t="s">
        <v>164</v>
      </c>
      <c r="D69" s="4" t="s">
        <v>40</v>
      </c>
      <c r="E69" s="4" t="s">
        <v>165</v>
      </c>
    </row>
    <row r="70" spans="1:5" x14ac:dyDescent="0.25">
      <c r="A70" s="4" t="s">
        <v>166</v>
      </c>
      <c r="B70" s="12">
        <v>170200</v>
      </c>
      <c r="C70" s="4" t="s">
        <v>153</v>
      </c>
      <c r="D70" s="4" t="s">
        <v>40</v>
      </c>
      <c r="E70" s="4" t="s">
        <v>165</v>
      </c>
    </row>
    <row r="71" spans="1:5" x14ac:dyDescent="0.25">
      <c r="A71" s="4" t="s">
        <v>167</v>
      </c>
      <c r="B71" s="25">
        <f>$B$69*1000000/$B$70</f>
        <v>3602.8202115158638</v>
      </c>
      <c r="C71" s="4" t="s">
        <v>168</v>
      </c>
      <c r="D71" s="4" t="s">
        <v>111</v>
      </c>
      <c r="E71" s="4" t="s">
        <v>169</v>
      </c>
    </row>
    <row r="72" spans="1:5" x14ac:dyDescent="0.25">
      <c r="A72" s="4" t="s">
        <v>170</v>
      </c>
      <c r="B72" s="17">
        <v>921</v>
      </c>
      <c r="C72" s="4" t="s">
        <v>88</v>
      </c>
      <c r="D72" s="4" t="s">
        <v>130</v>
      </c>
      <c r="E72" s="4" t="s">
        <v>171</v>
      </c>
    </row>
    <row r="73" spans="1:5" x14ac:dyDescent="0.25">
      <c r="A73" s="4" t="s">
        <v>172</v>
      </c>
      <c r="B73" s="12">
        <v>67900</v>
      </c>
      <c r="C73" s="4" t="s">
        <v>153</v>
      </c>
      <c r="D73" s="4" t="s">
        <v>40</v>
      </c>
      <c r="E73" s="4" t="s">
        <v>173</v>
      </c>
    </row>
    <row r="74" spans="1:5" x14ac:dyDescent="0.25">
      <c r="A74" s="4" t="s">
        <v>174</v>
      </c>
      <c r="B74" s="12">
        <v>55800</v>
      </c>
      <c r="C74" s="4" t="s">
        <v>153</v>
      </c>
      <c r="D74" s="4" t="s">
        <v>40</v>
      </c>
      <c r="E74" s="4" t="s">
        <v>175</v>
      </c>
    </row>
    <row r="75" spans="1:5" x14ac:dyDescent="0.25">
      <c r="A75" s="4" t="s">
        <v>176</v>
      </c>
      <c r="B75" s="26">
        <f>$B$73/($B$73+$B$74)</f>
        <v>0.54890864995957966</v>
      </c>
      <c r="C75" s="4" t="s">
        <v>58</v>
      </c>
      <c r="D75" s="4" t="s">
        <v>111</v>
      </c>
      <c r="E75" s="4" t="s">
        <v>177</v>
      </c>
    </row>
    <row r="76" spans="1:5" x14ac:dyDescent="0.25">
      <c r="A76" s="4" t="s">
        <v>178</v>
      </c>
      <c r="B76" s="14">
        <v>0.8</v>
      </c>
      <c r="C76" s="4" t="s">
        <v>58</v>
      </c>
      <c r="D76" s="4" t="s">
        <v>36</v>
      </c>
      <c r="E76" s="4" t="s">
        <v>179</v>
      </c>
    </row>
    <row r="77" spans="1:5" x14ac:dyDescent="0.25">
      <c r="A77" s="4" t="s">
        <v>180</v>
      </c>
      <c r="B77" s="14">
        <v>0.82</v>
      </c>
      <c r="C77" s="4" t="s">
        <v>58</v>
      </c>
      <c r="D77" s="4" t="s">
        <v>36</v>
      </c>
      <c r="E77" s="4" t="s">
        <v>179</v>
      </c>
    </row>
    <row r="78" spans="1:5" x14ac:dyDescent="0.25">
      <c r="A78" s="4" t="s">
        <v>181</v>
      </c>
      <c r="B78" s="14">
        <v>0.35</v>
      </c>
      <c r="C78" s="4" t="s">
        <v>58</v>
      </c>
      <c r="D78" s="4" t="s">
        <v>36</v>
      </c>
      <c r="E78" s="4" t="s">
        <v>182</v>
      </c>
    </row>
    <row r="79" spans="1:5" x14ac:dyDescent="0.25">
      <c r="A79" s="4" t="s">
        <v>183</v>
      </c>
      <c r="B79" s="14">
        <v>0.9</v>
      </c>
      <c r="C79" s="4" t="s">
        <v>58</v>
      </c>
      <c r="D79" s="4" t="s">
        <v>36</v>
      </c>
      <c r="E79" s="4" t="s">
        <v>179</v>
      </c>
    </row>
    <row r="80" spans="1:5" x14ac:dyDescent="0.25">
      <c r="A80" s="4" t="s">
        <v>184</v>
      </c>
      <c r="B80" s="14">
        <v>1</v>
      </c>
      <c r="C80" s="4" t="s">
        <v>58</v>
      </c>
      <c r="D80" s="4" t="s">
        <v>36</v>
      </c>
      <c r="E80" s="4" t="s">
        <v>179</v>
      </c>
    </row>
    <row r="81" spans="1:5" x14ac:dyDescent="0.25">
      <c r="A81" s="4" t="s">
        <v>185</v>
      </c>
      <c r="B81" s="14"/>
      <c r="C81" s="4" t="s">
        <v>58</v>
      </c>
      <c r="D81" s="4" t="s">
        <v>36</v>
      </c>
      <c r="E81" s="4" t="s">
        <v>186</v>
      </c>
    </row>
    <row r="83" spans="1:5" x14ac:dyDescent="0.25">
      <c r="A83" s="3" t="s">
        <v>187</v>
      </c>
    </row>
    <row r="84" spans="1:5" x14ac:dyDescent="0.25">
      <c r="A84" s="4" t="s">
        <v>188</v>
      </c>
      <c r="B84" s="16">
        <v>1</v>
      </c>
      <c r="C84" s="4" t="s">
        <v>63</v>
      </c>
      <c r="D84" s="4" t="s">
        <v>36</v>
      </c>
      <c r="E84" s="4" t="s">
        <v>189</v>
      </c>
    </row>
    <row r="85" spans="1:5" x14ac:dyDescent="0.25">
      <c r="A85" s="4" t="s">
        <v>190</v>
      </c>
      <c r="B85" s="7">
        <f>Capital_Trabajo!F20</f>
        <v>0.15604340804788416</v>
      </c>
      <c r="C85" s="4" t="s">
        <v>58</v>
      </c>
      <c r="D85" s="4" t="s">
        <v>111</v>
      </c>
      <c r="E85" s="4" t="s">
        <v>191</v>
      </c>
    </row>
    <row r="87" spans="1:5" x14ac:dyDescent="0.25">
      <c r="A87" s="3" t="s">
        <v>192</v>
      </c>
    </row>
    <row r="88" spans="1:5" x14ac:dyDescent="0.25">
      <c r="A88" s="4" t="s">
        <v>193</v>
      </c>
      <c r="B88" s="22">
        <v>0.03</v>
      </c>
      <c r="C88" s="4" t="s">
        <v>58</v>
      </c>
      <c r="D88" s="4" t="s">
        <v>36</v>
      </c>
      <c r="E88" s="4" t="s">
        <v>194</v>
      </c>
    </row>
    <row r="89" spans="1:5" x14ac:dyDescent="0.25">
      <c r="A89" s="4" t="s">
        <v>195</v>
      </c>
      <c r="B89" s="26">
        <f>(1+$B$88)/(1+$B$34)-1</f>
        <v>0</v>
      </c>
      <c r="C89" s="4" t="s">
        <v>58</v>
      </c>
      <c r="D89" s="4" t="s">
        <v>111</v>
      </c>
      <c r="E89" s="4" t="s">
        <v>196</v>
      </c>
    </row>
    <row r="91" spans="1:5" x14ac:dyDescent="0.25">
      <c r="A91" s="3" t="s">
        <v>197</v>
      </c>
    </row>
    <row r="92" spans="1:5" x14ac:dyDescent="0.25">
      <c r="A92" s="4" t="s">
        <v>198</v>
      </c>
      <c r="B92" s="22">
        <v>0.8</v>
      </c>
      <c r="C92" s="4" t="s">
        <v>58</v>
      </c>
      <c r="D92" s="4" t="s">
        <v>36</v>
      </c>
      <c r="E92" s="4" t="s">
        <v>199</v>
      </c>
    </row>
    <row r="93" spans="1:5" x14ac:dyDescent="0.25">
      <c r="A93" s="4" t="s">
        <v>200</v>
      </c>
      <c r="B93" s="14">
        <v>0.7</v>
      </c>
      <c r="C93" s="4" t="s">
        <v>58</v>
      </c>
      <c r="D93" s="4" t="s">
        <v>36</v>
      </c>
      <c r="E93" s="4" t="s">
        <v>201</v>
      </c>
    </row>
    <row r="94" spans="1:5" x14ac:dyDescent="0.25">
      <c r="A94" s="4" t="s">
        <v>202</v>
      </c>
      <c r="B94" s="16">
        <v>100</v>
      </c>
      <c r="C94" s="4" t="s">
        <v>110</v>
      </c>
      <c r="D94" s="4" t="s">
        <v>36</v>
      </c>
      <c r="E94" s="4" t="s">
        <v>203</v>
      </c>
    </row>
    <row r="96" spans="1:5" x14ac:dyDescent="0.25">
      <c r="A96" s="3" t="s">
        <v>204</v>
      </c>
    </row>
    <row r="97" spans="1:5" x14ac:dyDescent="0.25">
      <c r="A97" s="4" t="s">
        <v>205</v>
      </c>
      <c r="B97" s="16">
        <v>1</v>
      </c>
      <c r="C97" s="4"/>
      <c r="D97" s="4" t="s">
        <v>40</v>
      </c>
      <c r="E97" s="4" t="s">
        <v>206</v>
      </c>
    </row>
    <row r="98" spans="1:5" x14ac:dyDescent="0.25">
      <c r="A98" s="4" t="s">
        <v>207</v>
      </c>
      <c r="B98" s="27">
        <v>5.1630000000000003</v>
      </c>
      <c r="C98" s="4" t="s">
        <v>208</v>
      </c>
      <c r="D98" s="4" t="s">
        <v>40</v>
      </c>
      <c r="E98" s="4" t="s">
        <v>209</v>
      </c>
    </row>
    <row r="99" spans="1:5" x14ac:dyDescent="0.25">
      <c r="A99" s="4" t="s">
        <v>210</v>
      </c>
      <c r="B99" s="28">
        <v>17.4986</v>
      </c>
      <c r="C99" s="4" t="s">
        <v>211</v>
      </c>
      <c r="D99" s="4" t="s">
        <v>40</v>
      </c>
      <c r="E99" s="4" t="s">
        <v>212</v>
      </c>
    </row>
    <row r="100" spans="1:5" x14ac:dyDescent="0.25">
      <c r="A100" s="4" t="s">
        <v>213</v>
      </c>
      <c r="B100" s="12">
        <v>1482</v>
      </c>
      <c r="C100" s="4" t="s">
        <v>214</v>
      </c>
      <c r="D100" s="4" t="s">
        <v>40</v>
      </c>
      <c r="E100" s="4" t="s">
        <v>215</v>
      </c>
    </row>
    <row r="101" spans="1:5" x14ac:dyDescent="0.25">
      <c r="A101" s="4" t="s">
        <v>216</v>
      </c>
      <c r="B101" s="16">
        <v>1</v>
      </c>
      <c r="C101" s="4" t="s">
        <v>39</v>
      </c>
      <c r="D101" s="4" t="s">
        <v>40</v>
      </c>
      <c r="E101" s="4" t="s">
        <v>206</v>
      </c>
    </row>
    <row r="102" spans="1:5" x14ac:dyDescent="0.25">
      <c r="A102" s="4" t="s">
        <v>217</v>
      </c>
      <c r="B102" s="17">
        <v>922.34</v>
      </c>
      <c r="C102" s="4" t="s">
        <v>39</v>
      </c>
      <c r="D102" s="4" t="s">
        <v>40</v>
      </c>
      <c r="E102" s="4" t="s">
        <v>218</v>
      </c>
    </row>
    <row r="103" spans="1:5" x14ac:dyDescent="0.25">
      <c r="A103" s="4" t="s">
        <v>219</v>
      </c>
      <c r="B103" s="29">
        <f>$B$102/$B$98</f>
        <v>178.64419910904513</v>
      </c>
      <c r="C103" s="4" t="s">
        <v>39</v>
      </c>
      <c r="D103" s="4" t="s">
        <v>111</v>
      </c>
      <c r="E103" s="4"/>
    </row>
    <row r="104" spans="1:5" x14ac:dyDescent="0.25">
      <c r="A104" s="4" t="s">
        <v>220</v>
      </c>
      <c r="B104" s="29">
        <f>$B$102/$B$99</f>
        <v>52.709359605911331</v>
      </c>
      <c r="C104" s="4" t="s">
        <v>39</v>
      </c>
      <c r="D104" s="4" t="s">
        <v>111</v>
      </c>
      <c r="E104" s="4"/>
    </row>
    <row r="105" spans="1:5" x14ac:dyDescent="0.25">
      <c r="A105" s="4" t="s">
        <v>221</v>
      </c>
      <c r="B105" s="30">
        <f>$B$102/$B$100</f>
        <v>0.62236167341430504</v>
      </c>
      <c r="C105" s="4" t="s">
        <v>39</v>
      </c>
      <c r="D105" s="4" t="s">
        <v>111</v>
      </c>
      <c r="E105" s="4"/>
    </row>
    <row r="107" spans="1:5" x14ac:dyDescent="0.25">
      <c r="A107" s="3" t="s">
        <v>222</v>
      </c>
    </row>
    <row r="108" spans="1:5" x14ac:dyDescent="0.25">
      <c r="A108" s="4" t="s">
        <v>223</v>
      </c>
      <c r="B108" s="12">
        <v>1880.3683582112201</v>
      </c>
      <c r="C108" s="4" t="s">
        <v>39</v>
      </c>
      <c r="D108" s="4" t="s">
        <v>111</v>
      </c>
      <c r="E108" s="4" t="s">
        <v>224</v>
      </c>
    </row>
    <row r="109" spans="1:5" x14ac:dyDescent="0.25">
      <c r="A109" s="4" t="s">
        <v>225</v>
      </c>
      <c r="B109" s="14">
        <v>0.103663074859808</v>
      </c>
      <c r="C109" s="4" t="s">
        <v>58</v>
      </c>
      <c r="D109" s="4" t="s">
        <v>111</v>
      </c>
      <c r="E109" s="4" t="s">
        <v>226</v>
      </c>
    </row>
    <row r="110" spans="1:5" x14ac:dyDescent="0.25">
      <c r="A110" s="4" t="s">
        <v>227</v>
      </c>
      <c r="B110" s="12">
        <v>2094.5718198219402</v>
      </c>
      <c r="C110" s="4" t="s">
        <v>39</v>
      </c>
      <c r="D110" s="4" t="s">
        <v>111</v>
      </c>
      <c r="E110" s="4" t="s">
        <v>228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showGridLines="0" zoomScaleNormal="100" workbookViewId="0"/>
  </sheetViews>
  <sheetFormatPr baseColWidth="10" defaultColWidth="8.7109375" defaultRowHeight="15" x14ac:dyDescent="0.25"/>
  <cols>
    <col min="1" max="1" width="52" customWidth="1"/>
    <col min="2" max="2" width="24" customWidth="1"/>
    <col min="3" max="9" width="13" customWidth="1"/>
    <col min="10" max="10" width="80" customWidth="1"/>
  </cols>
  <sheetData>
    <row r="1" spans="1:10" ht="15.75" x14ac:dyDescent="0.25">
      <c r="A1" s="1" t="s">
        <v>229</v>
      </c>
    </row>
    <row r="2" spans="1:10" x14ac:dyDescent="0.25">
      <c r="A2" s="2" t="s">
        <v>230</v>
      </c>
    </row>
    <row r="4" spans="1:10" x14ac:dyDescent="0.25">
      <c r="A4" s="3" t="s">
        <v>231</v>
      </c>
    </row>
    <row r="5" spans="1:10" x14ac:dyDescent="0.25">
      <c r="A5" s="10" t="s">
        <v>232</v>
      </c>
      <c r="B5" s="10" t="s">
        <v>233</v>
      </c>
      <c r="C5" s="10" t="s">
        <v>234</v>
      </c>
      <c r="D5" s="10" t="s">
        <v>235</v>
      </c>
      <c r="E5" s="10" t="s">
        <v>236</v>
      </c>
      <c r="F5" s="10" t="s">
        <v>237</v>
      </c>
      <c r="G5" s="10" t="s">
        <v>238</v>
      </c>
      <c r="H5" s="10" t="s">
        <v>239</v>
      </c>
      <c r="I5" s="10" t="s">
        <v>240</v>
      </c>
      <c r="J5" s="10" t="s">
        <v>241</v>
      </c>
    </row>
    <row r="6" spans="1:10" x14ac:dyDescent="0.25">
      <c r="A6" s="4" t="s">
        <v>242</v>
      </c>
      <c r="B6" s="4" t="s">
        <v>243</v>
      </c>
      <c r="C6" s="4" t="s">
        <v>244</v>
      </c>
      <c r="D6" s="27">
        <v>1.25</v>
      </c>
      <c r="E6" s="13">
        <v>1700506.9</v>
      </c>
      <c r="F6" s="13">
        <v>3828031</v>
      </c>
      <c r="G6" s="14">
        <v>0.27</v>
      </c>
      <c r="H6" s="31">
        <f t="shared" ref="H6:H12" si="0">D6/(1+(1-G6)*E6/F6)</f>
        <v>0.94390613705159099</v>
      </c>
      <c r="I6" s="32">
        <f>IF(COUNTIFS(Comparables!$B$5:$B$12,B6,Comparables!$D$5:$D$12,1)&gt;0,1,0)</f>
        <v>1</v>
      </c>
      <c r="J6" s="31">
        <f t="shared" ref="J6:J12" si="1">IF(I6=1,H6,"")</f>
        <v>0.94390613705159099</v>
      </c>
    </row>
    <row r="7" spans="1:10" x14ac:dyDescent="0.25">
      <c r="A7" s="4" t="s">
        <v>245</v>
      </c>
      <c r="B7" s="4" t="s">
        <v>246</v>
      </c>
      <c r="C7" s="4" t="s">
        <v>244</v>
      </c>
      <c r="D7" s="27">
        <v>1.075</v>
      </c>
      <c r="E7" s="13">
        <v>762153.7</v>
      </c>
      <c r="F7" s="13">
        <v>3942858</v>
      </c>
      <c r="G7" s="14">
        <v>0.27</v>
      </c>
      <c r="H7" s="31">
        <f t="shared" si="0"/>
        <v>0.94206612256868594</v>
      </c>
      <c r="I7" s="32">
        <f>IF(COUNTIFS(Comparables!$B$5:$B$12,B7,Comparables!$D$5:$D$12,1)&gt;0,1,0)</f>
        <v>1</v>
      </c>
      <c r="J7" s="31">
        <f t="shared" si="1"/>
        <v>0.94206612256868594</v>
      </c>
    </row>
    <row r="8" spans="1:10" x14ac:dyDescent="0.25">
      <c r="A8" s="4" t="s">
        <v>247</v>
      </c>
      <c r="B8" s="4" t="s">
        <v>248</v>
      </c>
      <c r="C8" s="4" t="s">
        <v>249</v>
      </c>
      <c r="D8" s="27">
        <v>1.1639999999999999</v>
      </c>
      <c r="E8" s="13">
        <v>960191</v>
      </c>
      <c r="F8" s="13">
        <v>2712166.2</v>
      </c>
      <c r="G8" s="14">
        <v>0.34</v>
      </c>
      <c r="H8" s="31">
        <f t="shared" si="0"/>
        <v>0.94353350660490187</v>
      </c>
      <c r="I8" s="32">
        <f>IF(COUNTIFS(Comparables!$B$5:$B$12,B8,Comparables!$D$5:$D$12,1)&gt;0,1,0)</f>
        <v>1</v>
      </c>
      <c r="J8" s="31">
        <f t="shared" si="1"/>
        <v>0.94353350660490187</v>
      </c>
    </row>
    <row r="9" spans="1:10" x14ac:dyDescent="0.25">
      <c r="A9" s="4" t="s">
        <v>250</v>
      </c>
      <c r="B9" s="4" t="s">
        <v>251</v>
      </c>
      <c r="C9" s="4" t="s">
        <v>249</v>
      </c>
      <c r="D9" s="27">
        <v>0.90800000000000003</v>
      </c>
      <c r="E9" s="13">
        <v>647396.6</v>
      </c>
      <c r="F9" s="13">
        <v>1421560.1</v>
      </c>
      <c r="G9" s="14">
        <v>0.34</v>
      </c>
      <c r="H9" s="31">
        <f t="shared" si="0"/>
        <v>0.69815412638516128</v>
      </c>
      <c r="I9" s="32">
        <f>IF(COUNTIFS(Comparables!$B$5:$B$12,B9,Comparables!$D$5:$D$12,1)&gt;0,1,0)</f>
        <v>1</v>
      </c>
      <c r="J9" s="31">
        <f t="shared" si="1"/>
        <v>0.69815412638516128</v>
      </c>
    </row>
    <row r="10" spans="1:10" x14ac:dyDescent="0.25">
      <c r="A10" s="4" t="s">
        <v>252</v>
      </c>
      <c r="B10" s="4" t="s">
        <v>253</v>
      </c>
      <c r="C10" s="4" t="s">
        <v>254</v>
      </c>
      <c r="D10" s="27">
        <v>2.5000000000000001E-2</v>
      </c>
      <c r="E10" s="13">
        <v>203967.5</v>
      </c>
      <c r="F10" s="13">
        <v>489349.7</v>
      </c>
      <c r="G10" s="14">
        <v>0.3</v>
      </c>
      <c r="H10" s="31">
        <f t="shared" si="0"/>
        <v>1.9353299997729886E-2</v>
      </c>
      <c r="I10" s="32">
        <f>IF(COUNTIFS(Comparables!$B$5:$B$12,B10,Comparables!$D$5:$D$12,1)&gt;0,1,0)</f>
        <v>0</v>
      </c>
      <c r="J10" s="31" t="str">
        <f t="shared" si="1"/>
        <v/>
      </c>
    </row>
    <row r="11" spans="1:10" x14ac:dyDescent="0.25">
      <c r="A11" s="4" t="s">
        <v>255</v>
      </c>
      <c r="B11" s="4" t="s">
        <v>256</v>
      </c>
      <c r="C11" s="4" t="s">
        <v>257</v>
      </c>
      <c r="D11" s="27">
        <v>0.42699999999999999</v>
      </c>
      <c r="E11" s="13">
        <v>625046.5</v>
      </c>
      <c r="F11" s="13">
        <v>1218777.1000000001</v>
      </c>
      <c r="G11" s="14">
        <v>0.35</v>
      </c>
      <c r="H11" s="31">
        <f t="shared" si="0"/>
        <v>0.3202458237588634</v>
      </c>
      <c r="I11" s="32">
        <f>IF(COUNTIFS(Comparables!$B$5:$B$12,B11,Comparables!$D$5:$D$12,1)&gt;0,1,0)</f>
        <v>1</v>
      </c>
      <c r="J11" s="31">
        <f t="shared" si="1"/>
        <v>0.3202458237588634</v>
      </c>
    </row>
    <row r="12" spans="1:10" x14ac:dyDescent="0.25">
      <c r="A12" s="4" t="s">
        <v>258</v>
      </c>
      <c r="B12" s="4" t="s">
        <v>259</v>
      </c>
      <c r="C12" s="4" t="s">
        <v>249</v>
      </c>
      <c r="D12" s="27">
        <v>1.2190000000000001</v>
      </c>
      <c r="E12" s="13">
        <v>191478.3</v>
      </c>
      <c r="F12" s="13">
        <v>2959844.9</v>
      </c>
      <c r="G12" s="14">
        <v>0.34</v>
      </c>
      <c r="H12" s="31">
        <f t="shared" si="0"/>
        <v>1.1690839465007288</v>
      </c>
      <c r="I12" s="32">
        <f>IF(COUNTIFS(Comparables!$B$5:$B$12,B12,Comparables!$D$5:$D$12,1)&gt;0,1,0)</f>
        <v>1</v>
      </c>
      <c r="J12" s="31">
        <f t="shared" si="1"/>
        <v>1.1690839465007288</v>
      </c>
    </row>
    <row r="13" spans="1:10" x14ac:dyDescent="0.25">
      <c r="A13" s="3" t="s">
        <v>260</v>
      </c>
      <c r="H13" s="33">
        <f>MEDIAN(J6:J12)</f>
        <v>0.94279981458679396</v>
      </c>
      <c r="I13" s="4">
        <f>COUNT(J6:J12)</f>
        <v>6</v>
      </c>
    </row>
    <row r="15" spans="1:10" x14ac:dyDescent="0.25">
      <c r="A15" s="3" t="s">
        <v>261</v>
      </c>
    </row>
    <row r="16" spans="1:10" x14ac:dyDescent="0.25">
      <c r="A16" s="4" t="s">
        <v>262</v>
      </c>
      <c r="C16" s="26">
        <f>Supuestos!$B$27/Supuestos!$B$26</f>
        <v>0.71764405395868802</v>
      </c>
    </row>
    <row r="17" spans="1:9" x14ac:dyDescent="0.25">
      <c r="A17" s="4" t="s">
        <v>263</v>
      </c>
      <c r="C17" s="34">
        <f>Supuestos!$B$28/Supuestos!$B$31*Supuestos!$B$30/1000</f>
        <v>125262.08051026393</v>
      </c>
    </row>
    <row r="18" spans="1:9" x14ac:dyDescent="0.25">
      <c r="A18" s="4" t="s">
        <v>264</v>
      </c>
      <c r="C18" s="34">
        <f>Supuestos!$B$29/Supuestos!$B$32*Supuestos!$B$30</f>
        <v>74355.804653953674</v>
      </c>
    </row>
    <row r="19" spans="1:9" x14ac:dyDescent="0.25">
      <c r="A19" s="4" t="s">
        <v>265</v>
      </c>
      <c r="C19" s="26">
        <f>(1-$C$16)*$C$17/($C$17+$C$18)</f>
        <v>0.17718098364023005</v>
      </c>
    </row>
    <row r="20" spans="1:9" x14ac:dyDescent="0.25">
      <c r="A20" s="4" t="s">
        <v>266</v>
      </c>
      <c r="C20" s="26">
        <f>(1-$C$16)*$C$18/($C$17+$C$18)</f>
        <v>0.10517496240108193</v>
      </c>
    </row>
    <row r="21" spans="1:9" x14ac:dyDescent="0.25">
      <c r="A21" s="3" t="s">
        <v>267</v>
      </c>
      <c r="C21" s="35">
        <f>$C$16*Supuestos!$B$23+$C$19*Supuestos!$B$24+$C$20*Supuestos!$B$25</f>
        <v>1.4101277016433952E-2</v>
      </c>
    </row>
    <row r="22" spans="1:9" x14ac:dyDescent="0.25">
      <c r="A22" s="4" t="s">
        <v>268</v>
      </c>
      <c r="C22" s="26">
        <f>IF(Supuestos!$B$19=1,Supuestos!$B$18,Supuestos!$B$17)</f>
        <v>4.9778000000000003E-2</v>
      </c>
    </row>
    <row r="24" spans="1:9" x14ac:dyDescent="0.25">
      <c r="A24" s="3" t="s">
        <v>269</v>
      </c>
    </row>
    <row r="25" spans="1:9" x14ac:dyDescent="0.25">
      <c r="A25" s="4" t="s">
        <v>270</v>
      </c>
      <c r="C25" s="35">
        <f>Supuestos!$B$36/Supuestos!$B$37</f>
        <v>0.19976412552650552</v>
      </c>
      <c r="D25" s="2" t="s">
        <v>271</v>
      </c>
    </row>
    <row r="26" spans="1:9" x14ac:dyDescent="0.25">
      <c r="A26" s="4" t="s">
        <v>272</v>
      </c>
      <c r="C26" s="34">
        <f>Supuestos!$B$42*Supuestos!$B$13+Supuestos!$B$12</f>
        <v>2254893.5</v>
      </c>
    </row>
    <row r="27" spans="1:9" x14ac:dyDescent="0.25">
      <c r="A27" s="4" t="s">
        <v>273</v>
      </c>
      <c r="C27" s="35">
        <f>C26/Supuestos!$B$37</f>
        <v>0.28521654713568345</v>
      </c>
      <c r="D27" s="2" t="s">
        <v>274</v>
      </c>
    </row>
    <row r="28" spans="1:9" x14ac:dyDescent="0.25">
      <c r="A28" s="4" t="s">
        <v>275</v>
      </c>
      <c r="C28" s="26">
        <f>Supuestos!$B$18+$H$13*(1+(1-Supuestos!$B$35)*Supuestos!$B$36/Supuestos!$B$37)*Supuestos!$B$22+$C$21</f>
        <v>0.11312512769842435</v>
      </c>
      <c r="D28" s="2" t="s">
        <v>276</v>
      </c>
    </row>
    <row r="30" spans="1:9" x14ac:dyDescent="0.25">
      <c r="A30" s="3" t="s">
        <v>277</v>
      </c>
    </row>
    <row r="31" spans="1:9" x14ac:dyDescent="0.25">
      <c r="A31" s="10" t="s">
        <v>27</v>
      </c>
      <c r="B31" s="36"/>
      <c r="C31" s="37" t="s">
        <v>278</v>
      </c>
      <c r="D31" s="37" t="s">
        <v>279</v>
      </c>
      <c r="E31" s="37" t="s">
        <v>280</v>
      </c>
      <c r="F31" s="37" t="s">
        <v>281</v>
      </c>
      <c r="G31" s="37" t="s">
        <v>282</v>
      </c>
      <c r="H31" s="37" t="s">
        <v>283</v>
      </c>
      <c r="I31" s="37" t="s">
        <v>284</v>
      </c>
    </row>
    <row r="32" spans="1:9" x14ac:dyDescent="0.25">
      <c r="A32" s="4" t="s">
        <v>285</v>
      </c>
      <c r="C32" s="8">
        <f>Deuda!C22</f>
        <v>2.4631248764448137</v>
      </c>
      <c r="D32" s="8">
        <f>Deuda!D22</f>
        <v>2.6704999011558508</v>
      </c>
      <c r="E32" s="8">
        <f>Deuda!E22</f>
        <v>2.8778749258668883</v>
      </c>
      <c r="F32" s="8">
        <f>Deuda!F22</f>
        <v>3.0852499505779254</v>
      </c>
      <c r="G32" s="8">
        <f>Deuda!G22</f>
        <v>3.2926249752889629</v>
      </c>
      <c r="H32" s="8">
        <f>Deuda!H22</f>
        <v>3.5</v>
      </c>
      <c r="I32" s="19">
        <f>IF(Supuestos!$B$40=1,Supuestos!$B$42,Deuda!H22)</f>
        <v>3.5</v>
      </c>
    </row>
    <row r="33" spans="1:10" x14ac:dyDescent="0.25">
      <c r="A33" s="4" t="s">
        <v>286</v>
      </c>
      <c r="C33" s="38">
        <f>Deuda!C5</f>
        <v>0.5</v>
      </c>
      <c r="D33" s="38">
        <f>Deuda!D5</f>
        <v>1.5</v>
      </c>
      <c r="E33" s="38">
        <f>Deuda!E5</f>
        <v>2.5</v>
      </c>
      <c r="F33" s="38">
        <f>Deuda!F5</f>
        <v>3.5</v>
      </c>
      <c r="G33" s="38">
        <f>Deuda!G5</f>
        <v>4.5</v>
      </c>
      <c r="H33" s="38">
        <f>Deuda!H5</f>
        <v>5.5</v>
      </c>
    </row>
    <row r="34" spans="1:10" x14ac:dyDescent="0.25">
      <c r="A34" s="3" t="s">
        <v>287</v>
      </c>
      <c r="C34" s="39">
        <f>IF(Supuestos!$B$40=1,WACC!$C$25+(WACC!$C$27-WACC!$C$25)*MIN(1,C33/Supuestos!$B$44),WACC!$C$27)</f>
        <v>0.20753252749097625</v>
      </c>
      <c r="D34" s="39">
        <f>IF(Supuestos!$B$40=1,WACC!$C$25+(WACC!$C$27-WACC!$C$25)*MIN(1,D33/Supuestos!$B$44),WACC!$C$27)</f>
        <v>0.22306933141991769</v>
      </c>
      <c r="E34" s="39">
        <f>IF(Supuestos!$B$40=1,WACC!$C$25+(WACC!$C$27-WACC!$C$25)*MIN(1,E33/Supuestos!$B$44),WACC!$C$27)</f>
        <v>0.23860613534885913</v>
      </c>
      <c r="F34" s="39">
        <f>IF(Supuestos!$B$40=1,WACC!$C$25+(WACC!$C$27-WACC!$C$25)*MIN(1,F33/Supuestos!$B$44),WACC!$C$27)</f>
        <v>0.25414293927780057</v>
      </c>
      <c r="G34" s="39">
        <f>IF(Supuestos!$B$40=1,WACC!$C$25+(WACC!$C$27-WACC!$C$25)*MIN(1,G33/Supuestos!$B$44),WACC!$C$27)</f>
        <v>0.26967974320674204</v>
      </c>
      <c r="H34" s="39">
        <f>IF(Supuestos!$B$40=1,WACC!$C$25+(WACC!$C$27-WACC!$C$25)*MIN(1,H33/Supuestos!$B$44),WACC!$C$27)</f>
        <v>0.28521654713568345</v>
      </c>
      <c r="I34" s="40">
        <f>WACC!$C$27</f>
        <v>0.28521654713568345</v>
      </c>
      <c r="J34" s="2" t="s">
        <v>288</v>
      </c>
    </row>
    <row r="35" spans="1:10" x14ac:dyDescent="0.25">
      <c r="A35" s="4" t="s">
        <v>289</v>
      </c>
      <c r="C35" s="26">
        <f t="shared" ref="C35:I35" si="2">C34/(1+C34)</f>
        <v>0.17186495830649756</v>
      </c>
      <c r="D35" s="26">
        <f t="shared" si="2"/>
        <v>0.18238486215736127</v>
      </c>
      <c r="E35" s="26">
        <f t="shared" si="2"/>
        <v>0.19264084727115824</v>
      </c>
      <c r="F35" s="26">
        <f t="shared" si="2"/>
        <v>0.20264272222761867</v>
      </c>
      <c r="G35" s="26">
        <f t="shared" si="2"/>
        <v>0.2123998155043654</v>
      </c>
      <c r="H35" s="26">
        <f t="shared" si="2"/>
        <v>0.22192100449635155</v>
      </c>
      <c r="I35" s="26">
        <f t="shared" si="2"/>
        <v>0.22192100449635155</v>
      </c>
    </row>
    <row r="36" spans="1:10" x14ac:dyDescent="0.25">
      <c r="A36" s="4" t="s">
        <v>290</v>
      </c>
      <c r="C36" s="26">
        <f t="shared" ref="C36:I36" si="3">1-C35</f>
        <v>0.82813504169350249</v>
      </c>
      <c r="D36" s="26">
        <f t="shared" si="3"/>
        <v>0.81761513784263873</v>
      </c>
      <c r="E36" s="26">
        <f t="shared" si="3"/>
        <v>0.80735915272884173</v>
      </c>
      <c r="F36" s="26">
        <f t="shared" si="3"/>
        <v>0.7973572777723813</v>
      </c>
      <c r="G36" s="26">
        <f t="shared" si="3"/>
        <v>0.78760018449563463</v>
      </c>
      <c r="H36" s="26">
        <f t="shared" si="3"/>
        <v>0.77807899550364845</v>
      </c>
      <c r="I36" s="26">
        <f t="shared" si="3"/>
        <v>0.77807899550364845</v>
      </c>
    </row>
    <row r="37" spans="1:10" x14ac:dyDescent="0.25">
      <c r="A37" s="4" t="s">
        <v>291</v>
      </c>
      <c r="C37" s="31">
        <f>WACC!$H$13*(1+(1-Supuestos!$B$35)*C34)</f>
        <v>1.0856328033474254</v>
      </c>
      <c r="D37" s="31">
        <f>WACC!$H$13*(1+(1-Supuestos!$B$35)*D34)</f>
        <v>1.0963259133277639</v>
      </c>
      <c r="E37" s="31">
        <f>WACC!$H$13*(1+(1-Supuestos!$B$35)*E34)</f>
        <v>1.1070190233081023</v>
      </c>
      <c r="F37" s="31">
        <f>WACC!$H$13*(1+(1-Supuestos!$B$35)*F34)</f>
        <v>1.1177121332884408</v>
      </c>
      <c r="G37" s="31">
        <f>WACC!$H$13*(1+(1-Supuestos!$B$35)*G34)</f>
        <v>1.1284052432687794</v>
      </c>
      <c r="H37" s="31">
        <f>WACC!$H$13*(1+(1-Supuestos!$B$35)*H34)</f>
        <v>1.1390983532491177</v>
      </c>
      <c r="I37" s="31">
        <f>WACC!$H$13*(1+(1-Supuestos!$B$35)*I34)</f>
        <v>1.1390983532491177</v>
      </c>
    </row>
    <row r="38" spans="1:10" x14ac:dyDescent="0.25">
      <c r="A38" s="4" t="s">
        <v>292</v>
      </c>
      <c r="C38" s="26">
        <f>WACC!$C$22+C37*Supuestos!$B$22+WACC!$C$21</f>
        <v>0.10882447507501736</v>
      </c>
      <c r="D38" s="26">
        <f>WACC!$C$22+D37*Supuestos!$B$22+WACC!$C$21</f>
        <v>0.10926716982820338</v>
      </c>
      <c r="E38" s="26">
        <f>WACC!$C$22+E37*Supuestos!$B$22+WACC!$C$21</f>
        <v>0.10970986458138939</v>
      </c>
      <c r="F38" s="26">
        <f>WACC!$C$22+F37*Supuestos!$B$22+WACC!$C$21</f>
        <v>0.11015255933457539</v>
      </c>
      <c r="G38" s="26">
        <f>WACC!$C$22+G37*Supuestos!$B$22+WACC!$C$21</f>
        <v>0.11059525408776143</v>
      </c>
      <c r="H38" s="26">
        <f>WACC!$C$22+H37*Supuestos!$B$22+WACC!$C$21</f>
        <v>0.11103794884094742</v>
      </c>
      <c r="I38" s="26">
        <f>WACC!$C$22+I37*Supuestos!$B$22+WACC!$C$21</f>
        <v>0.11103794884094742</v>
      </c>
    </row>
    <row r="39" spans="1:10" x14ac:dyDescent="0.25">
      <c r="A39" s="3" t="s">
        <v>293</v>
      </c>
      <c r="C39" s="39">
        <f>IF(AND(Supuestos!$B$21=1,Supuestos!$B$19=2),(1+C38)*(1+Supuestos!$B$34)/(1+Supuestos!$B$20)-1,C38)</f>
        <v>0.11703304118054692</v>
      </c>
      <c r="D39" s="39">
        <f>IF(AND(Supuestos!$B$21=1,Supuestos!$B$19=2),(1+D38)*(1+Supuestos!$B$34)/(1+Supuestos!$B$20)-1,D38)</f>
        <v>0.11747901317844378</v>
      </c>
      <c r="E39" s="39">
        <f>IF(AND(Supuestos!$B$21=1,Supuestos!$B$19=2),(1+E38)*(1+Supuestos!$B$34)/(1+Supuestos!$B$20)-1,E38)</f>
        <v>0.11792498517634042</v>
      </c>
      <c r="F39" s="39">
        <f>IF(AND(Supuestos!$B$21=1,Supuestos!$B$19=2),(1+F38)*(1+Supuestos!$B$34)/(1+Supuestos!$B$20)-1,F38)</f>
        <v>0.11837095717423729</v>
      </c>
      <c r="G39" s="39">
        <f>IF(AND(Supuestos!$B$21=1,Supuestos!$B$19=2),(1+G38)*(1+Supuestos!$B$34)/(1+Supuestos!$B$20)-1,G38)</f>
        <v>0.11881692917213416</v>
      </c>
      <c r="H39" s="39">
        <f>IF(AND(Supuestos!$B$21=1,Supuestos!$B$19=2),(1+H38)*(1+Supuestos!$B$34)/(1+Supuestos!$B$20)-1,H38)</f>
        <v>0.1192629011700308</v>
      </c>
      <c r="I39" s="39">
        <f>IF(AND(Supuestos!$B$21=1,Supuestos!$B$19=2),(1+I38)*(1+Supuestos!$B$34)/(1+Supuestos!$B$20)-1,I38)</f>
        <v>0.1192629011700308</v>
      </c>
      <c r="J39" s="2" t="s">
        <v>294</v>
      </c>
    </row>
    <row r="40" spans="1:10" x14ac:dyDescent="0.25">
      <c r="A40" s="4" t="s">
        <v>295</v>
      </c>
      <c r="C40" s="26">
        <f>Supuestos!$B$33+Supuestos!$B$40*Supuestos!$B$45*MAX(0,C32-Supuestos!$B$41)</f>
        <v>3.6259218780888794E-2</v>
      </c>
      <c r="D40" s="26">
        <f>Supuestos!$B$33+Supuestos!$B$40*Supuestos!$B$45*MAX(0,D32-Supuestos!$B$41)</f>
        <v>3.6777656342666387E-2</v>
      </c>
      <c r="E40" s="26">
        <f>Supuestos!$B$33+Supuestos!$B$40*Supuestos!$B$45*MAX(0,E32-Supuestos!$B$41)</f>
        <v>3.729609390444398E-2</v>
      </c>
      <c r="F40" s="26">
        <f>Supuestos!$B$33+Supuestos!$B$40*Supuestos!$B$45*MAX(0,F32-Supuestos!$B$41)</f>
        <v>3.7814531466221574E-2</v>
      </c>
      <c r="G40" s="26">
        <f>Supuestos!$B$33+Supuestos!$B$40*Supuestos!$B$45*MAX(0,G32-Supuestos!$B$41)</f>
        <v>3.8332969027999167E-2</v>
      </c>
      <c r="H40" s="26">
        <f>Supuestos!$B$33+Supuestos!$B$40*Supuestos!$B$45*MAX(0,H32-Supuestos!$B$41)</f>
        <v>3.885140658977676E-2</v>
      </c>
      <c r="I40" s="26">
        <f>Supuestos!$B$33+Supuestos!$B$40*Supuestos!$B$45*MAX(0,I32-Supuestos!$B$41)</f>
        <v>3.885140658977676E-2</v>
      </c>
    </row>
    <row r="41" spans="1:10" x14ac:dyDescent="0.25">
      <c r="A41" s="4" t="s">
        <v>296</v>
      </c>
      <c r="C41" s="26">
        <f>(1+C40)*(1+Supuestos!$B$34)-1</f>
        <v>6.7346995344315541E-2</v>
      </c>
      <c r="D41" s="26">
        <f>(1+D40)*(1+Supuestos!$B$34)-1</f>
        <v>6.7880986032946344E-2</v>
      </c>
      <c r="E41" s="26">
        <f>(1+E40)*(1+Supuestos!$B$34)-1</f>
        <v>6.841497672157737E-2</v>
      </c>
      <c r="F41" s="26">
        <f>(1+F40)*(1+Supuestos!$B$34)-1</f>
        <v>6.8948967410208173E-2</v>
      </c>
      <c r="G41" s="26">
        <f>(1+G40)*(1+Supuestos!$B$34)-1</f>
        <v>6.9482958098839198E-2</v>
      </c>
      <c r="H41" s="26">
        <f>(1+H40)*(1+Supuestos!$B$34)-1</f>
        <v>7.0016948787470001E-2</v>
      </c>
      <c r="I41" s="26">
        <f>(1+I40)*(1+Supuestos!$B$34)-1</f>
        <v>7.0016948787470001E-2</v>
      </c>
    </row>
    <row r="42" spans="1:10" x14ac:dyDescent="0.25">
      <c r="A42" s="4" t="s">
        <v>297</v>
      </c>
      <c r="C42" s="26">
        <f>C41*(1-Supuestos!$B$35)</f>
        <v>4.9163306601350341E-2</v>
      </c>
      <c r="D42" s="26">
        <f>D41*(1-Supuestos!$B$35)</f>
        <v>4.9553119804050832E-2</v>
      </c>
      <c r="E42" s="26">
        <f>E41*(1-Supuestos!$B$35)</f>
        <v>4.9942933006751476E-2</v>
      </c>
      <c r="F42" s="26">
        <f>F41*(1-Supuestos!$B$35)</f>
        <v>5.0332746209451967E-2</v>
      </c>
      <c r="G42" s="26">
        <f>G41*(1-Supuestos!$B$35)</f>
        <v>5.0722559412152611E-2</v>
      </c>
      <c r="H42" s="26">
        <f>H41*(1-Supuestos!$B$35)</f>
        <v>5.1112372614853102E-2</v>
      </c>
      <c r="I42" s="26">
        <f>I41*(1-Supuestos!$B$35)</f>
        <v>5.1112372614853102E-2</v>
      </c>
    </row>
    <row r="43" spans="1:10" x14ac:dyDescent="0.25">
      <c r="A43" s="3" t="s">
        <v>298</v>
      </c>
      <c r="C43" s="35">
        <f t="shared" ref="C43:I43" si="4">C36*C39+C35*C42</f>
        <v>0.10536861207682024</v>
      </c>
      <c r="D43" s="35">
        <f t="shared" si="4"/>
        <v>0.10509035847843951</v>
      </c>
      <c r="E43" s="35">
        <f t="shared" si="4"/>
        <v>0.10482886504715873</v>
      </c>
      <c r="F43" s="35">
        <f t="shared" si="4"/>
        <v>0.10458350888883616</v>
      </c>
      <c r="G43" s="35">
        <f t="shared" si="4"/>
        <v>0.10435369759822805</v>
      </c>
      <c r="H43" s="35">
        <f t="shared" si="4"/>
        <v>0.10413886741610846</v>
      </c>
      <c r="I43" s="39">
        <f t="shared" si="4"/>
        <v>0.10413886741610846</v>
      </c>
    </row>
    <row r="44" spans="1:10" x14ac:dyDescent="0.25">
      <c r="A44" s="4" t="s">
        <v>299</v>
      </c>
      <c r="C44" s="26">
        <f>(1+C43)/(1+Supuestos!$B$34)-1</f>
        <v>7.3173409783320542E-2</v>
      </c>
      <c r="D44" s="26">
        <f>(1+D43)/(1+Supuestos!$B$34)-1</f>
        <v>7.2903260658679025E-2</v>
      </c>
      <c r="E44" s="26">
        <f>(1+E43)/(1+Supuestos!$B$34)-1</f>
        <v>7.2649383540930756E-2</v>
      </c>
      <c r="F44" s="26">
        <f>(1+F43)/(1+Supuestos!$B$34)-1</f>
        <v>7.2411173678481822E-2</v>
      </c>
      <c r="G44" s="26">
        <f>(1+G43)/(1+Supuestos!$B$34)-1</f>
        <v>7.2188055920609617E-2</v>
      </c>
      <c r="H44" s="26">
        <f>(1+H43)/(1+Supuestos!$B$34)-1</f>
        <v>7.197948292826073E-2</v>
      </c>
      <c r="I44" s="26">
        <f>(1+I43)/(1+Supuestos!$B$34)-1</f>
        <v>7.197948292826073E-2</v>
      </c>
    </row>
    <row r="46" spans="1:10" x14ac:dyDescent="0.25">
      <c r="A46" s="4" t="s">
        <v>300</v>
      </c>
      <c r="C46" s="7">
        <f>Supuestos!$B$109</f>
        <v>0.103663074859808</v>
      </c>
      <c r="D46" s="2" t="s">
        <v>301</v>
      </c>
    </row>
    <row r="47" spans="1:10" x14ac:dyDescent="0.25">
      <c r="A47" s="4" t="s">
        <v>302</v>
      </c>
      <c r="C47" s="14">
        <v>5.5500000000000001E-2</v>
      </c>
      <c r="D47" s="2" t="s">
        <v>303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showGridLines="0" tabSelected="1" zoomScaleNormal="100" workbookViewId="0">
      <selection activeCell="I11" sqref="I11"/>
    </sheetView>
  </sheetViews>
  <sheetFormatPr baseColWidth="10" defaultColWidth="8.7109375" defaultRowHeight="15" x14ac:dyDescent="0.25"/>
  <cols>
    <col min="1" max="1" width="50" customWidth="1"/>
    <col min="3" max="8" width="13" customWidth="1"/>
    <col min="9" max="9" width="75" customWidth="1"/>
  </cols>
  <sheetData>
    <row r="1" spans="1:9" ht="15.75" x14ac:dyDescent="0.25">
      <c r="A1" s="1" t="s">
        <v>304</v>
      </c>
    </row>
    <row r="2" spans="1:9" x14ac:dyDescent="0.25">
      <c r="A2" s="2" t="s">
        <v>305</v>
      </c>
    </row>
    <row r="4" spans="1:9" x14ac:dyDescent="0.25">
      <c r="A4" s="10" t="s">
        <v>46</v>
      </c>
      <c r="B4" s="36"/>
      <c r="C4" s="37" t="s">
        <v>278</v>
      </c>
      <c r="D4" s="37" t="s">
        <v>279</v>
      </c>
      <c r="E4" s="37" t="s">
        <v>280</v>
      </c>
      <c r="F4" s="37" t="s">
        <v>281</v>
      </c>
      <c r="G4" s="37" t="s">
        <v>282</v>
      </c>
      <c r="H4" s="37" t="s">
        <v>283</v>
      </c>
      <c r="I4" s="37" t="s">
        <v>306</v>
      </c>
    </row>
    <row r="5" spans="1:9" x14ac:dyDescent="0.25">
      <c r="A5" s="4" t="s">
        <v>307</v>
      </c>
      <c r="C5" s="13">
        <v>703998.93502974405</v>
      </c>
      <c r="D5" s="13">
        <v>767179.42311749002</v>
      </c>
      <c r="E5" s="13">
        <v>820506.70251456404</v>
      </c>
      <c r="F5" s="13">
        <v>866951.61134404899</v>
      </c>
      <c r="G5" s="13">
        <v>904202.83057907701</v>
      </c>
      <c r="H5" s="13">
        <v>939524.47470748494</v>
      </c>
      <c r="I5" s="2" t="s">
        <v>308</v>
      </c>
    </row>
    <row r="6" spans="1:9" x14ac:dyDescent="0.25">
      <c r="A6" s="4" t="s">
        <v>309</v>
      </c>
      <c r="C6" s="34">
        <f>C5-Supuestos!$B$54</f>
        <v>364468.93502974405</v>
      </c>
      <c r="D6" s="34">
        <f>D5</f>
        <v>767179.42311749002</v>
      </c>
      <c r="E6" s="34">
        <f>E5</f>
        <v>820506.70251456404</v>
      </c>
      <c r="F6" s="34">
        <f>F5</f>
        <v>866951.61134404899</v>
      </c>
      <c r="G6" s="34">
        <f>G5</f>
        <v>904202.83057907701</v>
      </c>
      <c r="H6" s="34">
        <f>H5</f>
        <v>939524.47470748494</v>
      </c>
    </row>
    <row r="7" spans="1:9" x14ac:dyDescent="0.25">
      <c r="A7" s="4" t="s">
        <v>310</v>
      </c>
      <c r="C7" s="13">
        <v>561315.40502749605</v>
      </c>
      <c r="D7" s="13">
        <v>611360.36024671898</v>
      </c>
      <c r="E7" s="13">
        <v>654236.22558363702</v>
      </c>
      <c r="F7" s="13">
        <v>691459.84266888199</v>
      </c>
      <c r="G7" s="13">
        <v>721124.37189562398</v>
      </c>
      <c r="H7" s="13">
        <v>749208.57920213195</v>
      </c>
      <c r="I7" s="2" t="s">
        <v>311</v>
      </c>
    </row>
    <row r="8" spans="1:9" x14ac:dyDescent="0.25">
      <c r="A8" s="4" t="s">
        <v>312</v>
      </c>
      <c r="C8" s="34">
        <f>C7-Supuestos!$B$55</f>
        <v>290741.40502749605</v>
      </c>
      <c r="D8" s="34">
        <f>D7</f>
        <v>611360.36024671898</v>
      </c>
      <c r="E8" s="34">
        <f>E7</f>
        <v>654236.22558363702</v>
      </c>
      <c r="F8" s="34">
        <f>F7</f>
        <v>691459.84266888199</v>
      </c>
      <c r="G8" s="34">
        <f>G7</f>
        <v>721124.37189562398</v>
      </c>
      <c r="H8" s="34">
        <f>H7</f>
        <v>749208.57920213195</v>
      </c>
    </row>
    <row r="9" spans="1:9" x14ac:dyDescent="0.25">
      <c r="A9" s="4" t="s">
        <v>313</v>
      </c>
      <c r="C9" s="26">
        <f t="shared" ref="C9:H9" si="0">C8/C6</f>
        <v>0.79771244428216859</v>
      </c>
      <c r="D9" s="26">
        <f t="shared" si="0"/>
        <v>0.79689358424449286</v>
      </c>
      <c r="E9" s="26">
        <f t="shared" si="0"/>
        <v>0.7973563452664475</v>
      </c>
      <c r="F9" s="26">
        <f t="shared" si="0"/>
        <v>0.79757605109805463</v>
      </c>
      <c r="G9" s="26">
        <f t="shared" si="0"/>
        <v>0.79752501043797397</v>
      </c>
      <c r="H9" s="26">
        <f t="shared" si="0"/>
        <v>0.79743380760292948</v>
      </c>
    </row>
    <row r="10" spans="1:9" x14ac:dyDescent="0.25">
      <c r="A10" s="4" t="s">
        <v>314</v>
      </c>
      <c r="C10" s="34">
        <f>Supuestos!$B$57*C6</f>
        <v>2564.5567901634204</v>
      </c>
      <c r="D10" s="34">
        <f>Supuestos!$B$57*D6</f>
        <v>5398.1972391393265</v>
      </c>
      <c r="E10" s="34">
        <f>Supuestos!$B$57*E6</f>
        <v>5773.4304163305378</v>
      </c>
      <c r="F10" s="34">
        <f>Supuestos!$B$57*F6</f>
        <v>6100.2363382054873</v>
      </c>
      <c r="G10" s="34">
        <f>Supuestos!$B$57*G6</f>
        <v>6362.3515915212765</v>
      </c>
      <c r="H10" s="34">
        <f>Supuestos!$B$57*H6</f>
        <v>6610.8895424493903</v>
      </c>
      <c r="I10" s="2" t="s">
        <v>315</v>
      </c>
    </row>
    <row r="11" spans="1:9" x14ac:dyDescent="0.25">
      <c r="A11" s="4" t="s">
        <v>316</v>
      </c>
      <c r="C11" s="14">
        <v>0.16800000000000001</v>
      </c>
      <c r="D11" s="14">
        <v>0.19</v>
      </c>
      <c r="E11" s="14">
        <v>0.215</v>
      </c>
      <c r="F11" s="14">
        <v>0.24</v>
      </c>
      <c r="G11" s="14">
        <v>0.27</v>
      </c>
      <c r="H11" s="14">
        <v>0.27</v>
      </c>
      <c r="I11" s="2" t="s">
        <v>317</v>
      </c>
    </row>
    <row r="12" spans="1:9" x14ac:dyDescent="0.25">
      <c r="A12" s="4" t="s">
        <v>318</v>
      </c>
      <c r="C12" s="41">
        <v>113.64</v>
      </c>
      <c r="D12" s="41">
        <v>215.08</v>
      </c>
      <c r="E12" s="41">
        <v>116.28</v>
      </c>
      <c r="F12" s="41">
        <v>0</v>
      </c>
      <c r="G12" s="41">
        <v>0</v>
      </c>
      <c r="H12" s="41">
        <v>0</v>
      </c>
      <c r="I12" s="2" t="s">
        <v>319</v>
      </c>
    </row>
    <row r="13" spans="1:9" x14ac:dyDescent="0.25">
      <c r="A13" s="4" t="s">
        <v>320</v>
      </c>
      <c r="C13" s="17">
        <v>929.55</v>
      </c>
      <c r="D13" s="17">
        <v>922.75</v>
      </c>
      <c r="E13" s="17">
        <v>914.75</v>
      </c>
      <c r="F13" s="17">
        <v>921</v>
      </c>
      <c r="G13" s="17">
        <v>921</v>
      </c>
      <c r="H13" s="17">
        <v>921</v>
      </c>
      <c r="I13" s="2" t="s">
        <v>321</v>
      </c>
    </row>
    <row r="14" spans="1:9" x14ac:dyDescent="0.25">
      <c r="A14" s="4" t="s">
        <v>322</v>
      </c>
      <c r="C14" s="34">
        <f t="shared" ref="C14:H14" si="1">C12*C13</f>
        <v>105634.06199999999</v>
      </c>
      <c r="D14" s="34">
        <f t="shared" si="1"/>
        <v>198465.07</v>
      </c>
      <c r="E14" s="34">
        <f t="shared" si="1"/>
        <v>106367.13</v>
      </c>
      <c r="F14" s="34">
        <f t="shared" si="1"/>
        <v>0</v>
      </c>
      <c r="G14" s="34">
        <f t="shared" si="1"/>
        <v>0</v>
      </c>
      <c r="H14" s="34">
        <f t="shared" si="1"/>
        <v>0</v>
      </c>
    </row>
    <row r="15" spans="1:9" x14ac:dyDescent="0.25">
      <c r="A15" s="4" t="s">
        <v>323</v>
      </c>
      <c r="C15" s="34">
        <f>Supuestos!$B$58*C5/2</f>
        <v>19359.970713317962</v>
      </c>
      <c r="D15" s="34">
        <f>Supuestos!$B$58*D5</f>
        <v>42194.86827146195</v>
      </c>
      <c r="E15" s="34">
        <f>Supuestos!$B$58*E5</f>
        <v>45127.868638301021</v>
      </c>
      <c r="F15" s="34">
        <f>Supuestos!$B$58*F5</f>
        <v>47682.338623922697</v>
      </c>
      <c r="G15" s="34">
        <f>Supuestos!$B$58*G5</f>
        <v>49731.155681849239</v>
      </c>
      <c r="H15" s="34">
        <f>Supuestos!$B$58*H5</f>
        <v>51673.846108911675</v>
      </c>
      <c r="I15" s="2" t="s">
        <v>324</v>
      </c>
    </row>
    <row r="16" spans="1:9" x14ac:dyDescent="0.25">
      <c r="A16" s="3" t="s">
        <v>325</v>
      </c>
      <c r="C16" s="42">
        <f t="shared" ref="C16:H16" si="2">C14+C15</f>
        <v>124994.03271331795</v>
      </c>
      <c r="D16" s="42">
        <f t="shared" si="2"/>
        <v>240659.93827146196</v>
      </c>
      <c r="E16" s="42">
        <f t="shared" si="2"/>
        <v>151494.99863830104</v>
      </c>
      <c r="F16" s="42">
        <f t="shared" si="2"/>
        <v>47682.338623922697</v>
      </c>
      <c r="G16" s="42">
        <f t="shared" si="2"/>
        <v>49731.155681849239</v>
      </c>
      <c r="H16" s="42">
        <f t="shared" si="2"/>
        <v>51673.846108911675</v>
      </c>
      <c r="I16" s="2" t="s">
        <v>326</v>
      </c>
    </row>
    <row r="18" spans="1:9" x14ac:dyDescent="0.25">
      <c r="A18" s="4" t="s">
        <v>327</v>
      </c>
      <c r="C18" s="12">
        <v>341079.52763349598</v>
      </c>
      <c r="D18" s="12">
        <v>360468.329813633</v>
      </c>
      <c r="E18" s="12">
        <v>378194.72803001897</v>
      </c>
      <c r="F18" s="12">
        <v>395002.18122491502</v>
      </c>
      <c r="G18" s="12">
        <v>411161.92813508201</v>
      </c>
      <c r="H18" s="12">
        <v>426868.38324884698</v>
      </c>
      <c r="I18" s="2" t="s">
        <v>328</v>
      </c>
    </row>
    <row r="19" spans="1:9" x14ac:dyDescent="0.25">
      <c r="A19" s="4" t="s">
        <v>329</v>
      </c>
      <c r="C19" s="17">
        <v>792.93865140297203</v>
      </c>
      <c r="D19" s="17">
        <v>832.95943726829603</v>
      </c>
      <c r="E19" s="17">
        <v>869.39101803893902</v>
      </c>
      <c r="F19" s="17">
        <v>896.70772305458399</v>
      </c>
      <c r="G19" s="17">
        <v>921.72944948986401</v>
      </c>
      <c r="H19" s="17">
        <v>945.04513901822895</v>
      </c>
      <c r="I19" s="2" t="s">
        <v>330</v>
      </c>
    </row>
    <row r="20" spans="1:9" x14ac:dyDescent="0.25">
      <c r="A20" s="4" t="s">
        <v>331</v>
      </c>
      <c r="C20" s="17">
        <v>267.99721965484702</v>
      </c>
      <c r="D20" s="17">
        <v>275.85210512201701</v>
      </c>
      <c r="E20" s="17">
        <v>279.34382284382298</v>
      </c>
      <c r="F20" s="17">
        <v>284.77375565610902</v>
      </c>
      <c r="G20" s="17">
        <v>287.56565522136498</v>
      </c>
      <c r="H20" s="17">
        <v>290.38492635098601</v>
      </c>
      <c r="I20" s="2" t="s">
        <v>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topLeftCell="A7" zoomScaleNormal="100" workbookViewId="0"/>
  </sheetViews>
  <sheetFormatPr baseColWidth="10" defaultColWidth="8.7109375" defaultRowHeight="15" x14ac:dyDescent="0.25"/>
  <cols>
    <col min="1" max="1" width="60" customWidth="1"/>
    <col min="2" max="2" width="11" customWidth="1"/>
    <col min="3" max="8" width="13" customWidth="1"/>
    <col min="10" max="10" width="80" customWidth="1"/>
  </cols>
  <sheetData>
    <row r="1" spans="1:10" ht="15.75" x14ac:dyDescent="0.25">
      <c r="A1" s="1" t="s">
        <v>333</v>
      </c>
    </row>
    <row r="2" spans="1:10" x14ac:dyDescent="0.25">
      <c r="A2" s="2" t="s">
        <v>334</v>
      </c>
    </row>
    <row r="4" spans="1:10" x14ac:dyDescent="0.25">
      <c r="A4" s="10" t="s">
        <v>335</v>
      </c>
      <c r="B4" s="36"/>
      <c r="C4" s="37" t="s">
        <v>278</v>
      </c>
      <c r="D4" s="37" t="s">
        <v>279</v>
      </c>
      <c r="E4" s="37" t="s">
        <v>280</v>
      </c>
      <c r="F4" s="37" t="s">
        <v>281</v>
      </c>
      <c r="G4" s="37" t="s">
        <v>282</v>
      </c>
      <c r="H4" s="37" t="s">
        <v>283</v>
      </c>
    </row>
    <row r="5" spans="1:10" x14ac:dyDescent="0.25">
      <c r="A5" s="4" t="s">
        <v>336</v>
      </c>
      <c r="C5" s="16">
        <v>2026</v>
      </c>
      <c r="D5" s="16">
        <v>2027</v>
      </c>
      <c r="E5" s="16">
        <v>2028</v>
      </c>
      <c r="F5" s="16">
        <v>2029</v>
      </c>
      <c r="G5" s="16">
        <v>2030</v>
      </c>
      <c r="H5" s="16">
        <v>2031</v>
      </c>
    </row>
    <row r="6" spans="1:10" x14ac:dyDescent="0.25">
      <c r="A6" s="4" t="s">
        <v>337</v>
      </c>
      <c r="C6" s="43">
        <f>(1+Supuestos!$B$34)^(C5-2026)</f>
        <v>1</v>
      </c>
      <c r="D6" s="43">
        <f>(1+Supuestos!$B$34)^(D5-2026)</f>
        <v>1.03</v>
      </c>
      <c r="E6" s="43">
        <f>(1+Supuestos!$B$34)^(E5-2026)</f>
        <v>1.0609</v>
      </c>
      <c r="F6" s="43">
        <f>(1+Supuestos!$B$34)^(F5-2026)</f>
        <v>1.092727</v>
      </c>
      <c r="G6" s="43">
        <f>(1+Supuestos!$B$34)^(G5-2026)</f>
        <v>1.1255088099999999</v>
      </c>
      <c r="H6" s="43">
        <f>(1+Supuestos!$B$34)^(H5-2026)</f>
        <v>1.1592740742999998</v>
      </c>
    </row>
    <row r="7" spans="1:10" x14ac:dyDescent="0.25">
      <c r="A7" s="4" t="s">
        <v>338</v>
      </c>
      <c r="C7" s="44">
        <f>Supuestos!$B$71*Supuestos!$B$72/1000000*C6</f>
        <v>3.3181974148061104</v>
      </c>
      <c r="D7" s="44">
        <f>Supuestos!$B$71*Supuestos!$B$72/1000000*D6</f>
        <v>3.4177433372502937</v>
      </c>
      <c r="E7" s="44">
        <f>Supuestos!$B$71*Supuestos!$B$72/1000000*E6</f>
        <v>3.5202756373678024</v>
      </c>
      <c r="F7" s="44">
        <f>Supuestos!$B$71*Supuestos!$B$72/1000000*F6</f>
        <v>3.6258839064888364</v>
      </c>
      <c r="G7" s="44">
        <f>Supuestos!$B$71*Supuestos!$B$72/1000000*G6</f>
        <v>3.7346604236835015</v>
      </c>
      <c r="H7" s="44">
        <f>Supuestos!$B$71*Supuestos!$B$72/1000000*H6</f>
        <v>3.8467002363940064</v>
      </c>
      <c r="J7" s="2" t="s">
        <v>339</v>
      </c>
    </row>
    <row r="8" spans="1:10" x14ac:dyDescent="0.25">
      <c r="A8" s="4" t="s">
        <v>340</v>
      </c>
      <c r="C8" s="23">
        <f>Supuestos!$B$75*Forecast_Base!C18+(1-Supuestos!$B$75)*Forecast_Base!C19*Forecast_Base!C20</f>
        <v>283080.83003854484</v>
      </c>
      <c r="D8" s="23">
        <f>Supuestos!$B$75*Forecast_Base!D18+(1-Supuestos!$B$75)*Forecast_Base!D19*Forecast_Base!D20</f>
        <v>301513.07412765647</v>
      </c>
      <c r="E8" s="23">
        <f>Supuestos!$B$75*Forecast_Base!E18+(1-Supuestos!$B$75)*Forecast_Base!E19*Forecast_Base!E20</f>
        <v>317145.95651202725</v>
      </c>
      <c r="F8" s="23">
        <f>Supuestos!$B$75*Forecast_Base!F18+(1-Supuestos!$B$75)*Forecast_Base!F19*Forecast_Base!F20</f>
        <v>332010.27160139743</v>
      </c>
      <c r="G8" s="23">
        <f>Supuestos!$B$75*Forecast_Base!G18+(1-Supuestos!$B$75)*Forecast_Base!G19*Forecast_Base!G20</f>
        <v>345255.58954083687</v>
      </c>
      <c r="H8" s="23">
        <f>Supuestos!$B$75*Forecast_Base!H18+(1-Supuestos!$B$75)*Forecast_Base!H19*Forecast_Base!H20</f>
        <v>358103.33211915568</v>
      </c>
    </row>
    <row r="9" spans="1:10" x14ac:dyDescent="0.25">
      <c r="A9" s="4" t="s">
        <v>341</v>
      </c>
      <c r="C9" s="26">
        <f>Supuestos!$B$75*Supuestos!$B$76+(1-Supuestos!$B$75)*Supuestos!$B$77</f>
        <v>0.80902182700080838</v>
      </c>
      <c r="D9" s="26">
        <f>Supuestos!$B$75*Supuestos!$B$76+(1-Supuestos!$B$75)*Supuestos!$B$77</f>
        <v>0.80902182700080838</v>
      </c>
      <c r="E9" s="26">
        <f>Supuestos!$B$75*Supuestos!$B$76+(1-Supuestos!$B$75)*Supuestos!$B$77</f>
        <v>0.80902182700080838</v>
      </c>
      <c r="F9" s="26">
        <f>Supuestos!$B$75*Supuestos!$B$76+(1-Supuestos!$B$75)*Supuestos!$B$77</f>
        <v>0.80902182700080838</v>
      </c>
      <c r="G9" s="26">
        <f>Supuestos!$B$75*Supuestos!$B$76+(1-Supuestos!$B$75)*Supuestos!$B$77</f>
        <v>0.80902182700080838</v>
      </c>
      <c r="H9" s="26">
        <f>Supuestos!$B$75*Supuestos!$B$76+(1-Supuestos!$B$75)*Supuestos!$B$77</f>
        <v>0.80902182700080838</v>
      </c>
    </row>
    <row r="11" spans="1:10" x14ac:dyDescent="0.25">
      <c r="A11" s="3" t="s">
        <v>342</v>
      </c>
      <c r="B11" s="3" t="s">
        <v>153</v>
      </c>
    </row>
    <row r="12" spans="1:10" x14ac:dyDescent="0.25">
      <c r="A12" s="32">
        <f>Supuestos!$B$67+0</f>
        <v>2029</v>
      </c>
      <c r="B12" s="23">
        <f>Supuestos!$B$66*Supuestos!$B$62</f>
        <v>27075.333333333332</v>
      </c>
      <c r="J12" s="2" t="s">
        <v>343</v>
      </c>
    </row>
    <row r="13" spans="1:10" x14ac:dyDescent="0.25">
      <c r="A13" s="32">
        <f>Supuestos!$B$67+1</f>
        <v>2030</v>
      </c>
      <c r="B13" s="23">
        <f>Supuestos!$B$66*Supuestos!$B$62</f>
        <v>27075.333333333332</v>
      </c>
    </row>
    <row r="14" spans="1:10" x14ac:dyDescent="0.25">
      <c r="A14" s="32">
        <f>Supuestos!$B$67+2</f>
        <v>2031</v>
      </c>
      <c r="B14" s="23">
        <f>Supuestos!$B$66*Supuestos!$B$62</f>
        <v>27075.333333333332</v>
      </c>
    </row>
    <row r="15" spans="1:10" x14ac:dyDescent="0.25">
      <c r="A15" s="32">
        <f>Supuestos!$B$67+3</f>
        <v>2032</v>
      </c>
      <c r="B15" s="23">
        <f>Supuestos!$B$66*Supuestos!$B$62</f>
        <v>27075.333333333332</v>
      </c>
    </row>
    <row r="16" spans="1:10" x14ac:dyDescent="0.25">
      <c r="A16" s="32">
        <f>Supuestos!$B$67+4</f>
        <v>2033</v>
      </c>
      <c r="B16" s="23">
        <f>Supuestos!$B$66*Supuestos!$B$62</f>
        <v>27075.333333333332</v>
      </c>
    </row>
    <row r="18" spans="1:8" x14ac:dyDescent="0.25">
      <c r="A18" s="3" t="s">
        <v>344</v>
      </c>
    </row>
    <row r="19" spans="1:8" x14ac:dyDescent="0.25">
      <c r="A19" s="32">
        <f>A12</f>
        <v>2029</v>
      </c>
      <c r="C19" s="34">
        <f>IF(C$5=$A12-2,Supuestos!$B$68,IF(C$5=$A12-1,1-Supuestos!$B$68,0))*$B12*C$7</f>
        <v>0</v>
      </c>
      <c r="D19" s="34">
        <f>IF(D$5=$A12-2,Supuestos!$B$68,IF(D$5=$A12-1,1-Supuestos!$B$68,0))*$B12*D$7</f>
        <v>46268.270051915388</v>
      </c>
      <c r="E19" s="34">
        <f>IF(E$5=$A12-2,Supuestos!$B$68,IF(E$5=$A12-1,1-Supuestos!$B$68,0))*$B12*E$7</f>
        <v>47656.31815347285</v>
      </c>
      <c r="F19" s="34">
        <f>IF(F$5=$A12-2,Supuestos!$B$68,IF(F$5=$A12-1,1-Supuestos!$B$68,0))*$B12*F$7</f>
        <v>0</v>
      </c>
      <c r="G19" s="34">
        <f>IF(G$5=$A12-2,Supuestos!$B$68,IF(G$5=$A12-1,1-Supuestos!$B$68,0))*$B12*G$7</f>
        <v>0</v>
      </c>
      <c r="H19" s="34">
        <f>IF(H$5=$A12-2,Supuestos!$B$68,IF(H$5=$A12-1,1-Supuestos!$B$68,0))*$B12*H$7</f>
        <v>0</v>
      </c>
    </row>
    <row r="20" spans="1:8" x14ac:dyDescent="0.25">
      <c r="A20" s="32">
        <f>A13</f>
        <v>2030</v>
      </c>
      <c r="C20" s="34">
        <f>IF(C$5=$A13-2,Supuestos!$B$68,IF(C$5=$A13-1,1-Supuestos!$B$68,0))*$B13*C$7</f>
        <v>0</v>
      </c>
      <c r="D20" s="34">
        <f>IF(D$5=$A13-2,Supuestos!$B$68,IF(D$5=$A13-1,1-Supuestos!$B$68,0))*$B13*D$7</f>
        <v>0</v>
      </c>
      <c r="E20" s="34">
        <f>IF(E$5=$A13-2,Supuestos!$B$68,IF(E$5=$A13-1,1-Supuestos!$B$68,0))*$B13*E$7</f>
        <v>47656.31815347285</v>
      </c>
      <c r="F20" s="34">
        <f>IF(F$5=$A13-2,Supuestos!$B$68,IF(F$5=$A13-1,1-Supuestos!$B$68,0))*$B13*F$7</f>
        <v>49086.007698077032</v>
      </c>
      <c r="G20" s="34">
        <f>IF(G$5=$A13-2,Supuestos!$B$68,IF(G$5=$A13-1,1-Supuestos!$B$68,0))*$B13*G$7</f>
        <v>0</v>
      </c>
      <c r="H20" s="34">
        <f>IF(H$5=$A13-2,Supuestos!$B$68,IF(H$5=$A13-1,1-Supuestos!$B$68,0))*$B13*H$7</f>
        <v>0</v>
      </c>
    </row>
    <row r="21" spans="1:8" x14ac:dyDescent="0.25">
      <c r="A21" s="32">
        <f>A14</f>
        <v>2031</v>
      </c>
      <c r="C21" s="34">
        <f>IF(C$5=$A14-2,Supuestos!$B$68,IF(C$5=$A14-1,1-Supuestos!$B$68,0))*$B14*C$7</f>
        <v>0</v>
      </c>
      <c r="D21" s="34">
        <f>IF(D$5=$A14-2,Supuestos!$B$68,IF(D$5=$A14-1,1-Supuestos!$B$68,0))*$B14*D$7</f>
        <v>0</v>
      </c>
      <c r="E21" s="34">
        <f>IF(E$5=$A14-2,Supuestos!$B$68,IF(E$5=$A14-1,1-Supuestos!$B$68,0))*$B14*E$7</f>
        <v>0</v>
      </c>
      <c r="F21" s="34">
        <f>IF(F$5=$A14-2,Supuestos!$B$68,IF(F$5=$A14-1,1-Supuestos!$B$68,0))*$B14*F$7</f>
        <v>49086.007698077032</v>
      </c>
      <c r="G21" s="34">
        <f>IF(G$5=$A14-2,Supuestos!$B$68,IF(G$5=$A14-1,1-Supuestos!$B$68,0))*$B14*G$7</f>
        <v>50558.587929019348</v>
      </c>
      <c r="H21" s="34">
        <f>IF(H$5=$A14-2,Supuestos!$B$68,IF(H$5=$A14-1,1-Supuestos!$B$68,0))*$B14*H$7</f>
        <v>0</v>
      </c>
    </row>
    <row r="22" spans="1:8" x14ac:dyDescent="0.25">
      <c r="A22" s="32">
        <f>A15</f>
        <v>2032</v>
      </c>
      <c r="C22" s="34">
        <f>IF(C$5=$A15-2,Supuestos!$B$68,IF(C$5=$A15-1,1-Supuestos!$B$68,0))*$B15*C$7</f>
        <v>0</v>
      </c>
      <c r="D22" s="34">
        <f>IF(D$5=$A15-2,Supuestos!$B$68,IF(D$5=$A15-1,1-Supuestos!$B$68,0))*$B15*D$7</f>
        <v>0</v>
      </c>
      <c r="E22" s="34">
        <f>IF(E$5=$A15-2,Supuestos!$B$68,IF(E$5=$A15-1,1-Supuestos!$B$68,0))*$B15*E$7</f>
        <v>0</v>
      </c>
      <c r="F22" s="34">
        <f>IF(F$5=$A15-2,Supuestos!$B$68,IF(F$5=$A15-1,1-Supuestos!$B$68,0))*$B15*F$7</f>
        <v>0</v>
      </c>
      <c r="G22" s="34">
        <f>IF(G$5=$A15-2,Supuestos!$B$68,IF(G$5=$A15-1,1-Supuestos!$B$68,0))*$B15*G$7</f>
        <v>50558.587929019348</v>
      </c>
      <c r="H22" s="34">
        <f>IF(H$5=$A15-2,Supuestos!$B$68,IF(H$5=$A15-1,1-Supuestos!$B$68,0))*$B15*H$7</f>
        <v>52075.345566889926</v>
      </c>
    </row>
    <row r="23" spans="1:8" x14ac:dyDescent="0.25">
      <c r="A23" s="32">
        <f>A16</f>
        <v>2033</v>
      </c>
      <c r="C23" s="34">
        <f>IF(C$5=$A16-2,Supuestos!$B$68,IF(C$5=$A16-1,1-Supuestos!$B$68,0))*$B16*C$7</f>
        <v>0</v>
      </c>
      <c r="D23" s="34">
        <f>IF(D$5=$A16-2,Supuestos!$B$68,IF(D$5=$A16-1,1-Supuestos!$B$68,0))*$B16*D$7</f>
        <v>0</v>
      </c>
      <c r="E23" s="34">
        <f>IF(E$5=$A16-2,Supuestos!$B$68,IF(E$5=$A16-1,1-Supuestos!$B$68,0))*$B16*E$7</f>
        <v>0</v>
      </c>
      <c r="F23" s="34">
        <f>IF(F$5=$A16-2,Supuestos!$B$68,IF(F$5=$A16-1,1-Supuestos!$B$68,0))*$B16*F$7</f>
        <v>0</v>
      </c>
      <c r="G23" s="34">
        <f>IF(G$5=$A16-2,Supuestos!$B$68,IF(G$5=$A16-1,1-Supuestos!$B$68,0))*$B16*G$7</f>
        <v>0</v>
      </c>
      <c r="H23" s="34">
        <f>IF(H$5=$A16-2,Supuestos!$B$68,IF(H$5=$A16-1,1-Supuestos!$B$68,0))*$B16*H$7</f>
        <v>52075.345566889926</v>
      </c>
    </row>
    <row r="24" spans="1:8" x14ac:dyDescent="0.25">
      <c r="A24" s="3" t="s">
        <v>345</v>
      </c>
      <c r="C24" s="42">
        <f t="shared" ref="C24:H24" si="0">SUM(C19:C23)</f>
        <v>0</v>
      </c>
      <c r="D24" s="42">
        <f t="shared" si="0"/>
        <v>46268.270051915388</v>
      </c>
      <c r="E24" s="42">
        <f t="shared" si="0"/>
        <v>95312.6363069457</v>
      </c>
      <c r="F24" s="42">
        <f t="shared" si="0"/>
        <v>98172.015396154064</v>
      </c>
      <c r="G24" s="42">
        <f t="shared" si="0"/>
        <v>101117.1758580387</v>
      </c>
      <c r="H24" s="42">
        <f t="shared" si="0"/>
        <v>104150.69113377985</v>
      </c>
    </row>
    <row r="26" spans="1:8" x14ac:dyDescent="0.25">
      <c r="A26" s="3" t="s">
        <v>346</v>
      </c>
    </row>
    <row r="27" spans="1:8" x14ac:dyDescent="0.25">
      <c r="A27" s="32">
        <f>A12</f>
        <v>2029</v>
      </c>
      <c r="C27" s="34">
        <f>IF(C$5&gt;=$A12,$B12*C$8/1000000*IF(C$5-$A12=0,Supuestos!$B$78,IF(C$5-$A12=1,Supuestos!$B$79,Supuestos!$B$80))*$C$39,0)</f>
        <v>0</v>
      </c>
      <c r="D27" s="34">
        <f>IF(D$5&gt;=$A12,$B12*D$8/1000000*IF(D$5-$A12=0,Supuestos!$B$78,IF(D$5-$A12=1,Supuestos!$B$79,Supuestos!$B$80))*$C$39,0)</f>
        <v>0</v>
      </c>
      <c r="E27" s="34">
        <f>IF(E$5&gt;=$A12,$B12*E$8/1000000*IF(E$5-$A12=0,Supuestos!$B$78,IF(E$5-$A12=1,Supuestos!$B$79,Supuestos!$B$80))*$C$39,0)</f>
        <v>0</v>
      </c>
      <c r="F27" s="34">
        <f>IF(F$5&gt;=$A12,$B12*F$8/1000000*IF(F$5-$A12=0,Supuestos!$B$78,IF(F$5-$A12=1,Supuestos!$B$79,Supuestos!$B$80))*$C$39,0)</f>
        <v>3146.2510707944289</v>
      </c>
      <c r="G27" s="34">
        <f>IF(G$5&gt;=$A12,$B12*G$8/1000000*IF(G$5-$A12=0,Supuestos!$B$78,IF(G$5-$A12=1,Supuestos!$B$79,Supuestos!$B$80))*$C$39,0)</f>
        <v>8413.1191548132047</v>
      </c>
      <c r="H27" s="34">
        <f>IF(H$5&gt;=$A12,$B12*H$8/1000000*IF(H$5-$A12=0,Supuestos!$B$78,IF(H$5-$A12=1,Supuestos!$B$79,Supuestos!$B$80))*$C$39,0)</f>
        <v>9695.767084903513</v>
      </c>
    </row>
    <row r="28" spans="1:8" x14ac:dyDescent="0.25">
      <c r="A28" s="32">
        <f>A13</f>
        <v>2030</v>
      </c>
      <c r="C28" s="34">
        <f>IF(C$5&gt;=$A13,$B13*C$8/1000000*IF(C$5-$A13=0,Supuestos!$B$78,IF(C$5-$A13=1,Supuestos!$B$79,Supuestos!$B$80))*$C$39,0)</f>
        <v>0</v>
      </c>
      <c r="D28" s="34">
        <f>IF(D$5&gt;=$A13,$B13*D$8/1000000*IF(D$5-$A13=0,Supuestos!$B$78,IF(D$5-$A13=1,Supuestos!$B$79,Supuestos!$B$80))*$C$39,0)</f>
        <v>0</v>
      </c>
      <c r="E28" s="34">
        <f>IF(E$5&gt;=$A13,$B13*E$8/1000000*IF(E$5-$A13=0,Supuestos!$B$78,IF(E$5-$A13=1,Supuestos!$B$79,Supuestos!$B$80))*$C$39,0)</f>
        <v>0</v>
      </c>
      <c r="F28" s="34">
        <f>IF(F$5&gt;=$A13,$B13*F$8/1000000*IF(F$5-$A13=0,Supuestos!$B$78,IF(F$5-$A13=1,Supuestos!$B$79,Supuestos!$B$80))*$C$39,0)</f>
        <v>0</v>
      </c>
      <c r="G28" s="34">
        <f>IF(G$5&gt;=$A13,$B13*G$8/1000000*IF(G$5-$A13=0,Supuestos!$B$78,IF(G$5-$A13=1,Supuestos!$B$79,Supuestos!$B$80))*$C$39,0)</f>
        <v>3271.7685602051351</v>
      </c>
      <c r="H28" s="34">
        <f>IF(H$5&gt;=$A13,$B13*H$8/1000000*IF(H$5-$A13=0,Supuestos!$B$78,IF(H$5-$A13=1,Supuestos!$B$79,Supuestos!$B$80))*$C$39,0)</f>
        <v>8726.1903764131621</v>
      </c>
    </row>
    <row r="29" spans="1:8" x14ac:dyDescent="0.25">
      <c r="A29" s="32">
        <f>A14</f>
        <v>2031</v>
      </c>
      <c r="C29" s="34">
        <f>IF(C$5&gt;=$A14,$B14*C$8/1000000*IF(C$5-$A14=0,Supuestos!$B$78,IF(C$5-$A14=1,Supuestos!$B$79,Supuestos!$B$80))*$C$39,0)</f>
        <v>0</v>
      </c>
      <c r="D29" s="34">
        <f>IF(D$5&gt;=$A14,$B14*D$8/1000000*IF(D$5-$A14=0,Supuestos!$B$78,IF(D$5-$A14=1,Supuestos!$B$79,Supuestos!$B$80))*$C$39,0)</f>
        <v>0</v>
      </c>
      <c r="E29" s="34">
        <f>IF(E$5&gt;=$A14,$B14*E$8/1000000*IF(E$5-$A14=0,Supuestos!$B$78,IF(E$5-$A14=1,Supuestos!$B$79,Supuestos!$B$80))*$C$39,0)</f>
        <v>0</v>
      </c>
      <c r="F29" s="34">
        <f>IF(F$5&gt;=$A14,$B14*F$8/1000000*IF(F$5-$A14=0,Supuestos!$B$78,IF(F$5-$A14=1,Supuestos!$B$79,Supuestos!$B$80))*$C$39,0)</f>
        <v>0</v>
      </c>
      <c r="G29" s="34">
        <f>IF(G$5&gt;=$A14,$B14*G$8/1000000*IF(G$5-$A14=0,Supuestos!$B$78,IF(G$5-$A14=1,Supuestos!$B$79,Supuestos!$B$80))*$C$39,0)</f>
        <v>0</v>
      </c>
      <c r="H29" s="34">
        <f>IF(H$5&gt;=$A14,$B14*H$8/1000000*IF(H$5-$A14=0,Supuestos!$B$78,IF(H$5-$A14=1,Supuestos!$B$79,Supuestos!$B$80))*$C$39,0)</f>
        <v>3393.5184797162292</v>
      </c>
    </row>
    <row r="30" spans="1:8" x14ac:dyDescent="0.25">
      <c r="A30" s="32">
        <f>A15</f>
        <v>2032</v>
      </c>
      <c r="C30" s="34">
        <f>IF(C$5&gt;=$A15,$B15*C$8/1000000*IF(C$5-$A15=0,Supuestos!$B$78,IF(C$5-$A15=1,Supuestos!$B$79,Supuestos!$B$80))*$C$39,0)</f>
        <v>0</v>
      </c>
      <c r="D30" s="34">
        <f>IF(D$5&gt;=$A15,$B15*D$8/1000000*IF(D$5-$A15=0,Supuestos!$B$78,IF(D$5-$A15=1,Supuestos!$B$79,Supuestos!$B$80))*$C$39,0)</f>
        <v>0</v>
      </c>
      <c r="E30" s="34">
        <f>IF(E$5&gt;=$A15,$B15*E$8/1000000*IF(E$5-$A15=0,Supuestos!$B$78,IF(E$5-$A15=1,Supuestos!$B$79,Supuestos!$B$80))*$C$39,0)</f>
        <v>0</v>
      </c>
      <c r="F30" s="34">
        <f>IF(F$5&gt;=$A15,$B15*F$8/1000000*IF(F$5-$A15=0,Supuestos!$B$78,IF(F$5-$A15=1,Supuestos!$B$79,Supuestos!$B$80))*$C$39,0)</f>
        <v>0</v>
      </c>
      <c r="G30" s="34">
        <f>IF(G$5&gt;=$A15,$B15*G$8/1000000*IF(G$5-$A15=0,Supuestos!$B$78,IF(G$5-$A15=1,Supuestos!$B$79,Supuestos!$B$80))*$C$39,0)</f>
        <v>0</v>
      </c>
      <c r="H30" s="34">
        <f>IF(H$5&gt;=$A15,$B15*H$8/1000000*IF(H$5-$A15=0,Supuestos!$B$78,IF(H$5-$A15=1,Supuestos!$B$79,Supuestos!$B$80))*$C$39,0)</f>
        <v>0</v>
      </c>
    </row>
    <row r="31" spans="1:8" x14ac:dyDescent="0.25">
      <c r="A31" s="32">
        <f>A16</f>
        <v>2033</v>
      </c>
      <c r="C31" s="34">
        <f>IF(C$5&gt;=$A16,$B16*C$8/1000000*IF(C$5-$A16=0,Supuestos!$B$78,IF(C$5-$A16=1,Supuestos!$B$79,Supuestos!$B$80))*$C$39,0)</f>
        <v>0</v>
      </c>
      <c r="D31" s="34">
        <f>IF(D$5&gt;=$A16,$B16*D$8/1000000*IF(D$5-$A16=0,Supuestos!$B$78,IF(D$5-$A16=1,Supuestos!$B$79,Supuestos!$B$80))*$C$39,0)</f>
        <v>0</v>
      </c>
      <c r="E31" s="34">
        <f>IF(E$5&gt;=$A16,$B16*E$8/1000000*IF(E$5-$A16=0,Supuestos!$B$78,IF(E$5-$A16=1,Supuestos!$B$79,Supuestos!$B$80))*$C$39,0)</f>
        <v>0</v>
      </c>
      <c r="F31" s="34">
        <f>IF(F$5&gt;=$A16,$B16*F$8/1000000*IF(F$5-$A16=0,Supuestos!$B$78,IF(F$5-$A16=1,Supuestos!$B$79,Supuestos!$B$80))*$C$39,0)</f>
        <v>0</v>
      </c>
      <c r="G31" s="34">
        <f>IF(G$5&gt;=$A16,$B16*G$8/1000000*IF(G$5-$A16=0,Supuestos!$B$78,IF(G$5-$A16=1,Supuestos!$B$79,Supuestos!$B$80))*$C$39,0)</f>
        <v>0</v>
      </c>
      <c r="H31" s="34">
        <f>IF(H$5&gt;=$A16,$B16*H$8/1000000*IF(H$5-$A16=0,Supuestos!$B$78,IF(H$5-$A16=1,Supuestos!$B$79,Supuestos!$B$80))*$C$39,0)</f>
        <v>0</v>
      </c>
    </row>
    <row r="32" spans="1:8" x14ac:dyDescent="0.25">
      <c r="A32" s="3" t="s">
        <v>345</v>
      </c>
      <c r="C32" s="42">
        <f t="shared" ref="C32:H32" si="1">SUM(C27:C31)</f>
        <v>0</v>
      </c>
      <c r="D32" s="42">
        <f t="shared" si="1"/>
        <v>0</v>
      </c>
      <c r="E32" s="42">
        <f t="shared" si="1"/>
        <v>0</v>
      </c>
      <c r="F32" s="42">
        <f t="shared" si="1"/>
        <v>3146.2510707944289</v>
      </c>
      <c r="G32" s="42">
        <f t="shared" si="1"/>
        <v>11684.88771501834</v>
      </c>
      <c r="H32" s="42">
        <f t="shared" si="1"/>
        <v>21815.475941032906</v>
      </c>
    </row>
    <row r="33" spans="1:10" x14ac:dyDescent="0.25">
      <c r="A33" s="3" t="s">
        <v>347</v>
      </c>
      <c r="C33" s="42">
        <f t="shared" ref="C33:H33" si="2">C32*C9</f>
        <v>0</v>
      </c>
      <c r="D33" s="42">
        <f t="shared" si="2"/>
        <v>0</v>
      </c>
      <c r="E33" s="42">
        <f t="shared" si="2"/>
        <v>0</v>
      </c>
      <c r="F33" s="42">
        <f t="shared" si="2"/>
        <v>2545.3857894973585</v>
      </c>
      <c r="G33" s="42">
        <f t="shared" si="2"/>
        <v>9453.3292075034387</v>
      </c>
      <c r="H33" s="42">
        <f t="shared" si="2"/>
        <v>17649.196202706622</v>
      </c>
    </row>
    <row r="35" spans="1:10" x14ac:dyDescent="0.25">
      <c r="A35" s="3" t="s">
        <v>348</v>
      </c>
    </row>
    <row r="36" spans="1:10" x14ac:dyDescent="0.25">
      <c r="A36" s="4" t="s">
        <v>349</v>
      </c>
      <c r="C36" s="26">
        <f>C8*C9/(C7*1000000)</f>
        <v>6.9018970747426411E-2</v>
      </c>
      <c r="J36" s="2" t="s">
        <v>350</v>
      </c>
    </row>
    <row r="37" spans="1:10" x14ac:dyDescent="0.25">
      <c r="A37" s="4" t="s">
        <v>351</v>
      </c>
      <c r="C37" s="26">
        <f>IF(Supuestos!$B$81="",C36,Supuestos!$B$81)</f>
        <v>6.9018970747426411E-2</v>
      </c>
    </row>
    <row r="38" spans="1:10" x14ac:dyDescent="0.25">
      <c r="A38" s="3" t="s">
        <v>352</v>
      </c>
      <c r="C38" s="35">
        <f>C37*(1-Supuestos!$B$59)</f>
        <v>5.0383848645621281E-2</v>
      </c>
      <c r="J38" s="2" t="s">
        <v>353</v>
      </c>
    </row>
    <row r="39" spans="1:10" x14ac:dyDescent="0.25">
      <c r="A39" s="4" t="s">
        <v>354</v>
      </c>
      <c r="C39" s="31">
        <f>C37/C36</f>
        <v>1</v>
      </c>
      <c r="J39" s="2" t="s">
        <v>355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showGridLines="0" zoomScaleNormal="100" workbookViewId="0"/>
  </sheetViews>
  <sheetFormatPr baseColWidth="10" defaultColWidth="8.7109375" defaultRowHeight="15" x14ac:dyDescent="0.25"/>
  <cols>
    <col min="1" max="1" width="75" customWidth="1"/>
    <col min="2" max="2" width="2" customWidth="1"/>
    <col min="3" max="6" width="12" customWidth="1"/>
    <col min="7" max="7" width="90" customWidth="1"/>
  </cols>
  <sheetData>
    <row r="1" spans="1:7" ht="15.75" x14ac:dyDescent="0.25">
      <c r="A1" s="1" t="s">
        <v>356</v>
      </c>
    </row>
    <row r="4" spans="1:7" x14ac:dyDescent="0.25">
      <c r="A4" s="3" t="s">
        <v>357</v>
      </c>
    </row>
    <row r="5" spans="1:7" x14ac:dyDescent="0.25">
      <c r="A5" s="10" t="s">
        <v>358</v>
      </c>
      <c r="C5" s="10" t="s">
        <v>359</v>
      </c>
      <c r="D5" s="10" t="s">
        <v>360</v>
      </c>
      <c r="E5" s="10" t="s">
        <v>361</v>
      </c>
      <c r="F5" s="10" t="s">
        <v>362</v>
      </c>
      <c r="G5" s="10" t="s">
        <v>363</v>
      </c>
    </row>
    <row r="6" spans="1:7" x14ac:dyDescent="0.25">
      <c r="A6" s="4" t="s">
        <v>364</v>
      </c>
      <c r="C6" s="13">
        <v>109044.234</v>
      </c>
      <c r="D6" s="13">
        <v>111058.299</v>
      </c>
      <c r="E6" s="13">
        <v>122369.806</v>
      </c>
      <c r="F6" s="13">
        <v>96333.759999999995</v>
      </c>
      <c r="G6" s="2" t="s">
        <v>365</v>
      </c>
    </row>
    <row r="7" spans="1:7" x14ac:dyDescent="0.25">
      <c r="A7" s="4" t="s">
        <v>366</v>
      </c>
      <c r="C7" s="13">
        <v>45909.292000000001</v>
      </c>
      <c r="D7" s="13">
        <v>19565.383999999998</v>
      </c>
      <c r="E7" s="13">
        <v>13695.593999999999</v>
      </c>
      <c r="F7" s="13">
        <v>9043.3539999999994</v>
      </c>
      <c r="G7" s="2" t="s">
        <v>367</v>
      </c>
    </row>
    <row r="8" spans="1:7" x14ac:dyDescent="0.25">
      <c r="A8" s="4" t="s">
        <v>368</v>
      </c>
      <c r="C8" s="13">
        <v>115756.871</v>
      </c>
      <c r="D8" s="13">
        <v>95843.191000000006</v>
      </c>
      <c r="E8" s="13">
        <v>122277.679</v>
      </c>
      <c r="F8" s="13">
        <v>169311.26199999999</v>
      </c>
      <c r="G8" s="2" t="s">
        <v>369</v>
      </c>
    </row>
    <row r="9" spans="1:7" x14ac:dyDescent="0.25">
      <c r="A9" s="4" t="s">
        <v>370</v>
      </c>
      <c r="C9" s="13">
        <v>59262</v>
      </c>
      <c r="D9" s="13">
        <v>71491.5</v>
      </c>
      <c r="E9" s="13">
        <v>110793.60000000001</v>
      </c>
      <c r="F9" s="34"/>
      <c r="G9" s="2" t="s">
        <v>371</v>
      </c>
    </row>
    <row r="10" spans="1:7" x14ac:dyDescent="0.25">
      <c r="A10" s="4" t="s">
        <v>372</v>
      </c>
      <c r="C10" s="34">
        <f>C8-C9</f>
        <v>56494.870999999999</v>
      </c>
      <c r="D10" s="34">
        <f>D8-D9</f>
        <v>24351.691000000006</v>
      </c>
      <c r="E10" s="34">
        <f>E8-E9</f>
        <v>11484.078999999998</v>
      </c>
      <c r="F10" s="34"/>
      <c r="G10" s="2"/>
    </row>
    <row r="11" spans="1:7" x14ac:dyDescent="0.25">
      <c r="A11" s="4" t="s">
        <v>373</v>
      </c>
      <c r="C11" s="13">
        <v>34486.697999999997</v>
      </c>
      <c r="D11" s="13">
        <v>2641.6129999999998</v>
      </c>
      <c r="E11" s="13">
        <v>2296.174</v>
      </c>
      <c r="F11" s="13">
        <v>2306.4679999999998</v>
      </c>
      <c r="G11" s="2"/>
    </row>
    <row r="12" spans="1:7" x14ac:dyDescent="0.25">
      <c r="A12" s="4" t="s">
        <v>374</v>
      </c>
      <c r="C12" s="13">
        <v>10367.061</v>
      </c>
      <c r="D12" s="13">
        <v>23176.757000000001</v>
      </c>
      <c r="E12" s="13">
        <v>20246.646000000001</v>
      </c>
      <c r="F12" s="13">
        <v>14591.09</v>
      </c>
      <c r="G12" s="2" t="s">
        <v>375</v>
      </c>
    </row>
    <row r="13" spans="1:7" x14ac:dyDescent="0.25">
      <c r="A13" s="4" t="s">
        <v>376</v>
      </c>
      <c r="C13" s="13">
        <v>419904</v>
      </c>
      <c r="D13" s="13">
        <v>494605</v>
      </c>
      <c r="E13" s="13">
        <v>653911</v>
      </c>
      <c r="F13" s="34"/>
      <c r="G13" s="2" t="s">
        <v>377</v>
      </c>
    </row>
    <row r="14" spans="1:7" x14ac:dyDescent="0.25">
      <c r="A14" s="2" t="s">
        <v>378</v>
      </c>
    </row>
    <row r="16" spans="1:7" x14ac:dyDescent="0.25">
      <c r="A16" s="3" t="s">
        <v>379</v>
      </c>
    </row>
    <row r="17" spans="1:7" x14ac:dyDescent="0.25">
      <c r="A17" s="3" t="s">
        <v>380</v>
      </c>
      <c r="C17" s="42">
        <f>C6+C7-C10-C11-C12</f>
        <v>53604.896000000015</v>
      </c>
      <c r="D17" s="42">
        <f>D6+D7-D10-D11-D12</f>
        <v>80453.621999999988</v>
      </c>
      <c r="E17" s="42">
        <f>E6+E7-E10-E11-E12</f>
        <v>102038.50099999999</v>
      </c>
    </row>
    <row r="18" spans="1:7" x14ac:dyDescent="0.25">
      <c r="A18" s="4" t="s">
        <v>381</v>
      </c>
      <c r="C18" s="26">
        <f>C17/C13</f>
        <v>0.12765988416399943</v>
      </c>
      <c r="D18" s="26">
        <f>D17/D13</f>
        <v>0.16266237098290554</v>
      </c>
      <c r="E18" s="26">
        <f>E17/E13</f>
        <v>0.15604340804788416</v>
      </c>
    </row>
    <row r="19" spans="1:7" x14ac:dyDescent="0.25">
      <c r="A19" s="4" t="s">
        <v>382</v>
      </c>
      <c r="E19" s="26">
        <f>(E17-C17)/(E13-C13)</f>
        <v>0.20697502638809939</v>
      </c>
      <c r="G19" s="2" t="s">
        <v>383</v>
      </c>
    </row>
    <row r="20" spans="1:7" x14ac:dyDescent="0.25">
      <c r="A20" s="3" t="s">
        <v>384</v>
      </c>
      <c r="F20" s="35">
        <f>E18</f>
        <v>0.15604340804788416</v>
      </c>
      <c r="G20" s="2" t="s">
        <v>385</v>
      </c>
    </row>
    <row r="22" spans="1:7" x14ac:dyDescent="0.25">
      <c r="A22" s="3" t="s">
        <v>386</v>
      </c>
    </row>
    <row r="23" spans="1:7" x14ac:dyDescent="0.25">
      <c r="A23" s="4" t="s">
        <v>387</v>
      </c>
    </row>
    <row r="24" spans="1:7" x14ac:dyDescent="0.25">
      <c r="A24" s="4" t="s">
        <v>388</v>
      </c>
    </row>
    <row r="25" spans="1:7" x14ac:dyDescent="0.25">
      <c r="A25" s="4" t="s">
        <v>389</v>
      </c>
    </row>
    <row r="26" spans="1:7" x14ac:dyDescent="0.25">
      <c r="A26" s="4" t="s">
        <v>390</v>
      </c>
    </row>
    <row r="27" spans="1:7" x14ac:dyDescent="0.25">
      <c r="A27" s="4" t="s">
        <v>391</v>
      </c>
    </row>
    <row r="29" spans="1:7" x14ac:dyDescent="0.25">
      <c r="A29" s="3" t="s">
        <v>392</v>
      </c>
    </row>
    <row r="30" spans="1:7" x14ac:dyDescent="0.25">
      <c r="C30" s="10" t="s">
        <v>393</v>
      </c>
      <c r="D30" s="10" t="s">
        <v>394</v>
      </c>
      <c r="E30" s="10" t="s">
        <v>395</v>
      </c>
    </row>
    <row r="31" spans="1:7" x14ac:dyDescent="0.25">
      <c r="A31" s="4" t="s">
        <v>396</v>
      </c>
      <c r="C31" s="13">
        <v>380637</v>
      </c>
      <c r="D31" s="13">
        <v>526228</v>
      </c>
      <c r="E31" s="13">
        <v>270574</v>
      </c>
    </row>
    <row r="32" spans="1:7" x14ac:dyDescent="0.25">
      <c r="A32" s="4" t="s">
        <v>397</v>
      </c>
      <c r="C32" s="13">
        <v>300822</v>
      </c>
      <c r="D32" s="13">
        <v>441135</v>
      </c>
      <c r="E32" s="13">
        <v>258193</v>
      </c>
    </row>
    <row r="33" spans="1:7" x14ac:dyDescent="0.25">
      <c r="A33" s="4" t="s">
        <v>398</v>
      </c>
      <c r="C33" s="34">
        <f>C31-C32</f>
        <v>79815</v>
      </c>
      <c r="D33" s="34">
        <f>D31-D32</f>
        <v>85093</v>
      </c>
      <c r="E33" s="34">
        <f>E31-E32</f>
        <v>12381</v>
      </c>
      <c r="G33" s="2" t="s">
        <v>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5" sqref="C15"/>
    </sheetView>
  </sheetViews>
  <sheetFormatPr baseColWidth="10" defaultColWidth="8.7109375" defaultRowHeight="15" x14ac:dyDescent="0.25"/>
  <cols>
    <col min="1" max="1" width="64" customWidth="1"/>
    <col min="3" max="9" width="14" customWidth="1"/>
    <col min="10" max="10" width="80" customWidth="1"/>
  </cols>
  <sheetData>
    <row r="1" spans="1:9" ht="15.75" x14ac:dyDescent="0.25">
      <c r="A1" s="1" t="s">
        <v>400</v>
      </c>
    </row>
    <row r="2" spans="1:9" x14ac:dyDescent="0.25">
      <c r="A2" s="2" t="s">
        <v>401</v>
      </c>
    </row>
    <row r="4" spans="1:9" x14ac:dyDescent="0.25">
      <c r="A4" s="10" t="s">
        <v>46</v>
      </c>
      <c r="B4" s="36"/>
      <c r="C4" s="37" t="s">
        <v>278</v>
      </c>
      <c r="D4" s="37" t="s">
        <v>279</v>
      </c>
      <c r="E4" s="37" t="s">
        <v>280</v>
      </c>
      <c r="F4" s="37" t="s">
        <v>281</v>
      </c>
      <c r="G4" s="37" t="s">
        <v>282</v>
      </c>
      <c r="H4" s="37" t="s">
        <v>283</v>
      </c>
      <c r="I4" s="37" t="s">
        <v>402</v>
      </c>
    </row>
    <row r="5" spans="1:9" x14ac:dyDescent="0.25">
      <c r="A5" s="4" t="s">
        <v>403</v>
      </c>
      <c r="C5" s="45">
        <f>Forecast_Base!C6</f>
        <v>364468.93502974405</v>
      </c>
      <c r="D5" s="45">
        <f>Forecast_Base!D6</f>
        <v>767179.42311749002</v>
      </c>
      <c r="E5" s="45">
        <f>Forecast_Base!E6</f>
        <v>820506.70251456404</v>
      </c>
      <c r="F5" s="45">
        <f>Forecast_Base!F6</f>
        <v>866951.61134404899</v>
      </c>
      <c r="G5" s="45">
        <f>Forecast_Base!G6</f>
        <v>904202.83057907701</v>
      </c>
      <c r="H5" s="45">
        <f>Forecast_Base!H6</f>
        <v>939524.47470748494</v>
      </c>
    </row>
    <row r="6" spans="1:9" x14ac:dyDescent="0.25">
      <c r="A6" s="4" t="s">
        <v>404</v>
      </c>
      <c r="C6" s="45">
        <f>Expansion!C32</f>
        <v>0</v>
      </c>
      <c r="D6" s="45">
        <f>Expansion!D32</f>
        <v>0</v>
      </c>
      <c r="E6" s="45">
        <f>Expansion!E32</f>
        <v>0</v>
      </c>
      <c r="F6" s="45">
        <f>Expansion!F32</f>
        <v>3146.2510707944289</v>
      </c>
      <c r="G6" s="45">
        <f>Expansion!G32</f>
        <v>11684.88771501834</v>
      </c>
      <c r="H6" s="45">
        <f>Expansion!H32</f>
        <v>21815.475941032906</v>
      </c>
    </row>
    <row r="7" spans="1:9" x14ac:dyDescent="0.25">
      <c r="A7" s="3" t="s">
        <v>405</v>
      </c>
      <c r="C7" s="42">
        <f t="shared" ref="C7:H7" si="0">C5+C6</f>
        <v>364468.93502974405</v>
      </c>
      <c r="D7" s="42">
        <f t="shared" si="0"/>
        <v>767179.42311749002</v>
      </c>
      <c r="E7" s="42">
        <f t="shared" si="0"/>
        <v>820506.70251456404</v>
      </c>
      <c r="F7" s="42">
        <f t="shared" si="0"/>
        <v>870097.8624148434</v>
      </c>
      <c r="G7" s="42">
        <f t="shared" si="0"/>
        <v>915887.71829409536</v>
      </c>
      <c r="H7" s="42">
        <f t="shared" si="0"/>
        <v>961339.95064851781</v>
      </c>
      <c r="I7" s="42">
        <f>C34*(1+Supuestos!$B$88)</f>
        <v>1007656.769338512</v>
      </c>
    </row>
    <row r="8" spans="1:9" x14ac:dyDescent="0.25">
      <c r="A8" s="4" t="s">
        <v>406</v>
      </c>
      <c r="C8" s="26">
        <f>(Forecast_Base!C5+C6)/Supuestos!$B$56-1</f>
        <v>7.6597480436548793E-2</v>
      </c>
      <c r="D8" s="26">
        <f>D7/Forecast_Base!C5-1</f>
        <v>8.9745147249514767E-2</v>
      </c>
      <c r="E8" s="26">
        <f>E7/D7-1</f>
        <v>6.9510831221690772E-2</v>
      </c>
      <c r="F8" s="26">
        <f>F7/E7-1</f>
        <v>6.0439676785454477E-2</v>
      </c>
      <c r="G8" s="26">
        <f>G7/F7-1</f>
        <v>5.2626098577197133E-2</v>
      </c>
      <c r="H8" s="26">
        <f>H7/G7-1</f>
        <v>4.9626424120066126E-2</v>
      </c>
    </row>
    <row r="9" spans="1:9" x14ac:dyDescent="0.25">
      <c r="A9" s="4" t="s">
        <v>407</v>
      </c>
      <c r="C9" s="45">
        <f>Forecast_Base!C8</f>
        <v>290741.40502749605</v>
      </c>
      <c r="D9" s="45">
        <f>Forecast_Base!D8</f>
        <v>611360.36024671898</v>
      </c>
      <c r="E9" s="45">
        <f>Forecast_Base!E8</f>
        <v>654236.22558363702</v>
      </c>
      <c r="F9" s="45">
        <f>Forecast_Base!F8</f>
        <v>691459.84266888199</v>
      </c>
      <c r="G9" s="45">
        <f>Forecast_Base!G8</f>
        <v>721124.37189562398</v>
      </c>
      <c r="H9" s="45">
        <f>Forecast_Base!H8</f>
        <v>749208.57920213195</v>
      </c>
    </row>
    <row r="10" spans="1:9" x14ac:dyDescent="0.25">
      <c r="A10" s="4" t="s">
        <v>408</v>
      </c>
      <c r="C10" s="45">
        <f>Expansion!C33</f>
        <v>0</v>
      </c>
      <c r="D10" s="45">
        <f>Expansion!D33</f>
        <v>0</v>
      </c>
      <c r="E10" s="45">
        <f>Expansion!E33</f>
        <v>0</v>
      </c>
      <c r="F10" s="45">
        <f>Expansion!F33</f>
        <v>2545.3857894973585</v>
      </c>
      <c r="G10" s="45">
        <f>Expansion!G33</f>
        <v>9453.3292075034387</v>
      </c>
      <c r="H10" s="45">
        <f>Expansion!H33</f>
        <v>17649.196202706622</v>
      </c>
    </row>
    <row r="11" spans="1:9" x14ac:dyDescent="0.25">
      <c r="A11" s="3" t="s">
        <v>409</v>
      </c>
      <c r="C11" s="42">
        <f t="shared" ref="C11:H11" si="1">C9+C10</f>
        <v>290741.40502749605</v>
      </c>
      <c r="D11" s="42">
        <f t="shared" si="1"/>
        <v>611360.36024671898</v>
      </c>
      <c r="E11" s="42">
        <f t="shared" si="1"/>
        <v>654236.22558363702</v>
      </c>
      <c r="F11" s="42">
        <f t="shared" si="1"/>
        <v>694005.2284583794</v>
      </c>
      <c r="G11" s="42">
        <f t="shared" si="1"/>
        <v>730577.70110312745</v>
      </c>
      <c r="H11" s="42">
        <f t="shared" si="1"/>
        <v>766857.77540483861</v>
      </c>
      <c r="I11" s="42">
        <f>C35*(1+Supuestos!$B$88)</f>
        <v>804002.47584715206</v>
      </c>
    </row>
    <row r="12" spans="1:9" x14ac:dyDescent="0.25">
      <c r="A12" s="4" t="s">
        <v>313</v>
      </c>
      <c r="C12" s="26">
        <f t="shared" ref="C12:I12" si="2">C11/C7</f>
        <v>0.79771244428216859</v>
      </c>
      <c r="D12" s="26">
        <f t="shared" si="2"/>
        <v>0.79689358424449286</v>
      </c>
      <c r="E12" s="26">
        <f t="shared" si="2"/>
        <v>0.7973563452664475</v>
      </c>
      <c r="F12" s="26">
        <f t="shared" si="2"/>
        <v>0.79761743872379842</v>
      </c>
      <c r="G12" s="26">
        <f t="shared" si="2"/>
        <v>0.79767168672583499</v>
      </c>
      <c r="H12" s="26">
        <f t="shared" si="2"/>
        <v>0.79769677197698696</v>
      </c>
      <c r="I12" s="26">
        <f t="shared" si="2"/>
        <v>0.79789319172137241</v>
      </c>
    </row>
    <row r="13" spans="1:9" x14ac:dyDescent="0.25">
      <c r="A13" s="4" t="s">
        <v>410</v>
      </c>
      <c r="C13" s="34">
        <f>Supuestos!$B$57*C7</f>
        <v>2564.5567901634204</v>
      </c>
      <c r="D13" s="34">
        <f>Supuestos!$B$57*D7</f>
        <v>5398.1972391393265</v>
      </c>
      <c r="E13" s="34">
        <f>Supuestos!$B$57*E7</f>
        <v>5773.4304163305378</v>
      </c>
      <c r="F13" s="34">
        <f>Supuestos!$B$57*F7</f>
        <v>6122.3746846368676</v>
      </c>
      <c r="G13" s="34">
        <f>Supuestos!$B$57*G7</f>
        <v>6444.5713783171032</v>
      </c>
      <c r="H13" s="34">
        <f>Supuestos!$B$57*H7</f>
        <v>6764.3924108095071</v>
      </c>
      <c r="I13" s="34">
        <f>Supuestos!$B$57*I7</f>
        <v>7090.2970365645078</v>
      </c>
    </row>
    <row r="14" spans="1:9" x14ac:dyDescent="0.25">
      <c r="A14" s="4" t="s">
        <v>411</v>
      </c>
      <c r="C14" s="34">
        <f t="shared" ref="C14:I14" si="3">C11-C13</f>
        <v>288176.84823733266</v>
      </c>
      <c r="D14" s="34">
        <f t="shared" si="3"/>
        <v>605962.16300757963</v>
      </c>
      <c r="E14" s="34">
        <f t="shared" si="3"/>
        <v>648462.79516730644</v>
      </c>
      <c r="F14" s="34">
        <f t="shared" si="3"/>
        <v>687882.85377374256</v>
      </c>
      <c r="G14" s="34">
        <f t="shared" si="3"/>
        <v>724133.12972481037</v>
      </c>
      <c r="H14" s="34">
        <f t="shared" si="3"/>
        <v>760093.38299402909</v>
      </c>
      <c r="I14" s="34">
        <f t="shared" si="3"/>
        <v>796912.1788105875</v>
      </c>
    </row>
    <row r="15" spans="1:9" x14ac:dyDescent="0.25">
      <c r="A15" s="4" t="s">
        <v>412</v>
      </c>
      <c r="C15" s="7">
        <f>Forecast_Base!C11</f>
        <v>0.16800000000000001</v>
      </c>
      <c r="D15" s="7">
        <f>Forecast_Base!D11</f>
        <v>0.19</v>
      </c>
      <c r="E15" s="7">
        <f>Forecast_Base!E11</f>
        <v>0.215</v>
      </c>
      <c r="F15" s="7">
        <f>Forecast_Base!F11</f>
        <v>0.24</v>
      </c>
      <c r="G15" s="7">
        <f>Forecast_Base!G11</f>
        <v>0.27</v>
      </c>
      <c r="H15" s="7">
        <f>Forecast_Base!H11</f>
        <v>0.27</v>
      </c>
      <c r="I15" s="7">
        <f>Supuestos!$B$59</f>
        <v>0.27</v>
      </c>
    </row>
    <row r="16" spans="1:9" x14ac:dyDescent="0.25">
      <c r="A16" s="4" t="s">
        <v>413</v>
      </c>
      <c r="C16" s="34">
        <f t="shared" ref="C16:I16" si="4">-C14*C15</f>
        <v>-48413.710503871887</v>
      </c>
      <c r="D16" s="34">
        <f t="shared" si="4"/>
        <v>-115132.81097144014</v>
      </c>
      <c r="E16" s="34">
        <f t="shared" si="4"/>
        <v>-139419.50096097088</v>
      </c>
      <c r="F16" s="34">
        <f t="shared" si="4"/>
        <v>-165091.88490569821</v>
      </c>
      <c r="G16" s="34">
        <f t="shared" si="4"/>
        <v>-195515.94502569881</v>
      </c>
      <c r="H16" s="34">
        <f t="shared" si="4"/>
        <v>-205225.21340838788</v>
      </c>
      <c r="I16" s="34">
        <f t="shared" si="4"/>
        <v>-215166.28827885864</v>
      </c>
    </row>
    <row r="17" spans="1:10" x14ac:dyDescent="0.25">
      <c r="A17" s="3" t="s">
        <v>414</v>
      </c>
      <c r="C17" s="42">
        <f t="shared" ref="C17:I17" si="5">C14+C16</f>
        <v>239763.13773346075</v>
      </c>
      <c r="D17" s="42">
        <f t="shared" si="5"/>
        <v>490829.35203613946</v>
      </c>
      <c r="E17" s="42">
        <f t="shared" si="5"/>
        <v>509043.29420633556</v>
      </c>
      <c r="F17" s="42">
        <f t="shared" si="5"/>
        <v>522790.96886804432</v>
      </c>
      <c r="G17" s="42">
        <f t="shared" si="5"/>
        <v>528617.18469911162</v>
      </c>
      <c r="H17" s="42">
        <f t="shared" si="5"/>
        <v>554868.16958564124</v>
      </c>
      <c r="I17" s="42">
        <f t="shared" si="5"/>
        <v>581745.89053172886</v>
      </c>
    </row>
    <row r="18" spans="1:10" x14ac:dyDescent="0.25">
      <c r="A18" s="4" t="s">
        <v>415</v>
      </c>
      <c r="C18" s="34">
        <f t="shared" ref="C18:I18" si="6">C13</f>
        <v>2564.5567901634204</v>
      </c>
      <c r="D18" s="34">
        <f t="shared" si="6"/>
        <v>5398.1972391393265</v>
      </c>
      <c r="E18" s="34">
        <f t="shared" si="6"/>
        <v>5773.4304163305378</v>
      </c>
      <c r="F18" s="34">
        <f t="shared" si="6"/>
        <v>6122.3746846368676</v>
      </c>
      <c r="G18" s="34">
        <f t="shared" si="6"/>
        <v>6444.5713783171032</v>
      </c>
      <c r="H18" s="34">
        <f t="shared" si="6"/>
        <v>6764.3924108095071</v>
      </c>
      <c r="I18" s="34">
        <f t="shared" si="6"/>
        <v>7090.2970365645078</v>
      </c>
    </row>
    <row r="19" spans="1:10" x14ac:dyDescent="0.25">
      <c r="A19" s="4" t="s">
        <v>416</v>
      </c>
      <c r="C19" s="34">
        <f>-Forecast_Base!C16</f>
        <v>-124994.03271331795</v>
      </c>
      <c r="D19" s="34">
        <f>-Forecast_Base!D16</f>
        <v>-240659.93827146196</v>
      </c>
      <c r="E19" s="34">
        <f>-Forecast_Base!E16</f>
        <v>-151494.99863830104</v>
      </c>
      <c r="F19" s="34">
        <f>-Forecast_Base!F16</f>
        <v>-47682.338623922697</v>
      </c>
      <c r="G19" s="34">
        <f>-Forecast_Base!G16</f>
        <v>-49731.155681849239</v>
      </c>
      <c r="H19" s="34">
        <f>-Forecast_Base!H16</f>
        <v>-51673.846108911675</v>
      </c>
      <c r="I19" s="34">
        <f>-Supuestos!$B$58*I7</f>
        <v>-55421.122313618158</v>
      </c>
      <c r="J19" s="2" t="s">
        <v>417</v>
      </c>
    </row>
    <row r="20" spans="1:10" x14ac:dyDescent="0.25">
      <c r="A20" s="4" t="s">
        <v>418</v>
      </c>
      <c r="C20" s="34">
        <f>-Expansion!C24</f>
        <v>0</v>
      </c>
      <c r="D20" s="34">
        <f>-Expansion!D24</f>
        <v>-46268.270051915388</v>
      </c>
      <c r="E20" s="34">
        <f>-Expansion!E24</f>
        <v>-95312.6363069457</v>
      </c>
      <c r="F20" s="34">
        <f>-Expansion!F24</f>
        <v>-98172.015396154064</v>
      </c>
      <c r="G20" s="34">
        <f>-Expansion!G24</f>
        <v>-101117.1758580387</v>
      </c>
      <c r="H20" s="34">
        <f>-Expansion!H24</f>
        <v>-104150.69113377985</v>
      </c>
      <c r="I20" s="34">
        <f>-Supuestos!$B$89/Expansion!$C$38*I17</f>
        <v>0</v>
      </c>
      <c r="J20" s="2" t="s">
        <v>419</v>
      </c>
    </row>
    <row r="21" spans="1:10" x14ac:dyDescent="0.25">
      <c r="A21" s="4" t="s">
        <v>420</v>
      </c>
      <c r="C21" s="34">
        <f>-Supuestos!$B$84*Supuestos!$B$85*(Forecast_Base!C5-Supuestos!$B$56)/2</f>
        <v>-3907.9460420611313</v>
      </c>
      <c r="D21" s="34">
        <f>-Supuestos!$B$84*Supuestos!$B$85*(D7-Forecast_Base!C5)</f>
        <v>-9858.8986833406288</v>
      </c>
      <c r="E21" s="34">
        <f>-Supuestos!$B$84*Supuestos!$B$85*(E7-D7)</f>
        <v>-8321.3704190411463</v>
      </c>
      <c r="F21" s="34">
        <f>-Supuestos!$B$84*Supuestos!$B$85*(F7-E7)</f>
        <v>-7738.3735998871634</v>
      </c>
      <c r="G21" s="34">
        <f>-Supuestos!$B$84*Supuestos!$B$85*(G7-F7)</f>
        <v>-7145.2051654199213</v>
      </c>
      <c r="H21" s="34">
        <f>-Supuestos!$B$84*Supuestos!$B$85*(H7-G7)</f>
        <v>-7092.5212399683851</v>
      </c>
      <c r="I21" s="34">
        <f>-Supuestos!$B$84*Supuestos!$B$85*(I7-C34)</f>
        <v>-4579.7532940806414</v>
      </c>
      <c r="J21" s="2" t="s">
        <v>421</v>
      </c>
    </row>
    <row r="22" spans="1:10" x14ac:dyDescent="0.25">
      <c r="A22" s="3" t="s">
        <v>422</v>
      </c>
      <c r="C22" s="46">
        <f t="shared" ref="C22:I22" si="7">C17+C18+C19+C20+C21</f>
        <v>113425.71576824509</v>
      </c>
      <c r="D22" s="46">
        <f t="shared" si="7"/>
        <v>199440.44226856082</v>
      </c>
      <c r="E22" s="46">
        <f t="shared" si="7"/>
        <v>259687.7192583782</v>
      </c>
      <c r="F22" s="46">
        <f t="shared" si="7"/>
        <v>375320.61593271722</v>
      </c>
      <c r="G22" s="46">
        <f t="shared" si="7"/>
        <v>377068.21937212086</v>
      </c>
      <c r="H22" s="46">
        <f t="shared" si="7"/>
        <v>398715.5035137909</v>
      </c>
      <c r="I22" s="42">
        <f t="shared" si="7"/>
        <v>528835.31196059461</v>
      </c>
    </row>
    <row r="24" spans="1:10" x14ac:dyDescent="0.25">
      <c r="A24" s="3" t="s">
        <v>423</v>
      </c>
    </row>
    <row r="25" spans="1:10" x14ac:dyDescent="0.25">
      <c r="A25" s="4" t="s">
        <v>424</v>
      </c>
      <c r="C25" s="7">
        <f>WACC!C43</f>
        <v>0.10536861207682024</v>
      </c>
      <c r="D25" s="7">
        <f>WACC!D43</f>
        <v>0.10509035847843951</v>
      </c>
      <c r="E25" s="7">
        <f>WACC!E43</f>
        <v>0.10482886504715873</v>
      </c>
      <c r="F25" s="7">
        <f>WACC!F43</f>
        <v>0.10458350888883616</v>
      </c>
      <c r="G25" s="7">
        <f>WACC!G43</f>
        <v>0.10435369759822805</v>
      </c>
      <c r="H25" s="7">
        <f>WACC!H43</f>
        <v>0.10413886741610846</v>
      </c>
      <c r="I25" s="7">
        <f>WACC!I43</f>
        <v>0.10413886741610846</v>
      </c>
    </row>
    <row r="26" spans="1:10" x14ac:dyDescent="0.25">
      <c r="A26" s="4" t="s">
        <v>425</v>
      </c>
      <c r="C26" s="18">
        <v>0.5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</row>
    <row r="27" spans="1:10" x14ac:dyDescent="0.25">
      <c r="A27" s="4" t="s">
        <v>426</v>
      </c>
      <c r="C27" s="43">
        <f>(1+C25)^-C26</f>
        <v>0.95114435751134019</v>
      </c>
      <c r="D27" s="43">
        <f>C27*(1+D25)^-D26</f>
        <v>0.86069374346993466</v>
      </c>
      <c r="E27" s="43">
        <f>D27*(1+E25)^-E26</f>
        <v>0.77902901589487039</v>
      </c>
      <c r="F27" s="43">
        <f>E27*(1+F25)^-F26</f>
        <v>0.70526946095595822</v>
      </c>
      <c r="G27" s="43">
        <f>F27*(1+G25)^-G26</f>
        <v>0.63862643145017151</v>
      </c>
      <c r="H27" s="43">
        <f>G27*(1+H25)^-H26</f>
        <v>0.57839321691906098</v>
      </c>
    </row>
    <row r="28" spans="1:10" x14ac:dyDescent="0.25">
      <c r="A28" s="4" t="s">
        <v>427</v>
      </c>
      <c r="C28" s="43">
        <f>(1+C25)^-(C26/2)</f>
        <v>0.97526630081805876</v>
      </c>
      <c r="D28" s="43">
        <f>C27*(1+D25)^-(D26/2)</f>
        <v>0.90478947697613143</v>
      </c>
      <c r="E28" s="43">
        <f>D27*(1+E25)^-(E26/2)</f>
        <v>0.81884394115255887</v>
      </c>
      <c r="F28" s="43">
        <f>E27*(1+F25)^-(F26/2)</f>
        <v>0.74123233477043204</v>
      </c>
      <c r="G28" s="43">
        <f>F27*(1+G25)^-(G26/2)</f>
        <v>0.67112124021006048</v>
      </c>
      <c r="H28" s="43">
        <f>G27*(1+H25)^-(H26/2)</f>
        <v>0.607764095760851</v>
      </c>
      <c r="J28" s="2" t="s">
        <v>428</v>
      </c>
    </row>
    <row r="29" spans="1:10" x14ac:dyDescent="0.25">
      <c r="A29" s="4" t="s">
        <v>429</v>
      </c>
      <c r="C29" s="34">
        <f t="shared" ref="C29:H29" si="8">C22*C28</f>
        <v>110620.27823493695</v>
      </c>
      <c r="D29" s="34">
        <f t="shared" si="8"/>
        <v>180451.61344805948</v>
      </c>
      <c r="E29" s="34">
        <f t="shared" si="8"/>
        <v>212643.71550644966</v>
      </c>
      <c r="F29" s="34">
        <f t="shared" si="8"/>
        <v>278199.77643528458</v>
      </c>
      <c r="G29" s="34">
        <f t="shared" si="8"/>
        <v>253058.4910288169</v>
      </c>
      <c r="H29" s="34">
        <f t="shared" si="8"/>
        <v>242324.96745889154</v>
      </c>
    </row>
    <row r="31" spans="1:10" x14ac:dyDescent="0.25">
      <c r="A31" s="3" t="s">
        <v>430</v>
      </c>
    </row>
    <row r="32" spans="1:10" x14ac:dyDescent="0.25">
      <c r="A32" s="4" t="s">
        <v>431</v>
      </c>
      <c r="C32" s="32">
        <f>Expansion!H5+1</f>
        <v>2032</v>
      </c>
      <c r="J32" s="2" t="s">
        <v>432</v>
      </c>
    </row>
    <row r="33" spans="1:3" x14ac:dyDescent="0.25">
      <c r="A33" s="4" t="s">
        <v>433</v>
      </c>
      <c r="C33" s="23">
        <f>SUMIF(Expansion!$A$12:$A$16,"&lt;="&amp;C32,Expansion!$B$12:$B$16)</f>
        <v>108301.33333333333</v>
      </c>
    </row>
    <row r="34" spans="1:3" x14ac:dyDescent="0.25">
      <c r="A34" s="4" t="s">
        <v>434</v>
      </c>
      <c r="C34" s="34">
        <f>Forecast_Base!H5+C33*Expansion!H8/1000000*Expansion!C39</f>
        <v>978307.54304709902</v>
      </c>
    </row>
    <row r="35" spans="1:3" x14ac:dyDescent="0.25">
      <c r="A35" s="4" t="s">
        <v>435</v>
      </c>
      <c r="C35" s="34">
        <f>Forecast_Base!H7+(C34-Forecast_Base!H5)*Expansion!H9</f>
        <v>780584.92800694378</v>
      </c>
    </row>
    <row r="37" spans="1:3" x14ac:dyDescent="0.25">
      <c r="A37" s="3" t="s">
        <v>436</v>
      </c>
    </row>
    <row r="38" spans="1:3" x14ac:dyDescent="0.25">
      <c r="A38" s="4" t="s">
        <v>437</v>
      </c>
      <c r="C38" s="26">
        <f>I25</f>
        <v>0.10413886741610846</v>
      </c>
    </row>
    <row r="39" spans="1:3" x14ac:dyDescent="0.25">
      <c r="A39" s="4" t="s">
        <v>193</v>
      </c>
      <c r="C39" s="7">
        <f>Supuestos!$B$88</f>
        <v>0.03</v>
      </c>
    </row>
    <row r="40" spans="1:3" x14ac:dyDescent="0.25">
      <c r="A40" s="4" t="s">
        <v>438</v>
      </c>
      <c r="C40" s="26">
        <f>Supuestos!$B$89/Expansion!$C$38</f>
        <v>0</v>
      </c>
    </row>
    <row r="41" spans="1:3" x14ac:dyDescent="0.25">
      <c r="A41" s="4" t="s">
        <v>439</v>
      </c>
      <c r="C41" s="34">
        <f>I22/(C38-C39)</f>
        <v>7133037.3715109164</v>
      </c>
    </row>
    <row r="42" spans="1:3" x14ac:dyDescent="0.25">
      <c r="A42" s="4" t="s">
        <v>440</v>
      </c>
      <c r="C42" s="34">
        <f>C41*H27</f>
        <v>4125700.4317120821</v>
      </c>
    </row>
    <row r="43" spans="1:3" x14ac:dyDescent="0.25">
      <c r="A43" s="4" t="s">
        <v>441</v>
      </c>
      <c r="C43" s="34">
        <f>SUM(C29:H29)</f>
        <v>1277298.842112439</v>
      </c>
    </row>
    <row r="44" spans="1:3" x14ac:dyDescent="0.25">
      <c r="A44" s="3" t="s">
        <v>442</v>
      </c>
      <c r="C44" s="42">
        <f>C43+C42</f>
        <v>5402999.2738245213</v>
      </c>
    </row>
    <row r="45" spans="1:3" x14ac:dyDescent="0.25">
      <c r="A45" s="4" t="s">
        <v>443</v>
      </c>
      <c r="C45" s="34">
        <f>-Supuestos!$B$10</f>
        <v>-1285740</v>
      </c>
    </row>
    <row r="46" spans="1:3" x14ac:dyDescent="0.25">
      <c r="A46" s="4" t="s">
        <v>444</v>
      </c>
      <c r="C46" s="34">
        <f>-Supuestos!$B$11</f>
        <v>-50841</v>
      </c>
    </row>
    <row r="47" spans="1:3" x14ac:dyDescent="0.25">
      <c r="A47" s="3" t="s">
        <v>445</v>
      </c>
      <c r="C47" s="42">
        <f>C44+C45+C46</f>
        <v>4066418.2738245213</v>
      </c>
    </row>
    <row r="48" spans="1:3" x14ac:dyDescent="0.25">
      <c r="A48" s="4" t="s">
        <v>446</v>
      </c>
      <c r="C48" s="6">
        <f>Supuestos!$B$9</f>
        <v>2190</v>
      </c>
    </row>
    <row r="49" spans="1:4" x14ac:dyDescent="0.25">
      <c r="A49" s="3" t="s">
        <v>3</v>
      </c>
      <c r="C49" s="47">
        <f>C47/C48</f>
        <v>1856.8119971801468</v>
      </c>
      <c r="D49" s="2" t="s">
        <v>447</v>
      </c>
    </row>
    <row r="50" spans="1:4" x14ac:dyDescent="0.25">
      <c r="A50" s="4" t="s">
        <v>6</v>
      </c>
      <c r="C50" s="6">
        <f>Supuestos!$B$8</f>
        <v>3555</v>
      </c>
    </row>
    <row r="51" spans="1:4" x14ac:dyDescent="0.25">
      <c r="A51" s="3" t="s">
        <v>448</v>
      </c>
      <c r="C51" s="39">
        <f>C49/C50-1</f>
        <v>-0.4776900148579053</v>
      </c>
    </row>
    <row r="53" spans="1:4" x14ac:dyDescent="0.25">
      <c r="A53" s="3" t="s">
        <v>449</v>
      </c>
    </row>
    <row r="54" spans="1:4" x14ac:dyDescent="0.25">
      <c r="A54" s="4" t="s">
        <v>450</v>
      </c>
      <c r="C54" s="26">
        <f>C42/C44</f>
        <v>0.76359448199438651</v>
      </c>
      <c r="D54" s="2" t="s">
        <v>451</v>
      </c>
    </row>
    <row r="55" spans="1:4" x14ac:dyDescent="0.25">
      <c r="A55" s="4" t="s">
        <v>452</v>
      </c>
      <c r="C55" s="48">
        <f>C44/Supuestos!$B$13</f>
        <v>9.9149426515538934</v>
      </c>
      <c r="D55" s="2" t="s">
        <v>453</v>
      </c>
    </row>
    <row r="56" spans="1:4" x14ac:dyDescent="0.25">
      <c r="A56" s="4" t="s">
        <v>454</v>
      </c>
      <c r="C56" s="26">
        <f>Supuestos!$B$13/C44</f>
        <v>0.10085787030177906</v>
      </c>
      <c r="D56" s="2" t="s">
        <v>455</v>
      </c>
    </row>
    <row r="57" spans="1:4" x14ac:dyDescent="0.25">
      <c r="A57" s="4" t="s">
        <v>456</v>
      </c>
      <c r="C57" s="26">
        <f>I11/C41</f>
        <v>0.1127153040103656</v>
      </c>
    </row>
    <row r="58" spans="1:4" x14ac:dyDescent="0.25">
      <c r="A58" s="4" t="s">
        <v>457</v>
      </c>
      <c r="C58" s="7">
        <f>WACC!I44</f>
        <v>7.197948292826073E-2</v>
      </c>
      <c r="D58" s="2" t="s">
        <v>458</v>
      </c>
    </row>
    <row r="59" spans="1:4" x14ac:dyDescent="0.25">
      <c r="A59" s="4" t="s">
        <v>459</v>
      </c>
      <c r="C59" s="7">
        <f>Expansion!$C$38</f>
        <v>5.0383848645621281E-2</v>
      </c>
      <c r="D59" s="2" t="s">
        <v>460</v>
      </c>
    </row>
    <row r="60" spans="1:4" x14ac:dyDescent="0.25">
      <c r="A60" s="4" t="s">
        <v>461</v>
      </c>
      <c r="C60" s="8">
        <f>Deuda!H22</f>
        <v>3.5</v>
      </c>
      <c r="D60" s="2" t="s">
        <v>462</v>
      </c>
    </row>
    <row r="61" spans="1:4" x14ac:dyDescent="0.25">
      <c r="A61" s="4" t="s">
        <v>463</v>
      </c>
      <c r="C61" s="6">
        <f>Supuestos!$B$108</f>
        <v>1880.3683582112201</v>
      </c>
    </row>
    <row r="62" spans="1:4" x14ac:dyDescent="0.25">
      <c r="A62" s="4" t="s">
        <v>464</v>
      </c>
      <c r="C62" s="34">
        <f>C49-C61</f>
        <v>-23.556361031073266</v>
      </c>
    </row>
    <row r="63" spans="1:4" x14ac:dyDescent="0.25">
      <c r="A63" s="4" t="s">
        <v>465</v>
      </c>
      <c r="C63" s="6">
        <f>APV!C21</f>
        <v>1893.6531238185803</v>
      </c>
    </row>
    <row r="64" spans="1:4" x14ac:dyDescent="0.25">
      <c r="A64" s="4" t="s">
        <v>466</v>
      </c>
      <c r="C64" s="26">
        <f>C49/C63-1</f>
        <v>-1.9455055508868946E-2</v>
      </c>
      <c r="D64" s="2" t="s">
        <v>467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showGridLines="0" zoomScaleNormal="100" workbookViewId="0"/>
  </sheetViews>
  <sheetFormatPr baseColWidth="10" defaultColWidth="8.7109375" defaultRowHeight="15" x14ac:dyDescent="0.25"/>
  <cols>
    <col min="1" max="1" width="66" customWidth="1"/>
    <col min="3" max="8" width="14" customWidth="1"/>
    <col min="10" max="10" width="90" customWidth="1"/>
  </cols>
  <sheetData>
    <row r="1" spans="1:10" ht="15.75" x14ac:dyDescent="0.25">
      <c r="A1" s="1" t="s">
        <v>468</v>
      </c>
    </row>
    <row r="2" spans="1:10" x14ac:dyDescent="0.25">
      <c r="A2" s="2" t="s">
        <v>469</v>
      </c>
    </row>
    <row r="4" spans="1:10" x14ac:dyDescent="0.25">
      <c r="A4" s="10" t="s">
        <v>46</v>
      </c>
      <c r="B4" s="36"/>
      <c r="C4" s="37" t="s">
        <v>278</v>
      </c>
      <c r="D4" s="37" t="s">
        <v>279</v>
      </c>
      <c r="E4" s="37" t="s">
        <v>280</v>
      </c>
      <c r="F4" s="37" t="s">
        <v>281</v>
      </c>
      <c r="G4" s="37" t="s">
        <v>282</v>
      </c>
      <c r="H4" s="37" t="s">
        <v>283</v>
      </c>
    </row>
    <row r="5" spans="1:10" x14ac:dyDescent="0.25">
      <c r="A5" s="4" t="s">
        <v>286</v>
      </c>
      <c r="C5" s="38">
        <f>DCF!C26</f>
        <v>0.5</v>
      </c>
      <c r="D5" s="21">
        <f>C5+DCF!D26</f>
        <v>1.5</v>
      </c>
      <c r="E5" s="21">
        <f>D5+DCF!E26</f>
        <v>2.5</v>
      </c>
      <c r="F5" s="21">
        <f>E5+DCF!F26</f>
        <v>3.5</v>
      </c>
      <c r="G5" s="21">
        <f>F5+DCF!G26</f>
        <v>4.5</v>
      </c>
      <c r="H5" s="21">
        <f>G5+DCF!H26</f>
        <v>5.5</v>
      </c>
    </row>
    <row r="6" spans="1:10" x14ac:dyDescent="0.25">
      <c r="A6" s="4" t="s">
        <v>470</v>
      </c>
      <c r="C6" s="34">
        <f>Forecast_Base!C7+DCF!C10</f>
        <v>561315.40502749605</v>
      </c>
      <c r="D6" s="45">
        <f>DCF!D11</f>
        <v>611360.36024671898</v>
      </c>
      <c r="E6" s="45">
        <f>DCF!E11</f>
        <v>654236.22558363702</v>
      </c>
      <c r="F6" s="45">
        <f>DCF!F11</f>
        <v>694005.2284583794</v>
      </c>
      <c r="G6" s="45">
        <f>DCF!G11</f>
        <v>730577.70110312745</v>
      </c>
      <c r="H6" s="45">
        <f>DCF!H11</f>
        <v>766857.77540483861</v>
      </c>
      <c r="J6" s="2" t="s">
        <v>471</v>
      </c>
    </row>
    <row r="7" spans="1:10" x14ac:dyDescent="0.25">
      <c r="A7" s="3" t="s">
        <v>472</v>
      </c>
      <c r="C7" s="49">
        <f>Supuestos!$B$10</f>
        <v>1285740</v>
      </c>
      <c r="D7" s="42">
        <f t="shared" ref="D7:H8" si="0">C21</f>
        <v>1382589.9376549218</v>
      </c>
      <c r="E7" s="42">
        <f t="shared" si="0"/>
        <v>1632637.7816094684</v>
      </c>
      <c r="F7" s="42">
        <f t="shared" si="0"/>
        <v>1882810.0292009423</v>
      </c>
      <c r="G7" s="42">
        <f t="shared" si="0"/>
        <v>2141179.5968020367</v>
      </c>
      <c r="H7" s="42">
        <f t="shared" si="0"/>
        <v>2405518.3850413524</v>
      </c>
    </row>
    <row r="8" spans="1:10" x14ac:dyDescent="0.25">
      <c r="A8" s="4" t="s">
        <v>473</v>
      </c>
      <c r="C8" s="8">
        <f>Supuestos!$B$41</f>
        <v>2.3594373640892949</v>
      </c>
      <c r="D8" s="19">
        <f t="shared" si="0"/>
        <v>2.4631248764448137</v>
      </c>
      <c r="E8" s="19">
        <f t="shared" si="0"/>
        <v>2.6704999011558508</v>
      </c>
      <c r="F8" s="19">
        <f t="shared" si="0"/>
        <v>2.8778749258668883</v>
      </c>
      <c r="G8" s="19">
        <f t="shared" si="0"/>
        <v>3.0852499505779254</v>
      </c>
      <c r="H8" s="19">
        <f t="shared" si="0"/>
        <v>3.2926249752889629</v>
      </c>
    </row>
    <row r="9" spans="1:10" x14ac:dyDescent="0.25">
      <c r="A9" s="4" t="s">
        <v>474</v>
      </c>
      <c r="C9" s="26">
        <f>Supuestos!$B$46+Supuestos!$B$40*Supuestos!$B$45*MAX(0,C8-Supuestos!$B$41)</f>
        <v>3.0800000000000001E-2</v>
      </c>
      <c r="D9" s="26">
        <f>Supuestos!$B$46+Supuestos!$B$40*Supuestos!$B$45*MAX(0,D8-Supuestos!$B$41)</f>
        <v>3.1059218780888798E-2</v>
      </c>
      <c r="E9" s="26">
        <f>Supuestos!$B$46+Supuestos!$B$40*Supuestos!$B$45*MAX(0,E8-Supuestos!$B$41)</f>
        <v>3.1577656342666391E-2</v>
      </c>
      <c r="F9" s="26">
        <f>Supuestos!$B$46+Supuestos!$B$40*Supuestos!$B$45*MAX(0,F8-Supuestos!$B$41)</f>
        <v>3.2096093904443984E-2</v>
      </c>
      <c r="G9" s="26">
        <f>Supuestos!$B$46+Supuestos!$B$40*Supuestos!$B$45*MAX(0,G8-Supuestos!$B$41)</f>
        <v>3.2614531466221577E-2</v>
      </c>
      <c r="H9" s="26">
        <f>Supuestos!$B$46+Supuestos!$B$40*Supuestos!$B$45*MAX(0,H8-Supuestos!$B$41)</f>
        <v>3.3132969027999171E-2</v>
      </c>
      <c r="J9" s="2" t="s">
        <v>475</v>
      </c>
    </row>
    <row r="10" spans="1:10" x14ac:dyDescent="0.25">
      <c r="A10" s="4" t="s">
        <v>476</v>
      </c>
      <c r="C10" s="34">
        <f>-DCF!C22</f>
        <v>-113425.71576824509</v>
      </c>
      <c r="D10" s="34">
        <f>-DCF!D22</f>
        <v>-199440.44226856082</v>
      </c>
      <c r="E10" s="34">
        <f>-DCF!E22</f>
        <v>-259687.7192583782</v>
      </c>
      <c r="F10" s="34">
        <f>-DCF!F22</f>
        <v>-375320.61593271722</v>
      </c>
      <c r="G10" s="34">
        <f>-DCF!G22</f>
        <v>-377068.21937212086</v>
      </c>
      <c r="H10" s="34">
        <f>-DCF!H22</f>
        <v>-398715.5035137909</v>
      </c>
    </row>
    <row r="11" spans="1:10" x14ac:dyDescent="0.25">
      <c r="A11" s="4" t="s">
        <v>477</v>
      </c>
      <c r="C11" s="34">
        <f>C7*C9*DCF!C26</f>
        <v>19800.396000000001</v>
      </c>
      <c r="D11" s="34">
        <f>D7*D9*DCF!D26</f>
        <v>42942.163357879617</v>
      </c>
      <c r="E11" s="34">
        <f>E7*E9*DCF!E26</f>
        <v>51554.874799717014</v>
      </c>
      <c r="F11" s="34">
        <f>F7*F9*DCF!F26</f>
        <v>60430.847501462362</v>
      </c>
      <c r="G11" s="34">
        <f>G7*G9*DCF!G26</f>
        <v>69833.569334731656</v>
      </c>
      <c r="H11" s="34">
        <f>H7*H9*DCF!H26</f>
        <v>79701.966147857718</v>
      </c>
    </row>
    <row r="12" spans="1:10" x14ac:dyDescent="0.25">
      <c r="A12" s="4" t="s">
        <v>478</v>
      </c>
      <c r="C12" s="34">
        <f>C11*(1-DCF!C15)</f>
        <v>16473.929472</v>
      </c>
      <c r="D12" s="34">
        <f>D11*(1-DCF!D15)</f>
        <v>34783.152319882494</v>
      </c>
      <c r="E12" s="34">
        <f>E11*(1-DCF!E15)</f>
        <v>40470.576717777854</v>
      </c>
      <c r="F12" s="34">
        <f>F11*(1-DCF!F15)</f>
        <v>45927.444101111396</v>
      </c>
      <c r="G12" s="34">
        <f>G11*(1-DCF!G15)</f>
        <v>50978.505614354108</v>
      </c>
      <c r="H12" s="34">
        <f>H11*(1-DCF!H15)</f>
        <v>58182.435287936132</v>
      </c>
    </row>
    <row r="13" spans="1:10" x14ac:dyDescent="0.25">
      <c r="A13" s="4" t="s">
        <v>479</v>
      </c>
      <c r="C13" s="34">
        <f>C7*Supuestos!$B$47*Supuestos!$B$34*DCF!C26</f>
        <v>15236.019</v>
      </c>
      <c r="D13" s="34">
        <f>D7*Supuestos!$B$47*Supuestos!$B$34*DCF!D26</f>
        <v>32767.381522421649</v>
      </c>
      <c r="E13" s="34">
        <f>E7*Supuestos!$B$47*Supuestos!$B$34*DCF!E26</f>
        <v>38693.515424144396</v>
      </c>
      <c r="F13" s="34">
        <f>F7*Supuestos!$B$47*Supuestos!$B$34*DCF!F26</f>
        <v>44622.597692062329</v>
      </c>
      <c r="G13" s="34">
        <f>G7*Supuestos!$B$47*Supuestos!$B$34*DCF!G26</f>
        <v>50745.95644420827</v>
      </c>
      <c r="H13" s="34">
        <f>H7*Supuestos!$B$47*Supuestos!$B$34*DCF!H26</f>
        <v>57010.785725480047</v>
      </c>
    </row>
    <row r="14" spans="1:10" x14ac:dyDescent="0.25">
      <c r="A14" s="4" t="s">
        <v>480</v>
      </c>
      <c r="C14" s="34">
        <f>C13*(1-DCF!C15)</f>
        <v>12676.367807999999</v>
      </c>
      <c r="D14" s="34">
        <f>D13*(1-DCF!D15)</f>
        <v>26541.579033161539</v>
      </c>
      <c r="E14" s="34">
        <f>E13*(1-DCF!E15)</f>
        <v>30374.409607953352</v>
      </c>
      <c r="F14" s="34">
        <f>F13*(1-DCF!F15)</f>
        <v>33913.17424596737</v>
      </c>
      <c r="G14" s="34">
        <f>G13*(1-DCF!G15)</f>
        <v>37044.54820427204</v>
      </c>
      <c r="H14" s="34">
        <f>H13*(1-DCF!H15)</f>
        <v>41617.873579600433</v>
      </c>
      <c r="J14" s="2" t="s">
        <v>481</v>
      </c>
    </row>
    <row r="15" spans="1:10" x14ac:dyDescent="0.25">
      <c r="A15" s="4" t="s">
        <v>482</v>
      </c>
      <c r="C15" s="45">
        <f>Supuestos!$B$51</f>
        <v>380038.81638231198</v>
      </c>
      <c r="D15" s="34">
        <f>D6-DCF!D15*(D6-D11)-D11-D13</f>
        <v>427651.35795753822</v>
      </c>
      <c r="E15" s="34">
        <f>E6-DCF!E15*(E6-E11)-E11-E13</f>
        <v>434411.34494123288</v>
      </c>
      <c r="F15" s="34">
        <f>F6-DCF!F15*(F6-F11)-F11-F13</f>
        <v>436893.93183519458</v>
      </c>
      <c r="G15" s="34">
        <f>G6-DCF!G15*(G6-G11)-G11-G13</f>
        <v>431597.25974672067</v>
      </c>
      <c r="H15" s="34">
        <f>H6-DCF!H15*(H6-H11)-H11-H13</f>
        <v>444612.95503211592</v>
      </c>
      <c r="J15" s="2" t="s">
        <v>483</v>
      </c>
    </row>
    <row r="16" spans="1:10" x14ac:dyDescent="0.25">
      <c r="A16" s="4" t="s">
        <v>484</v>
      </c>
      <c r="C16" s="34">
        <f>Supuestos!$B$49-Supuestos!$B$50</f>
        <v>60107.799999999988</v>
      </c>
      <c r="D16" s="34">
        <f>Supuestos!$B$48*C15</f>
        <v>152015.5265529248</v>
      </c>
      <c r="E16" s="34">
        <f>Supuestos!$B$48*D15</f>
        <v>171060.54318301531</v>
      </c>
      <c r="F16" s="34">
        <f>Supuestos!$B$48*E15</f>
        <v>173764.53797649316</v>
      </c>
      <c r="G16" s="34">
        <f>Supuestos!$B$48*F15</f>
        <v>174757.57273407784</v>
      </c>
      <c r="H16" s="34">
        <f>Supuestos!$B$48*G15</f>
        <v>172638.90389868827</v>
      </c>
      <c r="J16" s="2" t="s">
        <v>485</v>
      </c>
    </row>
    <row r="17" spans="1:10" x14ac:dyDescent="0.25">
      <c r="A17" s="4" t="s">
        <v>486</v>
      </c>
      <c r="C17" s="34">
        <f t="shared" ref="C17:H17" si="1">C7+C10+C12+C14+C16</f>
        <v>1261572.3815117551</v>
      </c>
      <c r="D17" s="34">
        <f t="shared" si="1"/>
        <v>1396489.7532923298</v>
      </c>
      <c r="E17" s="34">
        <f t="shared" si="1"/>
        <v>1614855.5918598366</v>
      </c>
      <c r="F17" s="34">
        <f t="shared" si="1"/>
        <v>1761094.569591797</v>
      </c>
      <c r="G17" s="34">
        <f t="shared" si="1"/>
        <v>2026892.0039826198</v>
      </c>
      <c r="H17" s="34">
        <f t="shared" si="1"/>
        <v>2279242.0942937862</v>
      </c>
    </row>
    <row r="18" spans="1:10" x14ac:dyDescent="0.25">
      <c r="A18" s="4" t="s">
        <v>487</v>
      </c>
      <c r="C18" s="19">
        <f>IF(Supuestos!$B$40=1,Supuestos!$B$41+(Supuestos!$B$42-Supuestos!$B$41)*MIN(1,C5/Supuestos!$B$44),C17/C6)</f>
        <v>2.4631248764448137</v>
      </c>
      <c r="D18" s="19">
        <f>IF(Supuestos!$B$40=1,Supuestos!$B$41+(Supuestos!$B$42-Supuestos!$B$41)*MIN(1,D5/Supuestos!$B$44),D17/D6)</f>
        <v>2.6704999011558508</v>
      </c>
      <c r="E18" s="19">
        <f>IF(Supuestos!$B$40=1,Supuestos!$B$41+(Supuestos!$B$42-Supuestos!$B$41)*MIN(1,E5/Supuestos!$B$44),E17/E6)</f>
        <v>2.8778749258668883</v>
      </c>
      <c r="F18" s="19">
        <f>IF(Supuestos!$B$40=1,Supuestos!$B$41+(Supuestos!$B$42-Supuestos!$B$41)*MIN(1,F5/Supuestos!$B$44),F17/F6)</f>
        <v>3.0852499505779254</v>
      </c>
      <c r="G18" s="19">
        <f>IF(Supuestos!$B$40=1,Supuestos!$B$41+(Supuestos!$B$42-Supuestos!$B$41)*MIN(1,G5/Supuestos!$B$44),G17/G6)</f>
        <v>3.2926249752889629</v>
      </c>
      <c r="H18" s="19">
        <f>IF(Supuestos!$B$40=1,Supuestos!$B$41+(Supuestos!$B$42-Supuestos!$B$41)*MIN(1,H5/Supuestos!$B$44),H17/H6)</f>
        <v>3.5</v>
      </c>
      <c r="J18" s="2" t="s">
        <v>488</v>
      </c>
    </row>
    <row r="19" spans="1:10" x14ac:dyDescent="0.25">
      <c r="A19" s="4" t="s">
        <v>489</v>
      </c>
      <c r="C19" s="34">
        <f t="shared" ref="C19:H19" si="2">C18*C6</f>
        <v>1382589.9376549218</v>
      </c>
      <c r="D19" s="34">
        <f t="shared" si="2"/>
        <v>1632637.7816094684</v>
      </c>
      <c r="E19" s="34">
        <f t="shared" si="2"/>
        <v>1882810.0292009423</v>
      </c>
      <c r="F19" s="34">
        <f t="shared" si="2"/>
        <v>2141179.5968020367</v>
      </c>
      <c r="G19" s="34">
        <f t="shared" si="2"/>
        <v>2405518.3850413524</v>
      </c>
      <c r="H19" s="34">
        <f t="shared" si="2"/>
        <v>2684002.213916935</v>
      </c>
    </row>
    <row r="20" spans="1:10" x14ac:dyDescent="0.25">
      <c r="A20" s="3" t="s">
        <v>490</v>
      </c>
      <c r="C20" s="42">
        <f>IF(Supuestos!$B$40=1,C19-C17,0)</f>
        <v>121017.55614316673</v>
      </c>
      <c r="D20" s="42">
        <f>IF(Supuestos!$B$40=1,D19-D17,0)</f>
        <v>236148.02831713855</v>
      </c>
      <c r="E20" s="42">
        <f>IF(Supuestos!$B$40=1,E19-E17,0)</f>
        <v>267954.43734110566</v>
      </c>
      <c r="F20" s="42">
        <f>IF(Supuestos!$B$40=1,F19-F17,0)</f>
        <v>380085.02721023979</v>
      </c>
      <c r="G20" s="42">
        <f>IF(Supuestos!$B$40=1,G19-G17,0)</f>
        <v>378626.38105873251</v>
      </c>
      <c r="H20" s="42">
        <f>IF(Supuestos!$B$40=1,H19-H17,0)</f>
        <v>404760.11962314881</v>
      </c>
      <c r="J20" s="2" t="s">
        <v>491</v>
      </c>
    </row>
    <row r="21" spans="1:10" x14ac:dyDescent="0.25">
      <c r="A21" s="3" t="s">
        <v>492</v>
      </c>
      <c r="C21" s="42">
        <f t="shared" ref="C21:H21" si="3">C17+C20</f>
        <v>1382589.9376549218</v>
      </c>
      <c r="D21" s="42">
        <f t="shared" si="3"/>
        <v>1632637.7816094684</v>
      </c>
      <c r="E21" s="42">
        <f t="shared" si="3"/>
        <v>1882810.0292009423</v>
      </c>
      <c r="F21" s="42">
        <f t="shared" si="3"/>
        <v>2141179.5968020367</v>
      </c>
      <c r="G21" s="42">
        <f t="shared" si="3"/>
        <v>2405518.3850413524</v>
      </c>
      <c r="H21" s="42">
        <f t="shared" si="3"/>
        <v>2684002.213916935</v>
      </c>
    </row>
    <row r="22" spans="1:10" x14ac:dyDescent="0.25">
      <c r="A22" s="3" t="s">
        <v>493</v>
      </c>
      <c r="C22" s="50">
        <f t="shared" ref="C22:H22" si="4">C21/C6</f>
        <v>2.4631248764448137</v>
      </c>
      <c r="D22" s="50">
        <f t="shared" si="4"/>
        <v>2.6704999011558508</v>
      </c>
      <c r="E22" s="50">
        <f t="shared" si="4"/>
        <v>2.8778749258668883</v>
      </c>
      <c r="F22" s="50">
        <f t="shared" si="4"/>
        <v>3.0852499505779254</v>
      </c>
      <c r="G22" s="50">
        <f t="shared" si="4"/>
        <v>3.2926249752889629</v>
      </c>
      <c r="H22" s="50">
        <f t="shared" si="4"/>
        <v>3.5</v>
      </c>
    </row>
    <row r="23" spans="1:10" x14ac:dyDescent="0.25">
      <c r="A23" s="4" t="s">
        <v>494</v>
      </c>
      <c r="C23" s="34">
        <f>C21+Supuestos!$B$12</f>
        <v>1730210.9376549218</v>
      </c>
      <c r="D23" s="34">
        <f>D21+Supuestos!$B$12</f>
        <v>1980258.7816094684</v>
      </c>
      <c r="E23" s="34">
        <f>E21+Supuestos!$B$12</f>
        <v>2230431.0292009423</v>
      </c>
      <c r="F23" s="34">
        <f>F21+Supuestos!$B$12</f>
        <v>2488800.5968020367</v>
      </c>
      <c r="G23" s="34">
        <f>G21+Supuestos!$B$12</f>
        <v>2753139.3850413524</v>
      </c>
      <c r="H23" s="34">
        <f>H21+Supuestos!$B$12</f>
        <v>3031623.213916935</v>
      </c>
      <c r="J23" s="2" t="s">
        <v>495</v>
      </c>
    </row>
    <row r="24" spans="1:10" x14ac:dyDescent="0.25">
      <c r="A24" s="4" t="s">
        <v>496</v>
      </c>
      <c r="C24" s="34">
        <f>Supuestos!$B$42*C6-C21</f>
        <v>582013.97994131432</v>
      </c>
      <c r="D24" s="34">
        <f>Supuestos!$B$42*D6-D21</f>
        <v>507123.47925404808</v>
      </c>
      <c r="E24" s="34">
        <f>Supuestos!$B$42*E6-E21</f>
        <v>407016.76034178725</v>
      </c>
      <c r="F24" s="34">
        <f>Supuestos!$B$42*F6-F21</f>
        <v>287838.70280229114</v>
      </c>
      <c r="G24" s="34">
        <f>Supuestos!$B$42*G6-G21</f>
        <v>151503.56881959364</v>
      </c>
      <c r="H24" s="34">
        <f>Supuestos!$B$42*H6-H21</f>
        <v>0</v>
      </c>
    </row>
    <row r="25" spans="1:10" x14ac:dyDescent="0.25">
      <c r="A25" s="4" t="s">
        <v>497</v>
      </c>
      <c r="C25" s="34">
        <f>C20</f>
        <v>121017.55614316673</v>
      </c>
      <c r="D25" s="34">
        <f>C25+D20</f>
        <v>357165.58446030528</v>
      </c>
      <c r="E25" s="34">
        <f>D25+E20</f>
        <v>625120.02180141094</v>
      </c>
      <c r="F25" s="34">
        <f>E25+F20</f>
        <v>1005205.0490116507</v>
      </c>
      <c r="G25" s="34">
        <f>F25+G20</f>
        <v>1383831.4300703832</v>
      </c>
      <c r="H25" s="34">
        <f>G25+H20</f>
        <v>1788591.5496935321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showGridLines="0" zoomScaleNormal="100" workbookViewId="0"/>
  </sheetViews>
  <sheetFormatPr baseColWidth="10" defaultColWidth="8.7109375" defaultRowHeight="15" x14ac:dyDescent="0.25"/>
  <cols>
    <col min="1" max="1" width="50" customWidth="1"/>
    <col min="3" max="9" width="13" customWidth="1"/>
    <col min="10" max="10" width="60" customWidth="1"/>
  </cols>
  <sheetData>
    <row r="1" spans="1:10" ht="15.75" x14ac:dyDescent="0.25">
      <c r="A1" s="1" t="s">
        <v>498</v>
      </c>
    </row>
    <row r="2" spans="1:10" x14ac:dyDescent="0.25">
      <c r="A2" s="2" t="s">
        <v>499</v>
      </c>
    </row>
    <row r="4" spans="1:10" x14ac:dyDescent="0.25">
      <c r="A4" s="4" t="s">
        <v>500</v>
      </c>
      <c r="C4" s="26">
        <f>WACC!$C$22+WACC!$H$13*Supuestos!$B$22+WACC!$C$21</f>
        <v>0.10291118934032721</v>
      </c>
    </row>
    <row r="5" spans="1:10" x14ac:dyDescent="0.25">
      <c r="A5" s="4" t="s">
        <v>501</v>
      </c>
      <c r="C5" s="26">
        <f>IF(AND(Supuestos!$B$21=1,Supuestos!$B$19=2),(1+C4)*(1+Supuestos!$B$34)/(1+Supuestos!$B$20)-1,C4)</f>
        <v>0.11107597971945005</v>
      </c>
    </row>
    <row r="7" spans="1:10" x14ac:dyDescent="0.25">
      <c r="A7" s="10" t="s">
        <v>46</v>
      </c>
      <c r="B7" s="36"/>
      <c r="C7" s="37" t="s">
        <v>278</v>
      </c>
      <c r="D7" s="37" t="s">
        <v>279</v>
      </c>
      <c r="E7" s="37" t="s">
        <v>280</v>
      </c>
      <c r="F7" s="37" t="s">
        <v>281</v>
      </c>
      <c r="G7" s="37" t="s">
        <v>282</v>
      </c>
      <c r="H7" s="37" t="s">
        <v>283</v>
      </c>
      <c r="I7" s="37" t="s">
        <v>284</v>
      </c>
    </row>
    <row r="8" spans="1:10" x14ac:dyDescent="0.25">
      <c r="A8" s="4" t="s">
        <v>422</v>
      </c>
      <c r="C8" s="45">
        <f>DCF!C22</f>
        <v>113425.71576824509</v>
      </c>
      <c r="D8" s="45">
        <f>DCF!D22</f>
        <v>199440.44226856082</v>
      </c>
      <c r="E8" s="45">
        <f>DCF!E22</f>
        <v>259687.7192583782</v>
      </c>
      <c r="F8" s="45">
        <f>DCF!F22</f>
        <v>375320.61593271722</v>
      </c>
      <c r="G8" s="45">
        <f>DCF!G22</f>
        <v>377068.21937212086</v>
      </c>
      <c r="H8" s="45">
        <f>DCF!H22</f>
        <v>398715.5035137909</v>
      </c>
      <c r="I8" s="45">
        <f>DCF!I22</f>
        <v>528835.31196059461</v>
      </c>
    </row>
    <row r="9" spans="1:10" x14ac:dyDescent="0.25">
      <c r="A9" s="4" t="s">
        <v>502</v>
      </c>
      <c r="C9" s="43">
        <f>(1+$C$5)^-DCF!C26</f>
        <v>0.94869829626020552</v>
      </c>
      <c r="D9" s="43">
        <f>C9*(1+$C$5)^-DCF!D26</f>
        <v>0.85385546405184154</v>
      </c>
      <c r="E9" s="43">
        <f>D9*(1+$C$5)^-DCF!E26</f>
        <v>0.76849421609082269</v>
      </c>
      <c r="F9" s="43">
        <f>E9*(1+$C$5)^-DCF!F26</f>
        <v>0.69166666377295793</v>
      </c>
      <c r="G9" s="43">
        <f>F9*(1+$C$5)^-DCF!G26</f>
        <v>0.62251968038009953</v>
      </c>
      <c r="H9" s="43">
        <f>G9*(1+$C$5)^-DCF!H26</f>
        <v>0.56028542758820832</v>
      </c>
    </row>
    <row r="10" spans="1:10" x14ac:dyDescent="0.25">
      <c r="A10" s="4" t="s">
        <v>503</v>
      </c>
      <c r="C10" s="43">
        <f>(1+$C$5)^-(DCF!C26/2)</f>
        <v>0.97401144565154119</v>
      </c>
      <c r="D10" s="43">
        <f>C9*(1+$C$5)^-(DCF!D26/2)</f>
        <v>0.90002845732701664</v>
      </c>
      <c r="E10" s="43">
        <f>D9*(1+$C$5)^-(DCF!E26/2)</f>
        <v>0.8100512239984492</v>
      </c>
      <c r="F10" s="43">
        <f>E9*(1+$C$5)^-(DCF!F26/2)</f>
        <v>0.72906915349118573</v>
      </c>
      <c r="G10" s="43">
        <f>F9*(1+$C$5)^-(DCF!G26/2)</f>
        <v>0.65618298550138565</v>
      </c>
      <c r="H10" s="43">
        <f>G9*(1+$C$5)^-(DCF!H26/2)</f>
        <v>0.59058336016504809</v>
      </c>
    </row>
    <row r="11" spans="1:10" x14ac:dyDescent="0.25">
      <c r="A11" s="4" t="s">
        <v>504</v>
      </c>
      <c r="C11" s="34">
        <f t="shared" ref="C11:H11" si="0">C8*C10</f>
        <v>110477.94538948921</v>
      </c>
      <c r="D11" s="34">
        <f t="shared" si="0"/>
        <v>179502.07358359071</v>
      </c>
      <c r="E11" s="34">
        <f t="shared" si="0"/>
        <v>210360.35484261491</v>
      </c>
      <c r="F11" s="34">
        <f t="shared" si="0"/>
        <v>273634.68374585657</v>
      </c>
      <c r="G11" s="34">
        <f t="shared" si="0"/>
        <v>247425.74992528968</v>
      </c>
      <c r="H11" s="34">
        <f t="shared" si="0"/>
        <v>235474.74181507368</v>
      </c>
      <c r="I11" s="34">
        <f>I8/($C$5-Supuestos!$B$88)*H9</f>
        <v>3654580.8007609379</v>
      </c>
    </row>
    <row r="12" spans="1:10" x14ac:dyDescent="0.25">
      <c r="A12" s="4" t="s">
        <v>505</v>
      </c>
      <c r="C12" s="34">
        <f>Supuestos!$B$10+Supuestos!$B$12</f>
        <v>1633361</v>
      </c>
      <c r="D12" s="45">
        <f>Deuda!C23</f>
        <v>1730210.9376549218</v>
      </c>
      <c r="E12" s="45">
        <f>Deuda!D23</f>
        <v>1980258.7816094684</v>
      </c>
      <c r="F12" s="45">
        <f>Deuda!E23</f>
        <v>2230431.0292009423</v>
      </c>
      <c r="G12" s="45">
        <f>Deuda!F23</f>
        <v>2488800.5968020367</v>
      </c>
      <c r="H12" s="45">
        <f>Deuda!G23</f>
        <v>2753139.3850413524</v>
      </c>
      <c r="I12" s="45">
        <f>Deuda!H23</f>
        <v>3031623.213916935</v>
      </c>
    </row>
    <row r="13" spans="1:10" x14ac:dyDescent="0.25">
      <c r="A13" s="4" t="s">
        <v>506</v>
      </c>
      <c r="C13" s="7">
        <f>WACC!C41</f>
        <v>6.7346995344315541E-2</v>
      </c>
      <c r="D13" s="7">
        <f>WACC!D41</f>
        <v>6.7880986032946344E-2</v>
      </c>
      <c r="E13" s="7">
        <f>WACC!E41</f>
        <v>6.841497672157737E-2</v>
      </c>
      <c r="F13" s="7">
        <f>WACC!F41</f>
        <v>6.8948967410208173E-2</v>
      </c>
      <c r="G13" s="7">
        <f>WACC!G41</f>
        <v>6.9482958098839198E-2</v>
      </c>
      <c r="H13" s="7">
        <f>WACC!H41</f>
        <v>7.0016948787470001E-2</v>
      </c>
      <c r="I13" s="7">
        <f>WACC!I41</f>
        <v>7.0016948787470001E-2</v>
      </c>
    </row>
    <row r="14" spans="1:10" x14ac:dyDescent="0.25">
      <c r="A14" s="4" t="s">
        <v>507</v>
      </c>
      <c r="C14" s="34">
        <f>Supuestos!$B$35*C13*C12*DCF!C26</f>
        <v>14850.264014449189</v>
      </c>
      <c r="D14" s="34">
        <f>Supuestos!$B$35*D13*D12*DCF!D26</f>
        <v>31711.074613111286</v>
      </c>
      <c r="E14" s="34">
        <f>Supuestos!$B$35*E13*E12*DCF!E26</f>
        <v>36579.426780557958</v>
      </c>
      <c r="F14" s="34">
        <f>Supuestos!$B$35*F13*F12*DCF!F26</f>
        <v>41522.197412635069</v>
      </c>
      <c r="G14" s="34">
        <f>Supuestos!$B$35*G13*G12*DCF!G26</f>
        <v>46690.891447669717</v>
      </c>
      <c r="H14" s="34">
        <f>Supuestos!$B$35*H13*H12*DCF!H26</f>
        <v>52046.933218345905</v>
      </c>
      <c r="I14" s="34">
        <f>Supuestos!$B$35*I13*I12*(1+Supuestos!$B$88)</f>
        <v>59030.898533391359</v>
      </c>
      <c r="J14" s="2" t="s">
        <v>508</v>
      </c>
    </row>
    <row r="15" spans="1:10" x14ac:dyDescent="0.25">
      <c r="A15" s="4" t="s">
        <v>509</v>
      </c>
      <c r="C15" s="34">
        <f t="shared" ref="C15:H15" si="1">C14*C10</f>
        <v>14464.327121020713</v>
      </c>
      <c r="D15" s="34">
        <f t="shared" si="1"/>
        <v>28540.869564220473</v>
      </c>
      <c r="E15" s="34">
        <f t="shared" si="1"/>
        <v>29631.209436752626</v>
      </c>
      <c r="F15" s="34">
        <f t="shared" si="1"/>
        <v>30272.553318723752</v>
      </c>
      <c r="G15" s="34">
        <f t="shared" si="1"/>
        <v>30637.768545853029</v>
      </c>
      <c r="H15" s="34">
        <f t="shared" si="1"/>
        <v>30738.052706376584</v>
      </c>
      <c r="I15" s="34">
        <f>I14/($C$5-Supuestos!$B$88)*H9</f>
        <v>407940.21040689142</v>
      </c>
    </row>
    <row r="17" spans="1:3" x14ac:dyDescent="0.25">
      <c r="A17" s="4" t="s">
        <v>510</v>
      </c>
      <c r="C17" s="34">
        <f>SUM(C11:I11)</f>
        <v>4911456.3500628527</v>
      </c>
    </row>
    <row r="18" spans="1:3" x14ac:dyDescent="0.25">
      <c r="A18" s="4" t="s">
        <v>511</v>
      </c>
      <c r="C18" s="34">
        <f>SUM(C15:I15)</f>
        <v>572224.99109983863</v>
      </c>
    </row>
    <row r="19" spans="1:3" x14ac:dyDescent="0.25">
      <c r="A19" s="3" t="s">
        <v>512</v>
      </c>
      <c r="C19" s="42">
        <f>C17+C18</f>
        <v>5483681.3411626909</v>
      </c>
    </row>
    <row r="20" spans="1:3" x14ac:dyDescent="0.25">
      <c r="A20" s="4" t="s">
        <v>445</v>
      </c>
      <c r="C20" s="34">
        <f>C19-Supuestos!$B$10-Supuestos!$B$11</f>
        <v>4147100.3411626909</v>
      </c>
    </row>
    <row r="21" spans="1:3" x14ac:dyDescent="0.25">
      <c r="A21" s="3" t="s">
        <v>513</v>
      </c>
      <c r="C21" s="47">
        <f>C20/Supuestos!$B$9</f>
        <v>1893.6531238185803</v>
      </c>
    </row>
    <row r="22" spans="1:3" x14ac:dyDescent="0.25">
      <c r="A22" s="4" t="s">
        <v>514</v>
      </c>
      <c r="C22" s="23">
        <f>(C17-Supuestos!$B$10-Supuestos!$B$11)/Supuestos!$B$9</f>
        <v>1632.3631735446816</v>
      </c>
    </row>
    <row r="23" spans="1:3" x14ac:dyDescent="0.25">
      <c r="A23" s="4" t="s">
        <v>515</v>
      </c>
      <c r="C23" s="23">
        <f>C18/Supuestos!$B$9</f>
        <v>261.28995027389891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2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8" width="13" customWidth="1"/>
  </cols>
  <sheetData>
    <row r="1" spans="1:5" ht="15.75" x14ac:dyDescent="0.25">
      <c r="A1" s="1" t="s">
        <v>516</v>
      </c>
    </row>
    <row r="3" spans="1:5" x14ac:dyDescent="0.25">
      <c r="A3" s="3" t="s">
        <v>517</v>
      </c>
    </row>
    <row r="5" spans="1:5" x14ac:dyDescent="0.25">
      <c r="A5" s="10" t="s">
        <v>518</v>
      </c>
      <c r="B5" s="51">
        <v>2.5000000000000001E-2</v>
      </c>
      <c r="C5" s="51">
        <v>0.03</v>
      </c>
      <c r="D5" s="51">
        <v>3.5000000000000003E-2</v>
      </c>
      <c r="E5" s="51">
        <v>0.04</v>
      </c>
    </row>
    <row r="6" spans="1:5" x14ac:dyDescent="0.25">
      <c r="A6" s="52">
        <v>-0.01</v>
      </c>
      <c r="B6" s="23">
        <f>(SUM($C$30:$H$30)+B$25/(DCF!$I$25+$A$6-B$5)*$H$28-Supuestos!$B$10-Supuestos!$B$11)/Supuestos!$B$9</f>
        <v>2328.907607805259</v>
      </c>
      <c r="C6" s="23">
        <f>(SUM($C$30:$H$30)+C$25/(DCF!$I$25+$A$6-C$5)*$H$28-Supuestos!$B$10-Supuestos!$B$11)/Supuestos!$B$9</f>
        <v>2277.8022344803544</v>
      </c>
      <c r="D6" s="23">
        <f>(SUM($C$30:$H$30)+D$25/(DCF!$I$25+$A$6-D$5)*$H$28-Supuestos!$B$10-Supuestos!$B$11)/Supuestos!$B$9</f>
        <v>2215.5004252912267</v>
      </c>
      <c r="E6" s="23">
        <f>(SUM($C$30:$H$30)+E$25/(DCF!$I$25+$A$6-E$5)*$H$28-Supuestos!$B$10-Supuestos!$B$11)/Supuestos!$B$9</f>
        <v>2138.9000366951805</v>
      </c>
    </row>
    <row r="7" spans="1:5" x14ac:dyDescent="0.25">
      <c r="A7" s="52">
        <v>-5.0000000000000001E-3</v>
      </c>
      <c r="B7" s="23">
        <f>(SUM($C$33:$H$33)+B$25/(DCF!$I$25+$A$7-B$5)*$H$31-Supuestos!$B$10-Supuestos!$B$11)/Supuestos!$B$9</f>
        <v>2109.1673600834174</v>
      </c>
      <c r="C7" s="23">
        <f>(SUM($C$33:$H$33)+C$25/(DCF!$I$25+$A$7-C$5)*$H$31-Supuestos!$B$10-Supuestos!$B$11)/Supuestos!$B$9</f>
        <v>2051.7993332942783</v>
      </c>
      <c r="D7" s="23">
        <f>(SUM($C$33:$H$33)+D$25/(DCF!$I$25+$A$7-D$5)*$H$31-Supuestos!$B$10-Supuestos!$B$11)/Supuestos!$B$9</f>
        <v>1983.1895876795518</v>
      </c>
      <c r="E7" s="23">
        <f>(SUM($C$33:$H$33)+E$25/(DCF!$I$25+$A$7-E$5)*$H$31-Supuestos!$B$10-Supuestos!$B$11)/Supuestos!$B$9</f>
        <v>1900.4867703176851</v>
      </c>
    </row>
    <row r="8" spans="1:5" x14ac:dyDescent="0.25">
      <c r="A8" s="52">
        <v>0</v>
      </c>
      <c r="B8" s="23">
        <f>(SUM($C$36:$H$36)+B$25/(DCF!$I$25+$A$8-B$5)*$H$34-Supuestos!$B$10-Supuestos!$B$11)/Supuestos!$B$9</f>
        <v>1917.8387403491804</v>
      </c>
      <c r="C8" s="53">
        <f>(SUM($C$36:$H$36)+C$25/(DCF!$I$25+$A$8-C$5)*$H$34-Supuestos!$B$10-Supuestos!$B$11)/Supuestos!$B$9</f>
        <v>1856.8119971801468</v>
      </c>
      <c r="D8" s="23">
        <f>(SUM($C$36:$H$36)+D$25/(DCF!$I$25+$A$8-D$5)*$H$34-Supuestos!$B$10-Supuestos!$B$11)/Supuestos!$B$9</f>
        <v>1784.8798506684568</v>
      </c>
      <c r="E8" s="23">
        <f>(SUM($C$36:$H$36)+E$25/(DCF!$I$25+$A$8-E$5)*$H$34-Supuestos!$B$10-Supuestos!$B$11)/Supuestos!$B$9</f>
        <v>1699.491880815594</v>
      </c>
    </row>
    <row r="9" spans="1:5" x14ac:dyDescent="0.25">
      <c r="A9" s="52">
        <v>5.0000000000000001E-3</v>
      </c>
      <c r="B9" s="23">
        <f>(SUM($C$39:$H$39)+B$25/(DCF!$I$25+$A$9-B$5)*$H$37-Supuestos!$B$10-Supuestos!$B$11)/Supuestos!$B$9</f>
        <v>1749.835468850875</v>
      </c>
      <c r="C9" s="23">
        <f>(SUM($C$39:$H$39)+C$25/(DCF!$I$25+$A$9-C$5)*$H$37-Supuestos!$B$10-Supuestos!$B$11)/Supuestos!$B$9</f>
        <v>1686.943891817808</v>
      </c>
      <c r="D9" s="23">
        <f>(SUM($C$39:$H$39)+D$25/(DCF!$I$25+$A$9-D$5)*$H$37-Supuestos!$B$10-Supuestos!$B$11)/Supuestos!$B$9</f>
        <v>1613.6784065675811</v>
      </c>
      <c r="E9" s="23">
        <f>(SUM($C$39:$H$39)+E$25/(DCF!$I$25+$A$9-E$5)*$H$37-Supuestos!$B$10-Supuestos!$B$11)/Supuestos!$B$9</f>
        <v>1527.7883452909964</v>
      </c>
    </row>
    <row r="10" spans="1:5" x14ac:dyDescent="0.25">
      <c r="A10" s="52">
        <v>0.01</v>
      </c>
      <c r="B10" s="23">
        <f>(SUM($C$42:$H$42)+B$25/(DCF!$I$25+$A$10-B$5)*$H$40-Supuestos!$B$10-Supuestos!$B$11)/Supuestos!$B$9</f>
        <v>1601.2132593247784</v>
      </c>
      <c r="C10" s="23">
        <f>(SUM($C$42:$H$42)+C$25/(DCF!$I$25+$A$10-C$5)*$H$40-Supuestos!$B$10-Supuestos!$B$11)/Supuestos!$B$9</f>
        <v>1537.7009212119706</v>
      </c>
      <c r="D10" s="23">
        <f>(SUM($C$42:$H$42)+D$25/(DCF!$I$25+$A$10-D$5)*$H$40-Supuestos!$B$10-Supuestos!$B$11)/Supuestos!$B$9</f>
        <v>1464.4349255094692</v>
      </c>
      <c r="E10" s="23">
        <f>(SUM($C$42:$H$42)+E$25/(DCF!$I$25+$A$10-E$5)*$H$40-Supuestos!$B$10-Supuestos!$B$11)/Supuestos!$B$9</f>
        <v>1379.441882699133</v>
      </c>
    </row>
    <row r="12" spans="1:5" x14ac:dyDescent="0.25">
      <c r="A12" s="2" t="s">
        <v>519</v>
      </c>
    </row>
    <row r="14" spans="1:5" x14ac:dyDescent="0.25">
      <c r="A14" s="3" t="s">
        <v>520</v>
      </c>
    </row>
    <row r="15" spans="1:5" x14ac:dyDescent="0.25">
      <c r="A15" s="10" t="s">
        <v>521</v>
      </c>
      <c r="B15" s="54">
        <v>0</v>
      </c>
      <c r="C15" s="54">
        <v>2.5000000000000001E-3</v>
      </c>
      <c r="D15" s="54">
        <v>5.0000000000000001E-3</v>
      </c>
    </row>
    <row r="16" spans="1:5" x14ac:dyDescent="0.25">
      <c r="A16" s="10" t="s">
        <v>522</v>
      </c>
      <c r="B16" s="55">
        <v>1818.6</v>
      </c>
      <c r="C16" s="55">
        <v>1818.6</v>
      </c>
      <c r="D16" s="55">
        <v>1818.6</v>
      </c>
    </row>
    <row r="17" spans="1:8" x14ac:dyDescent="0.25">
      <c r="A17" s="10" t="s">
        <v>523</v>
      </c>
      <c r="B17" s="55">
        <v>1848.9</v>
      </c>
      <c r="C17" s="55">
        <v>1841.4</v>
      </c>
      <c r="D17" s="55">
        <v>1834</v>
      </c>
    </row>
    <row r="18" spans="1:8" x14ac:dyDescent="0.25">
      <c r="A18" s="10" t="s">
        <v>524</v>
      </c>
      <c r="B18" s="55">
        <v>1871.7</v>
      </c>
      <c r="C18" s="56">
        <v>1856.8</v>
      </c>
      <c r="D18" s="55">
        <v>1842.1</v>
      </c>
    </row>
    <row r="19" spans="1:8" x14ac:dyDescent="0.25">
      <c r="A19" s="10" t="s">
        <v>525</v>
      </c>
      <c r="B19" s="55">
        <v>1893.8</v>
      </c>
      <c r="C19" s="55">
        <v>1870.1</v>
      </c>
      <c r="D19" s="55">
        <v>1846.9</v>
      </c>
    </row>
    <row r="20" spans="1:8" x14ac:dyDescent="0.25">
      <c r="A20" s="2" t="s">
        <v>526</v>
      </c>
    </row>
    <row r="24" spans="1:8" x14ac:dyDescent="0.25">
      <c r="A24" s="2" t="s">
        <v>527</v>
      </c>
    </row>
    <row r="25" spans="1:8" x14ac:dyDescent="0.25">
      <c r="A25" s="4" t="s">
        <v>528</v>
      </c>
      <c r="B25" s="57">
        <f>((DCF!$C$35*(1+B$5))-Supuestos!$B$57*(DCF!$C$34*(1+B$5)))*(1-Supuestos!$B$59)+Supuestos!$B$57*(DCF!$C$34*(1+B$5))-Supuestos!$B$58*(DCF!$C$34*(1+B$5))-Supuestos!$B$84*Supuestos!$B$85*((DCF!$C$34*(1+B$5))-DCF!$C$34)-((1+B$5)/(1+Supuestos!$B$34)-1)/Expansion!$C$38*((DCF!$C$35*(1+B$5))-Supuestos!$B$57*(DCF!$C$34*(1+B$5)))*(1-Supuestos!$B$59)</f>
        <v>582787.01386971748</v>
      </c>
      <c r="C25" s="57">
        <f>((DCF!$C$35*(1+C$5))-Supuestos!$B$57*(DCF!$C$34*(1+C$5)))*(1-Supuestos!$B$59)+Supuestos!$B$57*(DCF!$C$34*(1+C$5))-Supuestos!$B$58*(DCF!$C$34*(1+C$5))-Supuestos!$B$84*Supuestos!$B$85*((DCF!$C$34*(1+C$5))-DCF!$C$34)-((1+C$5)/(1+Supuestos!$B$34)-1)/Expansion!$C$38*((DCF!$C$35*(1+C$5))-Supuestos!$B$57*(DCF!$C$34*(1+C$5)))*(1-Supuestos!$B$59)</f>
        <v>528835.31196059461</v>
      </c>
      <c r="D25" s="57">
        <f>((DCF!$C$35*(1+D$5))-Supuestos!$B$57*(DCF!$C$34*(1+D$5)))*(1-Supuestos!$B$59)+Supuestos!$B$57*(DCF!$C$34*(1+D$5))-Supuestos!$B$58*(DCF!$C$34*(1+D$5))-Supuestos!$B$84*Supuestos!$B$85*((DCF!$C$34*(1+D$5))-DCF!$C$34)-((1+D$5)/(1+Supuestos!$B$34)-1)/Expansion!$C$38*((DCF!$C$35*(1+D$5))-Supuestos!$B$57*(DCF!$C$34*(1+D$5)))*(1-Supuestos!$B$59)</f>
        <v>474339.43636157946</v>
      </c>
      <c r="E25" s="57">
        <f>((DCF!$C$35*(1+E$5))-Supuestos!$B$57*(DCF!$C$34*(1+E$5)))*(1-Supuestos!$B$59)+Supuestos!$B$57*(DCF!$C$34*(1+E$5))-Supuestos!$B$58*(DCF!$C$34*(1+E$5))-Supuestos!$B$84*Supuestos!$B$85*((DCF!$C$34*(1+E$5))-DCF!$C$34)-((1+E$5)/(1+Supuestos!$B$34)-1)/Expansion!$C$38*((DCF!$C$35*(1+E$5))-Supuestos!$B$57*(DCF!$C$34*(1+E$5)))*(1-Supuestos!$B$59)</f>
        <v>419299.38707267056</v>
      </c>
    </row>
    <row r="27" spans="1:8" x14ac:dyDescent="0.25">
      <c r="A27" s="2" t="s">
        <v>529</v>
      </c>
    </row>
    <row r="28" spans="1:8" x14ac:dyDescent="0.25">
      <c r="A28" s="58" t="s">
        <v>530</v>
      </c>
      <c r="C28" s="59">
        <f>(1+(DCF!C$25+$A$6))^-DCF!C$26</f>
        <v>0.95547615672630992</v>
      </c>
      <c r="D28" s="59">
        <f>C28*(1+(DCF!D$25+$A$6))^-DCF!D$26</f>
        <v>0.87250896634126618</v>
      </c>
      <c r="E28" s="59">
        <f>D28*(1+(DCF!E$25+$A$6))^-DCF!E$26</f>
        <v>0.7969363927061639</v>
      </c>
      <c r="F28" s="59">
        <f>E28*(1+(DCF!F$25+$A$6))^-DCF!F$26</f>
        <v>0.72807272011175461</v>
      </c>
      <c r="G28" s="59">
        <f>F28*(1+(DCF!G$25+$A$6))^-DCF!G$26</f>
        <v>0.66529927363488772</v>
      </c>
      <c r="H28" s="59">
        <f>G28*(1+(DCF!H$25+$A$6))^-DCF!H$26</f>
        <v>0.60805743534734502</v>
      </c>
    </row>
    <row r="29" spans="1:8" x14ac:dyDescent="0.25">
      <c r="A29" s="58" t="s">
        <v>531</v>
      </c>
      <c r="C29" s="59">
        <f>(1+(DCF!C$25+$A$6))^-(DCF!C$26/2)</f>
        <v>0.97748460689992978</v>
      </c>
      <c r="D29" s="59">
        <f>C28*(1+(DCF!D$25+$A$6))^-(DCF!D$26/2)</f>
        <v>0.91305066336375795</v>
      </c>
      <c r="E29" s="59">
        <f>D28*(1+(DCF!E$25+$A$6))^-(DCF!E$26/2)</f>
        <v>0.83386698474024767</v>
      </c>
      <c r="F29" s="59">
        <f>E28*(1+(DCF!F$25+$A$6))^-(DCF!F$26/2)</f>
        <v>0.76172675362863962</v>
      </c>
      <c r="G29" s="59">
        <f>F28*(1+(DCF!G$25+$A$6))^-(DCF!G$26/2)</f>
        <v>0.69597862886997264</v>
      </c>
      <c r="H29" s="59">
        <f>G28*(1+(DCF!H$25+$A$6))^-(DCF!H$26/2)</f>
        <v>0.63603472394585603</v>
      </c>
    </row>
    <row r="30" spans="1:8" x14ac:dyDescent="0.25">
      <c r="A30" s="58" t="s">
        <v>532</v>
      </c>
      <c r="C30" s="57">
        <f>DCF!C$22*C29</f>
        <v>110871.89119006622</v>
      </c>
      <c r="D30" s="57">
        <f>DCF!D$22*D29</f>
        <v>182099.22811487073</v>
      </c>
      <c r="E30" s="57">
        <f>DCF!E$22*E29</f>
        <v>216545.01543205578</v>
      </c>
      <c r="F30" s="57">
        <f>DCF!F$22*F29</f>
        <v>285891.75434433017</v>
      </c>
      <c r="G30" s="57">
        <f>DCF!G$22*G29</f>
        <v>262431.42230905074</v>
      </c>
      <c r="H30" s="57">
        <f>DCF!H$22*H29</f>
        <v>253596.90521032698</v>
      </c>
    </row>
    <row r="31" spans="1:8" x14ac:dyDescent="0.25">
      <c r="A31" s="58" t="s">
        <v>533</v>
      </c>
      <c r="C31" s="59">
        <f>(1+(DCF!C$25+$A$7))^-DCF!C$26</f>
        <v>0.95330287582776685</v>
      </c>
      <c r="D31" s="59">
        <f>C31*(1+(DCF!D$25+$A$7))^-DCF!D$26</f>
        <v>0.86656779461852762</v>
      </c>
      <c r="E31" s="59">
        <f>D31*(1+(DCF!E$25+$A$7))^-DCF!E$26</f>
        <v>0.7879114852849135</v>
      </c>
      <c r="F31" s="59">
        <f>E31*(1+(DCF!F$25+$A$7))^-DCF!F$26</f>
        <v>0.71655447623175339</v>
      </c>
      <c r="G31" s="59">
        <f>F31*(1+(DCF!G$25+$A$7))^-DCF!G$26</f>
        <v>0.6517961214823027</v>
      </c>
      <c r="H31" s="59">
        <f>G31*(1+(DCF!H$25+$A$7))^-DCF!H$26</f>
        <v>0.59300616219183144</v>
      </c>
    </row>
    <row r="32" spans="1:8" x14ac:dyDescent="0.25">
      <c r="A32" s="58" t="s">
        <v>534</v>
      </c>
      <c r="C32" s="59">
        <f>(1+(DCF!C$25+$A$7))^-(DCF!C$26/2)</f>
        <v>0.97637230390244412</v>
      </c>
      <c r="D32" s="59">
        <f>C31*(1+(DCF!D$25+$A$7))^-(DCF!D$26/2)</f>
        <v>0.90890129866205394</v>
      </c>
      <c r="E32" s="59">
        <f>D31*(1+(DCF!E$25+$A$7))^-(DCF!E$26/2)</f>
        <v>0.82630425277736286</v>
      </c>
      <c r="F32" s="59">
        <f>E31*(1+(DCF!F$25+$A$7))^-(DCF!F$26/2)</f>
        <v>0.75138638639205735</v>
      </c>
      <c r="G32" s="59">
        <f>F31*(1+(DCF!G$25+$A$7))^-(DCF!G$26/2)</f>
        <v>0.68340868332107096</v>
      </c>
      <c r="H32" s="59">
        <f>G31*(1+(DCF!H$25+$A$7))^-(DCF!H$26/2)</f>
        <v>0.62170661612350653</v>
      </c>
    </row>
    <row r="33" spans="1:8" x14ac:dyDescent="0.25">
      <c r="A33" s="58" t="s">
        <v>535</v>
      </c>
      <c r="C33" s="57">
        <f>DCF!C$22*C32</f>
        <v>110745.72742642525</v>
      </c>
      <c r="D33" s="57">
        <f>DCF!D$22*D32</f>
        <v>181271.67698362932</v>
      </c>
      <c r="E33" s="57">
        <f>DCF!E$22*E32</f>
        <v>214581.06681725179</v>
      </c>
      <c r="F33" s="57">
        <f>DCF!F$22*F32</f>
        <v>282010.80134412559</v>
      </c>
      <c r="G33" s="57">
        <f>DCF!G$22*G32</f>
        <v>257691.69532332185</v>
      </c>
      <c r="H33" s="57">
        <f>DCF!H$22*H32</f>
        <v>247884.06648553902</v>
      </c>
    </row>
    <row r="34" spans="1:8" x14ac:dyDescent="0.25">
      <c r="A34" s="58" t="s">
        <v>536</v>
      </c>
      <c r="C34" s="59">
        <f>(1+(DCF!C$25+$A$8))^-DCF!C$26</f>
        <v>0.95114435751134019</v>
      </c>
      <c r="D34" s="59">
        <f>C34*(1+(DCF!D$25+$A$8))^-DCF!D$26</f>
        <v>0.86069374346993466</v>
      </c>
      <c r="E34" s="59">
        <f>D34*(1+(DCF!E$25+$A$8))^-DCF!E$26</f>
        <v>0.77902901589487039</v>
      </c>
      <c r="F34" s="59">
        <f>E34*(1+(DCF!F$25+$A$8))^-DCF!F$26</f>
        <v>0.70526946095595822</v>
      </c>
      <c r="G34" s="59">
        <f>F34*(1+(DCF!G$25+$A$8))^-DCF!G$26</f>
        <v>0.63862643145017151</v>
      </c>
      <c r="H34" s="59">
        <f>G34*(1+(DCF!H$25+$A$8))^-DCF!H$26</f>
        <v>0.57839321691906098</v>
      </c>
    </row>
    <row r="35" spans="1:8" x14ac:dyDescent="0.25">
      <c r="A35" s="58" t="s">
        <v>537</v>
      </c>
      <c r="C35" s="59">
        <f>(1+(DCF!C$25+$A$8))^-(DCF!C$26/2)</f>
        <v>0.97526630081805876</v>
      </c>
      <c r="D35" s="59">
        <f>C34*(1+(DCF!D$25+$A$8))^-(DCF!D$26/2)</f>
        <v>0.90478947697613143</v>
      </c>
      <c r="E35" s="59">
        <f>D34*(1+(DCF!E$25+$A$8))^-(DCF!E$26/2)</f>
        <v>0.81884394115255887</v>
      </c>
      <c r="F35" s="59">
        <f>E34*(1+(DCF!F$25+$A$8))^-(DCF!F$26/2)</f>
        <v>0.74123233477043204</v>
      </c>
      <c r="G35" s="59">
        <f>F34*(1+(DCF!G$25+$A$8))^-(DCF!G$26/2)</f>
        <v>0.67112124021006048</v>
      </c>
      <c r="H35" s="59">
        <f>G34*(1+(DCF!H$25+$A$8))^-(DCF!H$26/2)</f>
        <v>0.607764095760851</v>
      </c>
    </row>
    <row r="36" spans="1:8" x14ac:dyDescent="0.25">
      <c r="A36" s="58" t="s">
        <v>538</v>
      </c>
      <c r="C36" s="57">
        <f>DCF!C$22*C35</f>
        <v>110620.27823493695</v>
      </c>
      <c r="D36" s="57">
        <f>DCF!D$22*D35</f>
        <v>180451.61344805948</v>
      </c>
      <c r="E36" s="57">
        <f>DCF!E$22*E35</f>
        <v>212643.71550644966</v>
      </c>
      <c r="F36" s="57">
        <f>DCF!F$22*F35</f>
        <v>278199.77643528458</v>
      </c>
      <c r="G36" s="57">
        <f>DCF!G$22*G35</f>
        <v>253058.4910288169</v>
      </c>
      <c r="H36" s="57">
        <f>DCF!H$22*H35</f>
        <v>242324.96745889154</v>
      </c>
    </row>
    <row r="37" spans="1:8" x14ac:dyDescent="0.25">
      <c r="A37" s="58" t="s">
        <v>539</v>
      </c>
      <c r="C37" s="59">
        <f>(1+(DCF!C$25+$A$9))^-DCF!C$26</f>
        <v>0.94900043539912904</v>
      </c>
      <c r="D37" s="59">
        <f>C37*(1+(DCF!D$25+$A$9))^-DCF!D$26</f>
        <v>0.85488575605673167</v>
      </c>
      <c r="E37" s="59">
        <f>D37*(1+(DCF!E$25+$A$9))^-DCF!E$26</f>
        <v>0.77028610714716439</v>
      </c>
      <c r="F37" s="59">
        <f>E37*(1+(DCF!F$25+$A$9))^-DCF!F$26</f>
        <v>0.69421192814819999</v>
      </c>
      <c r="G37" s="59">
        <f>F37*(1+(DCF!G$25+$A$9))^-DCF!G$26</f>
        <v>0.62578051495314979</v>
      </c>
      <c r="H37" s="59">
        <f>G37*(1+(DCF!H$25+$A$9))^-DCF!H$26</f>
        <v>0.56420393634837773</v>
      </c>
    </row>
    <row r="38" spans="1:8" x14ac:dyDescent="0.25">
      <c r="A38" s="58" t="s">
        <v>540</v>
      </c>
      <c r="C38" s="59">
        <f>(1+(DCF!C$25+$A$9))^-(DCF!C$26/2)</f>
        <v>0.97416653370926709</v>
      </c>
      <c r="D38" s="59">
        <f>C37*(1+(DCF!D$25+$A$9))^-(DCF!D$26/2)</f>
        <v>0.90071469107279023</v>
      </c>
      <c r="E38" s="59">
        <f>D37*(1+(DCF!E$25+$A$9))^-(DCF!E$26/2)</f>
        <v>0.81148420877334415</v>
      </c>
      <c r="F38" s="59">
        <f>E37*(1+(DCF!F$25+$A$9))^-(DCF!F$26/2)</f>
        <v>0.73126042123747126</v>
      </c>
      <c r="G38" s="59">
        <f>F37*(1+(DCF!G$25+$A$9))^-(DCF!G$26/2)</f>
        <v>0.65910871476805677</v>
      </c>
      <c r="H38" s="59">
        <f>G37*(1+(DCF!H$25+$A$9))^-(DCF!H$26/2)</f>
        <v>0.59419511090775723</v>
      </c>
    </row>
    <row r="39" spans="1:8" x14ac:dyDescent="0.25">
      <c r="A39" s="58" t="s">
        <v>541</v>
      </c>
      <c r="C39" s="57">
        <f>DCF!C$22*C38</f>
        <v>110495.53636344388</v>
      </c>
      <c r="D39" s="57">
        <f>DCF!D$22*D38</f>
        <v>179638.93634534741</v>
      </c>
      <c r="E39" s="57">
        <f>DCF!E$22*E38</f>
        <v>210732.48339053936</v>
      </c>
      <c r="F39" s="57">
        <f>DCF!F$22*F38</f>
        <v>274457.11170606595</v>
      </c>
      <c r="G39" s="57">
        <f>DCF!G$22*G38</f>
        <v>248528.94945023826</v>
      </c>
      <c r="H39" s="57">
        <f>DCF!H$22*H38</f>
        <v>236914.80283101925</v>
      </c>
    </row>
    <row r="40" spans="1:8" x14ac:dyDescent="0.25">
      <c r="A40" s="58" t="s">
        <v>542</v>
      </c>
      <c r="C40" s="59">
        <f>(1+(DCF!C$25+$A$10))^-DCF!C$26</f>
        <v>0.94687094572662034</v>
      </c>
      <c r="D40" s="59">
        <f>C40*(1+(DCF!D$25+$A$10))^-DCF!D$26</f>
        <v>0.84914279683903149</v>
      </c>
      <c r="E40" s="59">
        <f>D40*(1+(DCF!E$25+$A$10))^-DCF!E$26</f>
        <v>0.7616799523782618</v>
      </c>
      <c r="F40" s="59">
        <f>E40*(1+(DCF!F$25+$A$10))^-DCF!F$26</f>
        <v>0.68337629823502855</v>
      </c>
      <c r="G40" s="59">
        <f>F40*(1+(DCF!G$25+$A$10))^-DCF!G$26</f>
        <v>0.61324900676321425</v>
      </c>
      <c r="H40" s="59">
        <f>G40*(1+(DCF!H$25+$A$10))^-DCF!H$26</f>
        <v>0.55042421074982406</v>
      </c>
    </row>
    <row r="41" spans="1:8" x14ac:dyDescent="0.25">
      <c r="A41" s="58" t="s">
        <v>543</v>
      </c>
      <c r="C41" s="59">
        <f>(1+(DCF!C$25+$A$10))^-(DCF!C$26/2)</f>
        <v>0.97307293957165431</v>
      </c>
      <c r="D41" s="59">
        <f>C40*(1+(DCF!D$25+$A$10))^-(DCF!D$26/2)</f>
        <v>0.89667644281531178</v>
      </c>
      <c r="E41" s="59">
        <f>D40*(1+(DCF!E$25+$A$10))^-(DCF!E$26/2)</f>
        <v>0.80422325573107956</v>
      </c>
      <c r="F41" s="59">
        <f>E40*(1+(DCF!F$25+$A$10))^-(DCF!F$26/2)</f>
        <v>0.72146658016576859</v>
      </c>
      <c r="G41" s="59">
        <f>F40*(1+(DCF!G$25+$A$10))^-(DCF!G$26/2)</f>
        <v>0.64736375874631213</v>
      </c>
      <c r="H41" s="59">
        <f>G40*(1+(DCF!H$25+$A$10))^-(DCF!H$26/2)</f>
        <v>0.58098803820797873</v>
      </c>
    </row>
    <row r="42" spans="1:8" x14ac:dyDescent="0.25">
      <c r="A42" s="58" t="s">
        <v>544</v>
      </c>
      <c r="C42" s="57">
        <f>DCF!C$22*C41</f>
        <v>110371.4946656252</v>
      </c>
      <c r="D42" s="57">
        <f>DCF!D$22*D41</f>
        <v>178833.54632688567</v>
      </c>
      <c r="E42" s="57">
        <f>DCF!E$22*E41</f>
        <v>208846.90305535149</v>
      </c>
      <c r="F42" s="57">
        <f>DCF!F$22*F41</f>
        <v>270781.28124268737</v>
      </c>
      <c r="G42" s="57">
        <f>DCF!G$22*G41</f>
        <v>244100.29979651514</v>
      </c>
      <c r="H42" s="57">
        <f>DCF!H$22*H41</f>
        <v>231648.93818958383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2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18" customWidth="1"/>
    <col min="2" max="2" width="13" customWidth="1"/>
    <col min="3" max="3" width="10" customWidth="1"/>
    <col min="4" max="5" width="8" customWidth="1"/>
    <col min="6" max="7" width="12" customWidth="1"/>
    <col min="8" max="8" width="11" customWidth="1"/>
    <col min="9" max="9" width="12" customWidth="1"/>
    <col min="10" max="12" width="11" customWidth="1"/>
    <col min="13" max="14" width="12" customWidth="1"/>
    <col min="15" max="15" width="11" customWidth="1"/>
    <col min="16" max="18" width="10" customWidth="1"/>
    <col min="19" max="19" width="9" customWidth="1"/>
    <col min="20" max="20" width="8" customWidth="1"/>
    <col min="23" max="32" width="11" customWidth="1"/>
  </cols>
  <sheetData>
    <row r="1" spans="1:32" ht="15.75" x14ac:dyDescent="0.25">
      <c r="A1" s="1" t="s">
        <v>545</v>
      </c>
    </row>
    <row r="2" spans="1:32" x14ac:dyDescent="0.25">
      <c r="A2" s="2" t="s">
        <v>546</v>
      </c>
    </row>
    <row r="3" spans="1:32" x14ac:dyDescent="0.25">
      <c r="W3" s="2" t="s">
        <v>547</v>
      </c>
    </row>
    <row r="4" spans="1:32" x14ac:dyDescent="0.25">
      <c r="A4" s="10" t="s">
        <v>232</v>
      </c>
      <c r="B4" s="10" t="s">
        <v>548</v>
      </c>
      <c r="C4" s="10" t="s">
        <v>234</v>
      </c>
      <c r="D4" s="10" t="s">
        <v>549</v>
      </c>
      <c r="E4" s="10" t="s">
        <v>550</v>
      </c>
      <c r="F4" s="10" t="s">
        <v>237</v>
      </c>
      <c r="G4" s="10" t="s">
        <v>551</v>
      </c>
      <c r="H4" s="10" t="s">
        <v>552</v>
      </c>
      <c r="I4" s="10" t="s">
        <v>553</v>
      </c>
      <c r="J4" s="10" t="s">
        <v>554</v>
      </c>
      <c r="K4" s="10" t="s">
        <v>555</v>
      </c>
      <c r="L4" s="10" t="s">
        <v>556</v>
      </c>
      <c r="M4" s="10" t="s">
        <v>557</v>
      </c>
      <c r="N4" s="10" t="s">
        <v>558</v>
      </c>
      <c r="O4" s="10" t="s">
        <v>559</v>
      </c>
      <c r="P4" s="10" t="s">
        <v>560</v>
      </c>
      <c r="Q4" s="10" t="s">
        <v>561</v>
      </c>
      <c r="R4" s="10" t="s">
        <v>562</v>
      </c>
      <c r="S4" s="10" t="s">
        <v>563</v>
      </c>
      <c r="T4" s="10" t="s">
        <v>564</v>
      </c>
      <c r="W4" s="60" t="s">
        <v>565</v>
      </c>
      <c r="X4" s="60" t="s">
        <v>566</v>
      </c>
      <c r="Y4" s="60" t="s">
        <v>567</v>
      </c>
      <c r="Z4" s="60" t="s">
        <v>568</v>
      </c>
      <c r="AA4" s="60" t="s">
        <v>569</v>
      </c>
      <c r="AB4" s="60" t="s">
        <v>570</v>
      </c>
      <c r="AC4" s="60" t="s">
        <v>571</v>
      </c>
      <c r="AD4" s="60" t="s">
        <v>572</v>
      </c>
      <c r="AE4" s="60" t="s">
        <v>573</v>
      </c>
      <c r="AF4" s="60" t="s">
        <v>574</v>
      </c>
    </row>
    <row r="5" spans="1:32" x14ac:dyDescent="0.25">
      <c r="A5" s="3" t="s">
        <v>575</v>
      </c>
      <c r="B5" s="61" t="str">
        <f>Datos_BBG!B9</f>
        <v>MALLPLAZ CI</v>
      </c>
      <c r="C5" s="61" t="str">
        <f>Datos_BBG!D9</f>
        <v>Chile</v>
      </c>
      <c r="D5" s="4" t="s">
        <v>576</v>
      </c>
      <c r="E5" s="4" t="s">
        <v>206</v>
      </c>
      <c r="F5" s="34">
        <f>Datos_BBG!O9*Datos_BBG!S9</f>
        <v>7785450</v>
      </c>
      <c r="G5" s="34">
        <f>Datos_BBG!M9*Datos_BBG!S9</f>
        <v>1311568.558</v>
      </c>
      <c r="H5" s="34">
        <f>Datos_BBG!N9*Datos_BBG!S9</f>
        <v>50841.428</v>
      </c>
      <c r="I5" s="34">
        <f t="shared" ref="I5:I12" si="0">F5+G5+H5</f>
        <v>9147859.9859999996</v>
      </c>
      <c r="J5" s="34">
        <f>Datos_BBG!G9*Datos_BBG!S9</f>
        <v>677333.30599999998</v>
      </c>
      <c r="K5" s="34">
        <f>Datos_BBG!H9*Datos_BBG!S9</f>
        <v>544935</v>
      </c>
      <c r="L5" s="34">
        <f>Datos_BBG!J9*Datos_BBG!S9</f>
        <v>540372.72600000002</v>
      </c>
      <c r="M5" s="34">
        <f>Datos_BBG!K9*Datos_BBG!S9</f>
        <v>1258052.743</v>
      </c>
      <c r="N5" s="34">
        <f>Datos_BBG!L9*Datos_BBG!S9</f>
        <v>4820897.8480000002</v>
      </c>
      <c r="O5" s="34">
        <f>Datos_BBG!H48*Datos_BBG!S48</f>
        <v>617130.33790000004</v>
      </c>
      <c r="P5" s="48">
        <f>IF(OR(K5&lt;=0,I5/K5&gt;Supuestos!$B$94),"NM",I5/K5)</f>
        <v>16.787066321671393</v>
      </c>
      <c r="Q5" s="48">
        <f>IF(OR(O5&lt;=0,I5/O5&gt;Supuestos!$B$94),"NM",I5/O5)</f>
        <v>14.82322197467842</v>
      </c>
      <c r="R5" s="48">
        <f>IF(OR(L5&lt;=0,I5/L5&gt;Supuestos!$B$94),"NM",I5/L5)</f>
        <v>16.928796635824288</v>
      </c>
      <c r="S5" s="48">
        <f>IF(OR(M5&lt;=0,Datos_BBG!Q9=1),"NM",IF(F5/M5&gt;Supuestos!$B$94,"NM",F5/M5))</f>
        <v>6.1884925280910901</v>
      </c>
      <c r="T5" s="19">
        <f>IF(OR(N5&lt;=0,F5/N5&gt;Supuestos!$B$94),"NM",F5/N5)</f>
        <v>1.6149377658416626</v>
      </c>
    </row>
    <row r="6" spans="1:32" x14ac:dyDescent="0.25">
      <c r="A6" s="4" t="s">
        <v>242</v>
      </c>
      <c r="B6" s="61" t="str">
        <f>Datos_BBG!B14</f>
        <v>PARAUCO CI</v>
      </c>
      <c r="C6" s="61" t="str">
        <f>Datos_BBG!D14</f>
        <v>Chile</v>
      </c>
      <c r="D6" s="62">
        <v>1</v>
      </c>
      <c r="E6" s="62">
        <v>1</v>
      </c>
      <c r="F6" s="34">
        <f>Datos_BBG!O14*Datos_BBG!S14</f>
        <v>3440408.4190000002</v>
      </c>
      <c r="G6" s="34">
        <f>Datos_BBG!M14*Datos_BBG!S14</f>
        <v>1602287.611</v>
      </c>
      <c r="H6" s="34">
        <f>Datos_BBG!N14*Datos_BBG!S14</f>
        <v>386791.13500000001</v>
      </c>
      <c r="I6" s="34">
        <f t="shared" si="0"/>
        <v>5429487.165</v>
      </c>
      <c r="J6" s="34">
        <f>Datos_BBG!G14*Datos_BBG!S14</f>
        <v>416366.83199999999</v>
      </c>
      <c r="K6" s="34">
        <f>Datos_BBG!H14*Datos_BBG!S14</f>
        <v>294411</v>
      </c>
      <c r="L6" s="34">
        <f>Datos_BBG!J14*Datos_BBG!S14</f>
        <v>289515.61</v>
      </c>
      <c r="M6" s="34">
        <f>Datos_BBG!K14*Datos_BBG!S14</f>
        <v>154352.77799999999</v>
      </c>
      <c r="N6" s="34">
        <f>Datos_BBG!L14*Datos_BBG!S14</f>
        <v>1961393.2150000001</v>
      </c>
      <c r="O6" s="34">
        <f>Datos_BBG!H49*Datos_BBG!S49</f>
        <v>342581.95030000003</v>
      </c>
      <c r="P6" s="48">
        <f>IF(OR(K6&lt;=0,I6/K6&gt;Supuestos!$B$94),"NM",I6/K6)</f>
        <v>18.441862447394968</v>
      </c>
      <c r="Q6" s="48">
        <f>IF(OR(O6&lt;=0,I6/O6&gt;Supuestos!$B$94),"NM",I6/O6)</f>
        <v>15.848725130572063</v>
      </c>
      <c r="R6" s="48">
        <f>IF(OR(L6&lt;=0,I6/L6&gt;Supuestos!$B$94),"NM",I6/L6)</f>
        <v>18.753694023614134</v>
      </c>
      <c r="S6" s="48">
        <f>IF(OR(M6&lt;=0,Datos_BBG!Q14=1),"NM",IF(F6/M6&gt;Supuestos!$B$94,"NM",F6/M6))</f>
        <v>22.289254936506556</v>
      </c>
      <c r="T6" s="19">
        <f>IF(OR(N6&lt;=0,F6/N6&gt;Supuestos!$B$94),"NM",F6/N6)</f>
        <v>1.7540635873974919</v>
      </c>
      <c r="W6" s="63">
        <f t="shared" ref="W6:AA12" si="1">IF(AND($D6=1,ISNUMBER(P6)),P6,"")</f>
        <v>18.441862447394968</v>
      </c>
      <c r="X6" s="63">
        <f t="shared" si="1"/>
        <v>15.848725130572063</v>
      </c>
      <c r="Y6" s="63">
        <f t="shared" si="1"/>
        <v>18.753694023614134</v>
      </c>
      <c r="Z6" s="63">
        <f t="shared" si="1"/>
        <v>22.289254936506556</v>
      </c>
      <c r="AA6" s="63">
        <f t="shared" si="1"/>
        <v>1.7540635873974919</v>
      </c>
      <c r="AB6" s="63">
        <f t="shared" ref="AB6:AF12" si="2">IF(AND($D6=1,$E6=1,ISNUMBER(P6)),P6,"")</f>
        <v>18.441862447394968</v>
      </c>
      <c r="AC6" s="63">
        <f t="shared" si="2"/>
        <v>15.848725130572063</v>
      </c>
      <c r="AD6" s="63">
        <f t="shared" si="2"/>
        <v>18.753694023614134</v>
      </c>
      <c r="AE6" s="63">
        <f t="shared" si="2"/>
        <v>22.289254936506556</v>
      </c>
      <c r="AF6" s="63">
        <f t="shared" si="2"/>
        <v>1.7540635873974919</v>
      </c>
    </row>
    <row r="7" spans="1:32" x14ac:dyDescent="0.25">
      <c r="A7" s="4" t="s">
        <v>245</v>
      </c>
      <c r="B7" s="61" t="str">
        <f>Datos_BBG!B19</f>
        <v>CENCOMAL CI</v>
      </c>
      <c r="C7" s="61" t="str">
        <f>Datos_BBG!D19</f>
        <v>Chile</v>
      </c>
      <c r="D7" s="62">
        <v>1</v>
      </c>
      <c r="E7" s="62">
        <v>1</v>
      </c>
      <c r="F7" s="34">
        <f>Datos_BBG!O19*Datos_BBG!S19</f>
        <v>3710182.5950000002</v>
      </c>
      <c r="G7" s="34">
        <f>Datos_BBG!M19*Datos_BBG!S19</f>
        <v>852533.94099999999</v>
      </c>
      <c r="H7" s="34">
        <f>Datos_BBG!N19*Datos_BBG!S19</f>
        <v>6464.0209999999997</v>
      </c>
      <c r="I7" s="34">
        <f t="shared" si="0"/>
        <v>4569180.557</v>
      </c>
      <c r="J7" s="34">
        <f>Datos_BBG!G19*Datos_BBG!S19</f>
        <v>390677.946</v>
      </c>
      <c r="K7" s="34">
        <f>Datos_BBG!H19*Datos_BBG!S19</f>
        <v>350561.25400000002</v>
      </c>
      <c r="L7" s="34">
        <f>Datos_BBG!J19*Datos_BBG!S19</f>
        <v>349975.94300000003</v>
      </c>
      <c r="M7" s="34">
        <f>Datos_BBG!K19*Datos_BBG!S19</f>
        <v>353938.28200000001</v>
      </c>
      <c r="N7" s="34">
        <f>Datos_BBG!L19*Datos_BBG!S19</f>
        <v>3136456.7990000001</v>
      </c>
      <c r="O7" s="34">
        <f>Datos_BBG!H50*Datos_BBG!S50</f>
        <v>392093.8</v>
      </c>
      <c r="P7" s="48">
        <f>IF(OR(K7&lt;=0,I7/K7&gt;Supuestos!$B$94),"NM",I7/K7)</f>
        <v>13.033900651781671</v>
      </c>
      <c r="Q7" s="48">
        <f>IF(OR(O7&lt;=0,I7/O7&gt;Supuestos!$B$94),"NM",I7/O7)</f>
        <v>11.653284385011954</v>
      </c>
      <c r="R7" s="48">
        <f>IF(OR(L7&lt;=0,I7/L7&gt;Supuestos!$B$94),"NM",I7/L7)</f>
        <v>13.055698965571469</v>
      </c>
      <c r="S7" s="48">
        <f>IF(OR(M7&lt;=0,Datos_BBG!Q19=1),"NM",IF(F7/M7&gt;Supuestos!$B$94,"NM",F7/M7))</f>
        <v>10.482569373493202</v>
      </c>
      <c r="T7" s="19">
        <f>IF(OR(N7&lt;=0,F7/N7&gt;Supuestos!$B$94),"NM",F7/N7)</f>
        <v>1.182921631881849</v>
      </c>
      <c r="W7" s="63">
        <f t="shared" si="1"/>
        <v>13.033900651781671</v>
      </c>
      <c r="X7" s="63">
        <f t="shared" si="1"/>
        <v>11.653284385011954</v>
      </c>
      <c r="Y7" s="63">
        <f t="shared" si="1"/>
        <v>13.055698965571469</v>
      </c>
      <c r="Z7" s="63">
        <f t="shared" si="1"/>
        <v>10.482569373493202</v>
      </c>
      <c r="AA7" s="63">
        <f t="shared" si="1"/>
        <v>1.182921631881849</v>
      </c>
      <c r="AB7" s="63">
        <f t="shared" si="2"/>
        <v>13.033900651781671</v>
      </c>
      <c r="AC7" s="63">
        <f t="shared" si="2"/>
        <v>11.653284385011954</v>
      </c>
      <c r="AD7" s="63">
        <f t="shared" si="2"/>
        <v>13.055698965571469</v>
      </c>
      <c r="AE7" s="63">
        <f t="shared" si="2"/>
        <v>10.482569373493202</v>
      </c>
      <c r="AF7" s="63">
        <f t="shared" si="2"/>
        <v>1.182921631881849</v>
      </c>
    </row>
    <row r="8" spans="1:32" x14ac:dyDescent="0.25">
      <c r="A8" s="4" t="s">
        <v>258</v>
      </c>
      <c r="B8" s="61" t="str">
        <f>Datos_BBG!B24</f>
        <v>MULT3 BZ</v>
      </c>
      <c r="C8" s="61" t="str">
        <f>Datos_BBG!D24</f>
        <v>Brasil</v>
      </c>
      <c r="D8" s="62">
        <v>1</v>
      </c>
      <c r="E8" s="62">
        <v>0</v>
      </c>
      <c r="F8" s="34">
        <f>Datos_BBG!O24*Datos_BBG!S24</f>
        <v>2907890.3476823554</v>
      </c>
      <c r="G8" s="34">
        <f>Datos_BBG!M24*Datos_BBG!S24</f>
        <v>888983.19785396091</v>
      </c>
      <c r="H8" s="34">
        <f>Datos_BBG!N24*Datos_BBG!S24</f>
        <v>33.049176835173348</v>
      </c>
      <c r="I8" s="34">
        <f t="shared" si="0"/>
        <v>3796906.5947131515</v>
      </c>
      <c r="J8" s="34">
        <f>Datos_BBG!G24*Datos_BBG!S24</f>
        <v>570440.40404803411</v>
      </c>
      <c r="K8" s="34">
        <f>Datos_BBG!H24*Datos_BBG!S24</f>
        <v>421296.07882626384</v>
      </c>
      <c r="L8" s="34">
        <f>Datos_BBG!J24*Datos_BBG!S24</f>
        <v>397146.06276970758</v>
      </c>
      <c r="M8" s="34">
        <f>Datos_BBG!K24*Datos_BBG!S24</f>
        <v>247648.37932209959</v>
      </c>
      <c r="N8" s="34">
        <f>Datos_BBG!L24*Datos_BBG!S24</f>
        <v>1206875.9054193299</v>
      </c>
      <c r="O8" s="34">
        <f>Datos_BBG!H51*Datos_BBG!S51</f>
        <v>376773.25964281231</v>
      </c>
      <c r="P8" s="48">
        <f>IF(OR(K8&lt;=0,I8/K8&gt;Supuestos!$B$94),"NM",I8/K8)</f>
        <v>9.0124422835630966</v>
      </c>
      <c r="Q8" s="48">
        <f>IF(OR(O8&lt;=0,I8/O8&gt;Supuestos!$B$94),"NM",I8/O8)</f>
        <v>10.077431180526681</v>
      </c>
      <c r="R8" s="48">
        <f>IF(OR(L8&lt;=0,I8/L8&gt;Supuestos!$B$94),"NM",I8/L8)</f>
        <v>9.560479004206714</v>
      </c>
      <c r="S8" s="48">
        <f>IF(OR(M8&lt;=0,Datos_BBG!Q24=1),"NM",IF(F8/M8&gt;Supuestos!$B$94,"NM",F8/M8))</f>
        <v>11.742012427629328</v>
      </c>
      <c r="T8" s="19">
        <f>IF(OR(N8&lt;=0,F8/N8&gt;Supuestos!$B$94),"NM",F8/N8)</f>
        <v>2.4094360775824808</v>
      </c>
      <c r="W8" s="63">
        <f t="shared" si="1"/>
        <v>9.0124422835630966</v>
      </c>
      <c r="X8" s="63">
        <f t="shared" si="1"/>
        <v>10.077431180526681</v>
      </c>
      <c r="Y8" s="63">
        <f t="shared" si="1"/>
        <v>9.560479004206714</v>
      </c>
      <c r="Z8" s="63">
        <f t="shared" si="1"/>
        <v>11.742012427629328</v>
      </c>
      <c r="AA8" s="63">
        <f t="shared" si="1"/>
        <v>2.4094360775824808</v>
      </c>
      <c r="AB8" s="63" t="str">
        <f t="shared" si="2"/>
        <v/>
      </c>
      <c r="AC8" s="63" t="str">
        <f t="shared" si="2"/>
        <v/>
      </c>
      <c r="AD8" s="63" t="str">
        <f t="shared" si="2"/>
        <v/>
      </c>
      <c r="AE8" s="63" t="str">
        <f t="shared" si="2"/>
        <v/>
      </c>
      <c r="AF8" s="63" t="str">
        <f t="shared" si="2"/>
        <v/>
      </c>
    </row>
    <row r="9" spans="1:32" x14ac:dyDescent="0.25">
      <c r="A9" s="4" t="s">
        <v>247</v>
      </c>
      <c r="B9" s="61" t="str">
        <f>Datos_BBG!B29</f>
        <v>ALOS3 BZ</v>
      </c>
      <c r="C9" s="61" t="str">
        <f>Datos_BBG!D29</f>
        <v>Brasil</v>
      </c>
      <c r="D9" s="62">
        <v>1</v>
      </c>
      <c r="E9" s="62">
        <v>0</v>
      </c>
      <c r="F9" s="34">
        <f>Datos_BBG!O29*Datos_BBG!S29</f>
        <v>2656187.5310749565</v>
      </c>
      <c r="G9" s="34">
        <f>Datos_BBG!M29*Datos_BBG!S29</f>
        <v>1221640.6698314934</v>
      </c>
      <c r="H9" s="34">
        <f>Datos_BBG!N29*Datos_BBG!S29</f>
        <v>17188.966194073211</v>
      </c>
      <c r="I9" s="34">
        <f t="shared" si="0"/>
        <v>3895017.1671005231</v>
      </c>
      <c r="J9" s="34">
        <f>Datos_BBG!G29*Datos_BBG!S29</f>
        <v>524937.58280457102</v>
      </c>
      <c r="K9" s="34">
        <f>Datos_BBG!H29*Datos_BBG!S29</f>
        <v>388838.75022273877</v>
      </c>
      <c r="L9" s="34">
        <f>Datos_BBG!J29*Datos_BBG!S29</f>
        <v>276308.44682936277</v>
      </c>
      <c r="M9" s="34">
        <f>Datos_BBG!K29*Datos_BBG!S29</f>
        <v>166950.14983536702</v>
      </c>
      <c r="N9" s="34">
        <f>Datos_BBG!L29*Datos_BBG!S29</f>
        <v>2296067.800945187</v>
      </c>
      <c r="O9" s="34">
        <f>Datos_BBG!H52*Datos_BBG!S52</f>
        <v>413640.60966419522</v>
      </c>
      <c r="P9" s="48">
        <f>IF(OR(K9&lt;=0,I9/K9&gt;Supuestos!$B$94),"NM",I9/K9)</f>
        <v>10.017049907884278</v>
      </c>
      <c r="Q9" s="48">
        <f>IF(OR(O9&lt;=0,I9/O9&gt;Supuestos!$B$94),"NM",I9/O9)</f>
        <v>9.4164283585758302</v>
      </c>
      <c r="R9" s="48">
        <f>IF(OR(L9&lt;=0,I9/L9&gt;Supuestos!$B$94),"NM",I9/L9)</f>
        <v>14.096627199768282</v>
      </c>
      <c r="S9" s="48">
        <f>IF(OR(M9&lt;=0,Datos_BBG!Q29=1),"NM",IF(F9/M9&gt;Supuestos!$B$94,"NM",F9/M9))</f>
        <v>15.910063774691293</v>
      </c>
      <c r="T9" s="19">
        <f>IF(OR(N9&lt;=0,F9/N9&gt;Supuestos!$B$94),"NM",F9/N9)</f>
        <v>1.1568419408092063</v>
      </c>
      <c r="W9" s="63">
        <f t="shared" si="1"/>
        <v>10.017049907884278</v>
      </c>
      <c r="X9" s="63">
        <f t="shared" si="1"/>
        <v>9.4164283585758302</v>
      </c>
      <c r="Y9" s="63">
        <f t="shared" si="1"/>
        <v>14.096627199768282</v>
      </c>
      <c r="Z9" s="63">
        <f t="shared" si="1"/>
        <v>15.910063774691293</v>
      </c>
      <c r="AA9" s="63">
        <f t="shared" si="1"/>
        <v>1.1568419408092063</v>
      </c>
      <c r="AB9" s="63" t="str">
        <f t="shared" si="2"/>
        <v/>
      </c>
      <c r="AC9" s="63" t="str">
        <f t="shared" si="2"/>
        <v/>
      </c>
      <c r="AD9" s="63" t="str">
        <f t="shared" si="2"/>
        <v/>
      </c>
      <c r="AE9" s="63" t="str">
        <f t="shared" si="2"/>
        <v/>
      </c>
      <c r="AF9" s="63" t="str">
        <f t="shared" si="2"/>
        <v/>
      </c>
    </row>
    <row r="10" spans="1:32" x14ac:dyDescent="0.25">
      <c r="A10" s="4" t="s">
        <v>250</v>
      </c>
      <c r="B10" s="61" t="str">
        <f>Datos_BBG!B34</f>
        <v>IGTI11 BZ</v>
      </c>
      <c r="C10" s="61" t="str">
        <f>Datos_BBG!D34</f>
        <v>Brasil</v>
      </c>
      <c r="D10" s="62">
        <v>1</v>
      </c>
      <c r="E10" s="62">
        <v>0</v>
      </c>
      <c r="F10" s="34">
        <f>Datos_BBG!O34*Datos_BBG!S34</f>
        <v>1381189.7334131319</v>
      </c>
      <c r="G10" s="34">
        <f>Datos_BBG!M34*Datos_BBG!S34</f>
        <v>382047.9482820066</v>
      </c>
      <c r="H10" s="34">
        <f>Datos_BBG!N34*Datos_BBG!S34</f>
        <v>38.944435405771841</v>
      </c>
      <c r="I10" s="34">
        <f t="shared" si="0"/>
        <v>1763276.6261305443</v>
      </c>
      <c r="J10" s="34">
        <f>Datos_BBG!G34*Datos_BBG!S34</f>
        <v>272862.75751694752</v>
      </c>
      <c r="K10" s="34">
        <f>Datos_BBG!H34*Datos_BBG!S34</f>
        <v>201422.94229324037</v>
      </c>
      <c r="L10" s="34">
        <f>Datos_BBG!J34*Datos_BBG!S34</f>
        <v>178237.78355607207</v>
      </c>
      <c r="M10" s="34">
        <f>Datos_BBG!K34*Datos_BBG!S34</f>
        <v>114077.00486926206</v>
      </c>
      <c r="N10" s="34">
        <f>Datos_BBG!L34*Datos_BBG!S34</f>
        <v>881991.0639008329</v>
      </c>
      <c r="O10" s="34">
        <f>Datos_BBG!H53*Datos_BBG!S53</f>
        <v>238273.43026731358</v>
      </c>
      <c r="P10" s="48">
        <f>IF(OR(K10&lt;=0,I10/K10&gt;Supuestos!$B$94),"NM",I10/K10)</f>
        <v>8.7541002333462536</v>
      </c>
      <c r="Q10" s="48">
        <f>IF(OR(O10&lt;=0,I10/O10&gt;Supuestos!$B$94),"NM",I10/O10)</f>
        <v>7.4002234498087516</v>
      </c>
      <c r="R10" s="48">
        <f>IF(OR(L10&lt;=0,I10/L10&gt;Supuestos!$B$94),"NM",I10/L10)</f>
        <v>9.8928329950637703</v>
      </c>
      <c r="S10" s="48">
        <f>IF(OR(M10&lt;=0,Datos_BBG!Q34=1),"NM",IF(F10/M10&gt;Supuestos!$B$94,"NM",F10/M10))</f>
        <v>12.107521011759069</v>
      </c>
      <c r="T10" s="19">
        <f>IF(OR(N10&lt;=0,F10/N10&gt;Supuestos!$B$94),"NM",F10/N10)</f>
        <v>1.5659906204768834</v>
      </c>
      <c r="W10" s="63">
        <f t="shared" si="1"/>
        <v>8.7541002333462536</v>
      </c>
      <c r="X10" s="63">
        <f t="shared" si="1"/>
        <v>7.4002234498087516</v>
      </c>
      <c r="Y10" s="63">
        <f t="shared" si="1"/>
        <v>9.8928329950637703</v>
      </c>
      <c r="Z10" s="63">
        <f t="shared" si="1"/>
        <v>12.107521011759069</v>
      </c>
      <c r="AA10" s="63">
        <f t="shared" si="1"/>
        <v>1.5659906204768834</v>
      </c>
      <c r="AB10" s="63" t="str">
        <f t="shared" si="2"/>
        <v/>
      </c>
      <c r="AC10" s="63" t="str">
        <f t="shared" si="2"/>
        <v/>
      </c>
      <c r="AD10" s="63" t="str">
        <f t="shared" si="2"/>
        <v/>
      </c>
      <c r="AE10" s="63" t="str">
        <f t="shared" si="2"/>
        <v/>
      </c>
      <c r="AF10" s="63" t="str">
        <f t="shared" si="2"/>
        <v/>
      </c>
    </row>
    <row r="11" spans="1:32" x14ac:dyDescent="0.25">
      <c r="A11" s="4" t="s">
        <v>255</v>
      </c>
      <c r="B11" s="61" t="str">
        <f>Datos_BBG!B39</f>
        <v>IRSA AR</v>
      </c>
      <c r="C11" s="61" t="str">
        <f>Datos_BBG!D39</f>
        <v>Argentina</v>
      </c>
      <c r="D11" s="62">
        <v>1</v>
      </c>
      <c r="E11" s="62">
        <v>0</v>
      </c>
      <c r="F11" s="34">
        <f>Datos_BBG!O39*Datos_BBG!S39</f>
        <v>1140416.4583056276</v>
      </c>
      <c r="G11" s="34">
        <f>Datos_BBG!M39*Datos_BBG!S39</f>
        <v>561235.17693657218</v>
      </c>
      <c r="H11" s="34">
        <f>Datos_BBG!N39*Datos_BBG!S39</f>
        <v>87538.903535762496</v>
      </c>
      <c r="I11" s="34">
        <f t="shared" si="0"/>
        <v>1789190.5387779623</v>
      </c>
      <c r="J11" s="34">
        <f>Datos_BBG!G39*Datos_BBG!S39</f>
        <v>409298.64396761137</v>
      </c>
      <c r="K11" s="34">
        <f>Datos_BBG!H39*Datos_BBG!S39</f>
        <v>145686.2030933036</v>
      </c>
      <c r="L11" s="34">
        <f>Datos_BBG!J39*Datos_BBG!S39</f>
        <v>135134.94275764856</v>
      </c>
      <c r="M11" s="34">
        <f>Datos_BBG!K39*Datos_BBG!S39</f>
        <v>244905.54210526319</v>
      </c>
      <c r="N11" s="34">
        <f>Datos_BBG!L39*Datos_BBG!S39</f>
        <v>1418831.5144129556</v>
      </c>
      <c r="O11" s="34">
        <f>Datos_BBG!H54*Datos_BBG!S54</f>
        <v>286774.75570879487</v>
      </c>
      <c r="P11" s="48">
        <f>IF(OR(K11&lt;=0,I11/K11&gt;Supuestos!$B$94),"NM",I11/K11)</f>
        <v>12.281125465477944</v>
      </c>
      <c r="Q11" s="48">
        <f>IF(OR(O11&lt;=0,I11/O11&gt;Supuestos!$B$94),"NM",I11/O11)</f>
        <v>6.239009895957488</v>
      </c>
      <c r="R11" s="48">
        <f>IF(OR(L11&lt;=0,I11/L11&gt;Supuestos!$B$94),"NM",I11/L11)</f>
        <v>13.240028835374595</v>
      </c>
      <c r="S11" s="48">
        <f>IF(OR(M11&lt;=0,Datos_BBG!Q39=1),"NM",IF(F11/M11&gt;Supuestos!$B$94,"NM",F11/M11))</f>
        <v>4.6565563543493171</v>
      </c>
      <c r="T11" s="19">
        <f>IF(OR(N11&lt;=0,F11/N11&gt;Supuestos!$B$94),"NM",F11/N11)</f>
        <v>0.80377158719756603</v>
      </c>
      <c r="W11" s="63">
        <f t="shared" si="1"/>
        <v>12.281125465477944</v>
      </c>
      <c r="X11" s="63">
        <f t="shared" si="1"/>
        <v>6.239009895957488</v>
      </c>
      <c r="Y11" s="63">
        <f t="shared" si="1"/>
        <v>13.240028835374595</v>
      </c>
      <c r="Z11" s="63">
        <f t="shared" si="1"/>
        <v>4.6565563543493171</v>
      </c>
      <c r="AA11" s="63">
        <f t="shared" si="1"/>
        <v>0.80377158719756603</v>
      </c>
      <c r="AB11" s="63" t="str">
        <f t="shared" si="2"/>
        <v/>
      </c>
      <c r="AC11" s="63" t="str">
        <f t="shared" si="2"/>
        <v/>
      </c>
      <c r="AD11" s="63" t="str">
        <f t="shared" si="2"/>
        <v/>
      </c>
      <c r="AE11" s="63" t="str">
        <f t="shared" si="2"/>
        <v/>
      </c>
      <c r="AF11" s="63" t="str">
        <f t="shared" si="2"/>
        <v/>
      </c>
    </row>
    <row r="12" spans="1:32" x14ac:dyDescent="0.25">
      <c r="A12" s="4" t="s">
        <v>577</v>
      </c>
      <c r="B12" s="61" t="str">
        <f>Datos_BBG!B44</f>
        <v>DANHOS13 MM</v>
      </c>
      <c r="C12" s="61" t="str">
        <f>Datos_BBG!D44</f>
        <v>México</v>
      </c>
      <c r="D12" s="62">
        <v>0</v>
      </c>
      <c r="E12" s="62">
        <v>0</v>
      </c>
      <c r="F12" s="34">
        <f>Datos_BBG!O44*Datos_BBG!S44</f>
        <v>2383999.4213300496</v>
      </c>
      <c r="G12" s="34">
        <f>Datos_BBG!M44*Datos_BBG!S44</f>
        <v>618003.43152709352</v>
      </c>
      <c r="H12" s="34">
        <f>Datos_BBG!N44*Datos_BBG!S44</f>
        <v>155940.9039408867</v>
      </c>
      <c r="I12" s="34">
        <f t="shared" si="0"/>
        <v>3157943.7567980299</v>
      </c>
      <c r="J12" s="34">
        <f>Datos_BBG!G44*Datos_BBG!S44</f>
        <v>417411.60774679802</v>
      </c>
      <c r="K12" s="34">
        <f>Datos_BBG!H44*Datos_BBG!S44</f>
        <v>277625.05753251229</v>
      </c>
      <c r="L12" s="34">
        <f>Datos_BBG!J44*Datos_BBG!S44</f>
        <v>276925.51873054187</v>
      </c>
      <c r="M12" s="34">
        <f>Datos_BBG!K44*Datos_BBG!S44</f>
        <v>301542.11493793101</v>
      </c>
      <c r="N12" s="34">
        <f>Datos_BBG!L44*Datos_BBG!S44</f>
        <v>3445417.0778325126</v>
      </c>
      <c r="O12" s="34">
        <f>Datos_BBG!H55*Datos_BBG!S55</f>
        <v>313368.81592463056</v>
      </c>
      <c r="P12" s="48">
        <f>IF(OR(K12&lt;=0,I12/K12&gt;Supuestos!$B$94),"NM",I12/K12)</f>
        <v>11.37485133678255</v>
      </c>
      <c r="Q12" s="48">
        <f>IF(OR(O12&lt;=0,I12/O12&gt;Supuestos!$B$94),"NM",I12/O12)</f>
        <v>10.077402716285459</v>
      </c>
      <c r="R12" s="48">
        <f>IF(OR(L12&lt;=0,I12/L12&gt;Supuestos!$B$94),"NM",I12/L12)</f>
        <v>11.403585235750045</v>
      </c>
      <c r="S12" s="48">
        <f>IF(OR(M12&lt;=0,Datos_BBG!Q44=1),"NM",IF(F12/M12&gt;Supuestos!$B$94,"NM",F12/M12))</f>
        <v>7.9060247415879825</v>
      </c>
      <c r="T12" s="19">
        <f>IF(OR(N12&lt;=0,F12/N12&gt;Supuestos!$B$94),"NM",F12/N12)</f>
        <v>0.69193347785627357</v>
      </c>
      <c r="W12" s="63" t="str">
        <f t="shared" si="1"/>
        <v/>
      </c>
      <c r="X12" s="63" t="str">
        <f t="shared" si="1"/>
        <v/>
      </c>
      <c r="Y12" s="63" t="str">
        <f t="shared" si="1"/>
        <v/>
      </c>
      <c r="Z12" s="63" t="str">
        <f t="shared" si="1"/>
        <v/>
      </c>
      <c r="AA12" s="63" t="str">
        <f t="shared" si="1"/>
        <v/>
      </c>
      <c r="AB12" s="63" t="str">
        <f t="shared" si="2"/>
        <v/>
      </c>
      <c r="AC12" s="63" t="str">
        <f t="shared" si="2"/>
        <v/>
      </c>
      <c r="AD12" s="63" t="str">
        <f t="shared" si="2"/>
        <v/>
      </c>
      <c r="AE12" s="63" t="str">
        <f t="shared" si="2"/>
        <v/>
      </c>
      <c r="AF12" s="63" t="str">
        <f t="shared" si="2"/>
        <v/>
      </c>
    </row>
    <row r="14" spans="1:32" x14ac:dyDescent="0.25">
      <c r="A14" s="3" t="s">
        <v>578</v>
      </c>
    </row>
    <row r="15" spans="1:32" x14ac:dyDescent="0.25">
      <c r="A15" s="4" t="s">
        <v>579</v>
      </c>
      <c r="P15" s="19">
        <f>MEDIAN(W6:W12)</f>
        <v>11.14908768668111</v>
      </c>
      <c r="Q15" s="19">
        <f>MEDIAN(X6:X12)</f>
        <v>9.7469297695512545</v>
      </c>
      <c r="R15" s="19">
        <f>MEDIAN(Y6:Y12)</f>
        <v>13.147863900473032</v>
      </c>
      <c r="S15" s="19">
        <f>MEDIAN(Z6:Z12)</f>
        <v>11.924766719694198</v>
      </c>
      <c r="T15" s="19">
        <f>MEDIAN(AA6:AA12)</f>
        <v>1.3744561261793662</v>
      </c>
    </row>
    <row r="16" spans="1:32" x14ac:dyDescent="0.25">
      <c r="A16" s="4" t="s">
        <v>580</v>
      </c>
      <c r="P16" s="19">
        <f>MEDIAN(AB6:AB12)</f>
        <v>15.73788154958832</v>
      </c>
      <c r="Q16" s="19">
        <f>MEDIAN(AC6:AC12)</f>
        <v>13.751004757792009</v>
      </c>
      <c r="R16" s="19">
        <f>MEDIAN(AD6:AD12)</f>
        <v>15.904696494592802</v>
      </c>
      <c r="S16" s="19">
        <f>MEDIAN(AE6:AE12)</f>
        <v>16.385912154999879</v>
      </c>
      <c r="T16" s="19">
        <f>MEDIAN(AF6:AF12)</f>
        <v>1.4684926096396704</v>
      </c>
    </row>
    <row r="17" spans="1:20" x14ac:dyDescent="0.25">
      <c r="A17" s="3" t="s">
        <v>581</v>
      </c>
      <c r="P17" s="50">
        <f>Supuestos!$B$93*P16+(1-Supuestos!$B$93)*P15</f>
        <v>14.361243390716158</v>
      </c>
      <c r="Q17" s="50">
        <f>Supuestos!$B$93*Q16+(1-Supuestos!$B$93)*Q15</f>
        <v>12.549782261319782</v>
      </c>
      <c r="R17" s="50">
        <f>Supuestos!$B$93*R16+(1-Supuestos!$B$93)*R15</f>
        <v>15.07764671635687</v>
      </c>
      <c r="S17" s="50">
        <f>Supuestos!$B$93*S16+(1-Supuestos!$B$93)*S15</f>
        <v>15.047568524408174</v>
      </c>
      <c r="T17" s="50">
        <f>Supuestos!$B$93*T16+(1-Supuestos!$B$93)*T15</f>
        <v>1.4402816646015792</v>
      </c>
    </row>
    <row r="18" spans="1:20" x14ac:dyDescent="0.25">
      <c r="A18" s="4" t="s">
        <v>582</v>
      </c>
      <c r="P18" s="32">
        <f>COUNT(W6:W12)</f>
        <v>6</v>
      </c>
      <c r="Q18" s="32">
        <f>COUNT(X6:X12)</f>
        <v>6</v>
      </c>
      <c r="R18" s="32">
        <f>COUNT(Y6:Y12)</f>
        <v>6</v>
      </c>
      <c r="S18" s="32">
        <f>COUNT(Z6:Z12)</f>
        <v>6</v>
      </c>
      <c r="T18" s="32">
        <f>COUNT(AA6:AA12)</f>
        <v>6</v>
      </c>
    </row>
    <row r="19" spans="1:20" x14ac:dyDescent="0.25">
      <c r="A19" s="4" t="s">
        <v>583</v>
      </c>
      <c r="P19" s="26">
        <f>IF(ISNUMBER(P5),P5/P17-1,"NM")</f>
        <v>0.16891454764448954</v>
      </c>
      <c r="Q19" s="26">
        <f>IF(ISNUMBER(Q5),Q5/Q17-1,"NM")</f>
        <v>0.18115371773147837</v>
      </c>
      <c r="R19" s="26">
        <f>IF(ISNUMBER(R5),R5/R17-1,"NM")</f>
        <v>0.12277445905793849</v>
      </c>
      <c r="S19" s="26">
        <f>IF(ISNUMBER(S5),S5/S17-1,"NM")</f>
        <v>-0.58873803976682759</v>
      </c>
      <c r="T19" s="26">
        <f>IF(ISNUMBER(T5),T5/T17-1,"NM")</f>
        <v>0.1212652396629641</v>
      </c>
    </row>
    <row r="21" spans="1:20" x14ac:dyDescent="0.25">
      <c r="A21" s="2" t="s">
        <v>584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"/>
  <sheetViews>
    <sheetView showGridLines="0" zoomScaleNormal="100" workbookViewId="0"/>
  </sheetViews>
  <sheetFormatPr baseColWidth="10" defaultColWidth="8.7109375" defaultRowHeight="15" x14ac:dyDescent="0.25"/>
  <cols>
    <col min="1" max="1" width="60" customWidth="1"/>
    <col min="2" max="2" width="16" customWidth="1"/>
    <col min="3" max="3" width="14" customWidth="1"/>
    <col min="4" max="4" width="16" customWidth="1"/>
  </cols>
  <sheetData>
    <row r="1" spans="1:5" ht="15.75" x14ac:dyDescent="0.25">
      <c r="A1" s="1" t="s">
        <v>585</v>
      </c>
    </row>
    <row r="3" spans="1:5" x14ac:dyDescent="0.25">
      <c r="A3" s="3" t="s">
        <v>586</v>
      </c>
    </row>
    <row r="4" spans="1:5" x14ac:dyDescent="0.25">
      <c r="A4" s="10" t="s">
        <v>587</v>
      </c>
      <c r="B4" s="10" t="s">
        <v>588</v>
      </c>
      <c r="C4" s="10" t="s">
        <v>589</v>
      </c>
      <c r="D4" s="10" t="s">
        <v>590</v>
      </c>
    </row>
    <row r="5" spans="1:5" x14ac:dyDescent="0.25">
      <c r="A5" s="3" t="s">
        <v>591</v>
      </c>
      <c r="B5" s="8">
        <f>Comparables!P17</f>
        <v>14.361243390716158</v>
      </c>
      <c r="C5" s="45">
        <f>Comparables!K5</f>
        <v>544935</v>
      </c>
      <c r="D5" s="64">
        <f>(B5*C5-Supuestos!$B$14-Comparables!H5)/Supuestos!$B$9</f>
        <v>2951.3854708310091</v>
      </c>
      <c r="E5" s="2" t="s">
        <v>592</v>
      </c>
    </row>
    <row r="6" spans="1:5" x14ac:dyDescent="0.25">
      <c r="A6" s="4" t="s">
        <v>561</v>
      </c>
      <c r="B6" s="8">
        <f>Comparables!Q17</f>
        <v>12.549782261319782</v>
      </c>
      <c r="C6" s="45">
        <f>Comparables!O5</f>
        <v>617130.33790000004</v>
      </c>
      <c r="D6" s="23">
        <f>(B6*C6-Supuestos!$B$14-Comparables!H5)/Supuestos!$B$9</f>
        <v>2914.356795205344</v>
      </c>
    </row>
    <row r="7" spans="1:5" x14ac:dyDescent="0.25">
      <c r="A7" s="4" t="s">
        <v>562</v>
      </c>
      <c r="B7" s="8">
        <f>Comparables!R17</f>
        <v>15.07764671635687</v>
      </c>
      <c r="C7" s="45">
        <f>Comparables!L5</f>
        <v>540372.72600000002</v>
      </c>
      <c r="D7" s="23">
        <f>(B7*C7-Supuestos!$B$14-Comparables!H5)/Supuestos!$B$9</f>
        <v>3098.2370190788633</v>
      </c>
    </row>
    <row r="8" spans="1:5" x14ac:dyDescent="0.25">
      <c r="A8" s="4" t="s">
        <v>593</v>
      </c>
      <c r="B8" s="8">
        <f>Comparables!S17</f>
        <v>15.047568524408174</v>
      </c>
      <c r="C8" s="45">
        <f>Comparables!M5</f>
        <v>1258052.743</v>
      </c>
      <c r="D8" s="23">
        <f>B8*C8/Supuestos!$B$9</f>
        <v>8644.1255057589806</v>
      </c>
    </row>
    <row r="9" spans="1:5" x14ac:dyDescent="0.25">
      <c r="A9" s="4" t="s">
        <v>594</v>
      </c>
      <c r="B9" s="8">
        <f>Comparables!T17</f>
        <v>1.4402816646015792</v>
      </c>
      <c r="C9" s="45">
        <f>Comparables!N5</f>
        <v>4820897.8480000002</v>
      </c>
      <c r="D9" s="23">
        <f>B9*C9/Supuestos!$B$9</f>
        <v>3170.52546912859</v>
      </c>
    </row>
    <row r="11" spans="1:5" x14ac:dyDescent="0.25">
      <c r="A11" s="3" t="s">
        <v>595</v>
      </c>
    </row>
    <row r="12" spans="1:5" x14ac:dyDescent="0.25">
      <c r="A12" s="4" t="s">
        <v>596</v>
      </c>
      <c r="B12" s="6">
        <f>DCF!C49</f>
        <v>1856.8119971801468</v>
      </c>
    </row>
    <row r="13" spans="1:5" x14ac:dyDescent="0.25">
      <c r="A13" s="4" t="s">
        <v>597</v>
      </c>
      <c r="B13" s="23">
        <f>D5</f>
        <v>2951.3854708310091</v>
      </c>
    </row>
    <row r="14" spans="1:5" x14ac:dyDescent="0.25">
      <c r="A14" s="4" t="s">
        <v>598</v>
      </c>
      <c r="B14" s="7">
        <f>Supuestos!$B$92</f>
        <v>0.8</v>
      </c>
    </row>
    <row r="15" spans="1:5" x14ac:dyDescent="0.25">
      <c r="A15" s="3" t="s">
        <v>599</v>
      </c>
      <c r="B15" s="47">
        <f>B12*B14+B13*(1-B14)</f>
        <v>2075.726691910319</v>
      </c>
    </row>
    <row r="16" spans="1:5" x14ac:dyDescent="0.25">
      <c r="A16" s="4" t="s">
        <v>6</v>
      </c>
      <c r="B16" s="6">
        <f>Supuestos!$B$8</f>
        <v>3555</v>
      </c>
    </row>
    <row r="17" spans="1:2" x14ac:dyDescent="0.25">
      <c r="A17" s="3" t="s">
        <v>448</v>
      </c>
      <c r="B17" s="39">
        <f>B15/B16-1</f>
        <v>-0.41611063518697078</v>
      </c>
    </row>
    <row r="18" spans="1:2" x14ac:dyDescent="0.25">
      <c r="A18" s="4" t="s">
        <v>600</v>
      </c>
      <c r="B18" s="6">
        <f>Supuestos!$B$110</f>
        <v>2094.5718198219402</v>
      </c>
    </row>
    <row r="20" spans="1:2" x14ac:dyDescent="0.25">
      <c r="A20" s="3" t="s">
        <v>601</v>
      </c>
    </row>
    <row r="21" spans="1:2" x14ac:dyDescent="0.25">
      <c r="A21" s="4" t="s">
        <v>602</v>
      </c>
      <c r="B21" s="7">
        <f>DCF!C56</f>
        <v>0.10085787030177906</v>
      </c>
    </row>
    <row r="22" spans="1:2" x14ac:dyDescent="0.25">
      <c r="A22" s="4" t="s">
        <v>603</v>
      </c>
      <c r="B22" s="26">
        <f>1/Comparables!P5</f>
        <v>5.956966993744716E-2</v>
      </c>
    </row>
    <row r="23" spans="1:2" x14ac:dyDescent="0.25">
      <c r="A23" s="4" t="s">
        <v>604</v>
      </c>
      <c r="B23" s="26">
        <f>1/Comparables!P16</f>
        <v>6.3540953517098916E-2</v>
      </c>
    </row>
    <row r="24" spans="1:2" x14ac:dyDescent="0.25">
      <c r="A24" s="4" t="s">
        <v>605</v>
      </c>
      <c r="B24" s="7">
        <f>DCF!C38</f>
        <v>0.10413886741610846</v>
      </c>
    </row>
    <row r="25" spans="1:2" x14ac:dyDescent="0.25">
      <c r="A25" s="4" t="s">
        <v>457</v>
      </c>
      <c r="B25" s="7">
        <f>DCF!C58</f>
        <v>7.197948292826073E-2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5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18" customWidth="1"/>
    <col min="2" max="2" width="14" customWidth="1"/>
    <col min="3" max="3" width="12" customWidth="1"/>
    <col min="4" max="4" width="10" customWidth="1"/>
    <col min="5" max="5" width="8" customWidth="1"/>
    <col min="6" max="8" width="12" customWidth="1"/>
    <col min="9" max="9" width="10" customWidth="1"/>
    <col min="10" max="10" width="12" customWidth="1"/>
    <col min="11" max="11" width="14" customWidth="1"/>
    <col min="12" max="13" width="13" customWidth="1"/>
    <col min="14" max="14" width="12" customWidth="1"/>
    <col min="15" max="15" width="13" customWidth="1"/>
    <col min="16" max="17" width="9" customWidth="1"/>
    <col min="18" max="18" width="60" customWidth="1"/>
    <col min="19" max="19" width="12" customWidth="1"/>
    <col min="20" max="20" width="13" customWidth="1"/>
  </cols>
  <sheetData>
    <row r="1" spans="1:20" ht="15.75" x14ac:dyDescent="0.25">
      <c r="A1" s="1" t="s">
        <v>606</v>
      </c>
    </row>
    <row r="2" spans="1:20" x14ac:dyDescent="0.25">
      <c r="A2" s="2" t="s">
        <v>607</v>
      </c>
    </row>
    <row r="4" spans="1:20" x14ac:dyDescent="0.25">
      <c r="A4" s="10" t="s">
        <v>232</v>
      </c>
      <c r="B4" s="10" t="s">
        <v>233</v>
      </c>
      <c r="C4" s="10" t="s">
        <v>608</v>
      </c>
      <c r="D4" s="10" t="s">
        <v>234</v>
      </c>
      <c r="E4" s="10" t="s">
        <v>609</v>
      </c>
      <c r="F4" s="10" t="s">
        <v>610</v>
      </c>
      <c r="G4" s="10" t="s">
        <v>611</v>
      </c>
      <c r="H4" s="10" t="s">
        <v>396</v>
      </c>
      <c r="I4" s="10" t="s">
        <v>314</v>
      </c>
      <c r="J4" s="10" t="s">
        <v>411</v>
      </c>
      <c r="K4" s="10" t="s">
        <v>612</v>
      </c>
      <c r="L4" s="10" t="s">
        <v>613</v>
      </c>
      <c r="M4" s="10" t="s">
        <v>614</v>
      </c>
      <c r="N4" s="10" t="s">
        <v>552</v>
      </c>
      <c r="O4" s="10" t="s">
        <v>615</v>
      </c>
      <c r="P4" s="10" t="s">
        <v>616</v>
      </c>
      <c r="Q4" s="10" t="s">
        <v>617</v>
      </c>
      <c r="R4" s="10" t="s">
        <v>618</v>
      </c>
      <c r="S4" s="10" t="s">
        <v>619</v>
      </c>
      <c r="T4" s="10" t="s">
        <v>620</v>
      </c>
    </row>
    <row r="5" spans="1:20" x14ac:dyDescent="0.25">
      <c r="A5" s="4" t="s">
        <v>575</v>
      </c>
      <c r="B5" s="4" t="s">
        <v>621</v>
      </c>
      <c r="C5" s="4" t="s">
        <v>576</v>
      </c>
      <c r="D5" s="4" t="s">
        <v>244</v>
      </c>
      <c r="E5" s="4" t="s">
        <v>39</v>
      </c>
      <c r="F5" s="4" t="s">
        <v>622</v>
      </c>
      <c r="G5" s="65">
        <v>370898.935</v>
      </c>
      <c r="H5" s="65">
        <v>282699</v>
      </c>
      <c r="I5" s="65">
        <v>2165.395</v>
      </c>
      <c r="J5" s="66">
        <f t="shared" ref="J5:J44" si="0">H5-I5</f>
        <v>280533.60499999998</v>
      </c>
      <c r="K5" s="65">
        <v>157666.755</v>
      </c>
      <c r="L5" s="65">
        <v>2263298.4789999998</v>
      </c>
      <c r="M5" s="65">
        <v>1011613.326</v>
      </c>
      <c r="N5" s="65">
        <v>168378.47899999999</v>
      </c>
      <c r="O5" s="65">
        <v>2073680</v>
      </c>
      <c r="P5" s="65">
        <v>1050.6469999999999</v>
      </c>
      <c r="Q5" s="16">
        <v>0</v>
      </c>
      <c r="R5" s="4"/>
      <c r="S5" s="67">
        <f>Supuestos!$B$101</f>
        <v>1</v>
      </c>
      <c r="T5" s="66">
        <f t="shared" ref="T5:T44" si="1">O5+M5+N5</f>
        <v>3253671.8049999997</v>
      </c>
    </row>
    <row r="6" spans="1:20" x14ac:dyDescent="0.25">
      <c r="A6" s="4" t="s">
        <v>575</v>
      </c>
      <c r="B6" s="4" t="s">
        <v>621</v>
      </c>
      <c r="C6" s="4" t="s">
        <v>576</v>
      </c>
      <c r="D6" s="4" t="s">
        <v>244</v>
      </c>
      <c r="E6" s="4" t="s">
        <v>39</v>
      </c>
      <c r="F6" s="4" t="s">
        <v>623</v>
      </c>
      <c r="G6" s="65">
        <v>419903.77799999999</v>
      </c>
      <c r="H6" s="65">
        <v>322185</v>
      </c>
      <c r="I6" s="65">
        <v>2153.5100000000002</v>
      </c>
      <c r="J6" s="66">
        <f t="shared" si="0"/>
        <v>320031.49</v>
      </c>
      <c r="K6" s="65">
        <v>349758.853</v>
      </c>
      <c r="L6" s="65">
        <v>2601053.165</v>
      </c>
      <c r="M6" s="65">
        <v>1081082.31</v>
      </c>
      <c r="N6" s="65">
        <v>31634.352999999999</v>
      </c>
      <c r="O6" s="65">
        <v>2439612</v>
      </c>
      <c r="P6" s="65">
        <v>1236.049</v>
      </c>
      <c r="Q6" s="16">
        <v>0</v>
      </c>
      <c r="R6" s="4"/>
      <c r="S6" s="67">
        <f>Supuestos!$B$101</f>
        <v>1</v>
      </c>
      <c r="T6" s="66">
        <f t="shared" si="1"/>
        <v>3552328.6630000002</v>
      </c>
    </row>
    <row r="7" spans="1:20" x14ac:dyDescent="0.25">
      <c r="A7" s="4" t="s">
        <v>575</v>
      </c>
      <c r="B7" s="4" t="s">
        <v>621</v>
      </c>
      <c r="C7" s="4" t="s">
        <v>576</v>
      </c>
      <c r="D7" s="4" t="s">
        <v>244</v>
      </c>
      <c r="E7" s="4" t="s">
        <v>39</v>
      </c>
      <c r="F7" s="4" t="s">
        <v>393</v>
      </c>
      <c r="G7" s="65">
        <v>494605.239</v>
      </c>
      <c r="H7" s="65">
        <v>380637</v>
      </c>
      <c r="I7" s="65">
        <v>2111.8090000000002</v>
      </c>
      <c r="J7" s="66">
        <f t="shared" si="0"/>
        <v>378525.19099999999</v>
      </c>
      <c r="K7" s="65">
        <v>335933.777</v>
      </c>
      <c r="L7" s="65">
        <v>3157863.0750000002</v>
      </c>
      <c r="M7" s="65">
        <v>1458589.1370000001</v>
      </c>
      <c r="N7" s="65">
        <v>33186.747000000003</v>
      </c>
      <c r="O7" s="65">
        <v>3569919</v>
      </c>
      <c r="P7" s="65">
        <v>1630.1</v>
      </c>
      <c r="Q7" s="16">
        <v>0</v>
      </c>
      <c r="R7" s="4"/>
      <c r="S7" s="67">
        <f>Supuestos!$B$101</f>
        <v>1</v>
      </c>
      <c r="T7" s="66">
        <f t="shared" si="1"/>
        <v>5061694.8840000005</v>
      </c>
    </row>
    <row r="8" spans="1:20" x14ac:dyDescent="0.25">
      <c r="A8" s="4" t="s">
        <v>575</v>
      </c>
      <c r="B8" s="4" t="s">
        <v>621</v>
      </c>
      <c r="C8" s="4" t="s">
        <v>576</v>
      </c>
      <c r="D8" s="4" t="s">
        <v>244</v>
      </c>
      <c r="E8" s="4" t="s">
        <v>39</v>
      </c>
      <c r="F8" s="4" t="s">
        <v>394</v>
      </c>
      <c r="G8" s="65">
        <v>653911.09100000001</v>
      </c>
      <c r="H8" s="65">
        <v>526228</v>
      </c>
      <c r="I8" s="65">
        <v>3609.5360000000001</v>
      </c>
      <c r="J8" s="66">
        <f t="shared" si="0"/>
        <v>522618.46399999998</v>
      </c>
      <c r="K8" s="65">
        <v>1431011.5959999999</v>
      </c>
      <c r="L8" s="65">
        <v>4482903.9460000005</v>
      </c>
      <c r="M8" s="65">
        <v>1327147.4129999999</v>
      </c>
      <c r="N8" s="65">
        <v>41649.186999999998</v>
      </c>
      <c r="O8" s="65">
        <v>6977559</v>
      </c>
      <c r="P8" s="65">
        <v>3186.1</v>
      </c>
      <c r="Q8" s="16">
        <v>0</v>
      </c>
      <c r="R8" s="4" t="s">
        <v>624</v>
      </c>
      <c r="S8" s="67">
        <f>Supuestos!$B$101</f>
        <v>1</v>
      </c>
      <c r="T8" s="66">
        <f t="shared" si="1"/>
        <v>8346355.5999999996</v>
      </c>
    </row>
    <row r="9" spans="1:20" x14ac:dyDescent="0.25">
      <c r="A9" s="4" t="s">
        <v>575</v>
      </c>
      <c r="B9" s="4" t="s">
        <v>621</v>
      </c>
      <c r="C9" s="4" t="s">
        <v>576</v>
      </c>
      <c r="D9" s="4" t="s">
        <v>244</v>
      </c>
      <c r="E9" s="4" t="s">
        <v>39</v>
      </c>
      <c r="F9" s="4" t="s">
        <v>625</v>
      </c>
      <c r="G9" s="65">
        <v>677333.30599999998</v>
      </c>
      <c r="H9" s="65">
        <v>544935</v>
      </c>
      <c r="I9" s="65">
        <v>4562.2740000000003</v>
      </c>
      <c r="J9" s="66">
        <f t="shared" si="0"/>
        <v>540372.72600000002</v>
      </c>
      <c r="K9" s="65">
        <v>1258052.743</v>
      </c>
      <c r="L9" s="65">
        <v>4820897.8480000002</v>
      </c>
      <c r="M9" s="65">
        <v>1311568.558</v>
      </c>
      <c r="N9" s="65">
        <v>50841.428</v>
      </c>
      <c r="O9" s="65">
        <v>7785450</v>
      </c>
      <c r="P9" s="65">
        <v>3555</v>
      </c>
      <c r="Q9" s="16">
        <v>0</v>
      </c>
      <c r="R9" s="4"/>
      <c r="S9" s="67">
        <f>Supuestos!$B$101</f>
        <v>1</v>
      </c>
      <c r="T9" s="66">
        <f t="shared" si="1"/>
        <v>9147859.9859999996</v>
      </c>
    </row>
    <row r="10" spans="1:20" x14ac:dyDescent="0.25">
      <c r="A10" s="4" t="s">
        <v>242</v>
      </c>
      <c r="B10" s="4" t="s">
        <v>243</v>
      </c>
      <c r="C10" s="4" t="s">
        <v>626</v>
      </c>
      <c r="D10" s="4" t="s">
        <v>244</v>
      </c>
      <c r="E10" s="4" t="s">
        <v>39</v>
      </c>
      <c r="F10" s="4" t="s">
        <v>622</v>
      </c>
      <c r="G10" s="65">
        <v>243119.54300000001</v>
      </c>
      <c r="H10" s="65">
        <v>170697</v>
      </c>
      <c r="I10" s="65">
        <v>5128.3770000000004</v>
      </c>
      <c r="J10" s="66">
        <f t="shared" si="0"/>
        <v>165568.62299999999</v>
      </c>
      <c r="K10" s="65">
        <v>101031.63499999999</v>
      </c>
      <c r="L10" s="65">
        <v>1144928.8540000001</v>
      </c>
      <c r="M10" s="65">
        <v>989079.049</v>
      </c>
      <c r="N10" s="65">
        <v>211136.22399999999</v>
      </c>
      <c r="O10" s="65">
        <v>979894.01269999996</v>
      </c>
      <c r="P10" s="65">
        <v>1067.1600000000001</v>
      </c>
      <c r="Q10" s="16">
        <v>0</v>
      </c>
      <c r="R10" s="4"/>
      <c r="S10" s="67">
        <f>Supuestos!$B$101</f>
        <v>1</v>
      </c>
      <c r="T10" s="66">
        <f t="shared" si="1"/>
        <v>2180109.2856999999</v>
      </c>
    </row>
    <row r="11" spans="1:20" x14ac:dyDescent="0.25">
      <c r="A11" s="4" t="s">
        <v>242</v>
      </c>
      <c r="B11" s="4" t="s">
        <v>243</v>
      </c>
      <c r="C11" s="4" t="s">
        <v>626</v>
      </c>
      <c r="D11" s="4" t="s">
        <v>244</v>
      </c>
      <c r="E11" s="4" t="s">
        <v>39</v>
      </c>
      <c r="F11" s="4" t="s">
        <v>623</v>
      </c>
      <c r="G11" s="65">
        <v>264312.60700000002</v>
      </c>
      <c r="H11" s="65">
        <v>188159</v>
      </c>
      <c r="I11" s="65">
        <v>5280.9369999999999</v>
      </c>
      <c r="J11" s="66">
        <f t="shared" si="0"/>
        <v>182878.06299999999</v>
      </c>
      <c r="K11" s="65">
        <v>112345.334</v>
      </c>
      <c r="L11" s="65">
        <v>1298911.3030000001</v>
      </c>
      <c r="M11" s="65">
        <v>1113749.3670000001</v>
      </c>
      <c r="N11" s="65">
        <v>332049.13</v>
      </c>
      <c r="O11" s="65">
        <v>1286116.5519999999</v>
      </c>
      <c r="P11" s="65">
        <v>1400.66</v>
      </c>
      <c r="Q11" s="16">
        <v>0</v>
      </c>
      <c r="R11" s="4"/>
      <c r="S11" s="67">
        <f>Supuestos!$B$101</f>
        <v>1</v>
      </c>
      <c r="T11" s="66">
        <f t="shared" si="1"/>
        <v>2731915.0489999996</v>
      </c>
    </row>
    <row r="12" spans="1:20" x14ac:dyDescent="0.25">
      <c r="A12" s="4" t="s">
        <v>242</v>
      </c>
      <c r="B12" s="4" t="s">
        <v>243</v>
      </c>
      <c r="C12" s="4" t="s">
        <v>626</v>
      </c>
      <c r="D12" s="4" t="s">
        <v>244</v>
      </c>
      <c r="E12" s="4" t="s">
        <v>39</v>
      </c>
      <c r="F12" s="4" t="s">
        <v>393</v>
      </c>
      <c r="G12" s="65">
        <v>316775.71100000001</v>
      </c>
      <c r="H12" s="65">
        <v>227727</v>
      </c>
      <c r="I12" s="65">
        <v>6518.9059999999999</v>
      </c>
      <c r="J12" s="66">
        <f t="shared" si="0"/>
        <v>221208.09400000001</v>
      </c>
      <c r="K12" s="65">
        <v>120571.308</v>
      </c>
      <c r="L12" s="65">
        <v>1464457.7420000001</v>
      </c>
      <c r="M12" s="65">
        <v>1279923.402</v>
      </c>
      <c r="N12" s="65">
        <v>323589.52299999999</v>
      </c>
      <c r="O12" s="65">
        <v>1439091.9650000001</v>
      </c>
      <c r="P12" s="65">
        <v>1567.26</v>
      </c>
      <c r="Q12" s="16">
        <v>0</v>
      </c>
      <c r="R12" s="4"/>
      <c r="S12" s="67">
        <f>Supuestos!$B$101</f>
        <v>1</v>
      </c>
      <c r="T12" s="66">
        <f t="shared" si="1"/>
        <v>3042604.89</v>
      </c>
    </row>
    <row r="13" spans="1:20" x14ac:dyDescent="0.25">
      <c r="A13" s="4" t="s">
        <v>242</v>
      </c>
      <c r="B13" s="4" t="s">
        <v>243</v>
      </c>
      <c r="C13" s="4" t="s">
        <v>626</v>
      </c>
      <c r="D13" s="4" t="s">
        <v>244</v>
      </c>
      <c r="E13" s="4" t="s">
        <v>39</v>
      </c>
      <c r="F13" s="4" t="s">
        <v>394</v>
      </c>
      <c r="G13" s="65">
        <v>383792.58199999999</v>
      </c>
      <c r="H13" s="65">
        <v>272233</v>
      </c>
      <c r="I13" s="65">
        <v>4739.59</v>
      </c>
      <c r="J13" s="66">
        <f t="shared" si="0"/>
        <v>267493.40999999997</v>
      </c>
      <c r="K13" s="65">
        <v>149972.70300000001</v>
      </c>
      <c r="L13" s="65">
        <v>1594521.872</v>
      </c>
      <c r="M13" s="65">
        <v>1631210.898</v>
      </c>
      <c r="N13" s="65">
        <v>362360.837</v>
      </c>
      <c r="O13" s="65">
        <v>2708090.4870000002</v>
      </c>
      <c r="P13" s="65">
        <v>2949.27</v>
      </c>
      <c r="Q13" s="16">
        <v>0</v>
      </c>
      <c r="R13" s="4"/>
      <c r="S13" s="67">
        <f>Supuestos!$B$101</f>
        <v>1</v>
      </c>
      <c r="T13" s="66">
        <f t="shared" si="1"/>
        <v>4701662.2220000001</v>
      </c>
    </row>
    <row r="14" spans="1:20" x14ac:dyDescent="0.25">
      <c r="A14" s="4" t="s">
        <v>242</v>
      </c>
      <c r="B14" s="4" t="s">
        <v>243</v>
      </c>
      <c r="C14" s="4" t="s">
        <v>626</v>
      </c>
      <c r="D14" s="4" t="s">
        <v>244</v>
      </c>
      <c r="E14" s="4" t="s">
        <v>39</v>
      </c>
      <c r="F14" s="4" t="s">
        <v>625</v>
      </c>
      <c r="G14" s="65">
        <v>416366.83199999999</v>
      </c>
      <c r="H14" s="65">
        <v>294411</v>
      </c>
      <c r="I14" s="65">
        <v>4895.3900000000003</v>
      </c>
      <c r="J14" s="66">
        <f t="shared" si="0"/>
        <v>289515.61</v>
      </c>
      <c r="K14" s="65">
        <v>154352.77799999999</v>
      </c>
      <c r="L14" s="65">
        <v>1961393.2150000001</v>
      </c>
      <c r="M14" s="65">
        <v>1602287.611</v>
      </c>
      <c r="N14" s="65">
        <v>386791.13500000001</v>
      </c>
      <c r="O14" s="65">
        <v>3440408.4190000002</v>
      </c>
      <c r="P14" s="65">
        <v>3505</v>
      </c>
      <c r="Q14" s="16">
        <v>0</v>
      </c>
      <c r="R14" s="4"/>
      <c r="S14" s="67">
        <f>Supuestos!$B$101</f>
        <v>1</v>
      </c>
      <c r="T14" s="66">
        <f t="shared" si="1"/>
        <v>5429487.165</v>
      </c>
    </row>
    <row r="15" spans="1:20" x14ac:dyDescent="0.25">
      <c r="A15" s="4" t="s">
        <v>245</v>
      </c>
      <c r="B15" s="4" t="s">
        <v>246</v>
      </c>
      <c r="C15" s="4" t="s">
        <v>626</v>
      </c>
      <c r="D15" s="4" t="s">
        <v>244</v>
      </c>
      <c r="E15" s="4" t="s">
        <v>39</v>
      </c>
      <c r="F15" s="4" t="s">
        <v>622</v>
      </c>
      <c r="G15" s="65">
        <v>286949.85499999998</v>
      </c>
      <c r="H15" s="65">
        <v>258583.696</v>
      </c>
      <c r="I15" s="65">
        <v>178.83699999999999</v>
      </c>
      <c r="J15" s="66">
        <f t="shared" si="0"/>
        <v>258404.859</v>
      </c>
      <c r="K15" s="65">
        <v>181875.546</v>
      </c>
      <c r="L15" s="65">
        <v>2679608.628</v>
      </c>
      <c r="M15" s="65">
        <v>636796.49</v>
      </c>
      <c r="N15" s="65">
        <v>4966.9780000000001</v>
      </c>
      <c r="O15" s="65">
        <v>2283766.6469999999</v>
      </c>
      <c r="P15" s="65">
        <v>1338.8</v>
      </c>
      <c r="Q15" s="16">
        <v>0</v>
      </c>
      <c r="R15" s="4" t="s">
        <v>627</v>
      </c>
      <c r="S15" s="67">
        <f>Supuestos!$B$101</f>
        <v>1</v>
      </c>
      <c r="T15" s="66">
        <f t="shared" si="1"/>
        <v>2925530.1150000002</v>
      </c>
    </row>
    <row r="16" spans="1:20" x14ac:dyDescent="0.25">
      <c r="A16" s="4" t="s">
        <v>245</v>
      </c>
      <c r="B16" s="4" t="s">
        <v>246</v>
      </c>
      <c r="C16" s="4" t="s">
        <v>626</v>
      </c>
      <c r="D16" s="4" t="s">
        <v>244</v>
      </c>
      <c r="E16" s="4" t="s">
        <v>39</v>
      </c>
      <c r="F16" s="4" t="s">
        <v>623</v>
      </c>
      <c r="G16" s="65">
        <v>314784.929</v>
      </c>
      <c r="H16" s="65">
        <v>272791.98</v>
      </c>
      <c r="I16" s="65">
        <v>213.006</v>
      </c>
      <c r="J16" s="66">
        <f t="shared" si="0"/>
        <v>272578.97399999999</v>
      </c>
      <c r="K16" s="65">
        <v>187329.71100000001</v>
      </c>
      <c r="L16" s="65">
        <v>2744754.8620000002</v>
      </c>
      <c r="M16" s="65">
        <v>650170.98400000005</v>
      </c>
      <c r="N16" s="65">
        <v>5991.8710000000001</v>
      </c>
      <c r="O16" s="65">
        <v>2405221.8199999998</v>
      </c>
      <c r="P16" s="65">
        <v>1410</v>
      </c>
      <c r="Q16" s="16">
        <v>0</v>
      </c>
      <c r="R16" s="4"/>
      <c r="S16" s="67">
        <f>Supuestos!$B$101</f>
        <v>1</v>
      </c>
      <c r="T16" s="66">
        <f t="shared" si="1"/>
        <v>3061384.6749999998</v>
      </c>
    </row>
    <row r="17" spans="1:20" x14ac:dyDescent="0.25">
      <c r="A17" s="4" t="s">
        <v>245</v>
      </c>
      <c r="B17" s="4" t="s">
        <v>246</v>
      </c>
      <c r="C17" s="4" t="s">
        <v>626</v>
      </c>
      <c r="D17" s="4" t="s">
        <v>244</v>
      </c>
      <c r="E17" s="4" t="s">
        <v>39</v>
      </c>
      <c r="F17" s="4" t="s">
        <v>393</v>
      </c>
      <c r="G17" s="65">
        <v>353183.70400000003</v>
      </c>
      <c r="H17" s="65">
        <v>320677</v>
      </c>
      <c r="I17" s="65">
        <v>409.89699999999999</v>
      </c>
      <c r="J17" s="66">
        <f t="shared" si="0"/>
        <v>320267.103</v>
      </c>
      <c r="K17" s="65">
        <v>266953.08299999998</v>
      </c>
      <c r="L17" s="65">
        <v>2828031.7170000002</v>
      </c>
      <c r="M17" s="65">
        <v>679855.77500000002</v>
      </c>
      <c r="N17" s="65">
        <v>6467.54</v>
      </c>
      <c r="O17" s="65">
        <v>2654273.1570000001</v>
      </c>
      <c r="P17" s="65">
        <v>1556</v>
      </c>
      <c r="Q17" s="16">
        <v>0</v>
      </c>
      <c r="R17" s="4"/>
      <c r="S17" s="67">
        <f>Supuestos!$B$101</f>
        <v>1</v>
      </c>
      <c r="T17" s="66">
        <f t="shared" si="1"/>
        <v>3340596.4720000001</v>
      </c>
    </row>
    <row r="18" spans="1:20" x14ac:dyDescent="0.25">
      <c r="A18" s="4" t="s">
        <v>245</v>
      </c>
      <c r="B18" s="4" t="s">
        <v>246</v>
      </c>
      <c r="C18" s="4" t="s">
        <v>626</v>
      </c>
      <c r="D18" s="4" t="s">
        <v>244</v>
      </c>
      <c r="E18" s="4" t="s">
        <v>39</v>
      </c>
      <c r="F18" s="4" t="s">
        <v>394</v>
      </c>
      <c r="G18" s="65">
        <v>377940.60499999998</v>
      </c>
      <c r="H18" s="65">
        <v>340557</v>
      </c>
      <c r="I18" s="65">
        <v>540.654</v>
      </c>
      <c r="J18" s="66">
        <f t="shared" si="0"/>
        <v>340016.34600000002</v>
      </c>
      <c r="K18" s="65">
        <v>303966.19199999998</v>
      </c>
      <c r="L18" s="65">
        <v>2989170.608</v>
      </c>
      <c r="M18" s="65">
        <v>769416.4</v>
      </c>
      <c r="N18" s="65">
        <v>5505.4</v>
      </c>
      <c r="O18" s="65">
        <v>3974586.412</v>
      </c>
      <c r="P18" s="65">
        <v>2330</v>
      </c>
      <c r="Q18" s="16">
        <v>0</v>
      </c>
      <c r="R18" s="4"/>
      <c r="S18" s="67">
        <f>Supuestos!$B$101</f>
        <v>1</v>
      </c>
      <c r="T18" s="66">
        <f t="shared" si="1"/>
        <v>4749508.2120000003</v>
      </c>
    </row>
    <row r="19" spans="1:20" x14ac:dyDescent="0.25">
      <c r="A19" s="4" t="s">
        <v>245</v>
      </c>
      <c r="B19" s="4" t="s">
        <v>246</v>
      </c>
      <c r="C19" s="4" t="s">
        <v>626</v>
      </c>
      <c r="D19" s="4" t="s">
        <v>244</v>
      </c>
      <c r="E19" s="4" t="s">
        <v>39</v>
      </c>
      <c r="F19" s="4" t="s">
        <v>625</v>
      </c>
      <c r="G19" s="65">
        <v>390677.946</v>
      </c>
      <c r="H19" s="65">
        <v>350561.25400000002</v>
      </c>
      <c r="I19" s="65">
        <v>585.31100000000004</v>
      </c>
      <c r="J19" s="66">
        <f t="shared" si="0"/>
        <v>349975.94300000003</v>
      </c>
      <c r="K19" s="65">
        <v>353938.28200000001</v>
      </c>
      <c r="L19" s="65">
        <v>3136456.7990000001</v>
      </c>
      <c r="M19" s="65">
        <v>852533.94099999999</v>
      </c>
      <c r="N19" s="65">
        <v>6464.0209999999997</v>
      </c>
      <c r="O19" s="65">
        <v>3710182.5950000002</v>
      </c>
      <c r="P19" s="65">
        <v>2175</v>
      </c>
      <c r="Q19" s="16">
        <v>0</v>
      </c>
      <c r="R19" s="4" t="s">
        <v>628</v>
      </c>
      <c r="S19" s="67">
        <f>Supuestos!$B$101</f>
        <v>1</v>
      </c>
      <c r="T19" s="66">
        <f t="shared" si="1"/>
        <v>4569180.557</v>
      </c>
    </row>
    <row r="20" spans="1:20" x14ac:dyDescent="0.25">
      <c r="A20" s="4" t="s">
        <v>258</v>
      </c>
      <c r="B20" s="4" t="s">
        <v>259</v>
      </c>
      <c r="C20" s="4" t="s">
        <v>626</v>
      </c>
      <c r="D20" s="4" t="s">
        <v>249</v>
      </c>
      <c r="E20" s="4" t="s">
        <v>208</v>
      </c>
      <c r="F20" s="4" t="s">
        <v>622</v>
      </c>
      <c r="G20" s="65">
        <v>1797.605</v>
      </c>
      <c r="H20" s="65">
        <v>1275.2539999999999</v>
      </c>
      <c r="I20" s="65">
        <v>206.751</v>
      </c>
      <c r="J20" s="66">
        <f t="shared" si="0"/>
        <v>1068.5029999999999</v>
      </c>
      <c r="K20" s="65">
        <v>769.255</v>
      </c>
      <c r="L20" s="65">
        <v>6582.34</v>
      </c>
      <c r="M20" s="65">
        <v>3086.1689999999999</v>
      </c>
      <c r="N20" s="65">
        <v>0.20300000000000001</v>
      </c>
      <c r="O20" s="65">
        <v>13156.663200000001</v>
      </c>
      <c r="P20" s="65">
        <v>21.9</v>
      </c>
      <c r="Q20" s="16">
        <v>0</v>
      </c>
      <c r="R20" s="4"/>
      <c r="S20" s="67">
        <f>Supuestos!$B$103</f>
        <v>178.64419910904513</v>
      </c>
      <c r="T20" s="66">
        <f t="shared" si="1"/>
        <v>16243.0352</v>
      </c>
    </row>
    <row r="21" spans="1:20" x14ac:dyDescent="0.25">
      <c r="A21" s="4" t="s">
        <v>258</v>
      </c>
      <c r="B21" s="4" t="s">
        <v>259</v>
      </c>
      <c r="C21" s="4" t="s">
        <v>626</v>
      </c>
      <c r="D21" s="4" t="s">
        <v>249</v>
      </c>
      <c r="E21" s="4" t="s">
        <v>208</v>
      </c>
      <c r="F21" s="4" t="s">
        <v>623</v>
      </c>
      <c r="G21" s="65">
        <v>2029.569</v>
      </c>
      <c r="H21" s="65">
        <v>1506.5</v>
      </c>
      <c r="I21" s="65">
        <v>170.14400000000001</v>
      </c>
      <c r="J21" s="66">
        <f t="shared" si="0"/>
        <v>1336.356</v>
      </c>
      <c r="K21" s="65">
        <v>1020.39</v>
      </c>
      <c r="L21" s="65">
        <v>6933.9160000000002</v>
      </c>
      <c r="M21" s="65">
        <v>3103.8159999999998</v>
      </c>
      <c r="N21" s="65">
        <v>8.2000000000000003E-2</v>
      </c>
      <c r="O21" s="65">
        <v>17073.624100000001</v>
      </c>
      <c r="P21" s="65">
        <v>28.42</v>
      </c>
      <c r="Q21" s="16">
        <v>0</v>
      </c>
      <c r="R21" s="4"/>
      <c r="S21" s="67">
        <f>Supuestos!$B$103</f>
        <v>178.64419910904513</v>
      </c>
      <c r="T21" s="66">
        <f t="shared" si="1"/>
        <v>20177.522099999998</v>
      </c>
    </row>
    <row r="22" spans="1:20" x14ac:dyDescent="0.25">
      <c r="A22" s="4" t="s">
        <v>258</v>
      </c>
      <c r="B22" s="4" t="s">
        <v>259</v>
      </c>
      <c r="C22" s="4" t="s">
        <v>626</v>
      </c>
      <c r="D22" s="4" t="s">
        <v>249</v>
      </c>
      <c r="E22" s="4" t="s">
        <v>208</v>
      </c>
      <c r="F22" s="4" t="s">
        <v>393</v>
      </c>
      <c r="G22" s="65">
        <v>2544.7890000000002</v>
      </c>
      <c r="H22" s="65">
        <v>1848.038</v>
      </c>
      <c r="I22" s="65">
        <v>138.50800000000001</v>
      </c>
      <c r="J22" s="66">
        <f t="shared" si="0"/>
        <v>1709.53</v>
      </c>
      <c r="K22" s="65">
        <v>1340.8140000000001</v>
      </c>
      <c r="L22" s="65">
        <v>5645.5190000000002</v>
      </c>
      <c r="M22" s="65">
        <v>5416.57</v>
      </c>
      <c r="N22" s="65">
        <v>0.25</v>
      </c>
      <c r="O22" s="65">
        <v>10943.970799999999</v>
      </c>
      <c r="P22" s="65">
        <v>21.08</v>
      </c>
      <c r="Q22" s="16">
        <v>0</v>
      </c>
      <c r="R22" s="4"/>
      <c r="S22" s="67">
        <f>Supuestos!$B$103</f>
        <v>178.64419910904513</v>
      </c>
      <c r="T22" s="66">
        <f t="shared" si="1"/>
        <v>16360.790799999999</v>
      </c>
    </row>
    <row r="23" spans="1:20" x14ac:dyDescent="0.25">
      <c r="A23" s="4" t="s">
        <v>258</v>
      </c>
      <c r="B23" s="4" t="s">
        <v>259</v>
      </c>
      <c r="C23" s="4" t="s">
        <v>626</v>
      </c>
      <c r="D23" s="4" t="s">
        <v>249</v>
      </c>
      <c r="E23" s="4" t="s">
        <v>208</v>
      </c>
      <c r="F23" s="4" t="s">
        <v>394</v>
      </c>
      <c r="G23" s="65">
        <v>2739.0819999999999</v>
      </c>
      <c r="H23" s="65">
        <v>2003.354</v>
      </c>
      <c r="I23" s="65">
        <v>137.75700000000001</v>
      </c>
      <c r="J23" s="66">
        <f t="shared" si="0"/>
        <v>1865.597</v>
      </c>
      <c r="K23" s="65">
        <v>1141.1199999999999</v>
      </c>
      <c r="L23" s="65">
        <v>6299.1419999999998</v>
      </c>
      <c r="M23" s="65">
        <v>5248.8969999999999</v>
      </c>
      <c r="N23" s="65">
        <v>0.23699999999999999</v>
      </c>
      <c r="O23" s="65">
        <v>13983.7109</v>
      </c>
      <c r="P23" s="65">
        <v>27.25</v>
      </c>
      <c r="Q23" s="16">
        <v>0</v>
      </c>
      <c r="R23" s="4"/>
      <c r="S23" s="67">
        <f>Supuestos!$B$103</f>
        <v>178.64419910904513</v>
      </c>
      <c r="T23" s="66">
        <f t="shared" si="1"/>
        <v>19232.8449</v>
      </c>
    </row>
    <row r="24" spans="1:20" x14ac:dyDescent="0.25">
      <c r="A24" s="4" t="s">
        <v>258</v>
      </c>
      <c r="B24" s="4" t="s">
        <v>259</v>
      </c>
      <c r="C24" s="4" t="s">
        <v>626</v>
      </c>
      <c r="D24" s="4" t="s">
        <v>249</v>
      </c>
      <c r="E24" s="4" t="s">
        <v>208</v>
      </c>
      <c r="F24" s="4" t="s">
        <v>625</v>
      </c>
      <c r="G24" s="65">
        <v>3193.165</v>
      </c>
      <c r="H24" s="65">
        <v>2358.297</v>
      </c>
      <c r="I24" s="65">
        <v>135.185</v>
      </c>
      <c r="J24" s="66">
        <f t="shared" si="0"/>
        <v>2223.1120000000001</v>
      </c>
      <c r="K24" s="65">
        <v>1386.2660000000001</v>
      </c>
      <c r="L24" s="65">
        <v>6755.7520000000004</v>
      </c>
      <c r="M24" s="65">
        <v>4976.2780000000002</v>
      </c>
      <c r="N24" s="65">
        <v>0.185</v>
      </c>
      <c r="O24" s="65">
        <v>16277.552600000001</v>
      </c>
      <c r="P24" s="65">
        <v>31.72</v>
      </c>
      <c r="Q24" s="16">
        <v>0</v>
      </c>
      <c r="R24" s="4"/>
      <c r="S24" s="67">
        <f>Supuestos!$B$103</f>
        <v>178.64419910904513</v>
      </c>
      <c r="T24" s="66">
        <f t="shared" si="1"/>
        <v>21254.015600000002</v>
      </c>
    </row>
    <row r="25" spans="1:20" x14ac:dyDescent="0.25">
      <c r="A25" s="4" t="s">
        <v>247</v>
      </c>
      <c r="B25" s="4" t="s">
        <v>248</v>
      </c>
      <c r="C25" s="4" t="s">
        <v>626</v>
      </c>
      <c r="D25" s="4" t="s">
        <v>249</v>
      </c>
      <c r="E25" s="4" t="s">
        <v>208</v>
      </c>
      <c r="F25" s="4" t="s">
        <v>622</v>
      </c>
      <c r="G25" s="65">
        <v>1111.3209999999999</v>
      </c>
      <c r="H25" s="65">
        <v>816.97500000000002</v>
      </c>
      <c r="I25" s="65">
        <v>202.11</v>
      </c>
      <c r="J25" s="66">
        <f t="shared" si="0"/>
        <v>614.86500000000001</v>
      </c>
      <c r="K25" s="65">
        <v>155.875</v>
      </c>
      <c r="L25" s="65">
        <v>6805.6180000000004</v>
      </c>
      <c r="M25" s="65">
        <v>2968.1030000000001</v>
      </c>
      <c r="N25" s="65">
        <v>1071.413</v>
      </c>
      <c r="O25" s="65">
        <v>10077.977199999999</v>
      </c>
      <c r="P25" s="65">
        <v>17.010000000000002</v>
      </c>
      <c r="Q25" s="16">
        <v>0</v>
      </c>
      <c r="R25" s="4"/>
      <c r="S25" s="67">
        <f>Supuestos!$B$103</f>
        <v>178.64419910904513</v>
      </c>
      <c r="T25" s="66">
        <f t="shared" si="1"/>
        <v>14117.493200000001</v>
      </c>
    </row>
    <row r="26" spans="1:20" x14ac:dyDescent="0.25">
      <c r="A26" s="4" t="s">
        <v>247</v>
      </c>
      <c r="B26" s="4" t="s">
        <v>248</v>
      </c>
      <c r="C26" s="4" t="s">
        <v>626</v>
      </c>
      <c r="D26" s="4" t="s">
        <v>249</v>
      </c>
      <c r="E26" s="4" t="s">
        <v>208</v>
      </c>
      <c r="F26" s="4" t="s">
        <v>623</v>
      </c>
      <c r="G26" s="65">
        <v>2804</v>
      </c>
      <c r="H26" s="65">
        <v>1941.1410000000001</v>
      </c>
      <c r="I26" s="65">
        <v>684.46600000000001</v>
      </c>
      <c r="J26" s="66">
        <f t="shared" si="0"/>
        <v>1256.6750000000002</v>
      </c>
      <c r="K26" s="65">
        <v>3386.9580000000001</v>
      </c>
      <c r="L26" s="65">
        <v>13997.882</v>
      </c>
      <c r="M26" s="65">
        <v>5632.8019999999997</v>
      </c>
      <c r="N26" s="65">
        <v>1106.8499999999999</v>
      </c>
      <c r="O26" s="65">
        <v>15238.0249</v>
      </c>
      <c r="P26" s="65">
        <v>26.55</v>
      </c>
      <c r="Q26" s="16">
        <v>1</v>
      </c>
      <c r="R26" s="4" t="s">
        <v>629</v>
      </c>
      <c r="S26" s="67">
        <f>Supuestos!$B$103</f>
        <v>178.64419910904513</v>
      </c>
      <c r="T26" s="66">
        <f t="shared" si="1"/>
        <v>21977.676899999999</v>
      </c>
    </row>
    <row r="27" spans="1:20" x14ac:dyDescent="0.25">
      <c r="A27" s="4" t="s">
        <v>247</v>
      </c>
      <c r="B27" s="4" t="s">
        <v>248</v>
      </c>
      <c r="C27" s="4" t="s">
        <v>626</v>
      </c>
      <c r="D27" s="4" t="s">
        <v>249</v>
      </c>
      <c r="E27" s="4" t="s">
        <v>208</v>
      </c>
      <c r="F27" s="4" t="s">
        <v>393</v>
      </c>
      <c r="G27" s="65">
        <v>2797.2539999999999</v>
      </c>
      <c r="H27" s="65">
        <v>1996.1510000000001</v>
      </c>
      <c r="I27" s="65">
        <v>618.83100000000002</v>
      </c>
      <c r="J27" s="66">
        <f t="shared" si="0"/>
        <v>1377.3200000000002</v>
      </c>
      <c r="K27" s="65">
        <v>698.51099999999997</v>
      </c>
      <c r="L27" s="65">
        <v>13364.892</v>
      </c>
      <c r="M27" s="65">
        <v>6586.625</v>
      </c>
      <c r="N27" s="65">
        <v>769.62800000000004</v>
      </c>
      <c r="O27" s="65">
        <v>9832.5874000000003</v>
      </c>
      <c r="P27" s="65">
        <v>18.11</v>
      </c>
      <c r="Q27" s="16">
        <v>0</v>
      </c>
      <c r="R27" s="4"/>
      <c r="S27" s="67">
        <f>Supuestos!$B$103</f>
        <v>178.64419910904513</v>
      </c>
      <c r="T27" s="66">
        <f t="shared" si="1"/>
        <v>17188.840400000001</v>
      </c>
    </row>
    <row r="28" spans="1:20" x14ac:dyDescent="0.25">
      <c r="A28" s="4" t="s">
        <v>247</v>
      </c>
      <c r="B28" s="4" t="s">
        <v>248</v>
      </c>
      <c r="C28" s="4" t="s">
        <v>626</v>
      </c>
      <c r="D28" s="4" t="s">
        <v>249</v>
      </c>
      <c r="E28" s="4" t="s">
        <v>208</v>
      </c>
      <c r="F28" s="4" t="s">
        <v>394</v>
      </c>
      <c r="G28" s="65">
        <v>2899.5830000000001</v>
      </c>
      <c r="H28" s="65">
        <v>2067.9850000000001</v>
      </c>
      <c r="I28" s="65">
        <v>634.82500000000005</v>
      </c>
      <c r="J28" s="66">
        <f t="shared" si="0"/>
        <v>1433.16</v>
      </c>
      <c r="K28" s="65">
        <v>834.16600000000005</v>
      </c>
      <c r="L28" s="65">
        <v>13146.445</v>
      </c>
      <c r="M28" s="65">
        <v>5871.9650000000001</v>
      </c>
      <c r="N28" s="65">
        <v>752.56100000000004</v>
      </c>
      <c r="O28" s="65">
        <v>14303.897199999999</v>
      </c>
      <c r="P28" s="65">
        <v>28.37</v>
      </c>
      <c r="Q28" s="16">
        <v>0</v>
      </c>
      <c r="R28" s="4"/>
      <c r="S28" s="67">
        <f>Supuestos!$B$103</f>
        <v>178.64419910904513</v>
      </c>
      <c r="T28" s="66">
        <f t="shared" si="1"/>
        <v>20928.423200000001</v>
      </c>
    </row>
    <row r="29" spans="1:20" x14ac:dyDescent="0.25">
      <c r="A29" s="4" t="s">
        <v>247</v>
      </c>
      <c r="B29" s="4" t="s">
        <v>248</v>
      </c>
      <c r="C29" s="4" t="s">
        <v>626</v>
      </c>
      <c r="D29" s="4" t="s">
        <v>249</v>
      </c>
      <c r="E29" s="4" t="s">
        <v>208</v>
      </c>
      <c r="F29" s="4" t="s">
        <v>625</v>
      </c>
      <c r="G29" s="65">
        <v>2938.453</v>
      </c>
      <c r="H29" s="65">
        <v>2176.61</v>
      </c>
      <c r="I29" s="65">
        <v>629.91300000000001</v>
      </c>
      <c r="J29" s="66">
        <f t="shared" si="0"/>
        <v>1546.6970000000001</v>
      </c>
      <c r="K29" s="65">
        <v>934.54</v>
      </c>
      <c r="L29" s="65">
        <v>12852.742</v>
      </c>
      <c r="M29" s="65">
        <v>6838.4009999999998</v>
      </c>
      <c r="N29" s="65">
        <v>96.218999999999994</v>
      </c>
      <c r="O29" s="65">
        <v>14868.591</v>
      </c>
      <c r="P29" s="65">
        <v>29.49</v>
      </c>
      <c r="Q29" s="16">
        <v>0</v>
      </c>
      <c r="R29" s="4"/>
      <c r="S29" s="67">
        <f>Supuestos!$B$103</f>
        <v>178.64419910904513</v>
      </c>
      <c r="T29" s="66">
        <f t="shared" si="1"/>
        <v>21803.210999999999</v>
      </c>
    </row>
    <row r="30" spans="1:20" x14ac:dyDescent="0.25">
      <c r="A30" s="4" t="s">
        <v>250</v>
      </c>
      <c r="B30" s="4" t="s">
        <v>251</v>
      </c>
      <c r="C30" s="4" t="s">
        <v>626</v>
      </c>
      <c r="D30" s="4" t="s">
        <v>249</v>
      </c>
      <c r="E30" s="4" t="s">
        <v>208</v>
      </c>
      <c r="F30" s="4" t="s">
        <v>622</v>
      </c>
      <c r="G30" s="65">
        <v>1016.341</v>
      </c>
      <c r="H30" s="65">
        <v>653.79999999999995</v>
      </c>
      <c r="I30" s="65">
        <v>159.03</v>
      </c>
      <c r="J30" s="66">
        <f t="shared" si="0"/>
        <v>494.77</v>
      </c>
      <c r="K30" s="65">
        <v>7.5679999999999996</v>
      </c>
      <c r="L30" s="65">
        <v>4093.3290000000002</v>
      </c>
      <c r="M30" s="65">
        <v>1193.596</v>
      </c>
      <c r="N30" s="65">
        <v>14.359</v>
      </c>
      <c r="O30" s="65">
        <v>5667.3060999999998</v>
      </c>
      <c r="P30" s="65">
        <v>18.5</v>
      </c>
      <c r="Q30" s="16">
        <v>0</v>
      </c>
      <c r="R30" s="4"/>
      <c r="S30" s="67">
        <f>Supuestos!$B$103</f>
        <v>178.64419910904513</v>
      </c>
      <c r="T30" s="66">
        <f t="shared" si="1"/>
        <v>6875.2610999999997</v>
      </c>
    </row>
    <row r="31" spans="1:20" x14ac:dyDescent="0.25">
      <c r="A31" s="4" t="s">
        <v>250</v>
      </c>
      <c r="B31" s="4" t="s">
        <v>251</v>
      </c>
      <c r="C31" s="4" t="s">
        <v>626</v>
      </c>
      <c r="D31" s="4" t="s">
        <v>249</v>
      </c>
      <c r="E31" s="4" t="s">
        <v>208</v>
      </c>
      <c r="F31" s="4" t="s">
        <v>623</v>
      </c>
      <c r="G31" s="65">
        <v>1157.163</v>
      </c>
      <c r="H31" s="65">
        <v>919.70399999999995</v>
      </c>
      <c r="I31" s="65">
        <v>174.376</v>
      </c>
      <c r="J31" s="66">
        <f t="shared" si="0"/>
        <v>745.32799999999997</v>
      </c>
      <c r="K31" s="65">
        <v>304.71300000000002</v>
      </c>
      <c r="L31" s="65">
        <v>4177.3230000000003</v>
      </c>
      <c r="M31" s="65">
        <v>1757.145</v>
      </c>
      <c r="N31" s="65">
        <v>0.19500000000000001</v>
      </c>
      <c r="O31" s="65">
        <v>7059.6782999999996</v>
      </c>
      <c r="P31" s="65">
        <v>24.38</v>
      </c>
      <c r="Q31" s="16">
        <v>0</v>
      </c>
      <c r="R31" s="4"/>
      <c r="S31" s="67">
        <f>Supuestos!$B$103</f>
        <v>178.64419910904513</v>
      </c>
      <c r="T31" s="66">
        <f t="shared" si="1"/>
        <v>8817.0182999999997</v>
      </c>
    </row>
    <row r="32" spans="1:20" x14ac:dyDescent="0.25">
      <c r="A32" s="4" t="s">
        <v>250</v>
      </c>
      <c r="B32" s="4" t="s">
        <v>251</v>
      </c>
      <c r="C32" s="4" t="s">
        <v>626</v>
      </c>
      <c r="D32" s="4" t="s">
        <v>249</v>
      </c>
      <c r="E32" s="4" t="s">
        <v>208</v>
      </c>
      <c r="F32" s="4" t="s">
        <v>393</v>
      </c>
      <c r="G32" s="65">
        <v>1236.345</v>
      </c>
      <c r="H32" s="65">
        <v>914.76199999999994</v>
      </c>
      <c r="I32" s="65">
        <v>190.255</v>
      </c>
      <c r="J32" s="66">
        <f t="shared" si="0"/>
        <v>724.50699999999995</v>
      </c>
      <c r="K32" s="65">
        <v>399.77100000000002</v>
      </c>
      <c r="L32" s="65">
        <v>4309.8040000000001</v>
      </c>
      <c r="M32" s="65">
        <v>1614.8440000000001</v>
      </c>
      <c r="N32" s="65">
        <v>0.216</v>
      </c>
      <c r="O32" s="65">
        <v>5071.0437000000002</v>
      </c>
      <c r="P32" s="65">
        <v>17.27</v>
      </c>
      <c r="Q32" s="16">
        <v>0</v>
      </c>
      <c r="R32" s="4"/>
      <c r="S32" s="67">
        <f>Supuestos!$B$103</f>
        <v>178.64419910904513</v>
      </c>
      <c r="T32" s="66">
        <f t="shared" si="1"/>
        <v>6686.1037000000006</v>
      </c>
    </row>
    <row r="33" spans="1:20" x14ac:dyDescent="0.25">
      <c r="A33" s="4" t="s">
        <v>250</v>
      </c>
      <c r="B33" s="4" t="s">
        <v>251</v>
      </c>
      <c r="C33" s="4" t="s">
        <v>626</v>
      </c>
      <c r="D33" s="4" t="s">
        <v>249</v>
      </c>
      <c r="E33" s="4" t="s">
        <v>208</v>
      </c>
      <c r="F33" s="4" t="s">
        <v>394</v>
      </c>
      <c r="G33" s="65">
        <v>1486.8330000000001</v>
      </c>
      <c r="H33" s="65">
        <v>1029.691</v>
      </c>
      <c r="I33" s="65">
        <v>113.96299999999999</v>
      </c>
      <c r="J33" s="66">
        <f t="shared" si="0"/>
        <v>915.72800000000007</v>
      </c>
      <c r="K33" s="65">
        <v>582.46</v>
      </c>
      <c r="L33" s="65">
        <v>4651.6440000000002</v>
      </c>
      <c r="M33" s="65">
        <v>2210.1959999999999</v>
      </c>
      <c r="N33" s="65">
        <v>0.22</v>
      </c>
      <c r="O33" s="65">
        <v>7307.0208000000002</v>
      </c>
      <c r="P33" s="65">
        <v>25.57</v>
      </c>
      <c r="Q33" s="16">
        <v>0</v>
      </c>
      <c r="R33" s="4" t="s">
        <v>630</v>
      </c>
      <c r="S33" s="67">
        <f>Supuestos!$B$103</f>
        <v>178.64419910904513</v>
      </c>
      <c r="T33" s="66">
        <f t="shared" si="1"/>
        <v>9517.4367999999995</v>
      </c>
    </row>
    <row r="34" spans="1:20" x14ac:dyDescent="0.25">
      <c r="A34" s="4" t="s">
        <v>250</v>
      </c>
      <c r="B34" s="4" t="s">
        <v>251</v>
      </c>
      <c r="C34" s="4" t="s">
        <v>626</v>
      </c>
      <c r="D34" s="4" t="s">
        <v>249</v>
      </c>
      <c r="E34" s="4" t="s">
        <v>208</v>
      </c>
      <c r="F34" s="4" t="s">
        <v>625</v>
      </c>
      <c r="G34" s="65">
        <v>1527.4090000000001</v>
      </c>
      <c r="H34" s="65">
        <v>1127.509</v>
      </c>
      <c r="I34" s="65">
        <v>129.78399999999999</v>
      </c>
      <c r="J34" s="66">
        <f t="shared" si="0"/>
        <v>997.72500000000002</v>
      </c>
      <c r="K34" s="65">
        <v>638.57100000000003</v>
      </c>
      <c r="L34" s="65">
        <v>4937.1379999999999</v>
      </c>
      <c r="M34" s="65">
        <v>2138.5970000000002</v>
      </c>
      <c r="N34" s="65">
        <v>0.218</v>
      </c>
      <c r="O34" s="65">
        <v>7731.5118000000002</v>
      </c>
      <c r="P34" s="65">
        <v>27.02</v>
      </c>
      <c r="Q34" s="16">
        <v>0</v>
      </c>
      <c r="R34" s="4" t="s">
        <v>631</v>
      </c>
      <c r="S34" s="67">
        <f>Supuestos!$B$103</f>
        <v>178.64419910904513</v>
      </c>
      <c r="T34" s="66">
        <f t="shared" si="1"/>
        <v>9870.3268000000007</v>
      </c>
    </row>
    <row r="35" spans="1:20" x14ac:dyDescent="0.25">
      <c r="A35" s="4" t="s">
        <v>255</v>
      </c>
      <c r="B35" s="4" t="s">
        <v>256</v>
      </c>
      <c r="C35" s="4" t="s">
        <v>632</v>
      </c>
      <c r="D35" s="4" t="s">
        <v>257</v>
      </c>
      <c r="E35" s="4" t="s">
        <v>214</v>
      </c>
      <c r="F35" s="4" t="s">
        <v>633</v>
      </c>
      <c r="G35" s="65">
        <v>69299</v>
      </c>
      <c r="H35" s="65">
        <v>28988</v>
      </c>
      <c r="I35" s="65">
        <v>2007</v>
      </c>
      <c r="J35" s="66">
        <f t="shared" si="0"/>
        <v>26981</v>
      </c>
      <c r="K35" s="65">
        <v>74487</v>
      </c>
      <c r="L35" s="65">
        <v>342457</v>
      </c>
      <c r="M35" s="65">
        <v>136044</v>
      </c>
      <c r="N35" s="65">
        <v>23443</v>
      </c>
      <c r="O35" s="65">
        <v>74930.179000000004</v>
      </c>
      <c r="P35" s="65">
        <v>97.185000000000002</v>
      </c>
      <c r="Q35" s="16">
        <v>0</v>
      </c>
      <c r="R35" s="4"/>
      <c r="S35" s="67">
        <f>Supuestos!$B$105</f>
        <v>0.62236167341430504</v>
      </c>
      <c r="T35" s="66">
        <f t="shared" si="1"/>
        <v>234417.179</v>
      </c>
    </row>
    <row r="36" spans="1:20" x14ac:dyDescent="0.25">
      <c r="A36" s="4" t="s">
        <v>255</v>
      </c>
      <c r="B36" s="4" t="s">
        <v>256</v>
      </c>
      <c r="C36" s="4" t="s">
        <v>632</v>
      </c>
      <c r="D36" s="4" t="s">
        <v>257</v>
      </c>
      <c r="E36" s="4" t="s">
        <v>214</v>
      </c>
      <c r="F36" s="4" t="s">
        <v>634</v>
      </c>
      <c r="G36" s="65">
        <v>331721</v>
      </c>
      <c r="H36" s="65">
        <v>92531</v>
      </c>
      <c r="I36" s="65">
        <v>7056</v>
      </c>
      <c r="J36" s="66">
        <f t="shared" si="0"/>
        <v>85475</v>
      </c>
      <c r="K36" s="65">
        <v>213076</v>
      </c>
      <c r="L36" s="65">
        <v>1345130</v>
      </c>
      <c r="M36" s="65">
        <v>378401</v>
      </c>
      <c r="N36" s="65">
        <v>82965</v>
      </c>
      <c r="O36" s="65">
        <v>331336.4595</v>
      </c>
      <c r="P36" s="65">
        <v>433.72800000000001</v>
      </c>
      <c r="Q36" s="16">
        <v>0</v>
      </c>
      <c r="R36" s="4"/>
      <c r="S36" s="67">
        <f>Supuestos!$B$105</f>
        <v>0.62236167341430504</v>
      </c>
      <c r="T36" s="66">
        <f t="shared" si="1"/>
        <v>792702.4595</v>
      </c>
    </row>
    <row r="37" spans="1:20" x14ac:dyDescent="0.25">
      <c r="A37" s="4" t="s">
        <v>255</v>
      </c>
      <c r="B37" s="4" t="s">
        <v>256</v>
      </c>
      <c r="C37" s="4" t="s">
        <v>632</v>
      </c>
      <c r="D37" s="4" t="s">
        <v>257</v>
      </c>
      <c r="E37" s="4" t="s">
        <v>214</v>
      </c>
      <c r="F37" s="4" t="s">
        <v>635</v>
      </c>
      <c r="G37" s="65">
        <v>458059</v>
      </c>
      <c r="H37" s="65">
        <v>232057</v>
      </c>
      <c r="I37" s="65">
        <v>9130</v>
      </c>
      <c r="J37" s="66">
        <f t="shared" si="0"/>
        <v>222927</v>
      </c>
      <c r="K37" s="65">
        <v>-25621</v>
      </c>
      <c r="L37" s="65">
        <v>1503846</v>
      </c>
      <c r="M37" s="65">
        <v>484504</v>
      </c>
      <c r="N37" s="65">
        <v>102883</v>
      </c>
      <c r="O37" s="65">
        <v>898977.277</v>
      </c>
      <c r="P37" s="65">
        <v>1178.3150000000001</v>
      </c>
      <c r="Q37" s="16">
        <v>0</v>
      </c>
      <c r="R37" s="4" t="s">
        <v>636</v>
      </c>
      <c r="S37" s="67">
        <f>Supuestos!$B$105</f>
        <v>0.62236167341430504</v>
      </c>
      <c r="T37" s="66">
        <f t="shared" si="1"/>
        <v>1486364.277</v>
      </c>
    </row>
    <row r="38" spans="1:20" x14ac:dyDescent="0.25">
      <c r="A38" s="4" t="s">
        <v>255</v>
      </c>
      <c r="B38" s="4" t="s">
        <v>256</v>
      </c>
      <c r="C38" s="4" t="s">
        <v>632</v>
      </c>
      <c r="D38" s="4" t="s">
        <v>257</v>
      </c>
      <c r="E38" s="4" t="s">
        <v>214</v>
      </c>
      <c r="F38" s="4" t="s">
        <v>637</v>
      </c>
      <c r="G38" s="65">
        <v>626290</v>
      </c>
      <c r="H38" s="65">
        <v>252539</v>
      </c>
      <c r="I38" s="65">
        <v>14034</v>
      </c>
      <c r="J38" s="66">
        <f t="shared" si="0"/>
        <v>238505</v>
      </c>
      <c r="K38" s="65">
        <v>260661</v>
      </c>
      <c r="L38" s="65">
        <v>2107122</v>
      </c>
      <c r="M38" s="65">
        <v>632450</v>
      </c>
      <c r="N38" s="65">
        <v>125752</v>
      </c>
      <c r="O38" s="65">
        <v>1260881.973</v>
      </c>
      <c r="P38" s="65">
        <v>1685</v>
      </c>
      <c r="Q38" s="16">
        <v>0</v>
      </c>
      <c r="R38" s="4"/>
      <c r="S38" s="67">
        <f>Supuestos!$B$105</f>
        <v>0.62236167341430504</v>
      </c>
      <c r="T38" s="66">
        <f t="shared" si="1"/>
        <v>2019083.973</v>
      </c>
    </row>
    <row r="39" spans="1:20" x14ac:dyDescent="0.25">
      <c r="A39" s="4" t="s">
        <v>255</v>
      </c>
      <c r="B39" s="4" t="s">
        <v>256</v>
      </c>
      <c r="C39" s="4" t="s">
        <v>632</v>
      </c>
      <c r="D39" s="4" t="s">
        <v>257</v>
      </c>
      <c r="E39" s="4" t="s">
        <v>214</v>
      </c>
      <c r="F39" s="4" t="s">
        <v>625</v>
      </c>
      <c r="G39" s="65">
        <v>657654</v>
      </c>
      <c r="H39" s="65">
        <v>234086.077785064</v>
      </c>
      <c r="I39" s="65">
        <v>16953.583079385899</v>
      </c>
      <c r="J39" s="66">
        <f t="shared" si="0"/>
        <v>217132.49470567811</v>
      </c>
      <c r="K39" s="65">
        <v>393510</v>
      </c>
      <c r="L39" s="65">
        <v>2279754</v>
      </c>
      <c r="M39" s="65">
        <v>901783</v>
      </c>
      <c r="N39" s="65">
        <v>140656</v>
      </c>
      <c r="O39" s="65">
        <v>1832401.4909999999</v>
      </c>
      <c r="P39" s="65">
        <v>2260</v>
      </c>
      <c r="Q39" s="16">
        <v>0</v>
      </c>
      <c r="R39" s="4" t="s">
        <v>638</v>
      </c>
      <c r="S39" s="67">
        <f>Supuestos!$B$105</f>
        <v>0.62236167341430504</v>
      </c>
      <c r="T39" s="66">
        <f t="shared" si="1"/>
        <v>2874840.4909999999</v>
      </c>
    </row>
    <row r="40" spans="1:20" x14ac:dyDescent="0.25">
      <c r="A40" s="4" t="s">
        <v>577</v>
      </c>
      <c r="B40" s="4" t="s">
        <v>639</v>
      </c>
      <c r="C40" s="4" t="s">
        <v>632</v>
      </c>
      <c r="D40" s="4" t="s">
        <v>254</v>
      </c>
      <c r="E40" s="4" t="s">
        <v>211</v>
      </c>
      <c r="F40" s="4" t="s">
        <v>622</v>
      </c>
      <c r="G40" s="65">
        <v>5513.0750930000004</v>
      </c>
      <c r="H40" s="65">
        <v>3548.4879999999998</v>
      </c>
      <c r="I40" s="65">
        <v>17.399054</v>
      </c>
      <c r="J40" s="66">
        <f t="shared" si="0"/>
        <v>3531.0889459999999</v>
      </c>
      <c r="K40" s="65">
        <v>2839.2736490000002</v>
      </c>
      <c r="L40" s="65">
        <v>58859.105009999999</v>
      </c>
      <c r="M40" s="65">
        <v>5777.2148260000004</v>
      </c>
      <c r="N40" s="65">
        <v>2514.0534939999998</v>
      </c>
      <c r="O40" s="65">
        <v>35837.309000000001</v>
      </c>
      <c r="P40" s="65">
        <v>23.4</v>
      </c>
      <c r="Q40" s="16">
        <v>0</v>
      </c>
      <c r="R40" s="4"/>
      <c r="S40" s="67">
        <f>Supuestos!$B$104</f>
        <v>52.709359605911331</v>
      </c>
      <c r="T40" s="66">
        <f t="shared" si="1"/>
        <v>44128.577320000004</v>
      </c>
    </row>
    <row r="41" spans="1:20" x14ac:dyDescent="0.25">
      <c r="A41" s="4" t="s">
        <v>577</v>
      </c>
      <c r="B41" s="4" t="s">
        <v>639</v>
      </c>
      <c r="C41" s="4" t="s">
        <v>632</v>
      </c>
      <c r="D41" s="4" t="s">
        <v>254</v>
      </c>
      <c r="E41" s="4" t="s">
        <v>211</v>
      </c>
      <c r="F41" s="4" t="s">
        <v>623</v>
      </c>
      <c r="G41" s="65">
        <v>6188.989063</v>
      </c>
      <c r="H41" s="65">
        <v>3946.7937189999998</v>
      </c>
      <c r="I41" s="65">
        <v>16.68704</v>
      </c>
      <c r="J41" s="66">
        <f t="shared" si="0"/>
        <v>3930.106679</v>
      </c>
      <c r="K41" s="65">
        <v>3309.2040200000001</v>
      </c>
      <c r="L41" s="65">
        <v>59273.710249999996</v>
      </c>
      <c r="M41" s="65">
        <v>7103.9150319999999</v>
      </c>
      <c r="N41" s="65">
        <v>2779.6917840000001</v>
      </c>
      <c r="O41" s="65">
        <v>32666.034299999999</v>
      </c>
      <c r="P41" s="65">
        <v>20.96</v>
      </c>
      <c r="Q41" s="16">
        <v>0</v>
      </c>
      <c r="R41" s="4"/>
      <c r="S41" s="67">
        <f>Supuestos!$B$104</f>
        <v>52.709359605911331</v>
      </c>
      <c r="T41" s="66">
        <f t="shared" si="1"/>
        <v>42549.641115999999</v>
      </c>
    </row>
    <row r="42" spans="1:20" x14ac:dyDescent="0.25">
      <c r="A42" s="4" t="s">
        <v>577</v>
      </c>
      <c r="B42" s="4" t="s">
        <v>639</v>
      </c>
      <c r="C42" s="4" t="s">
        <v>632</v>
      </c>
      <c r="D42" s="4" t="s">
        <v>254</v>
      </c>
      <c r="E42" s="4" t="s">
        <v>211</v>
      </c>
      <c r="F42" s="4" t="s">
        <v>393</v>
      </c>
      <c r="G42" s="65">
        <v>6774.6487729999999</v>
      </c>
      <c r="H42" s="65">
        <v>4404.979918</v>
      </c>
      <c r="I42" s="65">
        <v>12.314014999999999</v>
      </c>
      <c r="J42" s="66">
        <f t="shared" si="0"/>
        <v>4392.6659030000001</v>
      </c>
      <c r="K42" s="65">
        <v>4201.2110860000003</v>
      </c>
      <c r="L42" s="65">
        <v>61136.362000000001</v>
      </c>
      <c r="M42" s="65">
        <v>8959.3359999999993</v>
      </c>
      <c r="N42" s="65">
        <v>2694.1959999999999</v>
      </c>
      <c r="O42" s="65">
        <v>31741.125400000001</v>
      </c>
      <c r="P42" s="65">
        <v>20.059999999999999</v>
      </c>
      <c r="Q42" s="16">
        <v>0</v>
      </c>
      <c r="R42" s="4"/>
      <c r="S42" s="67">
        <f>Supuestos!$B$104</f>
        <v>52.709359605911331</v>
      </c>
      <c r="T42" s="66">
        <f t="shared" si="1"/>
        <v>43394.657399999996</v>
      </c>
    </row>
    <row r="43" spans="1:20" x14ac:dyDescent="0.25">
      <c r="A43" s="4" t="s">
        <v>577</v>
      </c>
      <c r="B43" s="4" t="s">
        <v>639</v>
      </c>
      <c r="C43" s="4" t="s">
        <v>632</v>
      </c>
      <c r="D43" s="4" t="s">
        <v>254</v>
      </c>
      <c r="E43" s="4" t="s">
        <v>211</v>
      </c>
      <c r="F43" s="4" t="s">
        <v>394</v>
      </c>
      <c r="G43" s="65">
        <v>7576.4275859999998</v>
      </c>
      <c r="H43" s="65">
        <v>5024.1114209999996</v>
      </c>
      <c r="I43" s="65">
        <v>13.044624000000001</v>
      </c>
      <c r="J43" s="66">
        <f t="shared" si="0"/>
        <v>5011.0667969999995</v>
      </c>
      <c r="K43" s="65">
        <v>5033.0947319999996</v>
      </c>
      <c r="L43" s="65">
        <v>63801.629150000001</v>
      </c>
      <c r="M43" s="65">
        <v>10355.722159999999</v>
      </c>
      <c r="N43" s="65">
        <v>2856.8299120000001</v>
      </c>
      <c r="O43" s="65">
        <v>45010.308100000002</v>
      </c>
      <c r="P43" s="65">
        <v>28.06</v>
      </c>
      <c r="Q43" s="16">
        <v>0</v>
      </c>
      <c r="R43" s="4"/>
      <c r="S43" s="67">
        <f>Supuestos!$B$104</f>
        <v>52.709359605911331</v>
      </c>
      <c r="T43" s="66">
        <f t="shared" si="1"/>
        <v>58222.860172000001</v>
      </c>
    </row>
    <row r="44" spans="1:20" x14ac:dyDescent="0.25">
      <c r="A44" s="4" t="s">
        <v>577</v>
      </c>
      <c r="B44" s="4" t="s">
        <v>639</v>
      </c>
      <c r="C44" s="4" t="s">
        <v>632</v>
      </c>
      <c r="D44" s="4" t="s">
        <v>254</v>
      </c>
      <c r="E44" s="4" t="s">
        <v>211</v>
      </c>
      <c r="F44" s="4" t="s">
        <v>625</v>
      </c>
      <c r="G44" s="65">
        <v>7919.1174179999998</v>
      </c>
      <c r="H44" s="65">
        <v>5267.0922129999999</v>
      </c>
      <c r="I44" s="65">
        <v>13.271623999999999</v>
      </c>
      <c r="J44" s="66">
        <f t="shared" si="0"/>
        <v>5253.8205889999999</v>
      </c>
      <c r="K44" s="65">
        <v>5720.8457319999998</v>
      </c>
      <c r="L44" s="65">
        <v>65366.324000000001</v>
      </c>
      <c r="M44" s="65">
        <v>11724.737999999999</v>
      </c>
      <c r="N44" s="65">
        <v>2958.5050000000001</v>
      </c>
      <c r="O44" s="65">
        <v>45229.147900000004</v>
      </c>
      <c r="P44" s="65">
        <v>27.94</v>
      </c>
      <c r="Q44" s="16">
        <v>0</v>
      </c>
      <c r="R44" s="4"/>
      <c r="S44" s="67">
        <f>Supuestos!$B$104</f>
        <v>52.709359605911331</v>
      </c>
      <c r="T44" s="66">
        <f t="shared" si="1"/>
        <v>59912.390899999999</v>
      </c>
    </row>
    <row r="46" spans="1:20" x14ac:dyDescent="0.25">
      <c r="A46" s="3" t="s">
        <v>640</v>
      </c>
    </row>
    <row r="47" spans="1:20" x14ac:dyDescent="0.25">
      <c r="A47" s="10" t="s">
        <v>232</v>
      </c>
      <c r="B47" s="10" t="s">
        <v>233</v>
      </c>
      <c r="C47" s="10" t="s">
        <v>608</v>
      </c>
      <c r="D47" s="10" t="s">
        <v>234</v>
      </c>
      <c r="E47" s="10" t="s">
        <v>609</v>
      </c>
      <c r="F47" s="10" t="s">
        <v>610</v>
      </c>
      <c r="G47" s="10" t="s">
        <v>641</v>
      </c>
      <c r="H47" s="10" t="s">
        <v>559</v>
      </c>
      <c r="I47" s="10" t="s">
        <v>642</v>
      </c>
      <c r="J47" s="10" t="s">
        <v>643</v>
      </c>
      <c r="K47" s="10" t="s">
        <v>644</v>
      </c>
      <c r="L47" s="10"/>
      <c r="M47" s="10"/>
      <c r="N47" s="10"/>
      <c r="O47" s="10"/>
      <c r="P47" s="10"/>
      <c r="Q47" s="10"/>
      <c r="R47" s="10" t="s">
        <v>618</v>
      </c>
      <c r="S47" s="10" t="s">
        <v>619</v>
      </c>
    </row>
    <row r="48" spans="1:20" x14ac:dyDescent="0.25">
      <c r="A48" s="4" t="s">
        <v>575</v>
      </c>
      <c r="B48" s="4" t="s">
        <v>621</v>
      </c>
      <c r="C48" s="4" t="s">
        <v>576</v>
      </c>
      <c r="D48" s="4" t="s">
        <v>244</v>
      </c>
      <c r="E48" s="4" t="s">
        <v>39</v>
      </c>
      <c r="F48" s="4" t="s">
        <v>645</v>
      </c>
      <c r="G48" s="65">
        <v>758569.52509999997</v>
      </c>
      <c r="H48" s="65">
        <v>617130.33790000004</v>
      </c>
      <c r="I48" s="65">
        <v>611889.81740000006</v>
      </c>
      <c r="J48" s="65">
        <v>488981.24560000002</v>
      </c>
      <c r="K48" s="16">
        <v>13</v>
      </c>
      <c r="R48" s="4"/>
      <c r="S48" s="67">
        <f>Supuestos!$B$101</f>
        <v>1</v>
      </c>
    </row>
    <row r="49" spans="1:19" x14ac:dyDescent="0.25">
      <c r="A49" s="4" t="s">
        <v>242</v>
      </c>
      <c r="B49" s="4" t="s">
        <v>243</v>
      </c>
      <c r="C49" s="4" t="s">
        <v>626</v>
      </c>
      <c r="D49" s="4" t="s">
        <v>244</v>
      </c>
      <c r="E49" s="4" t="s">
        <v>39</v>
      </c>
      <c r="F49" s="4" t="s">
        <v>645</v>
      </c>
      <c r="G49" s="65">
        <v>475685.58899999998</v>
      </c>
      <c r="H49" s="65">
        <v>342581.95030000003</v>
      </c>
      <c r="I49" s="65">
        <v>347536.95890000003</v>
      </c>
      <c r="J49" s="65">
        <v>166719.84909999999</v>
      </c>
      <c r="K49" s="16">
        <v>13</v>
      </c>
      <c r="R49" s="4" t="s">
        <v>646</v>
      </c>
      <c r="S49" s="67">
        <f>Supuestos!$B$101</f>
        <v>1</v>
      </c>
    </row>
    <row r="50" spans="1:19" x14ac:dyDescent="0.25">
      <c r="A50" s="4" t="s">
        <v>245</v>
      </c>
      <c r="B50" s="4" t="s">
        <v>246</v>
      </c>
      <c r="C50" s="4" t="s">
        <v>626</v>
      </c>
      <c r="D50" s="4" t="s">
        <v>244</v>
      </c>
      <c r="E50" s="4" t="s">
        <v>39</v>
      </c>
      <c r="F50" s="4" t="s">
        <v>645</v>
      </c>
      <c r="G50" s="65">
        <v>436396.64929999999</v>
      </c>
      <c r="H50" s="65">
        <v>392093.8</v>
      </c>
      <c r="I50" s="65">
        <v>395608.20209999999</v>
      </c>
      <c r="J50" s="65">
        <v>278140.7303</v>
      </c>
      <c r="K50" s="16">
        <v>11</v>
      </c>
      <c r="R50" s="4" t="s">
        <v>646</v>
      </c>
      <c r="S50" s="67">
        <f>Supuestos!$B$101</f>
        <v>1</v>
      </c>
    </row>
    <row r="51" spans="1:19" x14ac:dyDescent="0.25">
      <c r="A51" s="4" t="s">
        <v>258</v>
      </c>
      <c r="B51" s="4" t="s">
        <v>259</v>
      </c>
      <c r="C51" s="4" t="s">
        <v>626</v>
      </c>
      <c r="D51" s="4" t="s">
        <v>249</v>
      </c>
      <c r="E51" s="4" t="s">
        <v>208</v>
      </c>
      <c r="F51" s="4" t="s">
        <v>645</v>
      </c>
      <c r="G51" s="65">
        <v>2802.8044829999999</v>
      </c>
      <c r="H51" s="65">
        <v>2109.070776</v>
      </c>
      <c r="I51" s="65">
        <v>1967.4769610000001</v>
      </c>
      <c r="J51" s="65">
        <v>1291.4975059999999</v>
      </c>
      <c r="K51" s="16">
        <v>15</v>
      </c>
      <c r="R51" s="4"/>
      <c r="S51" s="67">
        <f>Supuestos!$B$103</f>
        <v>178.64419910904513</v>
      </c>
    </row>
    <row r="52" spans="1:19" x14ac:dyDescent="0.25">
      <c r="A52" s="4" t="s">
        <v>247</v>
      </c>
      <c r="B52" s="4" t="s">
        <v>248</v>
      </c>
      <c r="C52" s="4" t="s">
        <v>626</v>
      </c>
      <c r="D52" s="4" t="s">
        <v>249</v>
      </c>
      <c r="E52" s="4" t="s">
        <v>208</v>
      </c>
      <c r="F52" s="4" t="s">
        <v>645</v>
      </c>
      <c r="G52" s="65">
        <v>3116.1763700000001</v>
      </c>
      <c r="H52" s="65">
        <v>2315.4438359999999</v>
      </c>
      <c r="I52" s="65">
        <v>1723.195205</v>
      </c>
      <c r="J52" s="65">
        <v>949.76836019999996</v>
      </c>
      <c r="K52" s="16">
        <v>14</v>
      </c>
      <c r="R52" s="4"/>
      <c r="S52" s="67">
        <f>Supuestos!$B$103</f>
        <v>178.64419910904513</v>
      </c>
    </row>
    <row r="53" spans="1:19" x14ac:dyDescent="0.25">
      <c r="A53" s="4" t="s">
        <v>250</v>
      </c>
      <c r="B53" s="4" t="s">
        <v>251</v>
      </c>
      <c r="C53" s="4" t="s">
        <v>626</v>
      </c>
      <c r="D53" s="4" t="s">
        <v>249</v>
      </c>
      <c r="E53" s="4" t="s">
        <v>208</v>
      </c>
      <c r="F53" s="4" t="s">
        <v>645</v>
      </c>
      <c r="G53" s="65">
        <v>1781.4726029999999</v>
      </c>
      <c r="H53" s="65">
        <v>1333.787671</v>
      </c>
      <c r="I53" s="65">
        <v>1112.7716889999999</v>
      </c>
      <c r="J53" s="65">
        <v>649.87309200000004</v>
      </c>
      <c r="K53" s="16">
        <v>13</v>
      </c>
      <c r="R53" s="4"/>
      <c r="S53" s="67">
        <f>Supuestos!$B$103</f>
        <v>178.64419910904513</v>
      </c>
    </row>
    <row r="54" spans="1:19" x14ac:dyDescent="0.25">
      <c r="A54" s="4" t="s">
        <v>255</v>
      </c>
      <c r="B54" s="4" t="s">
        <v>256</v>
      </c>
      <c r="C54" s="4" t="s">
        <v>632</v>
      </c>
      <c r="D54" s="4" t="s">
        <v>257</v>
      </c>
      <c r="E54" s="4" t="s">
        <v>214</v>
      </c>
      <c r="F54" s="4" t="s">
        <v>645</v>
      </c>
      <c r="G54" s="65">
        <v>708864.62430000002</v>
      </c>
      <c r="H54" s="65">
        <v>460784.73009999999</v>
      </c>
      <c r="I54" s="65">
        <v>444193.91639999999</v>
      </c>
      <c r="J54" s="65">
        <v>199514.54019999999</v>
      </c>
      <c r="K54" s="16">
        <v>1</v>
      </c>
      <c r="R54" s="4" t="s">
        <v>647</v>
      </c>
      <c r="S54" s="67">
        <f>Supuestos!$B$105</f>
        <v>0.62236167341430504</v>
      </c>
    </row>
    <row r="55" spans="1:19" x14ac:dyDescent="0.25">
      <c r="A55" s="4" t="s">
        <v>577</v>
      </c>
      <c r="B55" s="4" t="s">
        <v>639</v>
      </c>
      <c r="C55" s="4" t="s">
        <v>632</v>
      </c>
      <c r="D55" s="4" t="s">
        <v>254</v>
      </c>
      <c r="E55" s="4" t="s">
        <v>211</v>
      </c>
      <c r="F55" s="4" t="s">
        <v>645</v>
      </c>
      <c r="G55" s="65">
        <v>8336.5205480000004</v>
      </c>
      <c r="H55" s="65">
        <v>5945.2214610000001</v>
      </c>
      <c r="I55" s="65">
        <v>5956.3452049999996</v>
      </c>
      <c r="J55" s="65">
        <v>5316.6590040000001</v>
      </c>
      <c r="K55" s="16">
        <v>9</v>
      </c>
      <c r="R55" s="4" t="s">
        <v>646</v>
      </c>
      <c r="S55" s="67">
        <f>Supuestos!$B$104</f>
        <v>52.709359605911331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7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  <col min="2" max="2" width="140" customWidth="1"/>
  </cols>
  <sheetData>
    <row r="1" spans="1:2" ht="15.75" x14ac:dyDescent="0.25">
      <c r="A1" s="1" t="s">
        <v>648</v>
      </c>
    </row>
    <row r="3" spans="1:2" ht="25.5" x14ac:dyDescent="0.25">
      <c r="A3" s="68" t="s">
        <v>363</v>
      </c>
      <c r="B3" s="69" t="s">
        <v>649</v>
      </c>
    </row>
    <row r="4" spans="1:2" ht="38.25" x14ac:dyDescent="0.25">
      <c r="A4" s="68" t="s">
        <v>650</v>
      </c>
      <c r="B4" s="69" t="s">
        <v>651</v>
      </c>
    </row>
    <row r="5" spans="1:2" ht="25.5" x14ac:dyDescent="0.25">
      <c r="A5" s="68" t="s">
        <v>652</v>
      </c>
      <c r="B5" s="69" t="s">
        <v>653</v>
      </c>
    </row>
    <row r="6" spans="1:2" x14ac:dyDescent="0.25">
      <c r="A6" s="68" t="s">
        <v>654</v>
      </c>
      <c r="B6" s="69" t="s">
        <v>655</v>
      </c>
    </row>
    <row r="7" spans="1:2" ht="25.5" x14ac:dyDescent="0.25">
      <c r="A7" s="68" t="s">
        <v>625</v>
      </c>
      <c r="B7" s="69" t="s">
        <v>656</v>
      </c>
    </row>
    <row r="8" spans="1:2" ht="25.5" x14ac:dyDescent="0.25">
      <c r="A8" s="68" t="s">
        <v>645</v>
      </c>
      <c r="B8" s="69" t="s">
        <v>657</v>
      </c>
    </row>
    <row r="9" spans="1:2" x14ac:dyDescent="0.25">
      <c r="A9" s="68" t="s">
        <v>609</v>
      </c>
      <c r="B9" s="69" t="s">
        <v>658</v>
      </c>
    </row>
    <row r="10" spans="1:2" x14ac:dyDescent="0.25">
      <c r="A10" s="68" t="s">
        <v>659</v>
      </c>
      <c r="B10" s="69" t="s">
        <v>660</v>
      </c>
    </row>
    <row r="11" spans="1:2" x14ac:dyDescent="0.25">
      <c r="A11" s="68" t="s">
        <v>255</v>
      </c>
      <c r="B11" s="69" t="s">
        <v>661</v>
      </c>
    </row>
    <row r="12" spans="1:2" x14ac:dyDescent="0.25">
      <c r="A12" s="68" t="s">
        <v>662</v>
      </c>
      <c r="B12" s="69" t="s">
        <v>663</v>
      </c>
    </row>
    <row r="13" spans="1:2" ht="25.5" x14ac:dyDescent="0.25">
      <c r="A13" s="68" t="s">
        <v>664</v>
      </c>
      <c r="B13" s="69" t="s">
        <v>665</v>
      </c>
    </row>
    <row r="14" spans="1:2" ht="25.5" x14ac:dyDescent="0.25">
      <c r="A14" s="68" t="s">
        <v>666</v>
      </c>
      <c r="B14" s="69" t="s">
        <v>667</v>
      </c>
    </row>
    <row r="15" spans="1:2" x14ac:dyDescent="0.25">
      <c r="A15" s="68" t="s">
        <v>668</v>
      </c>
      <c r="B15" s="69" t="s">
        <v>669</v>
      </c>
    </row>
    <row r="16" spans="1:2" x14ac:dyDescent="0.25">
      <c r="A16" s="68" t="s">
        <v>670</v>
      </c>
      <c r="B16" s="69" t="s">
        <v>671</v>
      </c>
    </row>
    <row r="17" spans="1:2" x14ac:dyDescent="0.25">
      <c r="A17" s="68" t="s">
        <v>672</v>
      </c>
      <c r="B17" s="69" t="s">
        <v>673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Cambios</vt:lpstr>
      <vt:lpstr>Supuestos</vt:lpstr>
      <vt:lpstr>WACC</vt:lpstr>
      <vt:lpstr>Forecast_Base</vt:lpstr>
      <vt:lpstr>Expansion</vt:lpstr>
      <vt:lpstr>Capital_Trabajo</vt:lpstr>
      <vt:lpstr>DCF</vt:lpstr>
      <vt:lpstr>Deuda</vt:lpstr>
      <vt:lpstr>APV</vt:lpstr>
      <vt:lpstr>Sensibilidad</vt:lpstr>
      <vt:lpstr>Comparables</vt:lpstr>
      <vt:lpstr>Precio_Objetivo</vt:lpstr>
      <vt:lpstr>Datos_BBG</vt:lpstr>
      <vt:lpstr>Notas_Fuentes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Felipe Eduardo Vidal Ríos</cp:lastModifiedBy>
  <cp:revision>0</cp:revision>
  <dcterms:created xsi:type="dcterms:W3CDTF">2026-10-11T22:00:47Z</dcterms:created>
  <dcterms:modified xsi:type="dcterms:W3CDTF">2026-10-14T01:28:03Z</dcterms:modified>
  <dc:language>en-US</dc:language>
</cp:coreProperties>
</file>