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ficiencia_EBITDA_GLA_2T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Release de Resultados 2Q26, p.5 ("EBITDA")</t>
        </r>
      </text>
    </comment>
    <comment ref="B7" authorId="0">
      <text>
        <r>
          <rPr>
            <sz val="10"/>
            <rFont val="Arial"/>
            <family val="2"/>
          </rPr>
          <t xml:space="preserve">Presentación de Resultados 2T26, p.12 ("EBITDA Ajustado")</t>
        </r>
      </text>
    </comment>
    <comment ref="B8" authorId="0">
      <text>
        <r>
          <rPr>
            <sz val="10"/>
            <rFont val="Arial"/>
            <family val="2"/>
          </rPr>
          <t xml:space="preserve">Reporte de Resultados 2T26, p.4 y p.8 ("EBITDA")</t>
        </r>
      </text>
    </comment>
    <comment ref="B14" authorId="0">
      <text>
        <r>
          <rPr>
            <sz val="10"/>
            <rFont val="Arial"/>
            <family val="2"/>
          </rPr>
          <t xml:space="preserve">Release de Resultados 2Q26, tabla de indicadores (consolidado)</t>
        </r>
      </text>
    </comment>
    <comment ref="C8" authorId="0">
      <text>
        <r>
          <rPr>
            <sz val="10"/>
            <rFont val="Arial"/>
            <family val="2"/>
          </rPr>
          <t xml:space="preserve">NOI multifamily 2T26 de Parque Arauco: 503 MM CLP (Reporte de Resultados 2T26, tabla de resultados trimestrales por propiedad, fila Multifamily). Ver F9.</t>
        </r>
      </text>
    </comment>
    <comment ref="E6" authorId="0">
      <text>
        <r>
          <rPr>
            <sz val="10"/>
            <rFont val="Arial"/>
            <family val="2"/>
          </rPr>
          <t xml:space="preserve">Release de Resultados 2Q26, p.6 ("GLA Consolidado")</t>
        </r>
      </text>
    </comment>
    <comment ref="E7" authorId="0">
      <text>
        <r>
          <rPr>
            <sz val="10"/>
            <rFont val="Arial"/>
            <family val="2"/>
          </rPr>
          <t xml:space="preserve">Presentación Corporativa 2Q26, p.2 (GLA total)</t>
        </r>
      </text>
    </comment>
    <comment ref="E8" authorId="0">
      <text>
        <r>
          <rPr>
            <sz val="10"/>
            <rFont val="Arial"/>
            <family val="2"/>
          </rPr>
          <t xml:space="preserve">Reporte de Resultados 2T26, p.15 (ABL total)</t>
        </r>
      </text>
    </comment>
  </commentList>
</comments>
</file>

<file path=xl/sharedStrings.xml><?xml version="1.0" encoding="utf-8"?>
<sst xmlns="http://schemas.openxmlformats.org/spreadsheetml/2006/main" count="54" uniqueCount="50">
  <si>
    <t xml:space="preserve">Eficiencia operativa: EBITDA / GLA, 2T26 trimestral (consolidado)</t>
  </si>
  <si>
    <t xml:space="preserve">EBITDA del trimestre abr-jun 2026 tal como lo publica cada empresa ÷ GLA consolidado al 30-jun-2026. Todo en CLP. Azul = dato de fuente; negro = fórmula.</t>
  </si>
  <si>
    <t xml:space="preserve">1. Datos y cálculo</t>
  </si>
  <si>
    <t xml:space="preserve">Empresa</t>
  </si>
  <si>
    <t xml:space="preserve">EBITDA 2T26 publicado (MM CLP)</t>
  </si>
  <si>
    <t xml:space="preserve">Ajuste multifamily (MM CLP)</t>
  </si>
  <si>
    <t xml:space="preserve">EBITDA usado (MM CLP)</t>
  </si>
  <si>
    <t xml:space="preserve">GLA al 30-jun-2026 (m²)</t>
  </si>
  <si>
    <t xml:space="preserve">EBITDA/m² trimestral 2T26 (CLP)</t>
  </si>
  <si>
    <t xml:space="preserve">Ranking</t>
  </si>
  <si>
    <t xml:space="preserve">Mallplaza</t>
  </si>
  <si>
    <t xml:space="preserve">Cenco Malls</t>
  </si>
  <si>
    <t xml:space="preserve">Parque Arauco</t>
  </si>
  <si>
    <t xml:space="preserve">Promedio simple</t>
  </si>
  <si>
    <t xml:space="preserve">Brecha máx.-mín. (%)</t>
  </si>
  <si>
    <t xml:space="preserve">2. Chequeo contra cifra publicada</t>
  </si>
  <si>
    <t xml:space="preserve">Concepto</t>
  </si>
  <si>
    <t xml:space="preserve">Valor</t>
  </si>
  <si>
    <t xml:space="preserve">Mallplaza: "EBITDA Mensual por m²" 2Q26 (CLP)</t>
  </si>
  <si>
    <t xml:space="preserve">× 3 meses = EBITDA/m² trimestral publicado</t>
  </si>
  <si>
    <t xml:space="preserve">Diferencia vs cálculo propio (F6)</t>
  </si>
  <si>
    <t xml:space="preserve">Fuentes</t>
  </si>
  <si>
    <t xml:space="preserve">EBITDA</t>
  </si>
  <si>
    <t xml:space="preserve">GLA</t>
  </si>
  <si>
    <t xml:space="preserve">Release de Resultados 2Q26, p.5 ("EBITDA")</t>
  </si>
  <si>
    <t xml:space="preserve">Release de Resultados 2Q26, p.6 ("GLA Consolidado")</t>
  </si>
  <si>
    <t xml:space="preserve">Presentación de Resultados 2T26, p.12 ("EBITDA Ajustado")</t>
  </si>
  <si>
    <t xml:space="preserve">Presentación Corporativa 2Q26, p.2 (GLA total)</t>
  </si>
  <si>
    <t xml:space="preserve">Reporte de Resultados 2T26, p.4 y p.8 ("EBITDA")</t>
  </si>
  <si>
    <t xml:space="preserve">Reporte de Resultados 2T26, p.15 (ABL total)</t>
  </si>
  <si>
    <t xml:space="preserve">Supuestos</t>
  </si>
  <si>
    <t xml:space="preserve">F1</t>
  </si>
  <si>
    <t xml:space="preserve">EBITDA según la definición publicada por cada empresa, sin ajustes del equipo. Ninguna incluye la revalorización de propiedades de inversión (NIC 40): Mallplaza = ganancia bruta − gastos de administración sin D&amp;A (glosario Release 2Q26); Parque Arauco = ingresos + costo de ventas + gastos de administración + deterioro de cartera, sin D&amp;A (glosario Reporte 2T26); Cenco reporta la utilidad 'excluyendo el efecto neto por revaluación de activos' y su margen EBITDA Ajustado es 90,4%.</t>
  </si>
  <si>
    <t xml:space="preserve">F2</t>
  </si>
  <si>
    <t xml:space="preserve">Período: solo el 2T26 (abr-jun 2026), sin anualizar. Es EBITDA de un trimestre por m²; sirve para comparar entre empresas en el mismo período, no como cifra anual.</t>
  </si>
  <si>
    <t xml:space="preserve">F3</t>
  </si>
  <si>
    <t xml:space="preserve">Perímetro consolidado (Chile, Perú y Colombia) en las tres. La mezcla de países difiere: Cenco es mayormente Chile; Mallplaza y Parque Arauco tienen más peso en Perú y Colombia.</t>
  </si>
  <si>
    <t xml:space="preserve">F4</t>
  </si>
  <si>
    <t xml:space="preserve">GLA con el mismo perímetro que el EBITDA: Mallplaza 'GLA Consolidado' (no el administrado); Parque Arauco sin Grupo Marina (no consolidada) ni multifamily; Cenco GLA total, incluye oficinas (criterio del equipo: GLA total, independiente del uso).</t>
  </si>
  <si>
    <t xml:space="preserve">F5</t>
  </si>
  <si>
    <t xml:space="preserve">Cenco: el GLA al 30-jun incluye Plaza Central (Bogotá, 76.250 m²), adquisición concretada en junio de 2026 (Presentación de Resultados 2T26), que aportó EBITDA solo parte del trimestre. Su EBITDA/m² queda algo subestimado. No se ajusta porque no se publica la fecha exacta de incorporación.</t>
  </si>
  <si>
    <t xml:space="preserve">F6</t>
  </si>
  <si>
    <t xml:space="preserve">Cenco 2T26 incluye un efecto favorable no recurrente por la expropiación de una superficie del banco de terrenos en Chile (Presentación de Resultados 2T26, p.15). No se ajusta.</t>
  </si>
  <si>
    <t xml:space="preserve">F7</t>
  </si>
  <si>
    <t xml:space="preserve">Todo en CLP según cada reporte (Parque Arauco convierte con tipo de cambio promedio contable mensual). No usar las columnas por país de los reportes: Perú viene en MPEN y Colombia en MMCOP.</t>
  </si>
  <si>
    <t xml:space="preserve">F8</t>
  </si>
  <si>
    <t xml:space="preserve">GLA al 100% de cada activo consolidado, no el GLA propio (ajustado por % de propiedad), porque el EBITDA consolida el 100% de los activos controlados. En Parque Arauco se usa el ABL total (1.340.500 m²) y no el ABL propio (1.242.737 m², que además suma el 50% de Grupo Marina y multifamily; Reporte 2T26, p.19). Se asume que todos los activos del ABL total están consolidados, incluidos los de participación menor al 50% (Parque Fabricato 28,8%, Arauco San Antonio 35,7%), porque el reporte solo presenta aparte a Grupo Marina.</t>
  </si>
  <si>
    <t xml:space="preserve">F9</t>
  </si>
  <si>
    <t xml:space="preserve">Parque Arauco: su EBITDA consolidado incluye el negocio multifamily, cuyo tamaño se reporta en unidades (1.215 departamentos) y no en m², por lo que no está en el ABL. Para que numerador y denominador tengan el mismo perímetro, se resta del EBITDA el NOI multifamily del 2T26 (503 MM CLP; Reporte 2T26, tabla por propiedad). El NOI es un resultado a nivel de activo (no incluye gastos corporativos), por lo que es una aproximación del aporte del multifamily al EBITDA. No se suman sus m² porque Parque Arauco no publica los de LiveSpace Concón y Mitjans (Chile). Efecto: −0,7% en su EBITDA/m²; no cambia el orden. Oficinas: Cenco las incluye en GLA y EBITDA (consistente); las oficinas de Parque Arauco (Titán Plaza, 28%) no consolidan.</t>
  </si>
  <si>
    <t xml:space="preserve">Lectura: las tres están en un rango estrecho (~55.400-59.500 CLP/m² en el trimestre). Mallplaza y Cenco prácticamente empatadas; Parque Arauco algo más abajo. Cenco probablemente queda subestimada por Plaza Central (F5).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</si>
</sst>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;\(#,##0\);\–"/>
    <numFmt numFmtId="167" formatCode="0"/>
    <numFmt numFmtId="168" formatCode="0.0%"/>
    <numFmt numFmtId="169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22"/>
    <col collapsed="false" customWidth="true" hidden="false" outlineLevel="0" max="7" min="7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6" t="n">
        <v>140312</v>
      </c>
      <c r="C6" s="7" t="n">
        <v>0</v>
      </c>
      <c r="D6" s="8" t="n">
        <f aca="false">B6+C6</f>
        <v>140312</v>
      </c>
      <c r="E6" s="6" t="n">
        <v>2360135</v>
      </c>
      <c r="F6" s="8" t="n">
        <f aca="false">D6*1000000/E6</f>
        <v>59450.8364987596</v>
      </c>
      <c r="G6" s="9" t="n">
        <f aca="false">RANK(F6,$F$6:$F$8)</f>
        <v>1</v>
      </c>
    </row>
    <row r="7" customFormat="false" ht="15" hidden="false" customHeight="false" outlineLevel="0" collapsed="false">
      <c r="A7" s="5" t="s">
        <v>11</v>
      </c>
      <c r="B7" s="6" t="n">
        <v>89818</v>
      </c>
      <c r="C7" s="7" t="n">
        <v>0</v>
      </c>
      <c r="D7" s="8" t="n">
        <f aca="false">B7+C7</f>
        <v>89818</v>
      </c>
      <c r="E7" s="6" t="n">
        <v>1538391</v>
      </c>
      <c r="F7" s="8" t="n">
        <f aca="false">D7*1000000/E7</f>
        <v>58384.376923682</v>
      </c>
      <c r="G7" s="9" t="n">
        <f aca="false">RANK(F7,$F$6:$F$8)</f>
        <v>2</v>
      </c>
    </row>
    <row r="8" customFormat="false" ht="15" hidden="false" customHeight="false" outlineLevel="0" collapsed="false">
      <c r="A8" s="5" t="s">
        <v>12</v>
      </c>
      <c r="B8" s="6" t="n">
        <v>74717</v>
      </c>
      <c r="C8" s="7" t="n">
        <v>-503</v>
      </c>
      <c r="D8" s="8" t="n">
        <f aca="false">B8+C8</f>
        <v>74214</v>
      </c>
      <c r="E8" s="6" t="n">
        <v>1340500</v>
      </c>
      <c r="F8" s="8" t="n">
        <f aca="false">D8*1000000/E8</f>
        <v>55362.9242819843</v>
      </c>
      <c r="G8" s="9" t="n">
        <f aca="false">RANK(F8,$F$6:$F$8)</f>
        <v>3</v>
      </c>
    </row>
    <row r="9" customFormat="false" ht="15" hidden="false" customHeight="false" outlineLevel="0" collapsed="false">
      <c r="A9" s="10" t="s">
        <v>13</v>
      </c>
      <c r="F9" s="11" t="n">
        <f aca="false">AVERAGE(F6:F8)</f>
        <v>57732.712568142</v>
      </c>
    </row>
    <row r="10" customFormat="false" ht="15" hidden="false" customHeight="false" outlineLevel="0" collapsed="false">
      <c r="A10" s="10" t="s">
        <v>14</v>
      </c>
      <c r="F10" s="12" t="n">
        <f aca="false">MAX(F6:F8)/MIN(F6:F8)-1</f>
        <v>0.0738384445871028</v>
      </c>
    </row>
    <row r="12" customFormat="false" ht="15" hidden="false" customHeight="false" outlineLevel="0" collapsed="false">
      <c r="A12" s="3" t="s">
        <v>15</v>
      </c>
    </row>
    <row r="13" customFormat="false" ht="31.5" hidden="false" customHeight="true" outlineLevel="0" collapsed="false">
      <c r="A13" s="4" t="s">
        <v>16</v>
      </c>
      <c r="B13" s="4" t="s">
        <v>17</v>
      </c>
      <c r="C13" s="4"/>
      <c r="D13" s="4"/>
      <c r="E13" s="4"/>
      <c r="F13" s="4"/>
      <c r="G13" s="4"/>
    </row>
    <row r="14" customFormat="false" ht="27.75" hidden="false" customHeight="true" outlineLevel="0" collapsed="false">
      <c r="A14" s="13" t="s">
        <v>18</v>
      </c>
      <c r="B14" s="6" t="n">
        <v>19817</v>
      </c>
    </row>
    <row r="15" customFormat="false" ht="27.75" hidden="false" customHeight="true" outlineLevel="0" collapsed="false">
      <c r="A15" s="13" t="s">
        <v>19</v>
      </c>
      <c r="B15" s="8" t="n">
        <f aca="false">B14*3</f>
        <v>59451</v>
      </c>
    </row>
    <row r="16" customFormat="false" ht="27.75" hidden="false" customHeight="true" outlineLevel="0" collapsed="false">
      <c r="A16" s="13" t="s">
        <v>20</v>
      </c>
      <c r="B16" s="14" t="n">
        <f aca="false">F6/B15-1</f>
        <v>-2.75018486473044E-006</v>
      </c>
    </row>
    <row r="18" customFormat="false" ht="15" hidden="false" customHeight="false" outlineLevel="0" collapsed="false">
      <c r="A18" s="3" t="s">
        <v>21</v>
      </c>
    </row>
    <row r="19" customFormat="false" ht="31.5" hidden="false" customHeight="true" outlineLevel="0" collapsed="false">
      <c r="A19" s="4" t="s">
        <v>3</v>
      </c>
      <c r="B19" s="4" t="s">
        <v>22</v>
      </c>
      <c r="C19" s="4" t="s">
        <v>23</v>
      </c>
      <c r="D19" s="4"/>
      <c r="E19" s="4"/>
      <c r="F19" s="4"/>
      <c r="G19" s="4"/>
    </row>
    <row r="20" customFormat="false" ht="30" hidden="false" customHeight="true" outlineLevel="0" collapsed="false">
      <c r="A20" s="5" t="s">
        <v>10</v>
      </c>
      <c r="B20" s="13" t="s">
        <v>24</v>
      </c>
      <c r="C20" s="13" t="s">
        <v>25</v>
      </c>
    </row>
    <row r="21" customFormat="false" ht="30" hidden="false" customHeight="true" outlineLevel="0" collapsed="false">
      <c r="A21" s="5" t="s">
        <v>11</v>
      </c>
      <c r="B21" s="13" t="s">
        <v>26</v>
      </c>
      <c r="C21" s="13" t="s">
        <v>27</v>
      </c>
    </row>
    <row r="22" customFormat="false" ht="30" hidden="false" customHeight="true" outlineLevel="0" collapsed="false">
      <c r="A22" s="5" t="s">
        <v>12</v>
      </c>
      <c r="B22" s="13" t="s">
        <v>28</v>
      </c>
      <c r="C22" s="13" t="s">
        <v>29</v>
      </c>
    </row>
    <row r="24" customFormat="false" ht="15" hidden="false" customHeight="false" outlineLevel="0" collapsed="false">
      <c r="A24" s="3" t="s">
        <v>30</v>
      </c>
    </row>
    <row r="25" customFormat="false" ht="57.75" hidden="false" customHeight="true" outlineLevel="0" collapsed="false">
      <c r="A25" s="15" t="s">
        <v>31</v>
      </c>
      <c r="B25" s="16" t="s">
        <v>32</v>
      </c>
      <c r="C25" s="16"/>
      <c r="D25" s="16"/>
      <c r="E25" s="16"/>
      <c r="F25" s="16"/>
      <c r="G25" s="16"/>
    </row>
    <row r="26" customFormat="false" ht="57.75" hidden="false" customHeight="true" outlineLevel="0" collapsed="false">
      <c r="A26" s="15" t="s">
        <v>33</v>
      </c>
      <c r="B26" s="16" t="s">
        <v>34</v>
      </c>
      <c r="C26" s="16"/>
      <c r="D26" s="16"/>
      <c r="E26" s="16"/>
      <c r="F26" s="16"/>
      <c r="G26" s="16"/>
    </row>
    <row r="27" customFormat="false" ht="57.75" hidden="false" customHeight="true" outlineLevel="0" collapsed="false">
      <c r="A27" s="15" t="s">
        <v>35</v>
      </c>
      <c r="B27" s="16" t="s">
        <v>36</v>
      </c>
      <c r="C27" s="16"/>
      <c r="D27" s="16"/>
      <c r="E27" s="16"/>
      <c r="F27" s="16"/>
      <c r="G27" s="16"/>
    </row>
    <row r="28" customFormat="false" ht="57.75" hidden="false" customHeight="true" outlineLevel="0" collapsed="false">
      <c r="A28" s="15" t="s">
        <v>37</v>
      </c>
      <c r="B28" s="16" t="s">
        <v>38</v>
      </c>
      <c r="C28" s="16"/>
      <c r="D28" s="16"/>
      <c r="E28" s="16"/>
      <c r="F28" s="16"/>
      <c r="G28" s="16"/>
    </row>
    <row r="29" customFormat="false" ht="57.75" hidden="false" customHeight="true" outlineLevel="0" collapsed="false">
      <c r="A29" s="15" t="s">
        <v>39</v>
      </c>
      <c r="B29" s="16" t="s">
        <v>40</v>
      </c>
      <c r="C29" s="16"/>
      <c r="D29" s="16"/>
      <c r="E29" s="16"/>
      <c r="F29" s="16"/>
      <c r="G29" s="16"/>
    </row>
    <row r="30" customFormat="false" ht="57.75" hidden="false" customHeight="true" outlineLevel="0" collapsed="false">
      <c r="A30" s="15" t="s">
        <v>41</v>
      </c>
      <c r="B30" s="16" t="s">
        <v>42</v>
      </c>
      <c r="C30" s="16"/>
      <c r="D30" s="16"/>
      <c r="E30" s="16"/>
      <c r="F30" s="16"/>
      <c r="G30" s="16"/>
    </row>
    <row r="31" customFormat="false" ht="57.75" hidden="false" customHeight="true" outlineLevel="0" collapsed="false">
      <c r="A31" s="15" t="s">
        <v>43</v>
      </c>
      <c r="B31" s="16" t="s">
        <v>44</v>
      </c>
      <c r="C31" s="16"/>
      <c r="D31" s="16"/>
      <c r="E31" s="16"/>
      <c r="F31" s="16"/>
      <c r="G31" s="16"/>
    </row>
    <row r="32" customFormat="false" ht="57.75" hidden="false" customHeight="true" outlineLevel="0" collapsed="false">
      <c r="A32" s="15" t="s">
        <v>45</v>
      </c>
      <c r="B32" s="16" t="s">
        <v>46</v>
      </c>
      <c r="C32" s="16"/>
      <c r="D32" s="16"/>
      <c r="E32" s="16"/>
      <c r="F32" s="16"/>
      <c r="G32" s="16"/>
    </row>
    <row r="33" customFormat="false" ht="57.75" hidden="false" customHeight="true" outlineLevel="0" collapsed="false">
      <c r="A33" s="15" t="s">
        <v>47</v>
      </c>
      <c r="B33" s="16" t="s">
        <v>48</v>
      </c>
      <c r="C33" s="16"/>
      <c r="D33" s="16"/>
      <c r="E33" s="16"/>
      <c r="F33" s="16"/>
      <c r="G33" s="16"/>
    </row>
    <row r="35" customFormat="false" ht="15" hidden="false" customHeight="false" outlineLevel="0" collapsed="false">
      <c r="A35" s="2" t="s">
        <v>49</v>
      </c>
    </row>
  </sheetData>
  <mergeCells count="9"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2026-10-17T19:27:32Z</dcterms:created>
  <dc:creator>openpyxl</dc:creator>
  <dc:description/>
  <dc:language>en-US</dc:language>
  <cp:lastModifiedBy/>
  <dcterms:modified xsi:type="dcterms:W3CDTF">2026-10-17T19:27:32Z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