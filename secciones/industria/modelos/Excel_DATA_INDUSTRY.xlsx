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3bc1e6ed4db8d1/Desktop/"/>
    </mc:Choice>
  </mc:AlternateContent>
  <xr:revisionPtr revIDLastSave="0" documentId="8_{C876C81B-1606-9841-8BEF-F7F89D40BF16}" xr6:coauthVersionLast="47" xr6:coauthVersionMax="47" xr10:uidLastSave="{00000000-0000-0000-0000-000000000000}"/>
  <bookViews>
    <workbookView xWindow="1850" yWindow="600" windowWidth="17310" windowHeight="10680" activeTab="1" xr2:uid="{133A0D71-BB11-4519-803B-69A0C6C69A13}"/>
  </bookViews>
  <sheets>
    <sheet name="PORTER" sheetId="18" r:id="rId1"/>
    <sheet name="EF. OPERATIVA (CLPM2)" sheetId="19" r:id="rId2"/>
    <sheet name="PIPELINE" sheetId="2" r:id="rId3"/>
    <sheet name="MS_estatico_2Q26" sheetId="10" r:id="rId4"/>
    <sheet name="MS_evolutivo_Chile" sheetId="11" r:id="rId5"/>
    <sheet name="OFERTA VS DEMANDA ESPERADA" sheetId="15" r:id="rId6"/>
    <sheet name="Duración contratos" sheetId="7" r:id="rId7"/>
    <sheet name="Ocupacion_consolidada" sheetId="14" r:id="rId8"/>
  </sheets>
  <externalReferences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19" l="1"/>
  <c r="E8" i="19"/>
  <c r="D7" i="19"/>
  <c r="E7" i="19"/>
  <c r="D6" i="19"/>
  <c r="B2" i="15"/>
  <c r="C2" i="15"/>
  <c r="B3" i="15"/>
  <c r="C3" i="15"/>
  <c r="B4" i="15"/>
  <c r="C4" i="15"/>
  <c r="B5" i="15"/>
  <c r="C5" i="15"/>
  <c r="B9" i="14"/>
  <c r="C9" i="14"/>
  <c r="D9" i="14"/>
  <c r="E9" i="14"/>
  <c r="F9" i="14"/>
  <c r="B13" i="14"/>
  <c r="C13" i="14"/>
  <c r="B14" i="14"/>
  <c r="C14" i="14"/>
  <c r="B15" i="14"/>
  <c r="C15" i="14"/>
  <c r="B9" i="11"/>
  <c r="C9" i="11"/>
  <c r="D9" i="11"/>
  <c r="E9" i="11"/>
  <c r="F9" i="11"/>
  <c r="B13" i="11"/>
  <c r="C13" i="11"/>
  <c r="D13" i="11"/>
  <c r="E13" i="11"/>
  <c r="F13" i="11"/>
  <c r="B14" i="11"/>
  <c r="B21" i="11"/>
  <c r="C14" i="11"/>
  <c r="D14" i="11"/>
  <c r="E14" i="11"/>
  <c r="F14" i="11"/>
  <c r="C21" i="11"/>
  <c r="D21" i="11"/>
  <c r="B15" i="11"/>
  <c r="C15" i="11"/>
  <c r="D15" i="11"/>
  <c r="E15" i="11"/>
  <c r="F15" i="11"/>
  <c r="B16" i="11"/>
  <c r="C16" i="11"/>
  <c r="D16" i="11"/>
  <c r="E16" i="11"/>
  <c r="F16" i="11"/>
  <c r="B20" i="11"/>
  <c r="C20" i="11"/>
  <c r="D20" i="11"/>
  <c r="B22" i="11"/>
  <c r="C22" i="11"/>
  <c r="D22" i="11"/>
  <c r="E5" i="10"/>
  <c r="E10" i="10"/>
  <c r="E15" i="10"/>
  <c r="E12" i="2"/>
  <c r="D12" i="2"/>
  <c r="K8" i="2"/>
  <c r="K9" i="2"/>
  <c r="K10" i="2"/>
  <c r="K11" i="2"/>
  <c r="K12" i="2"/>
  <c r="I12" i="2"/>
  <c r="F8" i="2"/>
  <c r="F9" i="2"/>
  <c r="F10" i="2"/>
  <c r="P8" i="2"/>
  <c r="P9" i="2"/>
  <c r="P10" i="2"/>
  <c r="O12" i="2"/>
  <c r="N12" i="2"/>
  <c r="P12" i="2"/>
  <c r="D10" i="19"/>
  <c r="D9" i="19"/>
  <c r="E6" i="19"/>
  <c r="F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B2DE30EB-A298-4901-AD58-B2DF480CE39C}">
      <text>
        <r>
          <rPr>
            <sz val="10"/>
            <rFont val="Arial"/>
            <family val="2"/>
          </rPr>
          <t>Release de Resultados 2Q26, p.5 ("EBITDA")</t>
        </r>
      </text>
    </comment>
    <comment ref="C6" authorId="0" shapeId="0" xr:uid="{A088BB7D-7748-4872-B54F-5ABC0AE442EE}">
      <text>
        <r>
          <rPr>
            <sz val="10"/>
            <rFont val="Arial"/>
            <family val="2"/>
          </rPr>
          <t>Release de Resultados 2Q26, p.6 ("GLA Consolidado")</t>
        </r>
      </text>
    </comment>
    <comment ref="B7" authorId="0" shapeId="0" xr:uid="{E8F0F82C-650D-42B9-85A3-6F03ACF5B7CE}">
      <text>
        <r>
          <rPr>
            <sz val="10"/>
            <rFont val="Arial"/>
            <family val="2"/>
          </rPr>
          <t>Presentación de Resultados 2T26, p.12 ("EBITDA Ajustado")</t>
        </r>
      </text>
    </comment>
    <comment ref="C7" authorId="0" shapeId="0" xr:uid="{F43CBE84-0786-4B1A-ADAE-1F73C87130CA}">
      <text>
        <r>
          <rPr>
            <sz val="10"/>
            <rFont val="Arial"/>
            <family val="2"/>
          </rPr>
          <t>Presentación Corporativa 2Q26, p.2 (GLA total)</t>
        </r>
      </text>
    </comment>
    <comment ref="B8" authorId="0" shapeId="0" xr:uid="{78001D96-EC51-45FA-88CC-F39FAABEF51B}">
      <text>
        <r>
          <rPr>
            <sz val="10"/>
            <rFont val="Arial"/>
            <family val="2"/>
          </rPr>
          <t>Reporte de Resultados 2T26, p.4 y p.8 ("EBITDA")</t>
        </r>
      </text>
    </comment>
    <comment ref="C8" authorId="0" shapeId="0" xr:uid="{7F93946E-B465-4143-8C3C-55739C300BF4}">
      <text>
        <r>
          <rPr>
            <sz val="10"/>
            <rFont val="Arial"/>
            <family val="2"/>
          </rPr>
          <t>Reporte de Resultados 2T26, p.15 (ABL total)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000-000001000000}">
      <text>
        <r>
          <rPr>
            <sz val="10"/>
            <rFont val="Arial"/>
            <family val="2"/>
          </rPr>
          <t>Release 2Q23, slide 20 (comparativo)</t>
        </r>
      </text>
    </comment>
    <comment ref="C6" authorId="0" shapeId="0" xr:uid="{00000000-0006-0000-0000-000004000000}">
      <text>
        <r>
          <rPr>
            <sz val="10"/>
            <rFont val="Arial"/>
            <family val="2"/>
          </rPr>
          <t>Release 2Q23, slide 20</t>
        </r>
      </text>
    </comment>
    <comment ref="D6" authorId="0" shapeId="0" xr:uid="{00000000-0006-0000-0000-000007000000}">
      <text>
        <r>
          <rPr>
            <sz val="10"/>
            <rFont val="Arial"/>
            <family val="2"/>
          </rPr>
          <t>Release 2Q25, slide 29 (comparativo)</t>
        </r>
      </text>
    </comment>
    <comment ref="E6" authorId="0" shapeId="0" xr:uid="{00000000-0006-0000-0000-00000A000000}">
      <text>
        <r>
          <rPr>
            <sz val="10"/>
            <rFont val="Arial"/>
            <family val="2"/>
          </rPr>
          <t>Release 2Q25, slide 29</t>
        </r>
      </text>
    </comment>
    <comment ref="F6" authorId="0" shapeId="0" xr:uid="{00000000-0006-0000-0000-00000D000000}">
      <text>
        <r>
          <rPr>
            <sz val="10"/>
            <rFont val="Arial"/>
            <family val="2"/>
          </rPr>
          <t>Release 2Q26, slide 18</t>
        </r>
      </text>
    </comment>
    <comment ref="B7" authorId="0" shapeId="0" xr:uid="{00000000-0006-0000-0000-000002000000}">
      <text>
        <r>
          <rPr>
            <sz val="10"/>
            <rFont val="Arial"/>
            <family val="2"/>
          </rPr>
          <t>Presentación Corporativa 2T22, slide 4</t>
        </r>
      </text>
    </comment>
    <comment ref="C7" authorId="0" shapeId="0" xr:uid="{00000000-0006-0000-0000-000005000000}">
      <text>
        <r>
          <rPr>
            <sz val="10"/>
            <rFont val="Arial"/>
            <family val="2"/>
          </rPr>
          <t>Presentación Corporativa 2T23, slide 5</t>
        </r>
      </text>
    </comment>
    <comment ref="D7" authorId="0" shapeId="0" xr:uid="{00000000-0006-0000-0000-000008000000}">
      <text>
        <r>
          <rPr>
            <sz val="10"/>
            <rFont val="Arial"/>
            <family val="2"/>
          </rPr>
          <t>Presentación Corporativa 2T24, slide 5</t>
        </r>
      </text>
    </comment>
    <comment ref="E7" authorId="0" shapeId="0" xr:uid="{00000000-0006-0000-0000-00000B000000}">
      <text>
        <r>
          <rPr>
            <sz val="10"/>
            <rFont val="Arial"/>
            <family val="2"/>
          </rPr>
          <t>Presentación Corporativa 2Q25, slide 4</t>
        </r>
      </text>
    </comment>
    <comment ref="F7" authorId="0" shapeId="0" xr:uid="{00000000-0006-0000-0000-00000E000000}">
      <text>
        <r>
          <rPr>
            <sz val="10"/>
            <rFont val="Arial"/>
            <family val="2"/>
          </rPr>
          <t>Corporate Presentation 2Q26, slide 2</t>
        </r>
      </text>
    </comment>
    <comment ref="B8" authorId="0" shapeId="0" xr:uid="{00000000-0006-0000-0000-000003000000}">
      <text>
        <r>
          <rPr>
            <sz val="10"/>
            <rFont val="Arial"/>
            <family val="2"/>
          </rPr>
          <t>Reporte de Resultados 2T23, p.22 (comparativo)</t>
        </r>
      </text>
    </comment>
    <comment ref="C8" authorId="0" shapeId="0" xr:uid="{00000000-0006-0000-0000-000006000000}">
      <text>
        <r>
          <rPr>
            <sz val="10"/>
            <rFont val="Arial"/>
            <family val="2"/>
          </rPr>
          <t>Reporte de Resultados 2T23, p.22</t>
        </r>
      </text>
    </comment>
    <comment ref="D8" authorId="0" shapeId="0" xr:uid="{00000000-0006-0000-0000-000009000000}">
      <text>
        <r>
          <rPr>
            <sz val="10"/>
            <rFont val="Arial"/>
            <family val="2"/>
          </rPr>
          <t>Reporte de Resultados 2T25, p.21 (comparativo)</t>
        </r>
      </text>
    </comment>
    <comment ref="E8" authorId="0" shapeId="0" xr:uid="{00000000-0006-0000-0000-00000C000000}">
      <text>
        <r>
          <rPr>
            <sz val="10"/>
            <rFont val="Arial"/>
            <family val="2"/>
          </rPr>
          <t>Reporte de Resultados 2T25, p.21</t>
        </r>
      </text>
    </comment>
    <comment ref="F8" authorId="0" shapeId="0" xr:uid="{00000000-0006-0000-0000-00000F000000}">
      <text>
        <r>
          <rPr>
            <sz val="10"/>
            <rFont val="Arial"/>
            <family val="2"/>
          </rPr>
          <t>Reporte de Resultados 2T26, p.20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000-000001000000}">
      <text>
        <r>
          <rPr>
            <sz val="10"/>
            <rFont val="Arial"/>
            <family val="2"/>
          </rPr>
          <t>Release 2Q23, slide 5 (comparativo)</t>
        </r>
      </text>
    </comment>
    <comment ref="C6" authorId="0" shapeId="0" xr:uid="{00000000-0006-0000-0000-000004000000}">
      <text>
        <r>
          <rPr>
            <sz val="10"/>
            <rFont val="Arial"/>
            <family val="2"/>
          </rPr>
          <t>Release 2Q23, slide 5</t>
        </r>
      </text>
    </comment>
    <comment ref="D6" authorId="0" shapeId="0" xr:uid="{00000000-0006-0000-0000-000007000000}">
      <text>
        <r>
          <rPr>
            <sz val="10"/>
            <rFont val="Arial"/>
            <family val="2"/>
          </rPr>
          <t>Release 2Q25, slide 7 (comparativo)</t>
        </r>
      </text>
    </comment>
    <comment ref="E6" authorId="0" shapeId="0" xr:uid="{00000000-0006-0000-0000-00000A000000}">
      <text>
        <r>
          <rPr>
            <sz val="10"/>
            <rFont val="Arial"/>
            <family val="2"/>
          </rPr>
          <t>Release 2Q25, slide 7</t>
        </r>
      </text>
    </comment>
    <comment ref="F6" authorId="0" shapeId="0" xr:uid="{00000000-0006-0000-0000-00000D000000}">
      <text>
        <r>
          <rPr>
            <sz val="10"/>
            <rFont val="Arial"/>
            <family val="2"/>
          </rPr>
          <t>Release 2Q26, slide 6</t>
        </r>
      </text>
    </comment>
    <comment ref="B7" authorId="0" shapeId="0" xr:uid="{00000000-0006-0000-0000-000002000000}">
      <text>
        <r>
          <rPr>
            <sz val="10"/>
            <rFont val="Arial"/>
            <family val="2"/>
          </rPr>
          <t>Presentación Corporativa 2T22, slide 3</t>
        </r>
      </text>
    </comment>
    <comment ref="C7" authorId="0" shapeId="0" xr:uid="{00000000-0006-0000-0000-000005000000}">
      <text>
        <r>
          <rPr>
            <sz val="10"/>
            <rFont val="Arial"/>
            <family val="2"/>
          </rPr>
          <t>Presentación Corporativa 2T23, slide 4</t>
        </r>
      </text>
    </comment>
    <comment ref="D7" authorId="0" shapeId="0" xr:uid="{00000000-0006-0000-0000-000008000000}">
      <text>
        <r>
          <rPr>
            <sz val="10"/>
            <rFont val="Arial"/>
            <family val="2"/>
          </rPr>
          <t>Presentación Corporativa 2T24, slide 4</t>
        </r>
      </text>
    </comment>
    <comment ref="E7" authorId="0" shapeId="0" xr:uid="{00000000-0006-0000-0000-00000B000000}">
      <text>
        <r>
          <rPr>
            <sz val="10"/>
            <rFont val="Arial"/>
            <family val="2"/>
          </rPr>
          <t>Presentación Corporativa 2Q25, slide 5</t>
        </r>
      </text>
    </comment>
    <comment ref="F7" authorId="0" shapeId="0" xr:uid="{00000000-0006-0000-0000-00000E000000}">
      <text>
        <r>
          <rPr>
            <sz val="10"/>
            <rFont val="Arial"/>
            <family val="2"/>
          </rPr>
          <t>Presentación de Resultados 2T26, slide 18</t>
        </r>
      </text>
    </comment>
    <comment ref="B8" authorId="0" shapeId="0" xr:uid="{00000000-0006-0000-0000-000003000000}">
      <text>
        <r>
          <rPr>
            <sz val="10"/>
            <rFont val="Arial"/>
            <family val="2"/>
          </rPr>
          <t>Reporte de Resultados 2T23, p.7 (calculado: 95,8% − 1,5 pp a/a)</t>
        </r>
      </text>
    </comment>
    <comment ref="C8" authorId="0" shapeId="0" xr:uid="{00000000-0006-0000-0000-000006000000}">
      <text>
        <r>
          <rPr>
            <sz val="10"/>
            <rFont val="Arial"/>
            <family val="2"/>
          </rPr>
          <t>Reporte de Resultados 2T23, p.7</t>
        </r>
      </text>
    </comment>
    <comment ref="D8" authorId="0" shapeId="0" xr:uid="{00000000-0006-0000-0000-000009000000}">
      <text>
        <r>
          <rPr>
            <sz val="10"/>
            <rFont val="Arial"/>
            <family val="2"/>
          </rPr>
          <t>Reporte de Resultados 2T25, p.6 (calculado: 96,4% − 0,3 pp a/a)</t>
        </r>
      </text>
    </comment>
    <comment ref="E8" authorId="0" shapeId="0" xr:uid="{00000000-0006-0000-0000-00000C000000}">
      <text>
        <r>
          <rPr>
            <sz val="10"/>
            <rFont val="Arial"/>
            <family val="2"/>
          </rPr>
          <t>Reporte de Resultados 2T25, p.6</t>
        </r>
      </text>
    </comment>
    <comment ref="F8" authorId="0" shapeId="0" xr:uid="{00000000-0006-0000-0000-00000F000000}">
      <text>
        <r>
          <rPr>
            <sz val="10"/>
            <rFont val="Arial"/>
            <family val="2"/>
          </rPr>
          <t>Reporte de Resultados 2T26, p.6</t>
        </r>
      </text>
    </comment>
  </commentList>
</comments>
</file>

<file path=xl/sharedStrings.xml><?xml version="1.0" encoding="utf-8"?>
<sst xmlns="http://schemas.openxmlformats.org/spreadsheetml/2006/main" count="315" uniqueCount="155">
  <si>
    <t>MALLPLAZA</t>
  </si>
  <si>
    <t>CENCO</t>
  </si>
  <si>
    <t>Usaremos gla to be added ya que me interesa la oferta de la industria, no si por ejemplo Parauco es dueño o no de X cantidad de m2</t>
  </si>
  <si>
    <t>2s26</t>
  </si>
  <si>
    <t>ORGANICO</t>
  </si>
  <si>
    <t>INORGANICO</t>
  </si>
  <si>
    <t>TOTAL</t>
  </si>
  <si>
    <t>PERIODO</t>
  </si>
  <si>
    <t>P. ARAUCO</t>
  </si>
  <si>
    <t>Todo fechado año por año, tiene hasta 2029 y 2030 (limite usado;2028)</t>
  </si>
  <si>
    <t>?</t>
  </si>
  <si>
    <t>Cálculo sobre Plaza S.A., Presentación Institucional 2Q26, slide 7</t>
  </si>
  <si>
    <t>S3, S6: calculado como 100% menos el resto</t>
  </si>
  <si>
    <t>—</t>
  </si>
  <si>
    <t>Otros</t>
  </si>
  <si>
    <t>Otros operadores principales</t>
  </si>
  <si>
    <t>Colombia</t>
  </si>
  <si>
    <t>Plaza S.A., Presentación Institucional 2Q26, slide 7</t>
  </si>
  <si>
    <t>S8</t>
  </si>
  <si>
    <t>#1</t>
  </si>
  <si>
    <t>Líder fuera del trío</t>
  </si>
  <si>
    <t>Peer G</t>
  </si>
  <si>
    <t>Líder (no identificado)</t>
  </si>
  <si>
    <t>S1</t>
  </si>
  <si>
    <t>#6</t>
  </si>
  <si>
    <t>Competidor</t>
  </si>
  <si>
    <t>Peer A</t>
  </si>
  <si>
    <t>Parque Arauco</t>
  </si>
  <si>
    <t>#5</t>
  </si>
  <si>
    <t>Peer B</t>
  </si>
  <si>
    <t>Cenco Malls</t>
  </si>
  <si>
    <t>S2: pro forma con Gran Plaza; sin ella 4,3%</t>
  </si>
  <si>
    <t>#2</t>
  </si>
  <si>
    <t>Mallplaza</t>
  </si>
  <si>
    <t>Perú</t>
  </si>
  <si>
    <t>Peer F</t>
  </si>
  <si>
    <t>#3</t>
  </si>
  <si>
    <t>#7</t>
  </si>
  <si>
    <t>Chile</t>
  </si>
  <si>
    <t>fuente</t>
  </si>
  <si>
    <t>nota</t>
  </si>
  <si>
    <t>posicion</t>
  </si>
  <si>
    <t>market_share</t>
  </si>
  <si>
    <t>rol</t>
  </si>
  <si>
    <t>nombre_en_fuente</t>
  </si>
  <si>
    <t>empresa</t>
  </si>
  <si>
    <t>pais</t>
  </si>
  <si>
    <t>Lectura: el reparto es estable en cinco años. Mallplaza sigue como el mayor operador (baja ~1,2 pp); Parque Arauco sube ~1,5 pp en 2T25 por la compra de Kennedy Oriente; Cenco se mantiene cerca de 38,7%.</t>
  </si>
  <si>
    <t>Cada año se toma del reporte de ese 2T o del comparativo del reporte del año siguiente. Los comparativos coinciden con las cifras originales donde se pudo cruzar (ej. Mallplaza 2T25 = 1.450.629 en Release 2Q25 y 2Q26).</t>
  </si>
  <si>
    <t>E6</t>
  </si>
  <si>
    <t>Mallplaza: el Release 2Q23 usa 'GLA Total' y el 2Q26 'GLA Consolidado'; en Chile son iguales (GLA Total = GLA Administrado). La compra de Open Plaza fue en Perú y no afecta Chile.</t>
  </si>
  <si>
    <t>E5</t>
  </si>
  <si>
    <t>El aumento de Parque Arauco en 2T25 (534.000 → 603.000 m²) se explica casi todo por la compra de Kennedy Oriente (70.000 m², 2Q25). Se mantiene porque es un cambio real de control del espacio.</t>
  </si>
  <si>
    <t>E4</t>
  </si>
  <si>
    <t>El ABL de Parque Arauco no incluye Grupo Marina (asociada al 50%, no consolidada) ni multifamily (reportado en unidades). Criterio constante los cinco años.</t>
  </si>
  <si>
    <t>E3</t>
  </si>
  <si>
    <t>Es participación dentro del trío (Mallplaza, Cenco, Parque Arauco), no market share del mercado total, cuyo GLA no está en los reportes.</t>
  </si>
  <si>
    <t>E2</t>
  </si>
  <si>
    <t>GLA tal como lo reporta cada empresa, sin importar el uso (criterio del equipo, igual que el pipeline). El GLA de Chile de Cenco incluye oficinas de Costanera: 65.000 m² hasta 2T24 y 90.000 m² desde 2T25 (2T26 sin dato explícito; slide 21 de la Corporate Presentation 2Q26 muestra 90.000 m² entregados).</t>
  </si>
  <si>
    <t>E1</t>
  </si>
  <si>
    <t>Supuestos</t>
  </si>
  <si>
    <t>Reporte de Resultados 2T26, p.20</t>
  </si>
  <si>
    <t>Reporte de Resultados 2T25, p.21</t>
  </si>
  <si>
    <t>Reporte de Resultados 2T25, p.21 (comparativo)</t>
  </si>
  <si>
    <t>Reporte de Resultados 2T23, p.22</t>
  </si>
  <si>
    <t>Reporte de Resultados 2T23, p.22 (comparativo)</t>
  </si>
  <si>
    <t>Corporate Presentation 2Q26, slide 2</t>
  </si>
  <si>
    <t>Presentación Corporativa 2Q25, slide 4</t>
  </si>
  <si>
    <t>Presentación Corporativa 2T24, slide 5</t>
  </si>
  <si>
    <t>Presentación Corporativa 2T23, slide 5</t>
  </si>
  <si>
    <t>Presentación Corporativa 2T22, slide 4</t>
  </si>
  <si>
    <t>Release 2Q26, slide 18</t>
  </si>
  <si>
    <t>Release 2Q25, slide 29</t>
  </si>
  <si>
    <t>Release 2Q25, slide 29 (comparativo)</t>
  </si>
  <si>
    <t>Release 2Q23, slide 20</t>
  </si>
  <si>
    <t>Release 2Q23, slide 20 (comparativo)</t>
  </si>
  <si>
    <t>2T26</t>
  </si>
  <si>
    <t>2T25</t>
  </si>
  <si>
    <t>2T24</t>
  </si>
  <si>
    <t>2T23</t>
  </si>
  <si>
    <t>2T22</t>
  </si>
  <si>
    <t>Empresa</t>
  </si>
  <si>
    <t>Fuentes</t>
  </si>
  <si>
    <t>Cambio (pp)</t>
  </si>
  <si>
    <t>3. Cambio de participación 2T22 → 2T26 (puntos porcentuales)</t>
  </si>
  <si>
    <t>Total</t>
  </si>
  <si>
    <t>2. Participación dentro del trío (%)</t>
  </si>
  <si>
    <t>Total trío</t>
  </si>
  <si>
    <t>1. GLA de Chile (m²)</t>
  </si>
  <si>
    <t>Participación = GLA de Chile de cada empresa ÷ suma del GLA de Chile de las tres. Cifras al cierre de cada 2T (junio). Azul = dato de fuente; negro = fórmula.</t>
  </si>
  <si>
    <t>Market share evolutivo en Chile: participación dentro del trío (2T22-2T26)</t>
  </si>
  <si>
    <t>Promedio simple</t>
  </si>
  <si>
    <t>Ranking</t>
  </si>
  <si>
    <t>GLA al 30-jun-2026 (m²)</t>
  </si>
  <si>
    <t>EBITDA 2T26 (MM CLP)</t>
  </si>
  <si>
    <t>1. Datos y cálculo</t>
  </si>
  <si>
    <t>Lectura: las tres operan con ocupación alta (93-99%) durante todo el período. Mallplaza sube ~2,2 pp desde 2T22 y se estabiliza en ~95,6%; Cenco es la más alta pero cae en 2T26 por Plaza Central; Parque Arauco se mantiene en ~96%.</t>
  </si>
  <si>
    <t>Perímetro consolidado de cada empresa (Chile, Perú y Colombia). La mezcla de países difiere: Cenco es mayormente Chile, donde la ocupación es más alta.</t>
  </si>
  <si>
    <t>O5</t>
  </si>
  <si>
    <t>Cenco 2T26 incluye Plaza Central (Bogotá, 76.250 m², adquirida en junio de 2026), con ocupación más baja que el resto del portafolio; explica parte de la caída del consolidado (98,5% → 97,0%).</t>
  </si>
  <si>
    <t>O4</t>
  </si>
  <si>
    <t>Parque Arauco 2T22 y 2T24 se calculan restando la variación a/a reportada al dato del año siguiente (95,8% − 1,5 pp; 96,4% − 0,3 pp). Puede haber diferencia de redondeo de ±0,05 pp.</t>
  </si>
  <si>
    <t>O3</t>
  </si>
  <si>
    <t>Mallplaza: cambio de perímetro en 2T25. Desde 2T25 el consolidado incluye Open Plaza (Perú, adquirida en 2024); 2T22-2T24 son sin Open Plaza. El salto de perímetro no se ajusta.</t>
  </si>
  <si>
    <t>O2</t>
  </si>
  <si>
    <t>Cada empresa define la ocupación distinto, por lo que los niveles no son 100% comparables entre sí: Mallplaza = m² con contrato vigente y/o firmado / GLA; Parque Arauco = ABL pagando arriendo / ABL total (retail, sin multifamily); Cenco = m² ocupados / m² totales, excluyendo torres de oficinas. Lo comparable es la tendencia de cada una.</t>
  </si>
  <si>
    <t>O1</t>
  </si>
  <si>
    <t>Reporte de Resultados 2T26, p.6</t>
  </si>
  <si>
    <t>Reporte de Resultados 2T25, p.6</t>
  </si>
  <si>
    <t>Reporte de Resultados 2T25, p.6 (calculado: 96,4% − 0,3 pp a/a)</t>
  </si>
  <si>
    <t>Reporte de Resultados 2T23, p.7</t>
  </si>
  <si>
    <t>Reporte de Resultados 2T23, p.7 (calculado: 95,8% − 1,5 pp a/a)</t>
  </si>
  <si>
    <t>Presentación de Resultados 2T26, slide 18</t>
  </si>
  <si>
    <t>Presentación Corporativa 2Q25, slide 5</t>
  </si>
  <si>
    <t>Presentación Corporativa 2T24, slide 4</t>
  </si>
  <si>
    <t>Presentación Corporativa 2T23, slide 4</t>
  </si>
  <si>
    <t>Presentación Corporativa 2T22, slide 3</t>
  </si>
  <si>
    <t>Release 2Q26, slide 6</t>
  </si>
  <si>
    <t>Release 2Q25, slide 7</t>
  </si>
  <si>
    <t>Release 2Q25, slide 7 (comparativo)</t>
  </si>
  <si>
    <t>Release 2Q23, slide 5</t>
  </si>
  <si>
    <t>Release 2Q23, slide 5 (comparativo)</t>
  </si>
  <si>
    <t>2T25 → 2T26</t>
  </si>
  <si>
    <t>2T22 → 2T26</t>
  </si>
  <si>
    <t>2. Cambio de ocupación (puntos porcentuales)</t>
  </si>
  <si>
    <t>1. Ocupación consolidada (%)</t>
  </si>
  <si>
    <t>Cifras al cierre de cada 2T (junio), tal como las reporta cada empresa. Azul = dato de fuente; negro = fórmula. Las definiciones difieren entre empresas (ver O1).</t>
  </si>
  <si>
    <t>Tasa de ocupación consolidada (Chile + Perú + Colombia), 2T22-2T26</t>
  </si>
  <si>
    <t>Acumulado 2026-2028</t>
  </si>
  <si>
    <t>2028</t>
  </si>
  <si>
    <t>2027</t>
  </si>
  <si>
    <t>2026</t>
  </si>
  <si>
    <t>consumo_privado_ipom</t>
  </si>
  <si>
    <t>crec_oferta_gla</t>
  </si>
  <si>
    <t>anio</t>
  </si>
  <si>
    <t>tramo</t>
  </si>
  <si>
    <t>&lt; 2 años</t>
  </si>
  <si>
    <t>2-3 años</t>
  </si>
  <si>
    <t>3-4 años</t>
  </si>
  <si>
    <t>4-5 años</t>
  </si>
  <si>
    <t>&gt; 5 años</t>
  </si>
  <si>
    <t>duracion_promedio_años</t>
  </si>
  <si>
    <t>%_gla</t>
  </si>
  <si>
    <t>fuerza</t>
  </si>
  <si>
    <t>nota_final</t>
  </si>
  <si>
    <t>nota_chile</t>
  </si>
  <si>
    <t>nota_peru</t>
  </si>
  <si>
    <t>nota_colombia</t>
  </si>
  <si>
    <t>Rivalidad entre competidores</t>
  </si>
  <si>
    <t>Amenaza de nuevos entrantes</t>
  </si>
  <si>
    <t>Poder de negociación de los locatarios</t>
  </si>
  <si>
    <t>Poder de negociación de los proveedores</t>
  </si>
  <si>
    <t>Amenaza de sustitutos (e-commerce)</t>
  </si>
  <si>
    <t>EBITDA/m² trimestral 2T26 (CLP)</t>
  </si>
  <si>
    <t>Brecha máx.-mín.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</si>
</sst>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+0.0;\-0.0;0.0"/>
    <numFmt numFmtId="166" formatCode="0.0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i/>
      <sz val="9"/>
      <color rgb="FF555555"/>
      <name val="Arial"/>
      <charset val="1"/>
    </font>
    <font>
      <b/>
      <sz val="10"/>
      <name val="Arial"/>
      <charset val="1"/>
    </font>
    <font>
      <b/>
      <sz val="13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quotePrefix="1"/>
    <xf numFmtId="0" fontId="2" fillId="0" borderId="0" xfId="1"/>
    <xf numFmtId="0" fontId="3" fillId="0" borderId="0" xfId="1" applyFont="1"/>
    <xf numFmtId="164" fontId="3" fillId="0" borderId="0" xfId="1" applyNumberFormat="1" applyFont="1"/>
    <xf numFmtId="164" fontId="4" fillId="0" borderId="0" xfId="1" applyNumberFormat="1" applyFont="1"/>
    <xf numFmtId="0" fontId="5" fillId="3" borderId="0" xfId="1" applyFont="1" applyFill="1" applyAlignment="1">
      <alignment horizontal="center" wrapText="1"/>
    </xf>
    <xf numFmtId="0" fontId="6" fillId="0" borderId="0" xfId="1" applyFont="1"/>
    <xf numFmtId="0" fontId="7" fillId="0" borderId="1" xfId="1" applyFont="1" applyBorder="1" applyAlignment="1">
      <alignment vertical="top" wrapText="1"/>
    </xf>
    <xf numFmtId="0" fontId="7" fillId="0" borderId="0" xfId="1" applyFont="1"/>
    <xf numFmtId="0" fontId="3" fillId="0" borderId="1" xfId="1" applyFont="1" applyBorder="1" applyAlignment="1">
      <alignment vertical="top" wrapText="1"/>
    </xf>
    <xf numFmtId="0" fontId="7" fillId="0" borderId="1" xfId="1" applyFont="1" applyBorder="1"/>
    <xf numFmtId="0" fontId="5" fillId="3" borderId="1" xfId="1" applyFont="1" applyFill="1" applyBorder="1" applyAlignment="1">
      <alignment horizontal="center" vertical="center" wrapText="1"/>
    </xf>
    <xf numFmtId="165" fontId="3" fillId="0" borderId="1" xfId="1" applyNumberFormat="1" applyFont="1" applyBorder="1"/>
    <xf numFmtId="164" fontId="3" fillId="0" borderId="1" xfId="1" applyNumberFormat="1" applyFont="1" applyBorder="1"/>
    <xf numFmtId="164" fontId="7" fillId="4" borderId="1" xfId="1" applyNumberFormat="1" applyFont="1" applyFill="1" applyBorder="1"/>
    <xf numFmtId="0" fontId="7" fillId="4" borderId="1" xfId="1" applyFont="1" applyFill="1" applyBorder="1"/>
    <xf numFmtId="3" fontId="7" fillId="4" borderId="1" xfId="1" applyNumberFormat="1" applyFont="1" applyFill="1" applyBorder="1"/>
    <xf numFmtId="3" fontId="4" fillId="0" borderId="1" xfId="1" applyNumberFormat="1" applyFont="1" applyBorder="1"/>
    <xf numFmtId="0" fontId="8" fillId="0" borderId="0" xfId="1" applyFont="1"/>
    <xf numFmtId="164" fontId="4" fillId="0" borderId="1" xfId="1" applyNumberFormat="1" applyFont="1" applyBorder="1"/>
    <xf numFmtId="0" fontId="7" fillId="0" borderId="0" xfId="0" applyFont="1"/>
    <xf numFmtId="0" fontId="3" fillId="0" borderId="0" xfId="0" applyFont="1"/>
    <xf numFmtId="164" fontId="3" fillId="0" borderId="0" xfId="0" applyNumberFormat="1" applyFont="1"/>
    <xf numFmtId="166" fontId="3" fillId="0" borderId="0" xfId="0" applyNumberFormat="1" applyFont="1"/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3" fontId="4" fillId="0" borderId="1" xfId="0" applyNumberFormat="1" applyFont="1" applyBorder="1"/>
    <xf numFmtId="3" fontId="3" fillId="0" borderId="1" xfId="0" applyNumberFormat="1" applyFont="1" applyBorder="1"/>
    <xf numFmtId="1" fontId="3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/>
    <xf numFmtId="3" fontId="7" fillId="4" borderId="1" xfId="0" applyNumberFormat="1" applyFont="1" applyFill="1" applyBorder="1"/>
    <xf numFmtId="164" fontId="7" fillId="4" borderId="1" xfId="0" applyNumberFormat="1" applyFont="1" applyFill="1" applyBorder="1"/>
    <xf numFmtId="0" fontId="3" fillId="0" borderId="0" xfId="1" applyFont="1" applyAlignment="1">
      <alignment vertical="top" wrapText="1"/>
    </xf>
  </cellXfs>
  <cellStyles count="2">
    <cellStyle name="Normal" xfId="0" builtinId="0"/>
    <cellStyle name="Normal 2" xfId="1" xr:uid="{DBE89289-30EC-4ACE-8188-CE3A3FCF51E7}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externalLink" Target="externalLinks/externalLink1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03bc1e6ed4db8d1/Desktop/Oferta_vs_Demanda_Chile_2026_2028.xlsx" TargetMode="External" /><Relationship Id="rId1" Type="http://schemas.openxmlformats.org/officeDocument/2006/relationships/externalLinkPath" Target="Oferta_vs_Demanda_Chile_2026_2028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ferta_vs_Demanda"/>
      <sheetName val="Proyectos_Chile"/>
      <sheetName val="Supuestos"/>
    </sheetNames>
    <sheetDataSet>
      <sheetData sheetId="0">
        <row r="15">
          <cell r="B15">
            <v>2.3111143007191518E-3</v>
          </cell>
          <cell r="C15">
            <v>2.8564433200032643E-2</v>
          </cell>
          <cell r="D15">
            <v>3.4850379342618309E-2</v>
          </cell>
          <cell r="E15">
            <v>6.6870267727387037E-2</v>
          </cell>
        </row>
        <row r="16">
          <cell r="B16">
            <v>1.4999999999999999E-2</v>
          </cell>
          <cell r="C16">
            <v>2.1000000000000001E-2</v>
          </cell>
          <cell r="D16">
            <v>2.7E-2</v>
          </cell>
          <cell r="E16">
            <v>6.4295504999999809E-2</v>
          </cell>
        </row>
      </sheetData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6BD1BD-B064-4F7B-8CD3-3F67ABB57828}" name="Tabla1" displayName="Tabla1" ref="C7:F12" totalsRowShown="0">
  <autoFilter ref="C7:F12" xr:uid="{3B6BD1BD-B064-4F7B-8CD3-3F67ABB57828}"/>
  <tableColumns count="4">
    <tableColumn id="1" xr3:uid="{37556819-FE57-4C6C-AA95-0524AFA7B803}" name="PERIODO"/>
    <tableColumn id="2" xr3:uid="{4A74350F-E641-4693-AFE2-67C599D11B4A}" name="ORGANICO"/>
    <tableColumn id="3" xr3:uid="{920587A8-23D7-4860-B10B-754BD1A8C009}" name="INORGANICO"/>
    <tableColumn id="4" xr3:uid="{79001406-3016-488F-A6DE-BF41D88EBA4F}" name="TOTAL" dataDxfId="2">
      <calculatedColumnFormula>SUM(Tabla1[[#This Row],[ORGANICO]:[INORGANICO]])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DFCD2B-DFD1-462F-8933-DAAE2FCEED7B}" name="Tabla2" displayName="Tabla2" ref="H7:K12" totalsRowShown="0">
  <autoFilter ref="H7:K12" xr:uid="{7FDFCD2B-DFD1-462F-8933-DAAE2FCEED7B}"/>
  <tableColumns count="4">
    <tableColumn id="1" xr3:uid="{D58D07D4-434F-4C5B-A40E-E1819F5E7C79}" name="PERIODO"/>
    <tableColumn id="2" xr3:uid="{410EF12A-7DD5-4290-B45D-EF1D48288F4A}" name="ORGANICO"/>
    <tableColumn id="3" xr3:uid="{846EE3D1-886E-4CE4-BE7C-712B74E3BA81}" name="INORGANICO"/>
    <tableColumn id="4" xr3:uid="{F6D96737-6BA6-41FE-A9F5-85FBB33F0FE7}" name="TOTAL" dataDxfId="1">
      <calculatedColumnFormula>SUM(Tabla2[[#This Row],[ORGANICO]:[INORGANICO]])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C72EC8-3C6D-417D-A641-C03A333BE974}" name="Tabla3" displayName="Tabla3" ref="M7:P12" totalsRowShown="0">
  <autoFilter ref="M7:P12" xr:uid="{31C72EC8-3C6D-417D-A641-C03A333BE974}"/>
  <tableColumns count="4">
    <tableColumn id="1" xr3:uid="{BA840F29-389B-4793-81F6-1CCA53893224}" name="PERIODO"/>
    <tableColumn id="2" xr3:uid="{B546B48D-6C7B-497F-970C-D29A796E1021}" name="ORGANICO"/>
    <tableColumn id="3" xr3:uid="{4D6D9971-E99B-4079-9AE2-B9A70EBE4E67}" name="INORGANICO"/>
    <tableColumn id="4" xr3:uid="{0DE2D2D4-ED85-43A9-9936-7263D33AAA76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 /><Relationship Id="rId1" Type="http://schemas.openxmlformats.org/officeDocument/2006/relationships/vmlDrawing" Target="../drawings/vmlDrawing2.vml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 /><Relationship Id="rId1" Type="http://schemas.openxmlformats.org/officeDocument/2006/relationships/vmlDrawing" Target="../drawings/vmlDrawing3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D268-D845-4780-B7B4-4902D876EF23}">
  <dimension ref="A1:E6"/>
  <sheetViews>
    <sheetView workbookViewId="0">
      <selection activeCell="D9" sqref="D9"/>
    </sheetView>
  </sheetViews>
  <sheetFormatPr defaultColWidth="10.76171875" defaultRowHeight="15" x14ac:dyDescent="0.2"/>
  <cols>
    <col min="1" max="1" width="33.8984375" bestFit="1" customWidth="1"/>
  </cols>
  <sheetData>
    <row r="1" spans="1:5" x14ac:dyDescent="0.2">
      <c r="A1" t="s">
        <v>143</v>
      </c>
      <c r="B1" t="s">
        <v>144</v>
      </c>
      <c r="C1" t="s">
        <v>145</v>
      </c>
      <c r="D1" t="s">
        <v>146</v>
      </c>
      <c r="E1" t="s">
        <v>147</v>
      </c>
    </row>
    <row r="2" spans="1:5" x14ac:dyDescent="0.2">
      <c r="A2" t="s">
        <v>148</v>
      </c>
      <c r="B2">
        <v>4</v>
      </c>
      <c r="C2">
        <v>4</v>
      </c>
      <c r="D2">
        <v>4</v>
      </c>
      <c r="E2">
        <v>4</v>
      </c>
    </row>
    <row r="3" spans="1:5" x14ac:dyDescent="0.2">
      <c r="A3" t="s">
        <v>149</v>
      </c>
      <c r="B3">
        <v>2</v>
      </c>
      <c r="C3">
        <v>1.5</v>
      </c>
      <c r="D3">
        <v>2</v>
      </c>
      <c r="E3">
        <v>3</v>
      </c>
    </row>
    <row r="4" spans="1:5" x14ac:dyDescent="0.2">
      <c r="A4" t="s">
        <v>150</v>
      </c>
      <c r="B4">
        <v>1.5</v>
      </c>
      <c r="C4">
        <v>1.5</v>
      </c>
      <c r="D4">
        <v>2</v>
      </c>
      <c r="E4">
        <v>2</v>
      </c>
    </row>
    <row r="5" spans="1:5" x14ac:dyDescent="0.2">
      <c r="A5" t="s">
        <v>151</v>
      </c>
      <c r="B5">
        <v>1</v>
      </c>
      <c r="C5">
        <v>1</v>
      </c>
      <c r="D5">
        <v>1</v>
      </c>
      <c r="E5">
        <v>1</v>
      </c>
    </row>
    <row r="6" spans="1:5" x14ac:dyDescent="0.2">
      <c r="A6" t="s">
        <v>152</v>
      </c>
      <c r="B6">
        <v>2.5</v>
      </c>
      <c r="C6">
        <v>2.5</v>
      </c>
      <c r="D6">
        <v>2.5</v>
      </c>
      <c r="E6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87AA-6796-4C81-A251-E417B8563D14}">
  <dimension ref="A4:F10"/>
  <sheetViews>
    <sheetView tabSelected="1" workbookViewId="0">
      <selection activeCell="B16" sqref="B16"/>
    </sheetView>
  </sheetViews>
  <sheetFormatPr defaultColWidth="10.76171875" defaultRowHeight="15" x14ac:dyDescent="0.2"/>
  <cols>
    <col min="1" max="1" width="29.86328125" customWidth="1"/>
    <col min="2" max="2" width="25.421875" customWidth="1"/>
    <col min="3" max="3" width="22.734375" customWidth="1"/>
    <col min="4" max="4" width="25.15234375" customWidth="1"/>
  </cols>
  <sheetData>
    <row r="4" spans="1:6" x14ac:dyDescent="0.2">
      <c r="A4" s="24" t="s">
        <v>95</v>
      </c>
    </row>
    <row r="5" spans="1:6" ht="24.75" x14ac:dyDescent="0.2">
      <c r="A5" s="28" t="s">
        <v>81</v>
      </c>
      <c r="B5" s="28" t="s">
        <v>94</v>
      </c>
      <c r="C5" s="28" t="s">
        <v>93</v>
      </c>
      <c r="D5" s="28" t="s">
        <v>153</v>
      </c>
      <c r="E5" s="28" t="s">
        <v>92</v>
      </c>
      <c r="F5" s="28"/>
    </row>
    <row r="6" spans="1:6" x14ac:dyDescent="0.2">
      <c r="A6" s="29" t="s">
        <v>33</v>
      </c>
      <c r="B6" s="30">
        <v>140312</v>
      </c>
      <c r="C6" s="30">
        <v>2360135</v>
      </c>
      <c r="D6" s="31">
        <f>B6*1000000/C6</f>
        <v>59450.836498759607</v>
      </c>
      <c r="E6" s="32">
        <f>RANK(D6,$D$6:$D$8)</f>
        <v>1</v>
      </c>
    </row>
    <row r="7" spans="1:6" x14ac:dyDescent="0.2">
      <c r="A7" s="29" t="s">
        <v>30</v>
      </c>
      <c r="B7" s="30">
        <v>89818</v>
      </c>
      <c r="C7" s="30">
        <v>1538391</v>
      </c>
      <c r="D7" s="31">
        <f>B7*1000000/C7</f>
        <v>58384.37692368195</v>
      </c>
      <c r="E7" s="32">
        <f>RANK(D7,$D$6:$D$8)</f>
        <v>2</v>
      </c>
    </row>
    <row r="8" spans="1:6" x14ac:dyDescent="0.2">
      <c r="A8" s="29" t="s">
        <v>27</v>
      </c>
      <c r="B8" s="30">
        <v>74717</v>
      </c>
      <c r="C8" s="30">
        <v>1340500</v>
      </c>
      <c r="D8" s="31">
        <f>B8*1000000/C8</f>
        <v>55738.157403953752</v>
      </c>
      <c r="E8" s="32">
        <f>RANK(D8,$D$6:$D$8)</f>
        <v>3</v>
      </c>
    </row>
    <row r="9" spans="1:6" x14ac:dyDescent="0.2">
      <c r="A9" s="33" t="s">
        <v>91</v>
      </c>
      <c r="D9" s="34">
        <f>AVERAGE(D6:D8)</f>
        <v>57857.790275465108</v>
      </c>
    </row>
    <row r="10" spans="1:6" x14ac:dyDescent="0.2">
      <c r="A10" s="33" t="s">
        <v>154</v>
      </c>
      <c r="D10" s="35">
        <f>MAX(D6:D8)/MIN(D6:D8)-1</f>
        <v>6.6609290075715588E-2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F2F0-FD56-4779-BF8D-1F2F8AF4AF02}">
  <dimension ref="C2:W12"/>
  <sheetViews>
    <sheetView topLeftCell="A2" zoomScale="90" zoomScaleNormal="140" workbookViewId="0">
      <selection activeCell="F26" sqref="F26"/>
    </sheetView>
  </sheetViews>
  <sheetFormatPr defaultColWidth="10.76171875" defaultRowHeight="15" x14ac:dyDescent="0.2"/>
  <cols>
    <col min="2" max="2" width="11.43359375" customWidth="1"/>
    <col min="6" max="6" width="11.43359375" customWidth="1"/>
    <col min="15" max="15" width="31.609375" customWidth="1"/>
  </cols>
  <sheetData>
    <row r="2" spans="3:23" x14ac:dyDescent="0.2">
      <c r="O2" t="s">
        <v>9</v>
      </c>
    </row>
    <row r="4" spans="3:23" x14ac:dyDescent="0.2">
      <c r="C4" t="s">
        <v>0</v>
      </c>
      <c r="H4" t="s">
        <v>1</v>
      </c>
      <c r="M4" t="s">
        <v>8</v>
      </c>
    </row>
    <row r="5" spans="3:23" x14ac:dyDescent="0.2">
      <c r="W5" t="s">
        <v>2</v>
      </c>
    </row>
    <row r="7" spans="3:23" x14ac:dyDescent="0.2">
      <c r="C7" t="s">
        <v>7</v>
      </c>
      <c r="D7" t="s">
        <v>4</v>
      </c>
      <c r="E7" t="s">
        <v>5</v>
      </c>
      <c r="F7" t="s">
        <v>6</v>
      </c>
      <c r="H7" t="s">
        <v>7</v>
      </c>
      <c r="I7" t="s">
        <v>4</v>
      </c>
      <c r="J7" t="s">
        <v>5</v>
      </c>
      <c r="K7" t="s">
        <v>6</v>
      </c>
      <c r="M7" t="s">
        <v>7</v>
      </c>
      <c r="N7" t="s">
        <v>4</v>
      </c>
      <c r="O7" t="s">
        <v>5</v>
      </c>
      <c r="P7" t="s">
        <v>6</v>
      </c>
    </row>
    <row r="8" spans="3:23" x14ac:dyDescent="0.2">
      <c r="C8" s="2">
        <v>2028</v>
      </c>
      <c r="D8">
        <v>88350</v>
      </c>
      <c r="E8">
        <v>0</v>
      </c>
      <c r="F8">
        <f>SUM(Tabla1[[#This Row],[ORGANICO]:[INORGANICO]])</f>
        <v>88350</v>
      </c>
      <c r="H8" s="2">
        <v>2028</v>
      </c>
      <c r="I8">
        <v>52500</v>
      </c>
      <c r="J8">
        <v>0</v>
      </c>
      <c r="K8">
        <f>SUM(Tabla2[[#This Row],[ORGANICO]:[INORGANICO]])</f>
        <v>52500</v>
      </c>
      <c r="M8" s="2">
        <v>2028</v>
      </c>
      <c r="N8">
        <v>31330</v>
      </c>
      <c r="O8">
        <v>11000</v>
      </c>
      <c r="P8">
        <f>SUM(Tabla3[[#This Row],[ORGANICO]:[INORGANICO]])</f>
        <v>42330</v>
      </c>
    </row>
    <row r="9" spans="3:23" x14ac:dyDescent="0.2">
      <c r="C9" s="2">
        <v>2027</v>
      </c>
      <c r="D9">
        <v>72950</v>
      </c>
      <c r="E9">
        <v>0</v>
      </c>
      <c r="F9">
        <f>SUM(Tabla1[[#This Row],[ORGANICO]:[INORGANICO]])</f>
        <v>72950</v>
      </c>
      <c r="H9" s="2">
        <v>2027</v>
      </c>
      <c r="I9">
        <v>34000</v>
      </c>
      <c r="J9">
        <v>0</v>
      </c>
      <c r="K9">
        <f>SUM(Tabla2[[#This Row],[ORGANICO]:[INORGANICO]])</f>
        <v>34000</v>
      </c>
      <c r="M9" s="2">
        <v>2027</v>
      </c>
      <c r="N9" s="1">
        <v>46000</v>
      </c>
      <c r="O9" s="4">
        <v>0</v>
      </c>
      <c r="P9">
        <f>SUM(Tabla3[[#This Row],[ORGANICO]:[INORGANICO]])</f>
        <v>46000</v>
      </c>
    </row>
    <row r="10" spans="3:23" x14ac:dyDescent="0.2">
      <c r="C10" t="s">
        <v>3</v>
      </c>
      <c r="D10">
        <v>8900</v>
      </c>
      <c r="E10" t="s">
        <v>10</v>
      </c>
      <c r="F10">
        <f>SUM(Tabla1[[#This Row],[ORGANICO]:[INORGANICO]])</f>
        <v>8900</v>
      </c>
      <c r="H10" t="s">
        <v>3</v>
      </c>
      <c r="I10">
        <v>0</v>
      </c>
      <c r="J10">
        <v>0</v>
      </c>
      <c r="K10">
        <f>SUM(Tabla2[[#This Row],[ORGANICO]:[INORGANICO]])</f>
        <v>0</v>
      </c>
      <c r="M10" t="s">
        <v>3</v>
      </c>
      <c r="N10">
        <v>0</v>
      </c>
      <c r="O10">
        <v>87000</v>
      </c>
      <c r="P10">
        <f>SUM(Tabla3[[#This Row],[ORGANICO]:[INORGANICO]])</f>
        <v>87000</v>
      </c>
    </row>
    <row r="11" spans="3:23" x14ac:dyDescent="0.2">
      <c r="K11">
        <f>SUM(Tabla2[[#This Row],[ORGANICO]:[INORGANICO]])</f>
        <v>0</v>
      </c>
    </row>
    <row r="12" spans="3:23" x14ac:dyDescent="0.2">
      <c r="D12">
        <f>SUM(D8:D10)</f>
        <v>170200</v>
      </c>
      <c r="E12">
        <f>SUM(E8:E10)</f>
        <v>0</v>
      </c>
      <c r="F12" s="3">
        <f>SUM(F8:F10)</f>
        <v>170200</v>
      </c>
      <c r="I12">
        <f>SUM(I8:I10)</f>
        <v>86500</v>
      </c>
      <c r="K12" s="3">
        <f>SUM(Tabla2[[#This Row],[ORGANICO]:[INORGANICO]])</f>
        <v>86500</v>
      </c>
      <c r="N12">
        <f>SUM(N8:N10)</f>
        <v>77330</v>
      </c>
      <c r="O12">
        <f>SUM(O8:O10)</f>
        <v>98000</v>
      </c>
      <c r="P12" s="3">
        <f>SUM(Tabla3[[#This Row],[ORGANICO]:[INORGANICO]])</f>
        <v>175330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5514D-5C02-40E9-8BDC-F13DB45A812A}">
  <dimension ref="A1:H15"/>
  <sheetViews>
    <sheetView zoomScaleNormal="100" workbookViewId="0">
      <pane ySplit="1" topLeftCell="A2" activePane="bottomLeft" state="frozen"/>
      <selection pane="bottomLeft" activeCell="B20" sqref="B20"/>
    </sheetView>
  </sheetViews>
  <sheetFormatPr defaultColWidth="8.609375" defaultRowHeight="15" x14ac:dyDescent="0.2"/>
  <cols>
    <col min="1" max="1" width="11.02734375" style="5" customWidth="1"/>
    <col min="2" max="2" width="27.98046875" style="5" customWidth="1"/>
    <col min="3" max="3" width="16.0078125" style="5" customWidth="1"/>
    <col min="4" max="4" width="20.04296875" style="5" customWidth="1"/>
    <col min="5" max="5" width="13.046875" style="5" customWidth="1"/>
    <col min="6" max="6" width="9.953125" style="5" customWidth="1"/>
    <col min="7" max="7" width="43.98828125" style="5" customWidth="1"/>
    <col min="8" max="8" width="52.05859375" style="5" customWidth="1"/>
    <col min="9" max="16384" width="8.609375" style="5"/>
  </cols>
  <sheetData>
    <row r="1" spans="1:8" ht="24.75" x14ac:dyDescent="0.2">
      <c r="A1" s="9" t="s">
        <v>46</v>
      </c>
      <c r="B1" s="9" t="s">
        <v>45</v>
      </c>
      <c r="C1" s="9" t="s">
        <v>44</v>
      </c>
      <c r="D1" s="9" t="s">
        <v>43</v>
      </c>
      <c r="E1" s="9" t="s">
        <v>42</v>
      </c>
      <c r="F1" s="9" t="s">
        <v>41</v>
      </c>
      <c r="G1" s="9" t="s">
        <v>40</v>
      </c>
      <c r="H1" s="9" t="s">
        <v>39</v>
      </c>
    </row>
    <row r="2" spans="1:8" x14ac:dyDescent="0.2">
      <c r="A2" s="6" t="s">
        <v>38</v>
      </c>
      <c r="B2" s="6" t="s">
        <v>33</v>
      </c>
      <c r="C2" s="6" t="s">
        <v>33</v>
      </c>
      <c r="D2" s="6" t="s">
        <v>33</v>
      </c>
      <c r="E2" s="8">
        <v>0.33</v>
      </c>
      <c r="F2" s="6" t="s">
        <v>19</v>
      </c>
      <c r="G2" s="6"/>
      <c r="H2" s="6" t="s">
        <v>17</v>
      </c>
    </row>
    <row r="3" spans="1:8" x14ac:dyDescent="0.2">
      <c r="A3" s="6" t="s">
        <v>38</v>
      </c>
      <c r="B3" s="6" t="s">
        <v>30</v>
      </c>
      <c r="C3" s="6" t="s">
        <v>29</v>
      </c>
      <c r="D3" s="6" t="s">
        <v>25</v>
      </c>
      <c r="E3" s="8">
        <v>0.28999999999999998</v>
      </c>
      <c r="F3" s="6" t="s">
        <v>32</v>
      </c>
      <c r="G3" s="6" t="s">
        <v>23</v>
      </c>
      <c r="H3" s="6" t="s">
        <v>17</v>
      </c>
    </row>
    <row r="4" spans="1:8" x14ac:dyDescent="0.2">
      <c r="A4" s="6" t="s">
        <v>38</v>
      </c>
      <c r="B4" s="6" t="s">
        <v>27</v>
      </c>
      <c r="C4" s="6" t="s">
        <v>26</v>
      </c>
      <c r="D4" s="6" t="s">
        <v>25</v>
      </c>
      <c r="E4" s="8">
        <v>0.14000000000000001</v>
      </c>
      <c r="F4" s="6" t="s">
        <v>36</v>
      </c>
      <c r="G4" s="6" t="s">
        <v>23</v>
      </c>
      <c r="H4" s="6" t="s">
        <v>17</v>
      </c>
    </row>
    <row r="5" spans="1:8" x14ac:dyDescent="0.2">
      <c r="A5" s="6" t="s">
        <v>38</v>
      </c>
      <c r="B5" s="6" t="s">
        <v>15</v>
      </c>
      <c r="C5" s="6" t="s">
        <v>13</v>
      </c>
      <c r="D5" s="6" t="s">
        <v>14</v>
      </c>
      <c r="E5" s="7">
        <f>1-SUM(E2:E4)</f>
        <v>0.24</v>
      </c>
      <c r="F5" s="6" t="s">
        <v>13</v>
      </c>
      <c r="G5" s="6" t="s">
        <v>12</v>
      </c>
      <c r="H5" s="6" t="s">
        <v>11</v>
      </c>
    </row>
    <row r="6" spans="1:8" x14ac:dyDescent="0.2">
      <c r="A6" s="6" t="s">
        <v>34</v>
      </c>
      <c r="B6" s="6" t="s">
        <v>33</v>
      </c>
      <c r="C6" s="6" t="s">
        <v>33</v>
      </c>
      <c r="D6" s="6" t="s">
        <v>33</v>
      </c>
      <c r="E6" s="8">
        <v>0.2</v>
      </c>
      <c r="F6" s="6" t="s">
        <v>32</v>
      </c>
      <c r="G6" s="6"/>
      <c r="H6" s="6" t="s">
        <v>17</v>
      </c>
    </row>
    <row r="7" spans="1:8" x14ac:dyDescent="0.2">
      <c r="A7" s="6" t="s">
        <v>34</v>
      </c>
      <c r="B7" s="6" t="s">
        <v>30</v>
      </c>
      <c r="C7" s="6" t="s">
        <v>29</v>
      </c>
      <c r="D7" s="6" t="s">
        <v>25</v>
      </c>
      <c r="E7" s="8">
        <v>0.02</v>
      </c>
      <c r="F7" s="6" t="s">
        <v>37</v>
      </c>
      <c r="G7" s="6" t="s">
        <v>23</v>
      </c>
      <c r="H7" s="6" t="s">
        <v>17</v>
      </c>
    </row>
    <row r="8" spans="1:8" x14ac:dyDescent="0.2">
      <c r="A8" s="6" t="s">
        <v>34</v>
      </c>
      <c r="B8" s="6" t="s">
        <v>27</v>
      </c>
      <c r="C8" s="6" t="s">
        <v>26</v>
      </c>
      <c r="D8" s="6" t="s">
        <v>25</v>
      </c>
      <c r="E8" s="8">
        <v>0.15</v>
      </c>
      <c r="F8" s="6" t="s">
        <v>36</v>
      </c>
      <c r="G8" s="6" t="s">
        <v>23</v>
      </c>
      <c r="H8" s="6" t="s">
        <v>17</v>
      </c>
    </row>
    <row r="9" spans="1:8" x14ac:dyDescent="0.2">
      <c r="A9" s="6" t="s">
        <v>34</v>
      </c>
      <c r="B9" s="6" t="s">
        <v>22</v>
      </c>
      <c r="C9" s="6" t="s">
        <v>35</v>
      </c>
      <c r="D9" s="6" t="s">
        <v>20</v>
      </c>
      <c r="E9" s="8">
        <v>0.28999999999999998</v>
      </c>
      <c r="F9" s="6" t="s">
        <v>19</v>
      </c>
      <c r="G9" s="6" t="s">
        <v>18</v>
      </c>
      <c r="H9" s="6" t="s">
        <v>17</v>
      </c>
    </row>
    <row r="10" spans="1:8" x14ac:dyDescent="0.2">
      <c r="A10" s="6" t="s">
        <v>34</v>
      </c>
      <c r="B10" s="6" t="s">
        <v>15</v>
      </c>
      <c r="C10" s="6" t="s">
        <v>13</v>
      </c>
      <c r="D10" s="6" t="s">
        <v>14</v>
      </c>
      <c r="E10" s="7">
        <f>1-SUM(E6:E9)</f>
        <v>0.34000000000000008</v>
      </c>
      <c r="F10" s="6" t="s">
        <v>13</v>
      </c>
      <c r="G10" s="6" t="s">
        <v>12</v>
      </c>
      <c r="H10" s="6" t="s">
        <v>11</v>
      </c>
    </row>
    <row r="11" spans="1:8" x14ac:dyDescent="0.2">
      <c r="A11" s="6" t="s">
        <v>16</v>
      </c>
      <c r="B11" s="6" t="s">
        <v>33</v>
      </c>
      <c r="C11" s="6" t="s">
        <v>33</v>
      </c>
      <c r="D11" s="6" t="s">
        <v>33</v>
      </c>
      <c r="E11" s="8">
        <v>7.0000000000000007E-2</v>
      </c>
      <c r="F11" s="6" t="s">
        <v>32</v>
      </c>
      <c r="G11" s="6" t="s">
        <v>31</v>
      </c>
      <c r="H11" s="6" t="s">
        <v>17</v>
      </c>
    </row>
    <row r="12" spans="1:8" x14ac:dyDescent="0.2">
      <c r="A12" s="6" t="s">
        <v>16</v>
      </c>
      <c r="B12" s="6" t="s">
        <v>30</v>
      </c>
      <c r="C12" s="6" t="s">
        <v>29</v>
      </c>
      <c r="D12" s="6" t="s">
        <v>25</v>
      </c>
      <c r="E12" s="8">
        <v>0.02</v>
      </c>
      <c r="F12" s="6" t="s">
        <v>28</v>
      </c>
      <c r="G12" s="6" t="s">
        <v>23</v>
      </c>
      <c r="H12" s="6" t="s">
        <v>17</v>
      </c>
    </row>
    <row r="13" spans="1:8" x14ac:dyDescent="0.2">
      <c r="A13" s="6" t="s">
        <v>16</v>
      </c>
      <c r="B13" s="6" t="s">
        <v>27</v>
      </c>
      <c r="C13" s="6" t="s">
        <v>26</v>
      </c>
      <c r="D13" s="6" t="s">
        <v>25</v>
      </c>
      <c r="E13" s="8">
        <v>0.04</v>
      </c>
      <c r="F13" s="6" t="s">
        <v>24</v>
      </c>
      <c r="G13" s="6" t="s">
        <v>23</v>
      </c>
      <c r="H13" s="6" t="s">
        <v>17</v>
      </c>
    </row>
    <row r="14" spans="1:8" x14ac:dyDescent="0.2">
      <c r="A14" s="6" t="s">
        <v>16</v>
      </c>
      <c r="B14" s="6" t="s">
        <v>22</v>
      </c>
      <c r="C14" s="6" t="s">
        <v>21</v>
      </c>
      <c r="D14" s="6" t="s">
        <v>20</v>
      </c>
      <c r="E14" s="8">
        <v>0.09</v>
      </c>
      <c r="F14" s="6" t="s">
        <v>19</v>
      </c>
      <c r="G14" s="6" t="s">
        <v>18</v>
      </c>
      <c r="H14" s="6" t="s">
        <v>17</v>
      </c>
    </row>
    <row r="15" spans="1:8" x14ac:dyDescent="0.2">
      <c r="A15" s="6" t="s">
        <v>16</v>
      </c>
      <c r="B15" s="6" t="s">
        <v>15</v>
      </c>
      <c r="C15" s="6" t="s">
        <v>13</v>
      </c>
      <c r="D15" s="6" t="s">
        <v>14</v>
      </c>
      <c r="E15" s="7">
        <f>1-SUM(E11:E14)</f>
        <v>0.78</v>
      </c>
      <c r="F15" s="6" t="s">
        <v>13</v>
      </c>
      <c r="G15" s="6" t="s">
        <v>12</v>
      </c>
      <c r="H15" s="6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969F-050F-4F11-94FC-96327987ACB7}">
  <dimension ref="A1:F38"/>
  <sheetViews>
    <sheetView showGridLines="0" zoomScaleNormal="100" workbookViewId="0"/>
  </sheetViews>
  <sheetFormatPr defaultColWidth="8.609375" defaultRowHeight="15" x14ac:dyDescent="0.2"/>
  <cols>
    <col min="1" max="1" width="18.0234375" style="5" customWidth="1"/>
    <col min="2" max="6" width="23.9453125" style="5" customWidth="1"/>
    <col min="7" max="16384" width="8.609375" style="5"/>
  </cols>
  <sheetData>
    <row r="1" spans="1:6" ht="17.25" x14ac:dyDescent="0.2">
      <c r="A1" s="22" t="s">
        <v>90</v>
      </c>
    </row>
    <row r="2" spans="1:6" x14ac:dyDescent="0.2">
      <c r="A2" s="10" t="s">
        <v>89</v>
      </c>
    </row>
    <row r="4" spans="1:6" x14ac:dyDescent="0.2">
      <c r="A4" s="12" t="s">
        <v>88</v>
      </c>
    </row>
    <row r="5" spans="1:6" x14ac:dyDescent="0.2">
      <c r="A5" s="15" t="s">
        <v>81</v>
      </c>
      <c r="B5" s="15" t="s">
        <v>80</v>
      </c>
      <c r="C5" s="15" t="s">
        <v>79</v>
      </c>
      <c r="D5" s="15" t="s">
        <v>78</v>
      </c>
      <c r="E5" s="15" t="s">
        <v>77</v>
      </c>
      <c r="F5" s="15" t="s">
        <v>76</v>
      </c>
    </row>
    <row r="6" spans="1:6" x14ac:dyDescent="0.2">
      <c r="A6" s="14" t="s">
        <v>33</v>
      </c>
      <c r="B6" s="21">
        <v>1401025</v>
      </c>
      <c r="C6" s="21">
        <v>1423496</v>
      </c>
      <c r="D6" s="21">
        <v>1430939</v>
      </c>
      <c r="E6" s="21">
        <v>1450629</v>
      </c>
      <c r="F6" s="21">
        <v>1461288</v>
      </c>
    </row>
    <row r="7" spans="1:6" x14ac:dyDescent="0.2">
      <c r="A7" s="14" t="s">
        <v>30</v>
      </c>
      <c r="B7" s="21">
        <v>1224312</v>
      </c>
      <c r="C7" s="21">
        <v>1225813</v>
      </c>
      <c r="D7" s="21">
        <v>1246626</v>
      </c>
      <c r="E7" s="21">
        <v>1276833</v>
      </c>
      <c r="F7" s="21">
        <v>1306169</v>
      </c>
    </row>
    <row r="8" spans="1:6" x14ac:dyDescent="0.2">
      <c r="A8" s="14" t="s">
        <v>27</v>
      </c>
      <c r="B8" s="21">
        <v>522000</v>
      </c>
      <c r="C8" s="21">
        <v>526500</v>
      </c>
      <c r="D8" s="21">
        <v>534000</v>
      </c>
      <c r="E8" s="21">
        <v>603000</v>
      </c>
      <c r="F8" s="21">
        <v>611000</v>
      </c>
    </row>
    <row r="9" spans="1:6" x14ac:dyDescent="0.2">
      <c r="A9" s="19" t="s">
        <v>87</v>
      </c>
      <c r="B9" s="20">
        <f>SUM(B6:B8)</f>
        <v>3147337</v>
      </c>
      <c r="C9" s="20">
        <f>SUM(C6:C8)</f>
        <v>3175809</v>
      </c>
      <c r="D9" s="20">
        <f>SUM(D6:D8)</f>
        <v>3211565</v>
      </c>
      <c r="E9" s="20">
        <f>SUM(E6:E8)</f>
        <v>3330462</v>
      </c>
      <c r="F9" s="20">
        <f>SUM(F6:F8)</f>
        <v>3378457</v>
      </c>
    </row>
    <row r="11" spans="1:6" x14ac:dyDescent="0.2">
      <c r="A11" s="12" t="s">
        <v>86</v>
      </c>
    </row>
    <row r="12" spans="1:6" x14ac:dyDescent="0.2">
      <c r="A12" s="15" t="s">
        <v>81</v>
      </c>
      <c r="B12" s="15" t="s">
        <v>80</v>
      </c>
      <c r="C12" s="15" t="s">
        <v>79</v>
      </c>
      <c r="D12" s="15" t="s">
        <v>78</v>
      </c>
      <c r="E12" s="15" t="s">
        <v>77</v>
      </c>
      <c r="F12" s="15" t="s">
        <v>76</v>
      </c>
    </row>
    <row r="13" spans="1:6" x14ac:dyDescent="0.2">
      <c r="A13" s="14" t="s">
        <v>33</v>
      </c>
      <c r="B13" s="17">
        <f t="shared" ref="B13:F15" si="0">B6/B$9</f>
        <v>0.4451461664257752</v>
      </c>
      <c r="C13" s="17">
        <f t="shared" si="0"/>
        <v>0.44823098618336304</v>
      </c>
      <c r="D13" s="17">
        <f t="shared" si="0"/>
        <v>0.44555816245350788</v>
      </c>
      <c r="E13" s="17">
        <f t="shared" si="0"/>
        <v>0.43556389473892809</v>
      </c>
      <c r="F13" s="17">
        <f t="shared" si="0"/>
        <v>0.43253118213432939</v>
      </c>
    </row>
    <row r="14" spans="1:6" x14ac:dyDescent="0.2">
      <c r="A14" s="14" t="s">
        <v>30</v>
      </c>
      <c r="B14" s="17">
        <f t="shared" si="0"/>
        <v>0.38899933499336103</v>
      </c>
      <c r="C14" s="17">
        <f t="shared" si="0"/>
        <v>0.38598448458329832</v>
      </c>
      <c r="D14" s="17">
        <f t="shared" si="0"/>
        <v>0.3881677624460349</v>
      </c>
      <c r="E14" s="17">
        <f t="shared" si="0"/>
        <v>0.38338014365574508</v>
      </c>
      <c r="F14" s="17">
        <f t="shared" si="0"/>
        <v>0.38661702664855585</v>
      </c>
    </row>
    <row r="15" spans="1:6" x14ac:dyDescent="0.2">
      <c r="A15" s="14" t="s">
        <v>27</v>
      </c>
      <c r="B15" s="17">
        <f t="shared" si="0"/>
        <v>0.16585449858086376</v>
      </c>
      <c r="C15" s="17">
        <f t="shared" si="0"/>
        <v>0.16578452923333867</v>
      </c>
      <c r="D15" s="17">
        <f t="shared" si="0"/>
        <v>0.16627407510045725</v>
      </c>
      <c r="E15" s="17">
        <f t="shared" si="0"/>
        <v>0.18105596160532683</v>
      </c>
      <c r="F15" s="17">
        <f t="shared" si="0"/>
        <v>0.18085179121711478</v>
      </c>
    </row>
    <row r="16" spans="1:6" x14ac:dyDescent="0.2">
      <c r="A16" s="19" t="s">
        <v>85</v>
      </c>
      <c r="B16" s="18">
        <f>SUM(B13:B15)</f>
        <v>1</v>
      </c>
      <c r="C16" s="18">
        <f>SUM(C13:C15)</f>
        <v>1</v>
      </c>
      <c r="D16" s="18">
        <f>SUM(D13:D15)</f>
        <v>1</v>
      </c>
      <c r="E16" s="18">
        <f>SUM(E13:E15)</f>
        <v>1</v>
      </c>
      <c r="F16" s="18">
        <f>SUM(F13:F15)</f>
        <v>1</v>
      </c>
    </row>
    <row r="18" spans="1:6" x14ac:dyDescent="0.2">
      <c r="A18" s="12" t="s">
        <v>84</v>
      </c>
    </row>
    <row r="19" spans="1:6" x14ac:dyDescent="0.2">
      <c r="A19" s="15" t="s">
        <v>81</v>
      </c>
      <c r="B19" s="15" t="s">
        <v>80</v>
      </c>
      <c r="C19" s="15" t="s">
        <v>76</v>
      </c>
      <c r="D19" s="15" t="s">
        <v>83</v>
      </c>
      <c r="E19" s="15"/>
      <c r="F19" s="15"/>
    </row>
    <row r="20" spans="1:6" x14ac:dyDescent="0.2">
      <c r="A20" s="14" t="s">
        <v>33</v>
      </c>
      <c r="B20" s="17">
        <f>B13</f>
        <v>0.4451461664257752</v>
      </c>
      <c r="C20" s="17">
        <f>F13</f>
        <v>0.43253118213432939</v>
      </c>
      <c r="D20" s="16">
        <f>(C20-B20)*100</f>
        <v>-1.2614984291445808</v>
      </c>
    </row>
    <row r="21" spans="1:6" x14ac:dyDescent="0.2">
      <c r="A21" s="14" t="s">
        <v>30</v>
      </c>
      <c r="B21" s="17">
        <f>B14</f>
        <v>0.38899933499336103</v>
      </c>
      <c r="C21" s="17">
        <f>F14</f>
        <v>0.38661702664855585</v>
      </c>
      <c r="D21" s="16">
        <f>(C21-B21)*100</f>
        <v>-0.23823083448051841</v>
      </c>
    </row>
    <row r="22" spans="1:6" x14ac:dyDescent="0.2">
      <c r="A22" s="14" t="s">
        <v>27</v>
      </c>
      <c r="B22" s="17">
        <f>B15</f>
        <v>0.16585449858086376</v>
      </c>
      <c r="C22" s="17">
        <f>F15</f>
        <v>0.18085179121711478</v>
      </c>
      <c r="D22" s="16">
        <f>(C22-B22)*100</f>
        <v>1.4997292636251021</v>
      </c>
    </row>
    <row r="24" spans="1:6" x14ac:dyDescent="0.2">
      <c r="A24" s="12" t="s">
        <v>82</v>
      </c>
    </row>
    <row r="25" spans="1:6" x14ac:dyDescent="0.2">
      <c r="A25" s="15" t="s">
        <v>81</v>
      </c>
      <c r="B25" s="15" t="s">
        <v>80</v>
      </c>
      <c r="C25" s="15" t="s">
        <v>79</v>
      </c>
      <c r="D25" s="15" t="s">
        <v>78</v>
      </c>
      <c r="E25" s="15" t="s">
        <v>77</v>
      </c>
      <c r="F25" s="15" t="s">
        <v>76</v>
      </c>
    </row>
    <row r="26" spans="1:6" ht="42" customHeight="1" x14ac:dyDescent="0.2">
      <c r="A26" s="14" t="s">
        <v>33</v>
      </c>
      <c r="B26" s="13" t="s">
        <v>75</v>
      </c>
      <c r="C26" s="13" t="s">
        <v>74</v>
      </c>
      <c r="D26" s="13" t="s">
        <v>73</v>
      </c>
      <c r="E26" s="13" t="s">
        <v>72</v>
      </c>
      <c r="F26" s="13" t="s">
        <v>71</v>
      </c>
    </row>
    <row r="27" spans="1:6" ht="42" customHeight="1" x14ac:dyDescent="0.2">
      <c r="A27" s="14" t="s">
        <v>30</v>
      </c>
      <c r="B27" s="13" t="s">
        <v>70</v>
      </c>
      <c r="C27" s="13" t="s">
        <v>69</v>
      </c>
      <c r="D27" s="13" t="s">
        <v>68</v>
      </c>
      <c r="E27" s="13" t="s">
        <v>67</v>
      </c>
      <c r="F27" s="13" t="s">
        <v>66</v>
      </c>
    </row>
    <row r="28" spans="1:6" ht="42" customHeight="1" x14ac:dyDescent="0.2">
      <c r="A28" s="14" t="s">
        <v>27</v>
      </c>
      <c r="B28" s="13" t="s">
        <v>65</v>
      </c>
      <c r="C28" s="13" t="s">
        <v>64</v>
      </c>
      <c r="D28" s="13" t="s">
        <v>63</v>
      </c>
      <c r="E28" s="13" t="s">
        <v>62</v>
      </c>
      <c r="F28" s="13" t="s">
        <v>61</v>
      </c>
    </row>
    <row r="30" spans="1:6" x14ac:dyDescent="0.2">
      <c r="A30" s="12" t="s">
        <v>60</v>
      </c>
    </row>
    <row r="31" spans="1:6" ht="43.5" customHeight="1" x14ac:dyDescent="0.2">
      <c r="A31" s="11" t="s">
        <v>59</v>
      </c>
      <c r="B31" s="36" t="s">
        <v>58</v>
      </c>
      <c r="C31" s="36"/>
      <c r="D31" s="36"/>
      <c r="E31" s="36"/>
      <c r="F31" s="36"/>
    </row>
    <row r="32" spans="1:6" ht="43.5" customHeight="1" x14ac:dyDescent="0.2">
      <c r="A32" s="11" t="s">
        <v>57</v>
      </c>
      <c r="B32" s="36" t="s">
        <v>56</v>
      </c>
      <c r="C32" s="36"/>
      <c r="D32" s="36"/>
      <c r="E32" s="36"/>
      <c r="F32" s="36"/>
    </row>
    <row r="33" spans="1:6" ht="43.5" customHeight="1" x14ac:dyDescent="0.2">
      <c r="A33" s="11" t="s">
        <v>55</v>
      </c>
      <c r="B33" s="36" t="s">
        <v>54</v>
      </c>
      <c r="C33" s="36"/>
      <c r="D33" s="36"/>
      <c r="E33" s="36"/>
      <c r="F33" s="36"/>
    </row>
    <row r="34" spans="1:6" ht="43.5" customHeight="1" x14ac:dyDescent="0.2">
      <c r="A34" s="11" t="s">
        <v>53</v>
      </c>
      <c r="B34" s="36" t="s">
        <v>52</v>
      </c>
      <c r="C34" s="36"/>
      <c r="D34" s="36"/>
      <c r="E34" s="36"/>
      <c r="F34" s="36"/>
    </row>
    <row r="35" spans="1:6" ht="43.5" customHeight="1" x14ac:dyDescent="0.2">
      <c r="A35" s="11" t="s">
        <v>51</v>
      </c>
      <c r="B35" s="36" t="s">
        <v>50</v>
      </c>
      <c r="C35" s="36"/>
      <c r="D35" s="36"/>
      <c r="E35" s="36"/>
      <c r="F35" s="36"/>
    </row>
    <row r="36" spans="1:6" ht="43.5" customHeight="1" x14ac:dyDescent="0.2">
      <c r="A36" s="11" t="s">
        <v>49</v>
      </c>
      <c r="B36" s="36" t="s">
        <v>48</v>
      </c>
      <c r="C36" s="36"/>
      <c r="D36" s="36"/>
      <c r="E36" s="36"/>
      <c r="F36" s="36"/>
    </row>
    <row r="38" spans="1:6" x14ac:dyDescent="0.2">
      <c r="A38" s="10" t="s">
        <v>47</v>
      </c>
    </row>
  </sheetData>
  <mergeCells count="6">
    <mergeCell ref="B36:F36"/>
    <mergeCell ref="B31:F31"/>
    <mergeCell ref="B32:F32"/>
    <mergeCell ref="B33:F33"/>
    <mergeCell ref="B34:F34"/>
    <mergeCell ref="B35:F3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83F6-7338-42EA-9236-5F79DF295E03}">
  <dimension ref="A1:C5"/>
  <sheetViews>
    <sheetView zoomScaleNormal="100" workbookViewId="0"/>
  </sheetViews>
  <sheetFormatPr defaultColWidth="8.609375" defaultRowHeight="15" x14ac:dyDescent="0.2"/>
  <cols>
    <col min="1" max="1" width="22.05859375" style="5" customWidth="1"/>
    <col min="2" max="2" width="18.0234375" style="5" customWidth="1"/>
    <col min="3" max="3" width="22.05859375" style="5" customWidth="1"/>
    <col min="4" max="16384" width="8.609375" style="5"/>
  </cols>
  <sheetData>
    <row r="1" spans="1:3" x14ac:dyDescent="0.2">
      <c r="A1" s="12" t="s">
        <v>134</v>
      </c>
      <c r="B1" s="12" t="s">
        <v>133</v>
      </c>
      <c r="C1" s="12" t="s">
        <v>132</v>
      </c>
    </row>
    <row r="2" spans="1:3" x14ac:dyDescent="0.2">
      <c r="A2" s="6" t="s">
        <v>131</v>
      </c>
      <c r="B2" s="7">
        <f>[1]Oferta_vs_Demanda!B15</f>
        <v>2.3111143007191518E-3</v>
      </c>
      <c r="C2" s="7">
        <f>[1]Oferta_vs_Demanda!B16</f>
        <v>1.4999999999999999E-2</v>
      </c>
    </row>
    <row r="3" spans="1:3" x14ac:dyDescent="0.2">
      <c r="A3" s="6" t="s">
        <v>130</v>
      </c>
      <c r="B3" s="7">
        <f>[1]Oferta_vs_Demanda!C15</f>
        <v>2.8564433200032643E-2</v>
      </c>
      <c r="C3" s="7">
        <f>[1]Oferta_vs_Demanda!C16</f>
        <v>2.1000000000000001E-2</v>
      </c>
    </row>
    <row r="4" spans="1:3" x14ac:dyDescent="0.2">
      <c r="A4" s="6" t="s">
        <v>129</v>
      </c>
      <c r="B4" s="7">
        <f>[1]Oferta_vs_Demanda!D15</f>
        <v>3.4850379342618309E-2</v>
      </c>
      <c r="C4" s="7">
        <f>[1]Oferta_vs_Demanda!D16</f>
        <v>2.7E-2</v>
      </c>
    </row>
    <row r="5" spans="1:3" x14ac:dyDescent="0.2">
      <c r="A5" s="6" t="s">
        <v>128</v>
      </c>
      <c r="B5" s="7">
        <f>[1]Oferta_vs_Demanda!E15</f>
        <v>6.6870267727387037E-2</v>
      </c>
      <c r="C5" s="7">
        <f>[1]Oferta_vs_Demanda!E16</f>
        <v>6.4295504999999809E-2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1726-422D-482F-A7FB-96C1EE4E031C}">
  <dimension ref="A1:D16"/>
  <sheetViews>
    <sheetView workbookViewId="0">
      <selection activeCell="F19" sqref="F19"/>
    </sheetView>
  </sheetViews>
  <sheetFormatPr defaultColWidth="8.609375" defaultRowHeight="15" x14ac:dyDescent="0.2"/>
  <cols>
    <col min="1" max="1" width="18.83203125" customWidth="1"/>
    <col min="2" max="2" width="14.390625" customWidth="1"/>
    <col min="3" max="3" width="13.85546875" customWidth="1"/>
    <col min="4" max="4" width="25.69140625" customWidth="1"/>
  </cols>
  <sheetData>
    <row r="1" spans="1:4" x14ac:dyDescent="0.2">
      <c r="A1" s="24" t="s">
        <v>45</v>
      </c>
      <c r="B1" s="24" t="s">
        <v>135</v>
      </c>
      <c r="C1" s="24" t="s">
        <v>142</v>
      </c>
      <c r="D1" s="24" t="s">
        <v>141</v>
      </c>
    </row>
    <row r="2" spans="1:4" x14ac:dyDescent="0.2">
      <c r="A2" s="25" t="s">
        <v>30</v>
      </c>
      <c r="B2" s="25" t="s">
        <v>136</v>
      </c>
      <c r="C2" s="26">
        <v>0.16200000000000001</v>
      </c>
      <c r="D2" s="27">
        <v>8.6999999999999993</v>
      </c>
    </row>
    <row r="3" spans="1:4" x14ac:dyDescent="0.2">
      <c r="A3" s="25" t="s">
        <v>30</v>
      </c>
      <c r="B3" s="25" t="s">
        <v>137</v>
      </c>
      <c r="C3" s="26">
        <v>7.6999999999999999E-2</v>
      </c>
      <c r="D3" s="27">
        <v>8.6999999999999993</v>
      </c>
    </row>
    <row r="4" spans="1:4" x14ac:dyDescent="0.2">
      <c r="A4" s="25" t="s">
        <v>30</v>
      </c>
      <c r="B4" s="25" t="s">
        <v>138</v>
      </c>
      <c r="C4" s="26">
        <v>3.1E-2</v>
      </c>
      <c r="D4" s="27">
        <v>8.6999999999999993</v>
      </c>
    </row>
    <row r="5" spans="1:4" x14ac:dyDescent="0.2">
      <c r="A5" s="25" t="s">
        <v>30</v>
      </c>
      <c r="B5" s="25" t="s">
        <v>139</v>
      </c>
      <c r="C5" s="26">
        <v>6.9000000000000006E-2</v>
      </c>
      <c r="D5" s="27">
        <v>8.6999999999999993</v>
      </c>
    </row>
    <row r="6" spans="1:4" x14ac:dyDescent="0.2">
      <c r="A6" s="25" t="s">
        <v>30</v>
      </c>
      <c r="B6" s="25" t="s">
        <v>140</v>
      </c>
      <c r="C6" s="26">
        <v>0.66200000000000003</v>
      </c>
      <c r="D6" s="27">
        <v>8.6999999999999993</v>
      </c>
    </row>
    <row r="7" spans="1:4" x14ac:dyDescent="0.2">
      <c r="A7" s="25" t="s">
        <v>33</v>
      </c>
      <c r="B7" s="25" t="s">
        <v>136</v>
      </c>
      <c r="C7" s="26">
        <v>0.151</v>
      </c>
      <c r="D7" s="27">
        <v>7.1</v>
      </c>
    </row>
    <row r="8" spans="1:4" x14ac:dyDescent="0.2">
      <c r="A8" s="25" t="s">
        <v>33</v>
      </c>
      <c r="B8" s="25" t="s">
        <v>137</v>
      </c>
      <c r="C8" s="26">
        <v>0.11</v>
      </c>
      <c r="D8" s="27">
        <v>7.1</v>
      </c>
    </row>
    <row r="9" spans="1:4" x14ac:dyDescent="0.2">
      <c r="A9" s="25" t="s">
        <v>33</v>
      </c>
      <c r="B9" s="25" t="s">
        <v>138</v>
      </c>
      <c r="C9" s="26">
        <v>9.1999999999999998E-2</v>
      </c>
      <c r="D9" s="27">
        <v>7.1</v>
      </c>
    </row>
    <row r="10" spans="1:4" x14ac:dyDescent="0.2">
      <c r="A10" s="25" t="s">
        <v>33</v>
      </c>
      <c r="B10" s="25" t="s">
        <v>139</v>
      </c>
      <c r="C10" s="26">
        <v>7.5999999999999998E-2</v>
      </c>
      <c r="D10" s="27">
        <v>7.1</v>
      </c>
    </row>
    <row r="11" spans="1:4" x14ac:dyDescent="0.2">
      <c r="A11" s="25" t="s">
        <v>33</v>
      </c>
      <c r="B11" s="25" t="s">
        <v>140</v>
      </c>
      <c r="C11" s="26">
        <v>0.56999999999999995</v>
      </c>
      <c r="D11" s="27">
        <v>7.1</v>
      </c>
    </row>
    <row r="12" spans="1:4" x14ac:dyDescent="0.2">
      <c r="A12" s="25" t="s">
        <v>27</v>
      </c>
      <c r="B12" s="25" t="s">
        <v>136</v>
      </c>
      <c r="C12" s="26">
        <v>0.28999999999999998</v>
      </c>
      <c r="D12" s="27">
        <v>5</v>
      </c>
    </row>
    <row r="13" spans="1:4" x14ac:dyDescent="0.2">
      <c r="A13" s="25" t="s">
        <v>27</v>
      </c>
      <c r="B13" s="25" t="s">
        <v>137</v>
      </c>
      <c r="C13" s="26">
        <v>0.10100000000000001</v>
      </c>
      <c r="D13" s="27">
        <v>5</v>
      </c>
    </row>
    <row r="14" spans="1:4" x14ac:dyDescent="0.2">
      <c r="A14" s="25" t="s">
        <v>27</v>
      </c>
      <c r="B14" s="25" t="s">
        <v>138</v>
      </c>
      <c r="C14" s="26">
        <v>6.9000000000000006E-2</v>
      </c>
      <c r="D14" s="27">
        <v>5</v>
      </c>
    </row>
    <row r="15" spans="1:4" x14ac:dyDescent="0.2">
      <c r="A15" s="25" t="s">
        <v>27</v>
      </c>
      <c r="B15" s="25" t="s">
        <v>139</v>
      </c>
      <c r="C15" s="26">
        <v>7.4999999999999997E-2</v>
      </c>
      <c r="D15" s="27">
        <v>5</v>
      </c>
    </row>
    <row r="16" spans="1:4" x14ac:dyDescent="0.2">
      <c r="A16" s="25" t="s">
        <v>27</v>
      </c>
      <c r="B16" s="25" t="s">
        <v>140</v>
      </c>
      <c r="C16" s="26">
        <v>0.46500000000000002</v>
      </c>
      <c r="D16" s="27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369E-C1F0-4186-B753-28105B6C4138}">
  <dimension ref="A1:F30"/>
  <sheetViews>
    <sheetView showGridLines="0" zoomScaleNormal="100" workbookViewId="0"/>
  </sheetViews>
  <sheetFormatPr defaultColWidth="8.609375" defaultRowHeight="15" x14ac:dyDescent="0.2"/>
  <cols>
    <col min="1" max="1" width="18.0234375" style="5" customWidth="1"/>
    <col min="2" max="6" width="23.9453125" style="5" customWidth="1"/>
    <col min="7" max="16384" width="8.609375" style="5"/>
  </cols>
  <sheetData>
    <row r="1" spans="1:6" ht="17.25" x14ac:dyDescent="0.2">
      <c r="A1" s="22" t="s">
        <v>127</v>
      </c>
    </row>
    <row r="2" spans="1:6" x14ac:dyDescent="0.2">
      <c r="A2" s="10" t="s">
        <v>126</v>
      </c>
    </row>
    <row r="4" spans="1:6" x14ac:dyDescent="0.2">
      <c r="A4" s="12" t="s">
        <v>125</v>
      </c>
    </row>
    <row r="5" spans="1:6" x14ac:dyDescent="0.2">
      <c r="A5" s="15" t="s">
        <v>81</v>
      </c>
      <c r="B5" s="15" t="s">
        <v>80</v>
      </c>
      <c r="C5" s="15" t="s">
        <v>79</v>
      </c>
      <c r="D5" s="15" t="s">
        <v>78</v>
      </c>
      <c r="E5" s="15" t="s">
        <v>77</v>
      </c>
      <c r="F5" s="15" t="s">
        <v>76</v>
      </c>
    </row>
    <row r="6" spans="1:6" x14ac:dyDescent="0.2">
      <c r="A6" s="14" t="s">
        <v>33</v>
      </c>
      <c r="B6" s="23">
        <v>0.93400000000000005</v>
      </c>
      <c r="C6" s="23">
        <v>0.94499999999999995</v>
      </c>
      <c r="D6" s="23">
        <v>0.95499999999999996</v>
      </c>
      <c r="E6" s="23">
        <v>0.95699999999999996</v>
      </c>
      <c r="F6" s="23">
        <v>0.95599999999999996</v>
      </c>
    </row>
    <row r="7" spans="1:6" x14ac:dyDescent="0.2">
      <c r="A7" s="14" t="s">
        <v>30</v>
      </c>
      <c r="B7" s="23">
        <v>0.97699999999999998</v>
      </c>
      <c r="C7" s="23">
        <v>0.98399999999999999</v>
      </c>
      <c r="D7" s="23">
        <v>0.98</v>
      </c>
      <c r="E7" s="23">
        <v>0.98499999999999999</v>
      </c>
      <c r="F7" s="23">
        <v>0.97</v>
      </c>
    </row>
    <row r="8" spans="1:6" x14ac:dyDescent="0.2">
      <c r="A8" s="14" t="s">
        <v>27</v>
      </c>
      <c r="B8" s="23">
        <v>0.94299999999999995</v>
      </c>
      <c r="C8" s="23">
        <v>0.95799999999999996</v>
      </c>
      <c r="D8" s="23">
        <v>0.96099999999999997</v>
      </c>
      <c r="E8" s="23">
        <v>0.96399999999999997</v>
      </c>
      <c r="F8" s="23">
        <v>0.96099999999999997</v>
      </c>
    </row>
    <row r="9" spans="1:6" x14ac:dyDescent="0.2">
      <c r="A9" s="19" t="s">
        <v>91</v>
      </c>
      <c r="B9" s="18">
        <f>AVERAGE(B6:B8)</f>
        <v>0.95133333333333336</v>
      </c>
      <c r="C9" s="18">
        <f>AVERAGE(C6:C8)</f>
        <v>0.96233333333333315</v>
      </c>
      <c r="D9" s="18">
        <f>AVERAGE(D6:D8)</f>
        <v>0.96533333333333327</v>
      </c>
      <c r="E9" s="18">
        <f>AVERAGE(E6:E8)</f>
        <v>0.96866666666666656</v>
      </c>
      <c r="F9" s="18">
        <f>AVERAGE(F6:F8)</f>
        <v>0.96233333333333337</v>
      </c>
    </row>
    <row r="11" spans="1:6" x14ac:dyDescent="0.2">
      <c r="A11" s="12" t="s">
        <v>124</v>
      </c>
    </row>
    <row r="12" spans="1:6" x14ac:dyDescent="0.2">
      <c r="A12" s="15" t="s">
        <v>81</v>
      </c>
      <c r="B12" s="15" t="s">
        <v>123</v>
      </c>
      <c r="C12" s="15" t="s">
        <v>122</v>
      </c>
      <c r="D12" s="15"/>
      <c r="E12" s="15"/>
      <c r="F12" s="15"/>
    </row>
    <row r="13" spans="1:6" x14ac:dyDescent="0.2">
      <c r="A13" s="14" t="s">
        <v>33</v>
      </c>
      <c r="B13" s="16">
        <f>(F6-B6)*100</f>
        <v>2.1999999999999909</v>
      </c>
      <c r="C13" s="16">
        <f>(F6-E6)*100</f>
        <v>-0.10000000000000009</v>
      </c>
    </row>
    <row r="14" spans="1:6" x14ac:dyDescent="0.2">
      <c r="A14" s="14" t="s">
        <v>30</v>
      </c>
      <c r="B14" s="16">
        <f>(F7-B7)*100</f>
        <v>-0.70000000000000062</v>
      </c>
      <c r="C14" s="16">
        <f>(F7-E7)*100</f>
        <v>-1.5000000000000013</v>
      </c>
    </row>
    <row r="15" spans="1:6" x14ac:dyDescent="0.2">
      <c r="A15" s="14" t="s">
        <v>27</v>
      </c>
      <c r="B15" s="16">
        <f>(F8-B8)*100</f>
        <v>1.8000000000000016</v>
      </c>
      <c r="C15" s="16">
        <f>(F8-E8)*100</f>
        <v>-0.30000000000000027</v>
      </c>
    </row>
    <row r="17" spans="1:6" x14ac:dyDescent="0.2">
      <c r="A17" s="12" t="s">
        <v>82</v>
      </c>
    </row>
    <row r="18" spans="1:6" x14ac:dyDescent="0.2">
      <c r="A18" s="15" t="s">
        <v>81</v>
      </c>
      <c r="B18" s="15" t="s">
        <v>80</v>
      </c>
      <c r="C18" s="15" t="s">
        <v>79</v>
      </c>
      <c r="D18" s="15" t="s">
        <v>78</v>
      </c>
      <c r="E18" s="15" t="s">
        <v>77</v>
      </c>
      <c r="F18" s="15" t="s">
        <v>76</v>
      </c>
    </row>
    <row r="19" spans="1:6" ht="43.5" customHeight="1" x14ac:dyDescent="0.2">
      <c r="A19" s="14" t="s">
        <v>33</v>
      </c>
      <c r="B19" s="13" t="s">
        <v>121</v>
      </c>
      <c r="C19" s="13" t="s">
        <v>120</v>
      </c>
      <c r="D19" s="13" t="s">
        <v>119</v>
      </c>
      <c r="E19" s="13" t="s">
        <v>118</v>
      </c>
      <c r="F19" s="13" t="s">
        <v>117</v>
      </c>
    </row>
    <row r="20" spans="1:6" ht="43.5" customHeight="1" x14ac:dyDescent="0.2">
      <c r="A20" s="14" t="s">
        <v>30</v>
      </c>
      <c r="B20" s="13" t="s">
        <v>116</v>
      </c>
      <c r="C20" s="13" t="s">
        <v>115</v>
      </c>
      <c r="D20" s="13" t="s">
        <v>114</v>
      </c>
      <c r="E20" s="13" t="s">
        <v>113</v>
      </c>
      <c r="F20" s="13" t="s">
        <v>112</v>
      </c>
    </row>
    <row r="21" spans="1:6" ht="43.5" customHeight="1" x14ac:dyDescent="0.2">
      <c r="A21" s="14" t="s">
        <v>27</v>
      </c>
      <c r="B21" s="13" t="s">
        <v>111</v>
      </c>
      <c r="C21" s="13" t="s">
        <v>110</v>
      </c>
      <c r="D21" s="13" t="s">
        <v>109</v>
      </c>
      <c r="E21" s="13" t="s">
        <v>108</v>
      </c>
      <c r="F21" s="13" t="s">
        <v>107</v>
      </c>
    </row>
    <row r="23" spans="1:6" x14ac:dyDescent="0.2">
      <c r="A23" s="12" t="s">
        <v>60</v>
      </c>
    </row>
    <row r="24" spans="1:6" ht="51.75" customHeight="1" x14ac:dyDescent="0.2">
      <c r="A24" s="11" t="s">
        <v>106</v>
      </c>
      <c r="B24" s="36" t="s">
        <v>105</v>
      </c>
      <c r="C24" s="36"/>
      <c r="D24" s="36"/>
      <c r="E24" s="36"/>
      <c r="F24" s="36"/>
    </row>
    <row r="25" spans="1:6" ht="51.75" customHeight="1" x14ac:dyDescent="0.2">
      <c r="A25" s="11" t="s">
        <v>104</v>
      </c>
      <c r="B25" s="36" t="s">
        <v>103</v>
      </c>
      <c r="C25" s="36"/>
      <c r="D25" s="36"/>
      <c r="E25" s="36"/>
      <c r="F25" s="36"/>
    </row>
    <row r="26" spans="1:6" ht="51.75" customHeight="1" x14ac:dyDescent="0.2">
      <c r="A26" s="11" t="s">
        <v>102</v>
      </c>
      <c r="B26" s="36" t="s">
        <v>101</v>
      </c>
      <c r="C26" s="36"/>
      <c r="D26" s="36"/>
      <c r="E26" s="36"/>
      <c r="F26" s="36"/>
    </row>
    <row r="27" spans="1:6" ht="51.75" customHeight="1" x14ac:dyDescent="0.2">
      <c r="A27" s="11" t="s">
        <v>100</v>
      </c>
      <c r="B27" s="36" t="s">
        <v>99</v>
      </c>
      <c r="C27" s="36"/>
      <c r="D27" s="36"/>
      <c r="E27" s="36"/>
      <c r="F27" s="36"/>
    </row>
    <row r="28" spans="1:6" ht="51.75" customHeight="1" x14ac:dyDescent="0.2">
      <c r="A28" s="11" t="s">
        <v>98</v>
      </c>
      <c r="B28" s="36" t="s">
        <v>97</v>
      </c>
      <c r="C28" s="36"/>
      <c r="D28" s="36"/>
      <c r="E28" s="36"/>
      <c r="F28" s="36"/>
    </row>
    <row r="30" spans="1:6" x14ac:dyDescent="0.2">
      <c r="A30" s="10" t="s">
        <v>96</v>
      </c>
    </row>
  </sheetData>
  <mergeCells count="5">
    <mergeCell ref="B24:F24"/>
    <mergeCell ref="B25:F25"/>
    <mergeCell ref="B26:F26"/>
    <mergeCell ref="B27:F27"/>
    <mergeCell ref="B28:F2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PORTER</vt:lpstr>
      <vt:lpstr>EF. OPERATIVA (CLPM2)</vt:lpstr>
      <vt:lpstr>PIPELINE</vt:lpstr>
      <vt:lpstr>MS_estatico_2Q26</vt:lpstr>
      <vt:lpstr>MS_evolutivo_Chile</vt:lpstr>
      <vt:lpstr>OFERTA VS DEMANDA ESPERADA</vt:lpstr>
      <vt:lpstr>Duración contratos</vt:lpstr>
      <vt:lpstr>Ocupacion_consolidada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Farias Duran</dc:creator>
  <cp:lastModifiedBy>Cristian Farias Duran</cp:lastModifiedBy>
  <dcterms:created xsi:type="dcterms:W3CDTF">2026-10-03T15:41:26Z</dcterms:created>
  <dcterms:modified xsi:type="dcterms:W3CDTF">2026-10-11T15:48:18Z</dcterms:modified>
</cp:coreProperties>
</file>