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Tornado Chart" sheetId="3" state="visible" r:id="rId3"/>
    <sheet xmlns:r="http://schemas.openxmlformats.org/officeDocument/2006/relationships" name="Variables Excluidas" sheetId="4" state="visible" r:id="rId4"/>
  </sheets>
  <definedNames>
    <definedName name="_xlnm._FilterDatabase" localSheetId="1" hidden="1">'Supuestos'!$B$6:$I$12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sz val="12"/>
    </font>
    <font>
      <name val="Calibri"/>
      <b val="1"/>
      <color rgb="000000FF"/>
      <u val="single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</font>
    <font>
      <name val="Calibri"/>
      <color rgb="000000FF"/>
      <sz val="10"/>
    </font>
    <font>
      <name val="Calibri"/>
      <sz val="9"/>
    </font>
    <font>
      <name val="Calibri"/>
      <color rgb="0000800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left" vertical="top" wrapText="1" indent="1"/>
    </xf>
    <xf numFmtId="164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 indent="1"/>
    </xf>
    <xf numFmtId="0" fontId="6" fillId="0" borderId="0" applyAlignment="1" pivotButton="0" quotePrefix="0" xfId="0">
      <alignment horizontal="left" vertical="top" wrapText="1" indent="1"/>
    </xf>
    <xf numFmtId="0" fontId="12" fillId="0" borderId="1" pivotButton="0" quotePrefix="0" xfId="0"/>
    <xf numFmtId="164" fontId="12" fillId="0" borderId="1" pivotButton="0" quotePrefix="0" xfId="0"/>
    <xf numFmtId="164" fontId="13" fillId="0" borderId="1" pivotButton="0" quotePrefix="0" xfId="0"/>
    <xf numFmtId="0" fontId="9" fillId="4" borderId="1" pivotButton="0" quotePrefix="0" xfId="0"/>
    <xf numFmtId="0" fontId="0" fillId="4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de Sensibilidad Operacional (Rango Histórico Min–Máx)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'Tornado Chart'!C16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'Tornado Chart'!$B$17:$B$22</f>
            </numRef>
          </cat>
          <val>
            <numRef>
              <f>'Tornado Chart'!$C$17:$C$22</f>
            </numRef>
          </val>
        </ser>
        <ser>
          <idx val="1"/>
          <order val="1"/>
          <tx>
            <strRef>
              <f>'Tornado Chart'!D16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'Tornado Chart'!$B$17:$B$22</f>
            </numRef>
          </cat>
          <val>
            <numRef>
              <f>'Tornado Chart'!$D$17:$D$22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Rango observado (% del indicador)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18" customWidth="1" min="4" max="4"/>
    <col width="18" customWidth="1" min="5" max="5"/>
    <col width="55" customWidth="1" min="6" max="6"/>
    <col width="20" customWidth="1" min="7" max="7"/>
  </cols>
  <sheetData>
    <row r="2" ht="30" customHeight="1">
      <c r="B2" s="1" t="inlineStr">
        <is>
          <t>Mallplaza — Tornado de Sensibilidad Operacional 2026–2028</t>
        </is>
      </c>
    </row>
    <row r="3">
      <c r="B3" s="2" t="inlineStr">
        <is>
          <t>CFA Research Challenge | Supuestos operacionales declarados con fuente, fecha y tipo de dato</t>
        </is>
      </c>
    </row>
    <row r="5">
      <c r="B5" s="3" t="inlineStr">
        <is>
          <t>Contenido del archivo</t>
        </is>
      </c>
    </row>
    <row r="6" ht="30" customHeight="1">
      <c r="B6" s="4" t="inlineStr">
        <is>
          <t>Supuestos</t>
        </is>
      </c>
      <c r="C6" s="5" t="inlineStr">
        <is>
          <t>Variables incluidas en el tornado: valor base, rango min/max, fuente, fecha, tipo de dato</t>
        </is>
      </c>
    </row>
    <row r="8" ht="30" customHeight="1">
      <c r="B8" s="4" t="inlineStr">
        <is>
          <t>Tornado Chart</t>
        </is>
      </c>
      <c r="C8" s="5" t="inlineStr">
        <is>
          <t>Cálculo del rango normalizado y gráfico tornado ordenado por magnitud</t>
        </is>
      </c>
    </row>
    <row r="10" ht="30" customHeight="1">
      <c r="B10" s="4" t="inlineStr">
        <is>
          <t>Variables Excluidas</t>
        </is>
      </c>
      <c r="C10" s="5" t="inlineStr">
        <is>
          <t>Variables dejadas de lado (WACC y otras) con motivo de exclusión</t>
        </is>
      </c>
    </row>
    <row r="13">
      <c r="B13" s="3" t="inlineStr">
        <is>
          <t>Nota metodológica</t>
        </is>
      </c>
    </row>
    <row r="14" ht="90" customHeight="1">
      <c r="B14" s="6" t="inlineStr">
        <is>
          <t>El tornado mide, para cada variable operacional, el rango observado históricamente (mínimo–máximo) en reportes públicos de Mallplaza (CMF / Interactive Analyst Center), sin proyectar escenarios ni asumir elasticidades no divulgadas. Las barras se ordenan por amplitud relativa del rango respecto al valor base (mayor amplitud = mayor sensibilidad potencial). WACC y otras variables sin evidencia pública suficiente para un rango confiable fueron excluidas — ver hoja 'Variables Excluidas'.</t>
        </is>
      </c>
    </row>
    <row r="15"/>
    <row r="16"/>
    <row r="17"/>
    <row r="19">
      <c r="B19" s="7" t="inlineStr">
        <is>
          <t>Generado: 2026-09-28  |  Fecha de corte de datos: 2Q26 (30-jun-2026), salvo indicación contraria</t>
        </is>
      </c>
    </row>
  </sheetData>
  <mergeCells count="5">
    <mergeCell ref="B3:G3"/>
    <mergeCell ref="C6:G6"/>
    <mergeCell ref="C10:G10"/>
    <mergeCell ref="B14:G17"/>
    <mergeCell ref="C8:G8"/>
  </mergeCells>
  <hyperlinks>
    <hyperlink ref="B6" location="'Supuestos'!A1"/>
    <hyperlink ref="B8" location="'Tornado Chart'!A1"/>
    <hyperlink ref="B10" location="'Variables Excluida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50" customWidth="1" min="9" max="9"/>
  </cols>
  <sheetData>
    <row r="2" ht="28" customHeight="1">
      <c r="B2" s="1" t="inlineStr">
        <is>
          <t>Supuestos Operacionales — Tornado de Sensibilidad 2026–2028</t>
        </is>
      </c>
    </row>
    <row r="3">
      <c r="B3" s="2" t="inlineStr">
        <is>
          <t>Variables incluidas en el tornado (rango público suficiente). Texto azul = valor hardcoded con fuente exacta.</t>
        </is>
      </c>
    </row>
    <row r="5" ht="22" customHeight="1">
      <c r="B5" s="8" t="inlineStr">
        <is>
          <t>VARIABLES INCLUIDAS EN EL TORNADO</t>
        </is>
      </c>
    </row>
    <row r="6" ht="30" customHeight="1">
      <c r="B6" s="9" t="inlineStr">
        <is>
          <t>Variable</t>
        </is>
      </c>
      <c r="C6" s="9" t="inlineStr">
        <is>
          <t>Definición / unidad</t>
        </is>
      </c>
      <c r="D6" s="9" t="inlineStr">
        <is>
          <t>Base</t>
        </is>
      </c>
      <c r="E6" s="9" t="inlineStr">
        <is>
          <t>Mínimo</t>
        </is>
      </c>
      <c r="F6" s="9" t="inlineStr">
        <is>
          <t>Máximo</t>
        </is>
      </c>
      <c r="G6" s="9" t="inlineStr">
        <is>
          <t>Fecha dato</t>
        </is>
      </c>
      <c r="H6" s="9" t="inlineStr">
        <is>
          <t>Tipo</t>
        </is>
      </c>
      <c r="I6" s="9" t="inlineStr">
        <is>
          <t>Fuente exacta</t>
        </is>
      </c>
    </row>
    <row r="7" ht="46" customHeight="1">
      <c r="B7" s="10" t="inlineStr">
        <is>
          <t>Ocupación</t>
        </is>
      </c>
      <c r="C7" s="11" t="inlineStr">
        <is>
          <t>% GLA arrendado sobre GLA arrendable, consolidado</t>
        </is>
      </c>
      <c r="D7" s="12" t="n">
        <v>0.956</v>
      </c>
      <c r="E7" s="12" t="n">
        <v>0.951</v>
      </c>
      <c r="F7" s="12" t="n">
        <v>0.966</v>
      </c>
      <c r="G7" s="13" t="inlineStr">
        <is>
          <t>2024–2026</t>
        </is>
      </c>
      <c r="H7" s="13" t="inlineStr">
        <is>
          <t>Histórico</t>
        </is>
      </c>
      <c r="I7" s="14" t="inlineStr">
        <is>
          <t>Earnings Release 1Q24 (95,1%); comunicado 4Q24 (96,6%); presentación 2Q26 (95,6%) — corporativo.mallplaza.com</t>
        </is>
      </c>
    </row>
    <row r="8" ht="46" customHeight="1">
      <c r="B8" s="10" t="inlineStr">
        <is>
          <t>Same-store rent growth (SSR)</t>
        </is>
      </c>
      <c r="C8" s="11" t="inlineStr">
        <is>
          <t>% crecimiento anual renta, perímetro comparable</t>
        </is>
      </c>
      <c r="D8" s="12" t="n">
        <v>0.054</v>
      </c>
      <c r="E8" s="12" t="n">
        <v>0.037</v>
      </c>
      <c r="F8" s="12" t="n">
        <v>0.094</v>
      </c>
      <c r="G8" s="13" t="inlineStr">
        <is>
          <t>2024–2026</t>
        </is>
      </c>
      <c r="H8" s="13" t="inlineStr">
        <is>
          <t>Histórico</t>
        </is>
      </c>
      <c r="I8" s="14" t="inlineStr">
        <is>
          <t>Presentaciones 1Q24 (3,7%), 4Q24 (9,4%), 2Q26 (5,4%) — corporativo.mallplaza.com</t>
        </is>
      </c>
    </row>
    <row r="9" ht="46" customHeight="1">
      <c r="B9" s="10" t="inlineStr">
        <is>
          <t>Same-store sales growth (SSS)</t>
        </is>
      </c>
      <c r="C9" s="11" t="inlineStr">
        <is>
          <t>% crecimiento anual ventas locatarios, perímetro comparable</t>
        </is>
      </c>
      <c r="D9" s="12" t="n">
        <v>0.037</v>
      </c>
      <c r="E9" s="12" t="n">
        <v>0.037</v>
      </c>
      <c r="F9" s="12" t="n">
        <v>0.099</v>
      </c>
      <c r="G9" s="13" t="inlineStr">
        <is>
          <t>2025–2026</t>
        </is>
      </c>
      <c r="H9" s="13" t="inlineStr">
        <is>
          <t>Histórico</t>
        </is>
      </c>
      <c r="I9" s="14" t="inlineStr">
        <is>
          <t>Earnings Release 1Q25 (9,9% consolidado; 10,3% Chile); presentación 2Q26 (3,7%) — corporativo.mallplaza.com</t>
        </is>
      </c>
    </row>
    <row r="10" ht="46" customHeight="1">
      <c r="B10" s="10" t="inlineStr">
        <is>
          <t>Occupancy cost</t>
        </is>
      </c>
      <c r="C10" s="11" t="inlineStr">
        <is>
          <t>% ventas locatarios destinado a renta + gastos comunes, consolidado</t>
        </is>
      </c>
      <c r="D10" s="12" t="n">
        <v>0.096</v>
      </c>
      <c r="E10" s="12" t="n">
        <v>0.08400000000000001</v>
      </c>
      <c r="F10" s="12" t="n">
        <v>0.115</v>
      </c>
      <c r="G10" s="13" t="inlineStr">
        <is>
          <t>2023–2026</t>
        </is>
      </c>
      <c r="H10" s="13" t="inlineStr">
        <is>
          <t>Histórico</t>
        </is>
      </c>
      <c r="I10" s="14" t="inlineStr">
        <is>
          <t>Presentaciones 3Q23 (11,5%), 2Q24 (8,4%), 2Q26 (9,6%) — corporativo.mallplaza.com</t>
        </is>
      </c>
    </row>
    <row r="11" ht="46" customHeight="1">
      <c r="B11" s="10" t="inlineStr">
        <is>
          <t>Margen EBITDA</t>
        </is>
      </c>
      <c r="C11" s="11" t="inlineStr">
        <is>
          <t>% EBITDA sobre ingresos consolidados</t>
        </is>
      </c>
      <c r="D11" s="12" t="n">
        <v>0.806</v>
      </c>
      <c r="E11" s="12" t="n">
        <v>0.758</v>
      </c>
      <c r="F11" s="12" t="n">
        <v>0.8129999999999999</v>
      </c>
      <c r="G11" s="13" t="inlineStr">
        <is>
          <t>2023–2025</t>
        </is>
      </c>
      <c r="H11" s="13" t="inlineStr">
        <is>
          <t>Histórico</t>
        </is>
      </c>
      <c r="I11" s="14" t="inlineStr">
        <is>
          <t>Earnings Releases 4Q23 (75,8%), 4Q24 (77,1%), 3Q25 (81,3%), 2Q26 (80,6%) — corporativo.mallplaza.com</t>
        </is>
      </c>
    </row>
    <row r="12" ht="46" customHeight="1">
      <c r="B12" s="10" t="inlineStr">
        <is>
          <t>Visitas — crecimiento orgánico</t>
        </is>
      </c>
      <c r="C12" s="11" t="inlineStr">
        <is>
          <t>% variación anual flujo de visitantes en activos sin M&amp;A reciente</t>
        </is>
      </c>
      <c r="D12" s="12" t="n">
        <v>0.098</v>
      </c>
      <c r="E12" s="12" t="n">
        <v>0.056</v>
      </c>
      <c r="F12" s="12" t="n">
        <v>0.173</v>
      </c>
      <c r="G12" s="13" t="inlineStr">
        <is>
          <t>2024–2025</t>
        </is>
      </c>
      <c r="H12" s="13" t="inlineStr">
        <is>
          <t>Histórico</t>
        </is>
      </c>
      <c r="I12" s="14" t="inlineStr">
        <is>
          <t>Comunicado 3Q24 (+5,6% consolidado); Mallplaza Vespucio +17,3% y Mallplaza Trujillo +10,2% (activos específicos, 1Q25/3Q25) — ver exclusión de picos M&amp;A en hoja "Variables Excluidas"</t>
        </is>
      </c>
    </row>
    <row r="14" ht="60" customHeight="1">
      <c r="B14" s="15" t="inlineStr">
        <is>
          <t>⚠ Nota: el flujo total de visitas consolidado también creció 26,9% (2Q25) y 29,4% (1Q25) frente al año anterior, pero esos saltos están explicados mayoritariamente por la consolidación de activos peruanos adquiridos a Falabella en 2024 (operación de partes relacionadas), no por crecimiento orgánico. Por eso el rango usado en el tornado excluye esas observaciones y usa crecimientos de activos comparables (3Q24, Vespucio 1Q25, Trujillo 3Q25).</t>
        </is>
      </c>
    </row>
  </sheetData>
  <autoFilter ref="B6:I12"/>
  <mergeCells count="3">
    <mergeCell ref="B3:I3"/>
    <mergeCell ref="B5:I5"/>
    <mergeCell ref="B14:I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28" customHeight="1">
      <c r="B2" s="1" t="inlineStr">
        <is>
          <t>Tornado de Sensibilidad Operacional — Mallplaza 2026–2028</t>
        </is>
      </c>
    </row>
    <row r="3">
      <c r="B3" s="2" t="inlineStr">
        <is>
          <t>Rango histórico (mín–máx) por variable respecto al valor base, ordenado por amplitud relativa. Fuente: hoja "Supuestos".</t>
        </is>
      </c>
    </row>
    <row r="5" ht="22" customHeight="1">
      <c r="B5" s="8" t="inlineStr">
        <is>
          <t>CÁLCULO DEL RANGO (referencia directa a hoja Supuestos)</t>
        </is>
      </c>
    </row>
    <row r="6" ht="30" customHeight="1">
      <c r="B6" s="9" t="inlineStr">
        <is>
          <t>Variable</t>
        </is>
      </c>
      <c r="C6" s="9" t="inlineStr">
        <is>
          <t>Base</t>
        </is>
      </c>
      <c r="D6" s="9" t="inlineStr">
        <is>
          <t>Mínimo</t>
        </is>
      </c>
      <c r="E6" s="9" t="inlineStr">
        <is>
          <t>Máximo</t>
        </is>
      </c>
      <c r="F6" s="9" t="inlineStr">
        <is>
          <t>Δ Bajo (Min-Base)</t>
        </is>
      </c>
      <c r="G6" s="9" t="inlineStr">
        <is>
          <t>Δ Alto (Max-Base)</t>
        </is>
      </c>
      <c r="H6" s="9" t="inlineStr">
        <is>
          <t>Amplitud total</t>
        </is>
      </c>
    </row>
    <row r="7" ht="20" customHeight="1">
      <c r="B7" s="16">
        <f>Supuestos!B7</f>
        <v/>
      </c>
      <c r="C7" s="17">
        <f>Supuestos!D7</f>
        <v/>
      </c>
      <c r="D7" s="17">
        <f>Supuestos!E7</f>
        <v/>
      </c>
      <c r="E7" s="17">
        <f>Supuestos!F7</f>
        <v/>
      </c>
      <c r="F7" s="18">
        <f>D7-C7</f>
        <v/>
      </c>
      <c r="G7" s="18">
        <f>E7-C7</f>
        <v/>
      </c>
      <c r="H7" s="18">
        <f>E7-D7</f>
        <v/>
      </c>
    </row>
    <row r="8" ht="20" customHeight="1">
      <c r="B8" s="16">
        <f>Supuestos!B8</f>
        <v/>
      </c>
      <c r="C8" s="17">
        <f>Supuestos!D8</f>
        <v/>
      </c>
      <c r="D8" s="17">
        <f>Supuestos!E8</f>
        <v/>
      </c>
      <c r="E8" s="17">
        <f>Supuestos!F8</f>
        <v/>
      </c>
      <c r="F8" s="18">
        <f>D8-C8</f>
        <v/>
      </c>
      <c r="G8" s="18">
        <f>E8-C8</f>
        <v/>
      </c>
      <c r="H8" s="18">
        <f>E8-D8</f>
        <v/>
      </c>
    </row>
    <row r="9" ht="20" customHeight="1">
      <c r="B9" s="16">
        <f>Supuestos!B9</f>
        <v/>
      </c>
      <c r="C9" s="17">
        <f>Supuestos!D9</f>
        <v/>
      </c>
      <c r="D9" s="17">
        <f>Supuestos!E9</f>
        <v/>
      </c>
      <c r="E9" s="17">
        <f>Supuestos!F9</f>
        <v/>
      </c>
      <c r="F9" s="18">
        <f>D9-C9</f>
        <v/>
      </c>
      <c r="G9" s="18">
        <f>E9-C9</f>
        <v/>
      </c>
      <c r="H9" s="18">
        <f>E9-D9</f>
        <v/>
      </c>
    </row>
    <row r="10" ht="20" customHeight="1">
      <c r="B10" s="16">
        <f>Supuestos!B10</f>
        <v/>
      </c>
      <c r="C10" s="17">
        <f>Supuestos!D10</f>
        <v/>
      </c>
      <c r="D10" s="17">
        <f>Supuestos!E10</f>
        <v/>
      </c>
      <c r="E10" s="17">
        <f>Supuestos!F10</f>
        <v/>
      </c>
      <c r="F10" s="18">
        <f>D10-C10</f>
        <v/>
      </c>
      <c r="G10" s="18">
        <f>E10-C10</f>
        <v/>
      </c>
      <c r="H10" s="18">
        <f>E10-D10</f>
        <v/>
      </c>
    </row>
    <row r="11" ht="20" customHeight="1">
      <c r="B11" s="16">
        <f>Supuestos!B11</f>
        <v/>
      </c>
      <c r="C11" s="17">
        <f>Supuestos!D11</f>
        <v/>
      </c>
      <c r="D11" s="17">
        <f>Supuestos!E11</f>
        <v/>
      </c>
      <c r="E11" s="17">
        <f>Supuestos!F11</f>
        <v/>
      </c>
      <c r="F11" s="18">
        <f>D11-C11</f>
        <v/>
      </c>
      <c r="G11" s="18">
        <f>E11-C11</f>
        <v/>
      </c>
      <c r="H11" s="18">
        <f>E11-D11</f>
        <v/>
      </c>
    </row>
    <row r="12" ht="20" customHeight="1">
      <c r="B12" s="16">
        <f>Supuestos!B12</f>
        <v/>
      </c>
      <c r="C12" s="17">
        <f>Supuestos!D12</f>
        <v/>
      </c>
      <c r="D12" s="17">
        <f>Supuestos!E12</f>
        <v/>
      </c>
      <c r="E12" s="17">
        <f>Supuestos!F12</f>
        <v/>
      </c>
      <c r="F12" s="18">
        <f>D12-C12</f>
        <v/>
      </c>
      <c r="G12" s="18">
        <f>E12-C12</f>
        <v/>
      </c>
      <c r="H12" s="18">
        <f>E12-D12</f>
        <v/>
      </c>
    </row>
    <row r="15" ht="22" customHeight="1">
      <c r="B15" s="8" t="inlineStr">
        <is>
          <t>DATOS PARA GRÁFICO (ordenado por amplitud, barra apilada Min→Max)</t>
        </is>
      </c>
    </row>
    <row r="16" ht="30" customHeight="1">
      <c r="B16" s="9" t="inlineStr">
        <is>
          <t>Variable</t>
        </is>
      </c>
      <c r="C16" s="9" t="inlineStr">
        <is>
          <t>Mínimo (barra base invisible)</t>
        </is>
      </c>
      <c r="D16" s="9" t="inlineStr">
        <is>
          <t>Amplitud (Max-Min)</t>
        </is>
      </c>
      <c r="E16" s="9" t="inlineStr">
        <is>
          <t>Base</t>
        </is>
      </c>
      <c r="F16" s="9" t="inlineStr">
        <is>
          <t>Máximo</t>
        </is>
      </c>
    </row>
    <row r="17" ht="20" customHeight="1">
      <c r="B17" s="16">
        <f>B12</f>
        <v/>
      </c>
      <c r="C17" s="17">
        <f>D12</f>
        <v/>
      </c>
      <c r="D17" s="18">
        <f>E12-D12</f>
        <v/>
      </c>
      <c r="E17" s="17">
        <f>C12</f>
        <v/>
      </c>
      <c r="F17" s="17">
        <f>E12</f>
        <v/>
      </c>
    </row>
    <row r="18" ht="20" customHeight="1">
      <c r="B18" s="16">
        <f>B9</f>
        <v/>
      </c>
      <c r="C18" s="17">
        <f>D9</f>
        <v/>
      </c>
      <c r="D18" s="18">
        <f>E9-D9</f>
        <v/>
      </c>
      <c r="E18" s="17">
        <f>C9</f>
        <v/>
      </c>
      <c r="F18" s="17">
        <f>E9</f>
        <v/>
      </c>
    </row>
    <row r="19" ht="20" customHeight="1">
      <c r="B19" s="16">
        <f>B8</f>
        <v/>
      </c>
      <c r="C19" s="17">
        <f>D8</f>
        <v/>
      </c>
      <c r="D19" s="18">
        <f>E8-D8</f>
        <v/>
      </c>
      <c r="E19" s="17">
        <f>C8</f>
        <v/>
      </c>
      <c r="F19" s="17">
        <f>E8</f>
        <v/>
      </c>
    </row>
    <row r="20" ht="20" customHeight="1">
      <c r="B20" s="16">
        <f>B11</f>
        <v/>
      </c>
      <c r="C20" s="17">
        <f>D11</f>
        <v/>
      </c>
      <c r="D20" s="18">
        <f>E11-D11</f>
        <v/>
      </c>
      <c r="E20" s="17">
        <f>C11</f>
        <v/>
      </c>
      <c r="F20" s="17">
        <f>E11</f>
        <v/>
      </c>
    </row>
    <row r="21" ht="20" customHeight="1">
      <c r="B21" s="16">
        <f>B10</f>
        <v/>
      </c>
      <c r="C21" s="17">
        <f>D10</f>
        <v/>
      </c>
      <c r="D21" s="18">
        <f>E10-D10</f>
        <v/>
      </c>
      <c r="E21" s="17">
        <f>C10</f>
        <v/>
      </c>
      <c r="F21" s="17">
        <f>E10</f>
        <v/>
      </c>
    </row>
    <row r="22" ht="20" customHeight="1">
      <c r="B22" s="16">
        <f>B7</f>
        <v/>
      </c>
      <c r="C22" s="17">
        <f>D7</f>
        <v/>
      </c>
      <c r="D22" s="18">
        <f>E7-D7</f>
        <v/>
      </c>
      <c r="E22" s="17">
        <f>C7</f>
        <v/>
      </c>
      <c r="F22" s="17">
        <f>E7</f>
        <v/>
      </c>
    </row>
    <row r="48" ht="55" customHeight="1">
      <c r="B48" s="15" t="inlineStr">
        <is>
          <t>Lectura: cada barra muestra el rango histórico observado (mínimo a máximo) de la variable en reportes trimestrales 2023–2026 de Mallplaza. No representa un escenario de estrés proyectado ni una sensibilidad de EBITDA en pesos — para traducir estos rangos a impacto en EBITDA/FCF se requiere una elasticidad explícita que Mallplaza no divulga (ver hoja 'Variables Excluidas').</t>
        </is>
      </c>
    </row>
  </sheetData>
  <mergeCells count="4">
    <mergeCell ref="B3:I3"/>
    <mergeCell ref="B5:H5"/>
    <mergeCell ref="B15:H15"/>
    <mergeCell ref="B48:H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42" customWidth="1" min="3" max="3"/>
    <col width="50" customWidth="1" min="4" max="4"/>
  </cols>
  <sheetData>
    <row r="2" ht="28" customHeight="1">
      <c r="B2" s="1" t="inlineStr">
        <is>
          <t>Variables Dejadas de Lado (sin evidencia pública suficiente)</t>
        </is>
      </c>
    </row>
    <row r="3">
      <c r="B3" s="2" t="inlineStr">
        <is>
          <t>Se excluyen del tornado por falta de rango confiable, no por juicio de irrelevancia.</t>
        </is>
      </c>
    </row>
    <row r="5" ht="22" customHeight="1">
      <c r="B5" s="8" t="inlineStr">
        <is>
          <t>VARIABLES EXCLUIDAS Y MOTIVO</t>
        </is>
      </c>
    </row>
    <row r="6" ht="30" customHeight="1">
      <c r="B6" s="9" t="inlineStr">
        <is>
          <t>Variable</t>
        </is>
      </c>
      <c r="C6" s="9" t="inlineStr">
        <is>
          <t>Motivo de exclusión</t>
        </is>
      </c>
      <c r="D6" s="9" t="inlineStr">
        <is>
          <t>Qué se necesitaría para incluirla</t>
        </is>
      </c>
    </row>
    <row r="7" ht="75" customHeight="1">
      <c r="B7" s="19" t="inlineStr">
        <is>
          <t>WACC</t>
        </is>
      </c>
      <c r="C7" s="20" t="inlineStr">
        <is>
          <t>No es un supuesto operacional (es tasa de descuento). Mallplaza solo divulga rangos de WACC real después de impuestos por país para valorizar propiedades de inversión (Chile 5,47%–5,63%; Perú 5,75%–5,90%; Colombia 7,20%–7,35%), sin ponderación consolidada ni WACC nominal de equity — EEFF 2Q26, Nota 10, p. 44.</t>
        </is>
      </c>
      <c r="D7" s="20" t="inlineStr">
        <is>
          <t>Definir el WACC nominal consolidado del modelo propio del equipo (no es un dato que la compañía vaya a entregar) y usarlo como tasa de descuento separada, no como barra del tornado operacional.</t>
        </is>
      </c>
    </row>
    <row r="8" ht="75" customHeight="1">
      <c r="B8" s="19" t="inlineStr">
        <is>
          <t>CAPEX (mantenimiento vs. crecimiento)</t>
        </is>
      </c>
      <c r="C8" s="20" t="inlineStr">
        <is>
          <t>Solo existe un punto de dato semestral (MMCLP 68.507 en 1H26, Nota 10 EEFF 2Q26, p. 42) sin serie histórica comparable ni apertura entre mantenimiento, expansión y adquisiciones.</t>
        </is>
      </c>
      <c r="D8" s="20" t="inlineStr">
        <is>
          <t>Preguntar a management el desembolso anual 2026–2028 separado por naturaleza (mantenimiento vs. crecimiento) y por país.</t>
        </is>
      </c>
    </row>
    <row r="9" ht="75" customHeight="1">
      <c r="B9" s="19" t="inlineStr">
        <is>
          <t>ROIC por proyecto / retorno sobre nuevas inversiones</t>
        </is>
      </c>
      <c r="C9" s="20" t="inlineStr">
        <is>
          <t>Mallplaza no publica NOI estabilizado ni capital invertido por proyecto o activo individual.</t>
        </is>
      </c>
      <c r="D9" s="20" t="inlineStr">
        <is>
          <t>Construir cohortes propias por proyecto (CAPEX, fecha de apertura, GLA incorporado, ocupación y renta al año 1, 2 y 3) a partir de earnings releases, o solicitarlo directamente a management.</t>
        </is>
      </c>
    </row>
    <row r="10" ht="75" customHeight="1">
      <c r="B10" s="19" t="inlineStr">
        <is>
          <t>Same-store NOI</t>
        </is>
      </c>
      <c r="C10" s="20" t="inlineStr">
        <is>
          <t>La compañía reporta same-store sales (SSS) y same-store rent (SSR) pero no combina esos ingresos con costos del mismo perímetro para obtener NOI comparable.</t>
        </is>
      </c>
      <c r="D10" s="20" t="inlineStr">
        <is>
          <t>Solicitar a management la apertura de costos operacionales por perímetro comparable, o aproximar con margen EBITDA consolidado como proxy (con caveat explícito de que no es igual a NOI same-store).</t>
        </is>
      </c>
    </row>
    <row r="11" ht="75" customHeight="1">
      <c r="B11" s="19" t="inlineStr">
        <is>
          <t>GLA — crecimiento total (orgánico + M&amp;A)</t>
        </is>
      </c>
      <c r="C11" s="20" t="inlineStr">
        <is>
          <t>El crecimiento de GLA reportado (4,2% en 2Q24 hasta 37,6% en 1Q25) mezcla expansión orgánica con la consolidación de activos peruanos adquiridos a Falabella en 2024, lo que distorsiona cualquier rango "orgánico" de crecimiento de superficie.</t>
        </is>
      </c>
      <c r="D11" s="20" t="inlineStr">
        <is>
          <t>Pedir a Mallplaza el desglose de GLA incorporado por apertura/expansión versus GLA incorporado por M&amp;A, año a año.</t>
        </is>
      </c>
    </row>
    <row r="12" ht="75" customHeight="1">
      <c r="B12" s="19" t="inlineStr">
        <is>
          <t>Occupancy cost / contratos por país o categoría</t>
        </is>
      </c>
      <c r="C12" s="20" t="inlineStr">
        <is>
          <t>Solo hay observaciones puntuales del dato consolidado; no se encontró serie histórica homogénea por país, categoría de locatario o tipo de contrato (fijo/variable/escalador).</t>
        </is>
      </c>
      <c r="D12" s="20" t="inlineStr">
        <is>
          <t>Solicitar a management la serie trimestral de occupancy cost por país y la apertura de renta fija vs. variable por categoría de tienda.</t>
        </is>
      </c>
    </row>
  </sheetData>
  <mergeCells count="2">
    <mergeCell ref="B3:D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2026-09-28T21:11:08Z</dcterms:created>
  <dcterms:modified xmlns:dcterms="http://purl.org/dc/terms/" xmlns:xsi="http://www.w3.org/2001/XMLSchema-instance" xsi:type="dcterms:W3CDTF">2026-09-28T21:12:36Z</dcterms:modified>
</cp:coreProperties>
</file>