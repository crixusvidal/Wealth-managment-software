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p\Downloads\"/>
    </mc:Choice>
  </mc:AlternateContent>
  <xr:revisionPtr revIDLastSave="0" documentId="13_ncr:1_{B28477BF-B8AF-4CEF-8516-EFA5638DAC95}" xr6:coauthVersionLast="47" xr6:coauthVersionMax="47" xr10:uidLastSave="{00000000-0000-0000-0000-000000000000}"/>
  <bookViews>
    <workbookView xWindow="-120" yWindow="-120" windowWidth="38640" windowHeight="21120" tabRatio="500" activeTab="4" xr2:uid="{00000000-000D-0000-FFFF-FFFF00000000}"/>
  </bookViews>
  <sheets>
    <sheet name="README" sheetId="1" r:id="rId1"/>
    <sheet name="Inputs" sheetId="2" r:id="rId2"/>
    <sheet name="Forecast" sheetId="3" r:id="rId3"/>
    <sheet name="Forecast_link" sheetId="4" r:id="rId4"/>
    <sheet name="FCFF_DCF" sheetId="5" r:id="rId5"/>
    <sheet name="DCF_Valuation" sheetId="6" r:id="rId6"/>
    <sheet name="Peers_inputs" sheetId="7" r:id="rId7"/>
    <sheet name="E1_DuPont" sheetId="8" r:id="rId8"/>
    <sheet name="E2_FFO_bridge" sheetId="9" r:id="rId9"/>
    <sheet name="E3_Growth" sheetId="10" r:id="rId10"/>
    <sheet name="E4_Cash" sheetId="11" r:id="rId11"/>
    <sheet name="E5_Leverage" sheetId="12" r:id="rId12"/>
    <sheet name="E6_Debt" sheetId="13" r:id="rId13"/>
    <sheet name="E7_WACC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5" l="1"/>
  <c r="B55" i="14"/>
  <c r="C48" i="14"/>
  <c r="C47" i="14"/>
  <c r="C46" i="14"/>
  <c r="C45" i="14"/>
  <c r="D39" i="14"/>
  <c r="C39" i="14"/>
  <c r="B39" i="14"/>
  <c r="D33" i="14"/>
  <c r="C33" i="14"/>
  <c r="B33" i="14"/>
  <c r="G26" i="14"/>
  <c r="D32" i="14" s="1"/>
  <c r="F26" i="14"/>
  <c r="D53" i="14" s="1"/>
  <c r="E26" i="14"/>
  <c r="D52" i="14" s="1"/>
  <c r="D26" i="14"/>
  <c r="D29" i="14" s="1"/>
  <c r="C26" i="14"/>
  <c r="B26" i="14"/>
  <c r="G25" i="14"/>
  <c r="C32" i="14" s="1"/>
  <c r="F25" i="14"/>
  <c r="C53" i="14" s="1"/>
  <c r="E25" i="14"/>
  <c r="C52" i="14" s="1"/>
  <c r="D25" i="14"/>
  <c r="C29" i="14" s="1"/>
  <c r="C25" i="14"/>
  <c r="B25" i="14"/>
  <c r="G24" i="14"/>
  <c r="B32" i="14" s="1"/>
  <c r="B34" i="14" s="1"/>
  <c r="F24" i="14"/>
  <c r="B53" i="14" s="1"/>
  <c r="E24" i="14"/>
  <c r="B52" i="14" s="1"/>
  <c r="D24" i="14"/>
  <c r="B29" i="14" s="1"/>
  <c r="C24" i="14"/>
  <c r="K7" i="14" s="1"/>
  <c r="B24" i="14"/>
  <c r="K6" i="14" s="1"/>
  <c r="G23" i="14"/>
  <c r="F23" i="14"/>
  <c r="E23" i="14"/>
  <c r="D23" i="14"/>
  <c r="C23" i="14"/>
  <c r="B23" i="14"/>
  <c r="G22" i="14"/>
  <c r="F22" i="14"/>
  <c r="E22" i="14"/>
  <c r="D22" i="14"/>
  <c r="C22" i="14"/>
  <c r="B22" i="14"/>
  <c r="G21" i="14"/>
  <c r="F21" i="14"/>
  <c r="E21" i="14"/>
  <c r="D21" i="14"/>
  <c r="C21" i="14"/>
  <c r="B21" i="14"/>
  <c r="G20" i="14"/>
  <c r="F20" i="14"/>
  <c r="E20" i="14"/>
  <c r="D20" i="14"/>
  <c r="C20" i="14"/>
  <c r="B20" i="14"/>
  <c r="L10" i="14"/>
  <c r="L9" i="14"/>
  <c r="K9" i="14"/>
  <c r="L8" i="14"/>
  <c r="K8" i="14"/>
  <c r="L7" i="14"/>
  <c r="L6" i="14"/>
  <c r="C24" i="13"/>
  <c r="C20" i="13"/>
  <c r="C19" i="13"/>
  <c r="C21" i="13" s="1"/>
  <c r="C22" i="13" s="1"/>
  <c r="H16" i="13"/>
  <c r="H15" i="13"/>
  <c r="H14" i="13"/>
  <c r="H13" i="13"/>
  <c r="H12" i="13"/>
  <c r="H11" i="13"/>
  <c r="H10" i="13"/>
  <c r="H9" i="13"/>
  <c r="H8" i="13"/>
  <c r="H7" i="13"/>
  <c r="H6" i="13"/>
  <c r="H5" i="13"/>
  <c r="C24" i="12"/>
  <c r="B24" i="12"/>
  <c r="C22" i="12"/>
  <c r="D9" i="12"/>
  <c r="C9" i="12"/>
  <c r="B9" i="12"/>
  <c r="D8" i="12"/>
  <c r="C8" i="12"/>
  <c r="B23" i="12" s="1"/>
  <c r="B8" i="12"/>
  <c r="D6" i="12"/>
  <c r="C6" i="12"/>
  <c r="B13" i="12" s="1"/>
  <c r="B6" i="12"/>
  <c r="D5" i="12"/>
  <c r="D7" i="12" s="1"/>
  <c r="C5" i="12"/>
  <c r="C7" i="12" s="1"/>
  <c r="B5" i="12"/>
  <c r="B7" i="12" s="1"/>
  <c r="B12" i="12" s="1"/>
  <c r="D10" i="11"/>
  <c r="C10" i="11"/>
  <c r="B10" i="11"/>
  <c r="D8" i="11"/>
  <c r="C8" i="11"/>
  <c r="B8" i="11"/>
  <c r="D7" i="11"/>
  <c r="D12" i="11" s="1"/>
  <c r="C7" i="11"/>
  <c r="C9" i="11" s="1"/>
  <c r="C11" i="11" s="1"/>
  <c r="B7" i="11"/>
  <c r="B12" i="11" s="1"/>
  <c r="D6" i="11"/>
  <c r="D13" i="11" s="1"/>
  <c r="C6" i="11"/>
  <c r="B6" i="11"/>
  <c r="B13" i="11" s="1"/>
  <c r="D5" i="11"/>
  <c r="C5" i="11"/>
  <c r="C13" i="11" s="1"/>
  <c r="B5" i="11"/>
  <c r="E31" i="10"/>
  <c r="C31" i="10"/>
  <c r="E30" i="10"/>
  <c r="C30" i="10"/>
  <c r="E29" i="10"/>
  <c r="C29" i="10"/>
  <c r="B29" i="10"/>
  <c r="D29" i="10" s="1"/>
  <c r="F29" i="10" s="1"/>
  <c r="E28" i="10"/>
  <c r="C28" i="10"/>
  <c r="E21" i="10"/>
  <c r="E10" i="10"/>
  <c r="E17" i="10" s="1"/>
  <c r="D10" i="10"/>
  <c r="C10" i="10"/>
  <c r="C17" i="10" s="1"/>
  <c r="B10" i="10"/>
  <c r="E9" i="10"/>
  <c r="E22" i="10" s="1"/>
  <c r="D9" i="10"/>
  <c r="D21" i="10" s="1"/>
  <c r="C9" i="10"/>
  <c r="C22" i="10" s="1"/>
  <c r="B9" i="10"/>
  <c r="B21" i="10" s="1"/>
  <c r="E8" i="10"/>
  <c r="E20" i="10" s="1"/>
  <c r="B28" i="10" s="1"/>
  <c r="D8" i="10"/>
  <c r="C8" i="10"/>
  <c r="C14" i="10" s="1"/>
  <c r="B8" i="10"/>
  <c r="E7" i="10"/>
  <c r="E19" i="10" s="1"/>
  <c r="B31" i="10" s="1"/>
  <c r="D7" i="10"/>
  <c r="C7" i="10"/>
  <c r="C19" i="10" s="1"/>
  <c r="B30" i="10" s="1"/>
  <c r="D30" i="10" s="1"/>
  <c r="F30" i="10" s="1"/>
  <c r="B7" i="10"/>
  <c r="E6" i="10"/>
  <c r="E15" i="10" s="1"/>
  <c r="D6" i="10"/>
  <c r="C6" i="10"/>
  <c r="C15" i="10" s="1"/>
  <c r="B6" i="10"/>
  <c r="E5" i="10"/>
  <c r="E23" i="10" s="1"/>
  <c r="D5" i="10"/>
  <c r="C5" i="10"/>
  <c r="C23" i="10" s="1"/>
  <c r="B5" i="10"/>
  <c r="B14" i="9"/>
  <c r="B10" i="9"/>
  <c r="D10" i="9" s="1"/>
  <c r="D9" i="9"/>
  <c r="B9" i="9"/>
  <c r="B8" i="9"/>
  <c r="D8" i="9" s="1"/>
  <c r="D7" i="9"/>
  <c r="B7" i="9"/>
  <c r="B6" i="9"/>
  <c r="D6" i="9" s="1"/>
  <c r="D5" i="9"/>
  <c r="B5" i="9"/>
  <c r="C6" i="9" s="1"/>
  <c r="C7" i="9" s="1"/>
  <c r="C8" i="9" s="1"/>
  <c r="H51" i="8"/>
  <c r="H48" i="8"/>
  <c r="H47" i="8"/>
  <c r="G47" i="8"/>
  <c r="H44" i="8"/>
  <c r="G44" i="8"/>
  <c r="F24" i="8"/>
  <c r="H21" i="8"/>
  <c r="F20" i="8"/>
  <c r="E19" i="8"/>
  <c r="E18" i="8"/>
  <c r="H17" i="8"/>
  <c r="G17" i="8"/>
  <c r="G21" i="8" s="1"/>
  <c r="F17" i="8"/>
  <c r="F21" i="8" s="1"/>
  <c r="E17" i="8"/>
  <c r="E21" i="8" s="1"/>
  <c r="H16" i="8"/>
  <c r="H20" i="8" s="1"/>
  <c r="G16" i="8"/>
  <c r="G20" i="8" s="1"/>
  <c r="G26" i="8" s="1"/>
  <c r="G50" i="8" s="1"/>
  <c r="F16" i="8"/>
  <c r="E16" i="8"/>
  <c r="E20" i="8" s="1"/>
  <c r="E26" i="8" s="1"/>
  <c r="E50" i="8" s="1"/>
  <c r="H15" i="8"/>
  <c r="H28" i="8" s="1"/>
  <c r="H38" i="8" s="1"/>
  <c r="G15" i="8"/>
  <c r="G28" i="8" s="1"/>
  <c r="G38" i="8" s="1"/>
  <c r="F15" i="8"/>
  <c r="E15" i="8"/>
  <c r="E28" i="8" s="1"/>
  <c r="E38" i="8" s="1"/>
  <c r="H14" i="8"/>
  <c r="H27" i="8" s="1"/>
  <c r="H41" i="8" s="1"/>
  <c r="G14" i="8"/>
  <c r="G27" i="8" s="1"/>
  <c r="G41" i="8" s="1"/>
  <c r="F14" i="8"/>
  <c r="F27" i="8" s="1"/>
  <c r="F41" i="8" s="1"/>
  <c r="E14" i="8"/>
  <c r="E27" i="8" s="1"/>
  <c r="E41" i="8" s="1"/>
  <c r="E10" i="8"/>
  <c r="I9" i="8"/>
  <c r="H9" i="8"/>
  <c r="G9" i="8"/>
  <c r="F9" i="8"/>
  <c r="E9" i="8"/>
  <c r="I8" i="8"/>
  <c r="C8" i="8"/>
  <c r="D7" i="8"/>
  <c r="I6" i="8"/>
  <c r="H6" i="8"/>
  <c r="G6" i="8"/>
  <c r="F6" i="8"/>
  <c r="E6" i="8"/>
  <c r="D6" i="8"/>
  <c r="C6" i="8"/>
  <c r="B6" i="8"/>
  <c r="I5" i="8"/>
  <c r="I10" i="8" s="1"/>
  <c r="H5" i="8"/>
  <c r="H8" i="8" s="1"/>
  <c r="G5" i="8"/>
  <c r="G8" i="8" s="1"/>
  <c r="F5" i="8"/>
  <c r="F8" i="8" s="1"/>
  <c r="E5" i="8"/>
  <c r="E8" i="8" s="1"/>
  <c r="D5" i="8"/>
  <c r="D8" i="8" s="1"/>
  <c r="C5" i="8"/>
  <c r="C7" i="8" s="1"/>
  <c r="B5" i="8"/>
  <c r="B8" i="8" s="1"/>
  <c r="F56" i="7"/>
  <c r="D24" i="12" s="1"/>
  <c r="E56" i="7"/>
  <c r="G52" i="8" s="1"/>
  <c r="D56" i="7"/>
  <c r="F52" i="8" s="1"/>
  <c r="C56" i="7"/>
  <c r="E52" i="8" s="1"/>
  <c r="F54" i="7"/>
  <c r="D22" i="12" s="1"/>
  <c r="E54" i="7"/>
  <c r="D54" i="7"/>
  <c r="C54" i="7"/>
  <c r="F53" i="7"/>
  <c r="H49" i="8" s="1"/>
  <c r="D52" i="7"/>
  <c r="F46" i="8" s="1"/>
  <c r="C52" i="7"/>
  <c r="E46" i="8" s="1"/>
  <c r="F50" i="7"/>
  <c r="H43" i="8" s="1"/>
  <c r="F49" i="7"/>
  <c r="E49" i="7"/>
  <c r="E50" i="7" s="1"/>
  <c r="G43" i="8" s="1"/>
  <c r="D49" i="7"/>
  <c r="D50" i="7" s="1"/>
  <c r="F43" i="8" s="1"/>
  <c r="C49" i="7"/>
  <c r="C50" i="7" s="1"/>
  <c r="E43" i="8" s="1"/>
  <c r="E48" i="7"/>
  <c r="E51" i="7" s="1"/>
  <c r="G40" i="8" s="1"/>
  <c r="D48" i="7"/>
  <c r="C48" i="7"/>
  <c r="C51" i="7" s="1"/>
  <c r="E40" i="8" s="1"/>
  <c r="F47" i="7"/>
  <c r="F52" i="7" s="1"/>
  <c r="H46" i="8" s="1"/>
  <c r="E47" i="7"/>
  <c r="E52" i="7" s="1"/>
  <c r="G46" i="8" s="1"/>
  <c r="D47" i="7"/>
  <c r="C47" i="7"/>
  <c r="F46" i="7"/>
  <c r="F55" i="7" s="1"/>
  <c r="D23" i="12" s="1"/>
  <c r="E46" i="7"/>
  <c r="E53" i="7" s="1"/>
  <c r="G49" i="8" s="1"/>
  <c r="D46" i="7"/>
  <c r="C46" i="7"/>
  <c r="C53" i="7" s="1"/>
  <c r="E49" i="8" s="1"/>
  <c r="F44" i="7"/>
  <c r="E44" i="7"/>
  <c r="G51" i="8" s="1"/>
  <c r="D44" i="7"/>
  <c r="F51" i="8" s="1"/>
  <c r="C44" i="7"/>
  <c r="E51" i="8" s="1"/>
  <c r="F43" i="7"/>
  <c r="C23" i="12" s="1"/>
  <c r="E43" i="7"/>
  <c r="D43" i="7"/>
  <c r="C43" i="7"/>
  <c r="F42" i="7"/>
  <c r="E42" i="7"/>
  <c r="D42" i="7"/>
  <c r="C42" i="7"/>
  <c r="F41" i="7"/>
  <c r="E41" i="7"/>
  <c r="G48" i="8" s="1"/>
  <c r="D41" i="7"/>
  <c r="F48" i="8" s="1"/>
  <c r="C41" i="7"/>
  <c r="E48" i="8" s="1"/>
  <c r="D39" i="7"/>
  <c r="F39" i="8" s="1"/>
  <c r="E38" i="7"/>
  <c r="G42" i="8" s="1"/>
  <c r="D38" i="7"/>
  <c r="F42" i="8" s="1"/>
  <c r="C38" i="7"/>
  <c r="E42" i="8" s="1"/>
  <c r="F37" i="7"/>
  <c r="F38" i="7" s="1"/>
  <c r="H42" i="8" s="1"/>
  <c r="E37" i="7"/>
  <c r="D37" i="7"/>
  <c r="C37" i="7"/>
  <c r="D36" i="7"/>
  <c r="F35" i="7"/>
  <c r="E35" i="7"/>
  <c r="D35" i="7"/>
  <c r="C35" i="7"/>
  <c r="F34" i="7"/>
  <c r="F40" i="7" s="1"/>
  <c r="H45" i="8" s="1"/>
  <c r="E34" i="7"/>
  <c r="E40" i="7" s="1"/>
  <c r="G45" i="8" s="1"/>
  <c r="D34" i="7"/>
  <c r="D40" i="7" s="1"/>
  <c r="F45" i="8" s="1"/>
  <c r="C34" i="7"/>
  <c r="C40" i="7" s="1"/>
  <c r="E45" i="8" s="1"/>
  <c r="F33" i="7"/>
  <c r="E33" i="7"/>
  <c r="D33" i="7"/>
  <c r="C33" i="7"/>
  <c r="J58" i="6"/>
  <c r="J50" i="6"/>
  <c r="J48" i="6"/>
  <c r="J45" i="6"/>
  <c r="O33" i="6"/>
  <c r="N33" i="6"/>
  <c r="M33" i="6"/>
  <c r="L33" i="6"/>
  <c r="K33" i="6"/>
  <c r="J33" i="6"/>
  <c r="O22" i="6"/>
  <c r="N22" i="6"/>
  <c r="M22" i="6"/>
  <c r="L22" i="6"/>
  <c r="K22" i="6"/>
  <c r="J22" i="6"/>
  <c r="G19" i="6"/>
  <c r="F17" i="6"/>
  <c r="G15" i="6"/>
  <c r="G17" i="6" s="1"/>
  <c r="F15" i="6"/>
  <c r="F19" i="6" s="1"/>
  <c r="D15" i="6"/>
  <c r="D17" i="6" s="1"/>
  <c r="H14" i="6"/>
  <c r="G14" i="6"/>
  <c r="G13" i="6"/>
  <c r="H13" i="6" s="1"/>
  <c r="I12" i="6"/>
  <c r="I15" i="6" s="1"/>
  <c r="I16" i="6" s="1"/>
  <c r="E12" i="6"/>
  <c r="E15" i="6" s="1"/>
  <c r="E16" i="6" s="1"/>
  <c r="D12" i="6"/>
  <c r="H11" i="6"/>
  <c r="H18" i="6" s="1"/>
  <c r="G11" i="6"/>
  <c r="D11" i="6"/>
  <c r="F10" i="6"/>
  <c r="F12" i="6" s="1"/>
  <c r="F16" i="6" s="1"/>
  <c r="G9" i="6"/>
  <c r="I8" i="6"/>
  <c r="H8" i="6"/>
  <c r="G8" i="6"/>
  <c r="F8" i="6"/>
  <c r="F9" i="6" s="1"/>
  <c r="E8" i="6"/>
  <c r="E9" i="6" s="1"/>
  <c r="C44" i="5"/>
  <c r="C43" i="5"/>
  <c r="C42" i="5"/>
  <c r="D32" i="5"/>
  <c r="C32" i="5"/>
  <c r="C31" i="5"/>
  <c r="C33" i="5" s="1"/>
  <c r="D30" i="5"/>
  <c r="D31" i="5" s="1"/>
  <c r="D33" i="5" s="1"/>
  <c r="C30" i="5"/>
  <c r="C29" i="5"/>
  <c r="C28" i="5"/>
  <c r="H25" i="5"/>
  <c r="G25" i="5"/>
  <c r="F25" i="5"/>
  <c r="E25" i="5"/>
  <c r="D25" i="5"/>
  <c r="C25" i="5"/>
  <c r="H24" i="5"/>
  <c r="G24" i="5"/>
  <c r="F24" i="5"/>
  <c r="E24" i="5"/>
  <c r="D24" i="5"/>
  <c r="C24" i="5"/>
  <c r="C13" i="5"/>
  <c r="C11" i="5"/>
  <c r="C10" i="5"/>
  <c r="C153" i="3"/>
  <c r="C151" i="3"/>
  <c r="C148" i="3"/>
  <c r="I147" i="3"/>
  <c r="H147" i="3"/>
  <c r="G147" i="3"/>
  <c r="F147" i="3"/>
  <c r="E147" i="3"/>
  <c r="D147" i="3"/>
  <c r="D148" i="3" s="1"/>
  <c r="J13" i="6" s="1"/>
  <c r="C145" i="3"/>
  <c r="I143" i="3"/>
  <c r="H143" i="3"/>
  <c r="G143" i="3"/>
  <c r="F143" i="3"/>
  <c r="E143" i="3"/>
  <c r="D143" i="3"/>
  <c r="D140" i="3"/>
  <c r="H135" i="3"/>
  <c r="G135" i="3"/>
  <c r="B135" i="3"/>
  <c r="I134" i="3"/>
  <c r="H134" i="3"/>
  <c r="G134" i="3"/>
  <c r="F134" i="3"/>
  <c r="E134" i="3"/>
  <c r="D134" i="3"/>
  <c r="I133" i="3"/>
  <c r="H133" i="3"/>
  <c r="G133" i="3"/>
  <c r="F133" i="3"/>
  <c r="E133" i="3"/>
  <c r="D133" i="3"/>
  <c r="I132" i="3"/>
  <c r="H132" i="3"/>
  <c r="G132" i="3"/>
  <c r="F132" i="3"/>
  <c r="E132" i="3"/>
  <c r="D132" i="3"/>
  <c r="I131" i="3"/>
  <c r="H131" i="3"/>
  <c r="G131" i="3"/>
  <c r="F131" i="3"/>
  <c r="E131" i="3"/>
  <c r="D131" i="3"/>
  <c r="I130" i="3"/>
  <c r="H130" i="3"/>
  <c r="G130" i="3"/>
  <c r="F130" i="3"/>
  <c r="E130" i="3"/>
  <c r="D130" i="3"/>
  <c r="I129" i="3"/>
  <c r="H129" i="3"/>
  <c r="G129" i="3"/>
  <c r="F129" i="3"/>
  <c r="E129" i="3"/>
  <c r="D129" i="3"/>
  <c r="I128" i="3"/>
  <c r="H128" i="3"/>
  <c r="G128" i="3"/>
  <c r="F128" i="3"/>
  <c r="E128" i="3"/>
  <c r="D128" i="3"/>
  <c r="I127" i="3"/>
  <c r="H127" i="3"/>
  <c r="G127" i="3"/>
  <c r="F127" i="3"/>
  <c r="E127" i="3"/>
  <c r="D127" i="3"/>
  <c r="I126" i="3"/>
  <c r="H126" i="3"/>
  <c r="G126" i="3"/>
  <c r="F126" i="3"/>
  <c r="E126" i="3"/>
  <c r="D126" i="3"/>
  <c r="I125" i="3"/>
  <c r="H125" i="3"/>
  <c r="H136" i="3" s="1"/>
  <c r="G125" i="3"/>
  <c r="F125" i="3"/>
  <c r="E125" i="3"/>
  <c r="D125" i="3"/>
  <c r="I124" i="3"/>
  <c r="H124" i="3"/>
  <c r="G124" i="3"/>
  <c r="F124" i="3"/>
  <c r="E124" i="3"/>
  <c r="D124" i="3"/>
  <c r="C119" i="3"/>
  <c r="C118" i="3"/>
  <c r="C114" i="3"/>
  <c r="C115" i="3" s="1"/>
  <c r="C104" i="3"/>
  <c r="C95" i="3"/>
  <c r="C105" i="3" s="1"/>
  <c r="C93" i="3"/>
  <c r="C92" i="3"/>
  <c r="C91" i="3"/>
  <c r="I89" i="3"/>
  <c r="H89" i="3"/>
  <c r="G89" i="3"/>
  <c r="F89" i="3"/>
  <c r="E89" i="3"/>
  <c r="I50" i="3"/>
  <c r="H50" i="3"/>
  <c r="G50" i="3"/>
  <c r="F50" i="3"/>
  <c r="E50" i="3"/>
  <c r="I49" i="3"/>
  <c r="H49" i="3"/>
  <c r="G49" i="3"/>
  <c r="F49" i="3"/>
  <c r="E49" i="3"/>
  <c r="E32" i="3"/>
  <c r="D32" i="3"/>
  <c r="E31" i="3"/>
  <c r="D29" i="3" s="1"/>
  <c r="D31" i="3"/>
  <c r="F31" i="3" s="1"/>
  <c r="E28" i="3"/>
  <c r="D28" i="3"/>
  <c r="C28" i="3"/>
  <c r="C32" i="3" s="1"/>
  <c r="E29" i="3" s="1"/>
  <c r="E27" i="3"/>
  <c r="D27" i="3"/>
  <c r="C27" i="3"/>
  <c r="C31" i="3" s="1"/>
  <c r="E26" i="3"/>
  <c r="E30" i="3" s="1"/>
  <c r="D26" i="3"/>
  <c r="D30" i="3" s="1"/>
  <c r="C26" i="3"/>
  <c r="C30" i="3" s="1"/>
  <c r="F25" i="3"/>
  <c r="E24" i="3"/>
  <c r="D24" i="3"/>
  <c r="C24" i="3"/>
  <c r="E23" i="3"/>
  <c r="D23" i="3"/>
  <c r="C23" i="3"/>
  <c r="G17" i="3"/>
  <c r="F17" i="3"/>
  <c r="E17" i="3"/>
  <c r="D17" i="3"/>
  <c r="C16" i="3"/>
  <c r="C15" i="3"/>
  <c r="F14" i="3"/>
  <c r="G14" i="3" s="1"/>
  <c r="E14" i="3"/>
  <c r="F16" i="3" s="1"/>
  <c r="F141" i="3" s="1"/>
  <c r="D14" i="3"/>
  <c r="F24" i="3" s="1"/>
  <c r="C14" i="3"/>
  <c r="F13" i="3"/>
  <c r="G13" i="3" s="1"/>
  <c r="E13" i="3"/>
  <c r="F15" i="3" s="1"/>
  <c r="D13" i="3"/>
  <c r="E15" i="3" s="1"/>
  <c r="C13" i="3"/>
  <c r="G10" i="3"/>
  <c r="H10" i="3" s="1"/>
  <c r="G35" i="3" l="1"/>
  <c r="H13" i="3"/>
  <c r="H15" i="3"/>
  <c r="G15" i="3"/>
  <c r="H137" i="3"/>
  <c r="D40" i="5"/>
  <c r="D36" i="5"/>
  <c r="D37" i="5" s="1"/>
  <c r="D38" i="5" s="1"/>
  <c r="D35" i="5"/>
  <c r="D34" i="5"/>
  <c r="D41" i="5"/>
  <c r="G16" i="3"/>
  <c r="G141" i="3" s="1"/>
  <c r="H14" i="3"/>
  <c r="H16" i="3" s="1"/>
  <c r="H141" i="3" s="1"/>
  <c r="G32" i="3"/>
  <c r="G34" i="3"/>
  <c r="F32" i="3"/>
  <c r="F35" i="3" s="1"/>
  <c r="H17" i="3"/>
  <c r="I10" i="3"/>
  <c r="I17" i="3" s="1"/>
  <c r="C29" i="3"/>
  <c r="G30" i="3"/>
  <c r="C146" i="3"/>
  <c r="D109" i="3"/>
  <c r="E17" i="6"/>
  <c r="H15" i="10"/>
  <c r="E26" i="10"/>
  <c r="H25" i="8"/>
  <c r="H26" i="8"/>
  <c r="H50" i="8" s="1"/>
  <c r="D144" i="3"/>
  <c r="C154" i="3"/>
  <c r="C36" i="5"/>
  <c r="C37" i="5" s="1"/>
  <c r="C38" i="5" s="1"/>
  <c r="C41" i="5"/>
  <c r="C34" i="5"/>
  <c r="C40" i="5"/>
  <c r="D31" i="10"/>
  <c r="F31" i="10" s="1"/>
  <c r="M7" i="10" s="1"/>
  <c r="L7" i="10"/>
  <c r="E27" i="10"/>
  <c r="I15" i="10"/>
  <c r="F30" i="3"/>
  <c r="F33" i="3" s="1"/>
  <c r="E16" i="3"/>
  <c r="E141" i="3" s="1"/>
  <c r="G33" i="3"/>
  <c r="D91" i="3" s="1"/>
  <c r="F136" i="3"/>
  <c r="F137" i="3" s="1"/>
  <c r="D53" i="7"/>
  <c r="F49" i="8" s="1"/>
  <c r="D55" i="7"/>
  <c r="G136" i="3"/>
  <c r="G137" i="3" s="1"/>
  <c r="D150" i="3"/>
  <c r="B9" i="4" s="1"/>
  <c r="G10" i="6"/>
  <c r="D19" i="6"/>
  <c r="D136" i="3"/>
  <c r="D137" i="3" s="1"/>
  <c r="E19" i="6"/>
  <c r="C9" i="9"/>
  <c r="C10" i="9" s="1"/>
  <c r="B15" i="12"/>
  <c r="B22" i="12"/>
  <c r="B16" i="12"/>
  <c r="I17" i="6"/>
  <c r="F23" i="3"/>
  <c r="F34" i="3" s="1"/>
  <c r="D118" i="3"/>
  <c r="D28" i="10"/>
  <c r="F28" i="10" s="1"/>
  <c r="M6" i="10" s="1"/>
  <c r="L6" i="10"/>
  <c r="I135" i="3"/>
  <c r="I136" i="3" s="1"/>
  <c r="I137" i="3" s="1"/>
  <c r="E135" i="3"/>
  <c r="E136" i="3" s="1"/>
  <c r="E137" i="3" s="1"/>
  <c r="C35" i="5"/>
  <c r="D51" i="7"/>
  <c r="F40" i="8" s="1"/>
  <c r="F28" i="8"/>
  <c r="F38" i="8" s="1"/>
  <c r="G31" i="3"/>
  <c r="D135" i="3"/>
  <c r="D16" i="6"/>
  <c r="I19" i="6"/>
  <c r="F26" i="8"/>
  <c r="F50" i="8" s="1"/>
  <c r="B14" i="12"/>
  <c r="F135" i="3"/>
  <c r="E25" i="8"/>
  <c r="C12" i="11"/>
  <c r="D19" i="13"/>
  <c r="F48" i="7"/>
  <c r="F51" i="7" s="1"/>
  <c r="H40" i="8" s="1"/>
  <c r="F25" i="8"/>
  <c r="B11" i="9"/>
  <c r="C16" i="10"/>
  <c r="C21" i="10"/>
  <c r="E19" i="13"/>
  <c r="B30" i="14"/>
  <c r="B56" i="14"/>
  <c r="C36" i="7"/>
  <c r="C39" i="7" s="1"/>
  <c r="E39" i="8" s="1"/>
  <c r="C55" i="7"/>
  <c r="E24" i="8"/>
  <c r="G25" i="8"/>
  <c r="E30" i="8"/>
  <c r="E16" i="10"/>
  <c r="B9" i="11"/>
  <c r="B11" i="11" s="1"/>
  <c r="K10" i="14"/>
  <c r="C30" i="14"/>
  <c r="B59" i="14"/>
  <c r="F30" i="8"/>
  <c r="D30" i="14"/>
  <c r="E36" i="7"/>
  <c r="E39" i="7" s="1"/>
  <c r="G39" i="8" s="1"/>
  <c r="E55" i="7"/>
  <c r="E7" i="8"/>
  <c r="F10" i="8"/>
  <c r="E23" i="8"/>
  <c r="G24" i="8"/>
  <c r="E29" i="8"/>
  <c r="G30" i="8"/>
  <c r="C13" i="10"/>
  <c r="D9" i="11"/>
  <c r="D11" i="11" s="1"/>
  <c r="B31" i="14"/>
  <c r="F36" i="7"/>
  <c r="F39" i="7" s="1"/>
  <c r="H39" i="8" s="1"/>
  <c r="F7" i="8"/>
  <c r="G10" i="8"/>
  <c r="F23" i="8"/>
  <c r="H24" i="8"/>
  <c r="F29" i="8"/>
  <c r="H30" i="8"/>
  <c r="E13" i="10"/>
  <c r="B32" i="10" s="1"/>
  <c r="L8" i="10" s="1"/>
  <c r="C31" i="14"/>
  <c r="B40" i="14"/>
  <c r="B41" i="14" s="1"/>
  <c r="B42" i="14" s="1"/>
  <c r="G7" i="8"/>
  <c r="H10" i="8"/>
  <c r="G23" i="8"/>
  <c r="G29" i="8"/>
  <c r="D31" i="14"/>
  <c r="C40" i="14"/>
  <c r="C41" i="14" s="1"/>
  <c r="C42" i="14" s="1"/>
  <c r="H7" i="8"/>
  <c r="H23" i="8"/>
  <c r="H29" i="8"/>
  <c r="H52" i="8"/>
  <c r="D40" i="14"/>
  <c r="D41" i="14" s="1"/>
  <c r="D42" i="14" s="1"/>
  <c r="D81" i="3" l="1"/>
  <c r="D78" i="3"/>
  <c r="E78" i="3" s="1"/>
  <c r="F78" i="3" s="1"/>
  <c r="G78" i="3" s="1"/>
  <c r="H78" i="3" s="1"/>
  <c r="I78" i="3" s="1"/>
  <c r="D58" i="3"/>
  <c r="E58" i="3" s="1"/>
  <c r="F58" i="3" s="1"/>
  <c r="G58" i="3" s="1"/>
  <c r="H58" i="3" s="1"/>
  <c r="I58" i="3" s="1"/>
  <c r="D62" i="3"/>
  <c r="G12" i="6"/>
  <c r="G16" i="6" s="1"/>
  <c r="H10" i="6"/>
  <c r="H12" i="6" s="1"/>
  <c r="H15" i="6" s="1"/>
  <c r="B12" i="9"/>
  <c r="B13" i="9" s="1"/>
  <c r="D11" i="9"/>
  <c r="I13" i="3"/>
  <c r="I15" i="3"/>
  <c r="D68" i="3"/>
  <c r="E68" i="3" s="1"/>
  <c r="F68" i="3" s="1"/>
  <c r="G68" i="3" s="1"/>
  <c r="H68" i="3" s="1"/>
  <c r="I68" i="3" s="1"/>
  <c r="D72" i="3"/>
  <c r="D92" i="3"/>
  <c r="D104" i="3" s="1"/>
  <c r="D15" i="3"/>
  <c r="B60" i="14"/>
  <c r="C60" i="14" s="1"/>
  <c r="D60" i="14" s="1"/>
  <c r="E60" i="14" s="1"/>
  <c r="F60" i="14" s="1"/>
  <c r="C59" i="14"/>
  <c r="D59" i="14" s="1"/>
  <c r="E59" i="14" s="1"/>
  <c r="F59" i="14" s="1"/>
  <c r="D93" i="3"/>
  <c r="D16" i="3"/>
  <c r="I14" i="3"/>
  <c r="I16" i="3" s="1"/>
  <c r="I141" i="3" s="1"/>
  <c r="B26" i="10"/>
  <c r="D26" i="10" s="1"/>
  <c r="F26" i="10" s="1"/>
  <c r="C18" i="10"/>
  <c r="H16" i="10" s="1"/>
  <c r="H14" i="10"/>
  <c r="E18" i="10"/>
  <c r="I16" i="10" s="1"/>
  <c r="I14" i="10"/>
  <c r="B27" i="10"/>
  <c r="B17" i="12"/>
  <c r="B15" i="9" l="1"/>
  <c r="B16" i="9"/>
  <c r="D111" i="3"/>
  <c r="D105" i="3"/>
  <c r="D112" i="3"/>
  <c r="B6" i="4"/>
  <c r="J6" i="8" s="1"/>
  <c r="J15" i="6"/>
  <c r="C18" i="5"/>
  <c r="D79" i="3"/>
  <c r="H16" i="6"/>
  <c r="H19" i="6"/>
  <c r="H17" i="6"/>
  <c r="D95" i="3"/>
  <c r="D59" i="3"/>
  <c r="D27" i="10"/>
  <c r="F27" i="10" s="1"/>
  <c r="L5" i="10"/>
  <c r="D69" i="3"/>
  <c r="J12" i="6" l="1"/>
  <c r="D80" i="3"/>
  <c r="E79" i="3"/>
  <c r="D114" i="3"/>
  <c r="E59" i="3"/>
  <c r="D60" i="3"/>
  <c r="C19" i="5"/>
  <c r="D70" i="3"/>
  <c r="E69" i="3"/>
  <c r="F32" i="10"/>
  <c r="M8" i="10" s="1"/>
  <c r="M5" i="10"/>
  <c r="D139" i="3"/>
  <c r="D96" i="3"/>
  <c r="B5" i="4"/>
  <c r="J5" i="8" s="1"/>
  <c r="J8" i="6"/>
  <c r="J11" i="6" s="1"/>
  <c r="J25" i="6" s="1"/>
  <c r="D98" i="3"/>
  <c r="D115" i="3" l="1"/>
  <c r="B7" i="4"/>
  <c r="J9" i="8" s="1"/>
  <c r="J10" i="8" s="1"/>
  <c r="D119" i="3"/>
  <c r="D142" i="3"/>
  <c r="C20" i="5"/>
  <c r="J26" i="6"/>
  <c r="J17" i="6"/>
  <c r="E60" i="3"/>
  <c r="E61" i="3" s="1"/>
  <c r="E62" i="3" s="1"/>
  <c r="F59" i="3"/>
  <c r="J8" i="8"/>
  <c r="J7" i="8"/>
  <c r="E80" i="3"/>
  <c r="E81" i="3"/>
  <c r="F79" i="3"/>
  <c r="F69" i="3"/>
  <c r="E70" i="3"/>
  <c r="E71" i="3" s="1"/>
  <c r="E72" i="3" s="1"/>
  <c r="J19" i="6"/>
  <c r="E91" i="3" l="1"/>
  <c r="E63" i="3"/>
  <c r="E92" i="3"/>
  <c r="E73" i="3"/>
  <c r="D151" i="3"/>
  <c r="D145" i="3"/>
  <c r="D155" i="3"/>
  <c r="D156" i="3" s="1"/>
  <c r="D157" i="3" s="1"/>
  <c r="B8" i="4"/>
  <c r="J15" i="8" s="1"/>
  <c r="E144" i="3"/>
  <c r="J23" i="6"/>
  <c r="J24" i="6" s="1"/>
  <c r="J28" i="6" s="1"/>
  <c r="F60" i="3"/>
  <c r="F61" i="3" s="1"/>
  <c r="F62" i="3" s="1"/>
  <c r="G59" i="3"/>
  <c r="G69" i="3"/>
  <c r="F70" i="3"/>
  <c r="F71" i="3" s="1"/>
  <c r="F72" i="3" s="1"/>
  <c r="F80" i="3"/>
  <c r="G79" i="3"/>
  <c r="F81" i="3"/>
  <c r="E93" i="3"/>
  <c r="E82" i="3"/>
  <c r="J34" i="6" l="1"/>
  <c r="F63" i="3"/>
  <c r="F91" i="3"/>
  <c r="F73" i="3"/>
  <c r="F92" i="3"/>
  <c r="G60" i="3"/>
  <c r="G61" i="3" s="1"/>
  <c r="G62" i="3" s="1"/>
  <c r="H59" i="3"/>
  <c r="J24" i="8"/>
  <c r="J14" i="8"/>
  <c r="E104" i="3"/>
  <c r="E95" i="3"/>
  <c r="F82" i="3"/>
  <c r="F93" i="3"/>
  <c r="H79" i="3"/>
  <c r="G80" i="3"/>
  <c r="G81" i="3"/>
  <c r="E118" i="3"/>
  <c r="D146" i="3"/>
  <c r="E109" i="3"/>
  <c r="D154" i="3"/>
  <c r="D153" i="3"/>
  <c r="B10" i="4" s="1"/>
  <c r="J16" i="8" s="1"/>
  <c r="J20" i="8" s="1"/>
  <c r="E148" i="3"/>
  <c r="H69" i="3"/>
  <c r="G70" i="3"/>
  <c r="G71" i="3" s="1"/>
  <c r="G72" i="3" s="1"/>
  <c r="G73" i="3" l="1"/>
  <c r="G92" i="3"/>
  <c r="G63" i="3"/>
  <c r="G91" i="3"/>
  <c r="K13" i="6"/>
  <c r="E150" i="3"/>
  <c r="C9" i="4" s="1"/>
  <c r="J29" i="8"/>
  <c r="J23" i="8"/>
  <c r="J17" i="8"/>
  <c r="J25" i="8"/>
  <c r="J30" i="8"/>
  <c r="I69" i="3"/>
  <c r="H70" i="3"/>
  <c r="H71" i="3" s="1"/>
  <c r="H72" i="3"/>
  <c r="F95" i="3"/>
  <c r="F104" i="3"/>
  <c r="E151" i="3"/>
  <c r="E112" i="3"/>
  <c r="E105" i="3"/>
  <c r="D18" i="5"/>
  <c r="C6" i="4"/>
  <c r="K6" i="8" s="1"/>
  <c r="K15" i="6"/>
  <c r="E111" i="3"/>
  <c r="K8" i="6"/>
  <c r="C5" i="4"/>
  <c r="K5" i="8" s="1"/>
  <c r="E139" i="3"/>
  <c r="E142" i="3" s="1"/>
  <c r="E96" i="3"/>
  <c r="E98" i="3"/>
  <c r="H60" i="3"/>
  <c r="H61" i="3" s="1"/>
  <c r="H62" i="3" s="1"/>
  <c r="I59" i="3"/>
  <c r="I79" i="3"/>
  <c r="H81" i="3"/>
  <c r="H80" i="3"/>
  <c r="G82" i="3"/>
  <c r="G93" i="3"/>
  <c r="H63" i="3" l="1"/>
  <c r="H91" i="3"/>
  <c r="I81" i="3"/>
  <c r="I80" i="3"/>
  <c r="E153" i="3"/>
  <c r="C10" i="4" s="1"/>
  <c r="K16" i="8" s="1"/>
  <c r="K20" i="8" s="1"/>
  <c r="F148" i="3"/>
  <c r="K26" i="6"/>
  <c r="D20" i="5"/>
  <c r="G95" i="3"/>
  <c r="G104" i="3"/>
  <c r="I60" i="3"/>
  <c r="I61" i="3" s="1"/>
  <c r="I62" i="3" s="1"/>
  <c r="E18" i="5"/>
  <c r="D6" i="4"/>
  <c r="L6" i="8" s="1"/>
  <c r="L15" i="6"/>
  <c r="F105" i="3"/>
  <c r="K8" i="8"/>
  <c r="K7" i="8"/>
  <c r="K25" i="8"/>
  <c r="K9" i="6"/>
  <c r="K11" i="6"/>
  <c r="K25" i="6" s="1"/>
  <c r="I70" i="3"/>
  <c r="I71" i="3" s="1"/>
  <c r="I72" i="3" s="1"/>
  <c r="H93" i="3"/>
  <c r="H82" i="3"/>
  <c r="D19" i="5"/>
  <c r="D22" i="5" s="1"/>
  <c r="E114" i="3"/>
  <c r="E145" i="3"/>
  <c r="J21" i="8"/>
  <c r="L8" i="6"/>
  <c r="F139" i="3"/>
  <c r="F142" i="3" s="1"/>
  <c r="D5" i="4"/>
  <c r="L5" i="8" s="1"/>
  <c r="F96" i="3"/>
  <c r="H92" i="3"/>
  <c r="H73" i="3"/>
  <c r="K19" i="6"/>
  <c r="K17" i="6"/>
  <c r="K12" i="6"/>
  <c r="I63" i="3" l="1"/>
  <c r="I91" i="3"/>
  <c r="I92" i="3"/>
  <c r="I73" i="3"/>
  <c r="F118" i="3"/>
  <c r="E154" i="3"/>
  <c r="E146" i="3"/>
  <c r="F109" i="3"/>
  <c r="K23" i="6"/>
  <c r="K24" i="6" s="1"/>
  <c r="K28" i="6" s="1"/>
  <c r="K34" i="6" s="1"/>
  <c r="G139" i="3"/>
  <c r="G142" i="3" s="1"/>
  <c r="M8" i="6"/>
  <c r="G96" i="3"/>
  <c r="E5" i="4"/>
  <c r="M5" i="8" s="1"/>
  <c r="C7" i="4"/>
  <c r="K9" i="8" s="1"/>
  <c r="K10" i="8" s="1"/>
  <c r="E119" i="3"/>
  <c r="E115" i="3"/>
  <c r="F150" i="3"/>
  <c r="D9" i="4" s="1"/>
  <c r="L13" i="6"/>
  <c r="L12" i="6" s="1"/>
  <c r="I93" i="3"/>
  <c r="I82" i="3"/>
  <c r="E6" i="4"/>
  <c r="M6" i="8" s="1"/>
  <c r="M15" i="6"/>
  <c r="F18" i="5"/>
  <c r="G105" i="3"/>
  <c r="F151" i="3"/>
  <c r="L17" i="6"/>
  <c r="L19" i="6"/>
  <c r="L7" i="8"/>
  <c r="L8" i="8"/>
  <c r="E19" i="5"/>
  <c r="E22" i="5" s="1"/>
  <c r="H95" i="3"/>
  <c r="H104" i="3"/>
  <c r="L9" i="6"/>
  <c r="L11" i="6"/>
  <c r="L25" i="6" s="1"/>
  <c r="J28" i="8"/>
  <c r="J26" i="8"/>
  <c r="J27" i="8"/>
  <c r="L26" i="6"/>
  <c r="E20" i="5"/>
  <c r="F153" i="3" l="1"/>
  <c r="D10" i="4" s="1"/>
  <c r="L16" i="8" s="1"/>
  <c r="L20" i="8" s="1"/>
  <c r="G148" i="3"/>
  <c r="F111" i="3"/>
  <c r="F112" i="3" s="1"/>
  <c r="M7" i="8"/>
  <c r="M8" i="8"/>
  <c r="L23" i="6"/>
  <c r="L24" i="6" s="1"/>
  <c r="L28" i="6" s="1"/>
  <c r="L34" i="6" s="1"/>
  <c r="F19" i="5"/>
  <c r="F22" i="5" s="1"/>
  <c r="M9" i="6"/>
  <c r="M11" i="6"/>
  <c r="M25" i="6" s="1"/>
  <c r="I95" i="3"/>
  <c r="I104" i="3"/>
  <c r="E155" i="3"/>
  <c r="E156" i="3" s="1"/>
  <c r="E157" i="3" s="1"/>
  <c r="C8" i="4"/>
  <c r="K15" i="8" s="1"/>
  <c r="F144" i="3"/>
  <c r="F6" i="4"/>
  <c r="N6" i="8" s="1"/>
  <c r="H105" i="3"/>
  <c r="N15" i="6"/>
  <c r="G18" i="5"/>
  <c r="H96" i="3"/>
  <c r="N8" i="6"/>
  <c r="H139" i="3"/>
  <c r="H142" i="3" s="1"/>
  <c r="F5" i="4"/>
  <c r="N5" i="8" s="1"/>
  <c r="M19" i="6"/>
  <c r="M17" i="6"/>
  <c r="M26" i="6"/>
  <c r="F20" i="5"/>
  <c r="F114" i="3" l="1"/>
  <c r="F145" i="3"/>
  <c r="M23" i="6"/>
  <c r="M24" i="6" s="1"/>
  <c r="M28" i="6" s="1"/>
  <c r="M34" i="6" s="1"/>
  <c r="N8" i="8"/>
  <c r="N7" i="8"/>
  <c r="G20" i="5"/>
  <c r="N26" i="6"/>
  <c r="N9" i="6"/>
  <c r="N11" i="6"/>
  <c r="N25" i="6" s="1"/>
  <c r="G150" i="3"/>
  <c r="E9" i="4" s="1"/>
  <c r="M13" i="6"/>
  <c r="M12" i="6" s="1"/>
  <c r="G19" i="5"/>
  <c r="G22" i="5" s="1"/>
  <c r="G151" i="3"/>
  <c r="K30" i="8"/>
  <c r="K24" i="8"/>
  <c r="K14" i="8"/>
  <c r="I105" i="3"/>
  <c r="G6" i="4"/>
  <c r="O6" i="8" s="1"/>
  <c r="O15" i="6"/>
  <c r="H18" i="5"/>
  <c r="G5" i="4"/>
  <c r="O5" i="8" s="1"/>
  <c r="O8" i="6"/>
  <c r="I139" i="3"/>
  <c r="I142" i="3" s="1"/>
  <c r="I96" i="3"/>
  <c r="L25" i="8"/>
  <c r="N19" i="6"/>
  <c r="N17" i="6"/>
  <c r="K29" i="8" l="1"/>
  <c r="K23" i="8"/>
  <c r="K17" i="8"/>
  <c r="O8" i="8"/>
  <c r="O7" i="8"/>
  <c r="H20" i="5"/>
  <c r="O26" i="6"/>
  <c r="H148" i="3"/>
  <c r="G153" i="3"/>
  <c r="E10" i="4" s="1"/>
  <c r="M16" i="8" s="1"/>
  <c r="M20" i="8" s="1"/>
  <c r="G118" i="3"/>
  <c r="G109" i="3"/>
  <c r="F154" i="3"/>
  <c r="F146" i="3"/>
  <c r="N23" i="6"/>
  <c r="N24" i="6" s="1"/>
  <c r="N28" i="6" s="1"/>
  <c r="N34" i="6" s="1"/>
  <c r="O9" i="6"/>
  <c r="O11" i="6"/>
  <c r="O25" i="6" s="1"/>
  <c r="H22" i="5"/>
  <c r="C62" i="5" s="1"/>
  <c r="H19" i="5"/>
  <c r="C49" i="5"/>
  <c r="E61" i="5"/>
  <c r="C50" i="5"/>
  <c r="E59" i="5"/>
  <c r="E53" i="5"/>
  <c r="O17" i="6"/>
  <c r="F119" i="3"/>
  <c r="D7" i="4"/>
  <c r="L9" i="8" s="1"/>
  <c r="L10" i="8" s="1"/>
  <c r="F115" i="3"/>
  <c r="C61" i="5" l="1"/>
  <c r="M25" i="8"/>
  <c r="C58" i="5"/>
  <c r="D53" i="5"/>
  <c r="F53" i="5"/>
  <c r="H150" i="3"/>
  <c r="F9" i="4" s="1"/>
  <c r="N13" i="6"/>
  <c r="N12" i="6" s="1"/>
  <c r="C51" i="5"/>
  <c r="G61" i="5"/>
  <c r="G59" i="5"/>
  <c r="F59" i="5"/>
  <c r="C60" i="5"/>
  <c r="E50" i="5"/>
  <c r="G60" i="5"/>
  <c r="D62" i="5"/>
  <c r="D50" i="5"/>
  <c r="E49" i="5"/>
  <c r="F61" i="5"/>
  <c r="C52" i="5"/>
  <c r="F52" i="5"/>
  <c r="F62" i="5"/>
  <c r="F49" i="5"/>
  <c r="D52" i="5"/>
  <c r="D61" i="5"/>
  <c r="D49" i="5"/>
  <c r="C59" i="5"/>
  <c r="E52" i="5"/>
  <c r="D51" i="5"/>
  <c r="G58" i="5"/>
  <c r="G111" i="3"/>
  <c r="G112" i="3" s="1"/>
  <c r="K21" i="8"/>
  <c r="D59" i="5"/>
  <c r="E58" i="5"/>
  <c r="F50" i="5"/>
  <c r="E51" i="5"/>
  <c r="F58" i="5"/>
  <c r="F155" i="3"/>
  <c r="F156" i="3" s="1"/>
  <c r="D8" i="4"/>
  <c r="L15" i="8" s="1"/>
  <c r="G144" i="3"/>
  <c r="D58" i="5"/>
  <c r="G62" i="5"/>
  <c r="C53" i="5"/>
  <c r="D60" i="5"/>
  <c r="F60" i="5"/>
  <c r="O19" i="6"/>
  <c r="E60" i="5"/>
  <c r="E62" i="5"/>
  <c r="F51" i="5"/>
  <c r="H151" i="3"/>
  <c r="G114" i="3" l="1"/>
  <c r="G145" i="3"/>
  <c r="O23" i="6"/>
  <c r="O24" i="6" s="1"/>
  <c r="O28" i="6" s="1"/>
  <c r="L30" i="8"/>
  <c r="L24" i="8"/>
  <c r="L14" i="8"/>
  <c r="K26" i="8"/>
  <c r="K28" i="8"/>
  <c r="K27" i="8"/>
  <c r="H153" i="3"/>
  <c r="F10" i="4" s="1"/>
  <c r="N16" i="8" s="1"/>
  <c r="N20" i="8" s="1"/>
  <c r="I148" i="3"/>
  <c r="I151" i="3"/>
  <c r="I153" i="3" s="1"/>
  <c r="G10" i="4" s="1"/>
  <c r="O16" i="8" s="1"/>
  <c r="O20" i="8" s="1"/>
  <c r="J38" i="6" l="1"/>
  <c r="J39" i="6" s="1"/>
  <c r="O34" i="6"/>
  <c r="J43" i="6" s="1"/>
  <c r="F65" i="6"/>
  <c r="E63" i="6"/>
  <c r="F62" i="6"/>
  <c r="E62" i="6"/>
  <c r="D64" i="6"/>
  <c r="F64" i="6"/>
  <c r="D66" i="6"/>
  <c r="D63" i="6"/>
  <c r="E65" i="6"/>
  <c r="F66" i="6"/>
  <c r="D65" i="6"/>
  <c r="E66" i="6"/>
  <c r="E64" i="6"/>
  <c r="F63" i="6"/>
  <c r="D62" i="6"/>
  <c r="F71" i="6"/>
  <c r="D73" i="6"/>
  <c r="E70" i="6"/>
  <c r="F73" i="6"/>
  <c r="E73" i="6"/>
  <c r="F74" i="6"/>
  <c r="E72" i="6"/>
  <c r="F70" i="6"/>
  <c r="F72" i="6"/>
  <c r="D74" i="6"/>
  <c r="E74" i="6"/>
  <c r="D72" i="6"/>
  <c r="E71" i="6"/>
  <c r="D71" i="6"/>
  <c r="D70" i="6"/>
  <c r="L29" i="8"/>
  <c r="L23" i="8"/>
  <c r="L17" i="8"/>
  <c r="O25" i="8"/>
  <c r="N25" i="8"/>
  <c r="O13" i="6"/>
  <c r="O12" i="6" s="1"/>
  <c r="I150" i="3"/>
  <c r="G9" i="4" s="1"/>
  <c r="H118" i="3"/>
  <c r="G154" i="3"/>
  <c r="H109" i="3"/>
  <c r="G146" i="3"/>
  <c r="E7" i="4"/>
  <c r="M9" i="8" s="1"/>
  <c r="M10" i="8" s="1"/>
  <c r="G115" i="3"/>
  <c r="G119" i="3"/>
  <c r="L21" i="8" l="1"/>
  <c r="H111" i="3"/>
  <c r="H112" i="3" s="1"/>
  <c r="E8" i="4"/>
  <c r="M15" i="8" s="1"/>
  <c r="G155" i="3"/>
  <c r="G156" i="3" s="1"/>
  <c r="H144" i="3"/>
  <c r="J40" i="6"/>
  <c r="J56" i="6"/>
  <c r="H114" i="3" l="1"/>
  <c r="H145" i="3"/>
  <c r="M30" i="8"/>
  <c r="M24" i="8"/>
  <c r="M14" i="8"/>
  <c r="J44" i="6"/>
  <c r="J54" i="6" s="1"/>
  <c r="L26" i="8"/>
  <c r="L28" i="8"/>
  <c r="L27" i="8"/>
  <c r="M29" i="8" l="1"/>
  <c r="M23" i="8"/>
  <c r="M17" i="8"/>
  <c r="I118" i="3"/>
  <c r="H154" i="3"/>
  <c r="H146" i="3"/>
  <c r="I109" i="3"/>
  <c r="J47" i="6"/>
  <c r="J49" i="6" s="1"/>
  <c r="J51" i="6" s="1"/>
  <c r="J57" i="6"/>
  <c r="J55" i="6"/>
  <c r="H115" i="3"/>
  <c r="F7" i="4"/>
  <c r="N9" i="8" s="1"/>
  <c r="N10" i="8" s="1"/>
  <c r="H119" i="3"/>
  <c r="I111" i="3" l="1"/>
  <c r="I112" i="3" s="1"/>
  <c r="M21" i="8"/>
  <c r="F8" i="4"/>
  <c r="N15" i="8" s="1"/>
  <c r="I144" i="3"/>
  <c r="H155" i="3"/>
  <c r="H156" i="3" s="1"/>
  <c r="I114" i="3" l="1"/>
  <c r="I145" i="3"/>
  <c r="M26" i="8"/>
  <c r="M28" i="8"/>
  <c r="M27" i="8"/>
  <c r="N30" i="8"/>
  <c r="N24" i="8"/>
  <c r="N14" i="8"/>
  <c r="N29" i="8" l="1"/>
  <c r="N23" i="8"/>
  <c r="N17" i="8"/>
  <c r="I154" i="3"/>
  <c r="I146" i="3"/>
  <c r="G7" i="4"/>
  <c r="O9" i="8" s="1"/>
  <c r="O10" i="8" s="1"/>
  <c r="I119" i="3"/>
  <c r="I115" i="3"/>
  <c r="N21" i="8" l="1"/>
  <c r="G8" i="4"/>
  <c r="O15" i="8" s="1"/>
  <c r="I155" i="3"/>
  <c r="I156" i="3" s="1"/>
  <c r="O30" i="8" l="1"/>
  <c r="O24" i="8"/>
  <c r="O14" i="8"/>
  <c r="N26" i="8"/>
  <c r="N28" i="8"/>
  <c r="N27" i="8"/>
  <c r="O29" i="8" l="1"/>
  <c r="O23" i="8"/>
  <c r="O17" i="8"/>
  <c r="O21" i="8" s="1"/>
  <c r="O26" i="8" l="1"/>
  <c r="O28" i="8"/>
  <c r="O2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A00-000001000000}">
      <text>
        <r>
          <rPr>
            <sz val="10"/>
            <rFont val="Arial"/>
            <family val="2"/>
          </rPr>
          <t>EBITDA 1S26 [C] = 267.581 + D&amp;A 2.993; WP §52</t>
        </r>
      </text>
    </comment>
  </commentList>
</comments>
</file>

<file path=xl/sharedStrings.xml><?xml version="1.0" encoding="utf-8"?>
<sst xmlns="http://schemas.openxmlformats.org/spreadsheetml/2006/main" count="1907" uniqueCount="1029">
  <si>
    <t>Mallplaza (Plaza S.A.) — Financial Analysis exhibits v5 · 05-10-2026 (v4 + hoja FCFF_DCF: interfaz forecast ↔ valuation)</t>
  </si>
  <si>
    <t>Borrador de trabajo del equipo. Todo número debe verificarse contra la fuente citada en Inputs antes de entrar al informe.</t>
  </si>
  <si>
    <t>Convención de colores: azul = dato ingresado [R]/[C]; negro = fórmula; verde = vínculo a la hoja Inputs; amarillo = alerta.</t>
  </si>
  <si>
    <t>Hojas: Inputs · Forecast · Forecast_link · FCFF_DCF · Peers_inputs · E1_DuPont · E2_FFO_bridge · E3_Growth · E4_Cash · E5_Leverage · E6_Debt · E7_WACC</t>
  </si>
  <si>
    <t>Para actualizar: cambiar solo valores azules en Inputs, Peers_inputs, E6 (tabla de bonos) o E7 (tabla de tasas).</t>
  </si>
  <si>
    <t>Pendientes: covenant (E5); tasas de descuento de los pares (CMF); GLA de Colombia por año (E3); IPC mensual Colombia (E3); ticker Colombia USD 10Y (E7); ingresos 2019–2020 y EBITDA 2019 (E1); fecha de cierre de Gran Plaza (Forecast); dueño del motor operativo con valuation.</t>
  </si>
  <si>
    <t>v3 (28-09): Inputs +26 filas (tipo de cambio, inflación, PI por país, Chile segmento); nueva hoja Peers_inputs; E1 bloque C (pares); E3 bloque B (moneda local y real) + gráfico; E5 bloque de pares; nueva hoja E7_WACC con gráfico. E2, E4 y E6 sin cambios.</t>
  </si>
  <si>
    <t>v4 (05-10): nueva hoja Forecast (motor operativo); Forecast_link vinculado; Inputs: utilidad 2022 reformulada 157.667, distribuible 2023 = 197.540 [R] y 2022 [C], balances 2022; E7: WACC jun-25 y residuos semestrales 2025.</t>
  </si>
  <si>
    <t>Inputs — datos reportados [R] y supuestos [S] (MM CLP salvo indicación)</t>
  </si>
  <si>
    <t>Clave</t>
  </si>
  <si>
    <t>Concepto</t>
  </si>
  <si>
    <t>Valor</t>
  </si>
  <si>
    <t>Unidad</t>
  </si>
  <si>
    <t>Período</t>
  </si>
  <si>
    <t>Tag</t>
  </si>
  <si>
    <t>Fuente</t>
  </si>
  <si>
    <t>rev23</t>
  </si>
  <si>
    <t>Ingresos ordinarios</t>
  </si>
  <si>
    <t>MM CLP</t>
  </si>
  <si>
    <t>FY2023</t>
  </si>
  <si>
    <t>R</t>
  </si>
  <si>
    <t>EEFF dic-24, EERR (comparativo)</t>
  </si>
  <si>
    <t>rev24</t>
  </si>
  <si>
    <t>FY2024</t>
  </si>
  <si>
    <t>EEFF dic-25, EERR (reformulado)</t>
  </si>
  <si>
    <t>rev25</t>
  </si>
  <si>
    <t>FY2025</t>
  </si>
  <si>
    <t>EEFF dic-25, EERR</t>
  </si>
  <si>
    <t>rev1s25</t>
  </si>
  <si>
    <t>1S25</t>
  </si>
  <si>
    <t>EEFF jun-26, EERR (comparativo)</t>
  </si>
  <si>
    <t>rev1s26</t>
  </si>
  <si>
    <t>1S26</t>
  </si>
  <si>
    <t>EEFF jun-26, EERR</t>
  </si>
  <si>
    <t>ebitda24</t>
  </si>
  <si>
    <t>EBITDA (definición compañía)</t>
  </si>
  <si>
    <t>Análisis Razonado 2025</t>
  </si>
  <si>
    <t>ebitda25</t>
  </si>
  <si>
    <t>Análisis Razonado 2025; reconciliado WP §2.1</t>
  </si>
  <si>
    <t>ni_cons25</t>
  </si>
  <si>
    <t>Ganancia consolidada</t>
  </si>
  <si>
    <t>ni24</t>
  </si>
  <si>
    <t>Utilidad atribuible a la controladora</t>
  </si>
  <si>
    <t>ni25</t>
  </si>
  <si>
    <t>nci25</t>
  </si>
  <si>
    <t>Utilidad atribuible a no controladores</t>
  </si>
  <si>
    <t>oif25</t>
  </si>
  <si>
    <t>Otros ingresos por función (incl. valor razonable 1.447.136)</t>
  </si>
  <si>
    <t>EEFF dic-25, Nota 23.2</t>
  </si>
  <si>
    <t>ogf25</t>
  </si>
  <si>
    <t>Otros gastos por función</t>
  </si>
  <si>
    <t>EEFF dic-25, Nota 23.3</t>
  </si>
  <si>
    <t>da25</t>
  </si>
  <si>
    <t>Depreciación y amortización</t>
  </si>
  <si>
    <t>EEFF dic-25, Nota 23.1 (2.439 + 1.171)</t>
  </si>
  <si>
    <t>reaj25</t>
  </si>
  <si>
    <t>Resultados por unidades de reajuste (pérdida)</t>
  </si>
  <si>
    <t>EEFF dic-25, Nota 23.5</t>
  </si>
  <si>
    <t>dtax25</t>
  </si>
  <si>
    <t>Impuesto diferido (351.567 + 13.504)</t>
  </si>
  <si>
    <t>EEFF dic-25, Nota 13.1</t>
  </si>
  <si>
    <t>ffo25_rep</t>
  </si>
  <si>
    <t>FFO ajustado atribuible (compañía)</t>
  </si>
  <si>
    <t>Presentación institucional 2T26</t>
  </si>
  <si>
    <t>dist24</t>
  </si>
  <si>
    <t>Utilidad líquida distribuible</t>
  </si>
  <si>
    <t>EEFF dic-25, Nota 20e</t>
  </si>
  <si>
    <t>dist25</t>
  </si>
  <si>
    <t>ta23</t>
  </si>
  <si>
    <t>Total activos</t>
  </si>
  <si>
    <t>dic-23</t>
  </si>
  <si>
    <t>EEFF dic-24, balance (435.127 + 4.361.209)</t>
  </si>
  <si>
    <t>ta24</t>
  </si>
  <si>
    <t>dic-24</t>
  </si>
  <si>
    <t>EEFF dic-25, balance (405.013 + 5.510.060)</t>
  </si>
  <si>
    <t>ta25</t>
  </si>
  <si>
    <t>dic-25</t>
  </si>
  <si>
    <t>EEFF dic-25, balance</t>
  </si>
  <si>
    <t>eq23</t>
  </si>
  <si>
    <t>Patrimonio atribuible a la controladora</t>
  </si>
  <si>
    <t>EEFF dic-24, balance</t>
  </si>
  <si>
    <t>eq24</t>
  </si>
  <si>
    <t>EEFF dic-24, Nota 26 (covenant)</t>
  </si>
  <si>
    <t>eq25</t>
  </si>
  <si>
    <t>EEFF dic-25 (4.524.553 − no controladores 41.648)</t>
  </si>
  <si>
    <t>cl_1s25</t>
  </si>
  <si>
    <t>Ingresos segmento Chile</t>
  </si>
  <si>
    <t>EEFF jun-26, Nota 24</t>
  </si>
  <si>
    <t>cl_1s26</t>
  </si>
  <si>
    <t>co_1s25</t>
  </si>
  <si>
    <t>Ingresos segmento Colombia</t>
  </si>
  <si>
    <t>co_1s26</t>
  </si>
  <si>
    <t>pe_1s25</t>
  </si>
  <si>
    <t>Ingresos segmento Perú</t>
  </si>
  <si>
    <t>pe_1s26</t>
  </si>
  <si>
    <t>cl24</t>
  </si>
  <si>
    <t>EEFF dic-25, Nota 25</t>
  </si>
  <si>
    <t>cl25</t>
  </si>
  <si>
    <t>co24</t>
  </si>
  <si>
    <t>co25</t>
  </si>
  <si>
    <t>pe24</t>
  </si>
  <si>
    <t>pe25</t>
  </si>
  <si>
    <t>var23</t>
  </si>
  <si>
    <t>Rentas variables</t>
  </si>
  <si>
    <t>EEFF dic-24, Nota 12</t>
  </si>
  <si>
    <t>var24</t>
  </si>
  <si>
    <t>EEFF dic-25, Nota 12</t>
  </si>
  <si>
    <t>var25</t>
  </si>
  <si>
    <t>var1s25</t>
  </si>
  <si>
    <t>EEFF jun-26, Nota 11</t>
  </si>
  <si>
    <t>var1s26</t>
  </si>
  <si>
    <t>uf_avg24</t>
  </si>
  <si>
    <t>UF promedio (proxy: promedio de 12 cierres de mes)</t>
  </si>
  <si>
    <t>CLP</t>
  </si>
  <si>
    <t>C</t>
  </si>
  <si>
    <t>valor-uf.cl, serie SII/BCCh, cierres de mes 2024</t>
  </si>
  <si>
    <t>uf_avg25</t>
  </si>
  <si>
    <t>sii.cl/valores_y_fechas/uf/uf2025.htm, cierres de mes</t>
  </si>
  <si>
    <t>uf_1s25</t>
  </si>
  <si>
    <t>UF promedio 1S (promedio de inicio y cierre de cada mes)</t>
  </si>
  <si>
    <t>sii.cl uf2025; ene–jun</t>
  </si>
  <si>
    <t>uf_1s26</t>
  </si>
  <si>
    <t>valor-uf.cl/uf-historico/2026; ene–jun</t>
  </si>
  <si>
    <t>cfo24</t>
  </si>
  <si>
    <t>Flujo operativo (método directo)</t>
  </si>
  <si>
    <t>EEFF dic-25, estado de flujos</t>
  </si>
  <si>
    <t>cfo25</t>
  </si>
  <si>
    <t>cfo1s26</t>
  </si>
  <si>
    <t>EEFF jun-26, estado de flujos</t>
  </si>
  <si>
    <t>capex24</t>
  </si>
  <si>
    <t>Capex total (PI + intangibles + PPE)</t>
  </si>
  <si>
    <t>EEFF dic-25, estado de flujos (73.493 + 2.322 + 506)</t>
  </si>
  <si>
    <t>capex25</t>
  </si>
  <si>
    <t>EEFF dic-25, estado de flujos (97.872 + 4.530 + 1.240)</t>
  </si>
  <si>
    <t>capex1s26</t>
  </si>
  <si>
    <t>Capex total</t>
  </si>
  <si>
    <t>EEFF jun-26, estado de flujos (WP §60)</t>
  </si>
  <si>
    <t>int24</t>
  </si>
  <si>
    <t>Intereses netos pagados (pagados − recibidos)</t>
  </si>
  <si>
    <t>EEFF dic-25, flujos (54.432 − 20.996)</t>
  </si>
  <si>
    <t>int25</t>
  </si>
  <si>
    <t>EEFF dic-25, flujos (68.174 − 10.751)</t>
  </si>
  <si>
    <t>int1s26</t>
  </si>
  <si>
    <t>Intereses netos pagados</t>
  </si>
  <si>
    <t>EEFF jun-26, flujos (WP §60)</t>
  </si>
  <si>
    <t>div24</t>
  </si>
  <si>
    <t>Dividendos pagados</t>
  </si>
  <si>
    <t>EEFF dic-25, flujos</t>
  </si>
  <si>
    <t>div25</t>
  </si>
  <si>
    <t>div1s26</t>
  </si>
  <si>
    <t>EEFF jun-26, flujos</t>
  </si>
  <si>
    <t>dfn24</t>
  </si>
  <si>
    <t>Deuda financiera neta (definición covenant)</t>
  </si>
  <si>
    <t>EEFF dic-24, Nota 26</t>
  </si>
  <si>
    <t>dfn25</t>
  </si>
  <si>
    <t>EEFF dic-25, Nota 26</t>
  </si>
  <si>
    <t>dfn2t26</t>
  </si>
  <si>
    <t>Deuda financiera neta (definición compañía)</t>
  </si>
  <si>
    <t>jun-26</t>
  </si>
  <si>
    <t>Presentación 2T26 / Análisis Razonado 1S26</t>
  </si>
  <si>
    <t>pi24</t>
  </si>
  <si>
    <t>Propiedades de inversión</t>
  </si>
  <si>
    <t>EEFF dic-25, Nota 11</t>
  </si>
  <si>
    <t>pi25</t>
  </si>
  <si>
    <t>pi2t26</t>
  </si>
  <si>
    <t>EEFF jun-26 / Análisis Razonado 1S26</t>
  </si>
  <si>
    <t>fv25</t>
  </si>
  <si>
    <t>Revalorización a valor razonable</t>
  </si>
  <si>
    <t>nde24</t>
  </si>
  <si>
    <t>DFN / EBITDA (compañía)</t>
  </si>
  <si>
    <t>x</t>
  </si>
  <si>
    <t>nde25</t>
  </si>
  <si>
    <t>nde2t26</t>
  </si>
  <si>
    <t>DFN / EBITDA LTM (compañía)</t>
  </si>
  <si>
    <t>Análisis Razonado 1S26</t>
  </si>
  <si>
    <t>dfe24</t>
  </si>
  <si>
    <t>DFN / Patrimonio (covenant)</t>
  </si>
  <si>
    <t>dfe25</t>
  </si>
  <si>
    <t>dfe2t26</t>
  </si>
  <si>
    <t>DFN / Patrimonio</t>
  </si>
  <si>
    <t>ebitda20</t>
  </si>
  <si>
    <t>FY2020</t>
  </si>
  <si>
    <t>Bloomberg ARD_REF_EBITDA_IS (WP §2)</t>
  </si>
  <si>
    <t>ebitda21</t>
  </si>
  <si>
    <t>FY2021</t>
  </si>
  <si>
    <t>ebitda22</t>
  </si>
  <si>
    <t>FY2022</t>
  </si>
  <si>
    <t>Bloomberg / presentación 2T26 (WP §2)</t>
  </si>
  <si>
    <t>ebitda23</t>
  </si>
  <si>
    <t>ebitdaltm</t>
  </si>
  <si>
    <t>EBITDA LTM</t>
  </si>
  <si>
    <t>LTM 2T26</t>
  </si>
  <si>
    <t>Presentación 2T26</t>
  </si>
  <si>
    <t>rev21</t>
  </si>
  <si>
    <t>Bloomberg FA (WP §8)</t>
  </si>
  <si>
    <t>rev22</t>
  </si>
  <si>
    <t>Ingresos ordinarios (EEFF reformulado)</t>
  </si>
  <si>
    <t>Bloomberg FA GEO / EEFF 2023 reformulado (WP §55)</t>
  </si>
  <si>
    <t>revltm</t>
  </si>
  <si>
    <t>Ingresos LTM</t>
  </si>
  <si>
    <t>ffo22</t>
  </si>
  <si>
    <t>FFO ajustado atribuible</t>
  </si>
  <si>
    <t>ffo23</t>
  </si>
  <si>
    <t>ffo24</t>
  </si>
  <si>
    <t>ffoltm</t>
  </si>
  <si>
    <t>FFO ajustado atribuible LTM</t>
  </si>
  <si>
    <t>ni22</t>
  </si>
  <si>
    <t>EEFF dic-23, EERR reformulado (Nota 3). Reemplaza 66.445 de Bloomberg (base costo, no comparable con el balance a valor razonable)</t>
  </si>
  <si>
    <t>ni23</t>
  </si>
  <si>
    <t>EEFF dic-23, EERR (349.759); coincide con Bloomberg</t>
  </si>
  <si>
    <t>dist23</t>
  </si>
  <si>
    <t>EEFF dic-23, Nota 21e (utilidad líquida y distribuible). Reemplaza la inferida 148.155</t>
  </si>
  <si>
    <t>rev19</t>
  </si>
  <si>
    <t>FY2019</t>
  </si>
  <si>
    <t>P</t>
  </si>
  <si>
    <t>PENDIENTE: Bloomberg FA (export existente)</t>
  </si>
  <si>
    <t>rev20</t>
  </si>
  <si>
    <t>ebitda19</t>
  </si>
  <si>
    <t>PENDIENTE: Bloomberg ARD_REF_EBITDA_IS</t>
  </si>
  <si>
    <t>ta21r</t>
  </si>
  <si>
    <t>Total activos REFORMULADO al 01-01-2022</t>
  </si>
  <si>
    <t>01-01-22</t>
  </si>
  <si>
    <t>EEFF dic-23, balance reformulado al 01-01-2022</t>
  </si>
  <si>
    <t>ta22</t>
  </si>
  <si>
    <t>dic-22</t>
  </si>
  <si>
    <t>EEFF dic-23, balance reformulado al 31-12-2022</t>
  </si>
  <si>
    <t>eq21r</t>
  </si>
  <si>
    <t>Patrimonio atribuible REFORMULADO al 01-01-2022</t>
  </si>
  <si>
    <t>EEFF dic-23, patrimonio atribuible reformulado al 01-01-2022</t>
  </si>
  <si>
    <t>eq22</t>
  </si>
  <si>
    <t>Patrimonio atribuible</t>
  </si>
  <si>
    <t>EEFF dic-23, patrimonio atribuible reformulado al 31-12-2022</t>
  </si>
  <si>
    <t>dist22</t>
  </si>
  <si>
    <t>Proxy: 157.667 − valor razonable 79.489 × (1 − 22,24%); 22,24% = impuesto diferido / valor razonable de la Nota 21e 2023 (43.537 / 195.756). EEFF dic-23, Notas 24.2 y 21e. La compañía no publica la cifra 2022 bajo NIC 40</t>
  </si>
  <si>
    <t>payout</t>
  </si>
  <si>
    <t>Payout sobre utilidad distribuible (política)</t>
  </si>
  <si>
    <t>%</t>
  </si>
  <si>
    <t>Política</t>
  </si>
  <si>
    <t>Acuerdo de directorio 25-01-2017; EEFF dic-25 Nota 20e</t>
  </si>
  <si>
    <t>bank25</t>
  </si>
  <si>
    <t>Obligaciones con bancos</t>
  </si>
  <si>
    <t>EEFF dic-25, Nota 14</t>
  </si>
  <si>
    <t>co23</t>
  </si>
  <si>
    <t>Bloomberg FA GEO (WP §55)</t>
  </si>
  <si>
    <t>fx_cop23</t>
  </si>
  <si>
    <t>CLP por COP, promedio del período</t>
  </si>
  <si>
    <t>CLP/COP</t>
  </si>
  <si>
    <t>FY2023 (feb–dic)</t>
  </si>
  <si>
    <t>Bloomberg USDCLP/USDCOP REGN Curncy, PX_LAST diario, cruces día a día y promediados; export 28-09-2026 (WP §82). USDCLP parte 31-01-2023</t>
  </si>
  <si>
    <t>fx_cop24</t>
  </si>
  <si>
    <t>Ídem (WP §82)</t>
  </si>
  <si>
    <t>fx_cop25</t>
  </si>
  <si>
    <t>fx_cop1s25</t>
  </si>
  <si>
    <t>fx_cop1s26</t>
  </si>
  <si>
    <t>fx_pen24</t>
  </si>
  <si>
    <t>CLP por PEN, promedio del período</t>
  </si>
  <si>
    <t>CLP/PEN</t>
  </si>
  <si>
    <t>Bloomberg USDCLP/USDPEN REGN Curncy (WP §82)</t>
  </si>
  <si>
    <t>fx_pen25</t>
  </si>
  <si>
    <t>fx_pen1s25</t>
  </si>
  <si>
    <t>fx_pen1s26</t>
  </si>
  <si>
    <t>cpi_pe24</t>
  </si>
  <si>
    <t>Inflación Perú (índice promedio vs promedio año anterior)</t>
  </si>
  <si>
    <t>INEI vía BCRPData, serie PN38705PM (IPC Lima Met., dic-2021=100) (WP §83)</t>
  </si>
  <si>
    <t>cpi_pe25</t>
  </si>
  <si>
    <t>Ídem (WP §83)</t>
  </si>
  <si>
    <t>cpi_pe1s26</t>
  </si>
  <si>
    <t>Inflación Perú (promedio 1S26 vs promedio 1S25)</t>
  </si>
  <si>
    <t>cpi_co24</t>
  </si>
  <si>
    <t>Inflación Colombia dic/dic (proxy)</t>
  </si>
  <si>
    <t>DANE (WP §71)</t>
  </si>
  <si>
    <t>cpi_co25</t>
  </si>
  <si>
    <t>cpi_co1s26</t>
  </si>
  <si>
    <t>Inflación Colombia, variación anual a jun-26 (PROXY del promedio 1S26/1S25)</t>
  </si>
  <si>
    <t>DANE, anexo IPC jun-2026, hoja 1 (WP §83). Reemplazar por promedio mensual cuando esté la serie de empalme</t>
  </si>
  <si>
    <t>fv24</t>
  </si>
  <si>
    <t>EEFF dic-25, Nota 11 (WP §18)</t>
  </si>
  <si>
    <t>pi23</t>
  </si>
  <si>
    <t>EEFF dic-25, Nota 11, saldo inicial 2024 (WP §18)</t>
  </si>
  <si>
    <t>cl_seg24</t>
  </si>
  <si>
    <t>Resultado operacional segmento Chile (antes de valor razonable)</t>
  </si>
  <si>
    <t>EEFF dic-25, Nota 25: ingresos − costo de ventas − GAV (WP §11.3)</t>
  </si>
  <si>
    <t>cl_seg25</t>
  </si>
  <si>
    <t>Ídem (WP §11.3)</t>
  </si>
  <si>
    <t>cl_pi24</t>
  </si>
  <si>
    <t>Propiedades de inversión Chile</t>
  </si>
  <si>
    <t>EEFF dic-25, Nota 25 (WP §11.4)</t>
  </si>
  <si>
    <t>cl_pi25</t>
  </si>
  <si>
    <t>cl_pi2t26</t>
  </si>
  <si>
    <t>EEFF jun-26 (WP §63)</t>
  </si>
  <si>
    <t>pe_pi2t26</t>
  </si>
  <si>
    <t>Propiedades de inversión Perú</t>
  </si>
  <si>
    <t>co_pi2t26</t>
  </si>
  <si>
    <t>Propiedades de inversión Colombia</t>
  </si>
  <si>
    <t>shares</t>
  </si>
  <si>
    <t>Acciones en circulación</t>
  </si>
  <si>
    <t>MM acciones</t>
  </si>
  <si>
    <t>sep-26</t>
  </si>
  <si>
    <t>Bloomberg DES 27-09-2026</t>
  </si>
  <si>
    <t>Forecast — motor operativo 2026E–2031E (CLP nominales; drivers en real por país, nominalizados con IPC y tipo de cambio de consenso)</t>
  </si>
  <si>
    <t>Borrador de trabajo [S] para el equipo. Azul = input; amarillo = supuesto clave a discutir; negro = fórmula; verde = vínculo a otra hoja. Alimenta Forecast_link → E1. Caso base: sin Gran Plaza y sin "Otros proyectos Chile" (46.500 m² sin fecha); ambos con interruptor.</t>
  </si>
  <si>
    <t>Tags: [R] reportado · [P] consenso de mercado (Bloomberg ECFC, composite de contribuidores, privado, 05-10-2026) · [C] cálculo · [S] supuesto propio.</t>
  </si>
  <si>
    <t>A. Macro (fin de año salvo IPC, que es promedio anual)</t>
  </si>
  <si>
    <t>2025A</t>
  </si>
  <si>
    <t>2026E</t>
  </si>
  <si>
    <t>2027E</t>
  </si>
  <si>
    <t>2028E</t>
  </si>
  <si>
    <t>2029E</t>
  </si>
  <si>
    <t>2030E</t>
  </si>
  <si>
    <t>2031E</t>
  </si>
  <si>
    <t>Fuente / supuesto</t>
  </si>
  <si>
    <t>IPC Chile (YoY%)</t>
  </si>
  <si>
    <t>P / S</t>
  </si>
  <si>
    <t>ECFC Chile 2025–2028 [P]; 2029–2031 = meta BCCh 3% [S]</t>
  </si>
  <si>
    <t>IPC Perú (YoY%)</t>
  </si>
  <si>
    <t>ECFC Perú 2025–2028 [P]; 2029–2031 = centro del rango meta BCRP (1%–3%) [S]</t>
  </si>
  <si>
    <t>IPC Colombia (promedio, YoY%)</t>
  </si>
  <si>
    <t>ECFC Colombia 2025–2028 [P]; 2029 convergencia; 2030–2031 = meta BanRep 3% [S]</t>
  </si>
  <si>
    <t>Tasa de política BCCh (fin de año)</t>
  </si>
  <si>
    <t>ECFC Chile [P]; 2029+ se mantiene [S]. Referencia, no se usa en fórmulas</t>
  </si>
  <si>
    <t>USDCLP (fin de año)</t>
  </si>
  <si>
    <t>ECFC [P]; 2029+ se mantiene [S] (solo afecta capex en USD de "Otros proyectos Chile" si se activa)</t>
  </si>
  <si>
    <t>USDPEN (fin de año)</t>
  </si>
  <si>
    <t>ECFC Perú [P]</t>
  </si>
  <si>
    <t>USDCOP (fin de año)</t>
  </si>
  <si>
    <t>ECFC Colombia [P]</t>
  </si>
  <si>
    <t>CLP por PEN (fin de año)</t>
  </si>
  <si>
    <t>Cruce de consenso 2025–2028; 2029+ paridad de poder de compra relativa con IPC de cada país [S]</t>
  </si>
  <si>
    <t>CLP por COP (fin de año)</t>
  </si>
  <si>
    <t>CLP por PEN (promedio)</t>
  </si>
  <si>
    <t>2025A promedio real (Inputs); 2026E desde el puente semestral (bloque B); 2027+ promedio de fin de año t−1 y t [S]</t>
  </si>
  <si>
    <t>CLP por COP (promedio)</t>
  </si>
  <si>
    <t>USDCLP (promedio)</t>
  </si>
  <si>
    <t>B. Puente 2026E = 1S26 real + 2S26E (moneda local)</t>
  </si>
  <si>
    <t>2S25</t>
  </si>
  <si>
    <t>2S26E</t>
  </si>
  <si>
    <t>Cierre jun-26: USDCLP</t>
  </si>
  <si>
    <t>Release 2T26, nota de tipo de cambio de la tabla de proyectos</t>
  </si>
  <si>
    <t>Cierre jun-26: USDPEN</t>
  </si>
  <si>
    <t>Ídem</t>
  </si>
  <si>
    <t>Cierre jun-26: USDCOP</t>
  </si>
  <si>
    <t>CLP por PEN (promedio del semestre)</t>
  </si>
  <si>
    <t>2S25 = 2 × promedio anual − 1S25 (aproxima pesos iguales por semestre); 2S26E = promedio entre cierre jun-26 y fin de 2026 de consenso [S]</t>
  </si>
  <si>
    <t>CLP por COP (promedio del semestre)</t>
  </si>
  <si>
    <t>USDCLP (promedio 2S26E)</t>
  </si>
  <si>
    <t>Para convertir el capex en USD del 2S26</t>
  </si>
  <si>
    <t>Ingresos segmento Chile (MM CLP)</t>
  </si>
  <si>
    <t>EEFF Notas de segmentos (Inputs)</t>
  </si>
  <si>
    <t>Ingresos segmento Perú (MM CLP)</t>
  </si>
  <si>
    <t>Ingresos segmento Colombia (MM CLP)</t>
  </si>
  <si>
    <t>Crecimiento local 1S26 vs 1S25 (Chile / Perú / Colombia) → se aplica al 2S26E</t>
  </si>
  <si>
    <t>S</t>
  </si>
  <si>
    <t>Columnas C/D/E de esta fila = Chile / Perú / Colombia (no semestres). Supuesto clave [S]: el 2S26 repite el crecimiento local del 1S26; las aperturas de 2026 (8.900 m²) quedan dentro</t>
  </si>
  <si>
    <t>Chile (MM CLP)</t>
  </si>
  <si>
    <t>Perú (MM PEN)</t>
  </si>
  <si>
    <t>Colombia (MM COP)</t>
  </si>
  <si>
    <t>2026E Chile en CLP</t>
  </si>
  <si>
    <t>2026E Perú en CLP</t>
  </si>
  <si>
    <t>2026E Colombia en CLP</t>
  </si>
  <si>
    <t>C. Pipeline de GLA (m² agregados por año de apertura) y maduración</t>
  </si>
  <si>
    <t>Factor de ingreso: año de apertura</t>
  </si>
  <si>
    <t>[S] apertura a mitad de año (50%) × 70% de productividad en el primer año</t>
  </si>
  <si>
    <t>Factor de ingreso: segundo año</t>
  </si>
  <si>
    <t>[S]</t>
  </si>
  <si>
    <t>Factor de ingreso: tercer año en adelante</t>
  </si>
  <si>
    <t>GLA nuevo Chile por año de apertura (m²)</t>
  </si>
  <si>
    <t>Release 2T26, "Proyectos de Expansión en Curso" (Trébol, Oeste, Norte, La Serena)</t>
  </si>
  <si>
    <t>GLA nuevo Perú por año de apertura (m²)</t>
  </si>
  <si>
    <t>Release 2T26 (Trujillo, Piura, Angamos, La Marina)</t>
  </si>
  <si>
    <t>"Otros proyectos Chile" incluidos (1 = sí)</t>
  </si>
  <si>
    <t>Interruptor. 46.500 m² y 134 MMUSD "en proceso" sin fecha en el release 2T26; fuera del caso base [S]</t>
  </si>
  <si>
    <t>"Otros proyectos Chile": año de apertura si se incluyen</t>
  </si>
  <si>
    <t>"Otros proyectos Chile": m²</t>
  </si>
  <si>
    <t>Release 2T26</t>
  </si>
  <si>
    <t>GLA base Chile jun-26 (m²)</t>
  </si>
  <si>
    <t>Release 2T26, indicadores por país</t>
  </si>
  <si>
    <t>GLA base Perú jun-26 (m²)</t>
  </si>
  <si>
    <t>GLA base Colombia jun-26 (m²)</t>
  </si>
  <si>
    <t>GLA nuevo equivalente Chile (m² × factor)</t>
  </si>
  <si>
    <t>Cohortes 2026–2028 (+ Otros si se activan). La cohorte 2026 entra con factor de segundo año en 2027; su aporte 2026 ya está en el puente</t>
  </si>
  <si>
    <t>GLA nuevo equivalente Perú (m² × factor)</t>
  </si>
  <si>
    <t>D. Ingresos por país (moneda local, salvo indicación)</t>
  </si>
  <si>
    <t>Crecimiento real de parking (todos los países)</t>
  </si>
  <si>
    <t>[S] Parking UDM +23,7% nominal (release 2T26); se asume convergencia rápida. Supuesto clave</t>
  </si>
  <si>
    <t xml:space="preserve">  Ocupación Chile</t>
  </si>
  <si>
    <t>R / S</t>
  </si>
  <si>
    <t>2026 = 2T26 [R]; se mantiene [S]</t>
  </si>
  <si>
    <t xml:space="preserve">  Crecimiento real same-store (sin parking)</t>
  </si>
  <si>
    <t>[S] desde ~SSR real reciente hacia 0,6%, punto medio del rango de crecimiento real que usa la compañía en su tasación (Nota 11 jun-25: 0,1%–1,1%)</t>
  </si>
  <si>
    <t xml:space="preserve">  Parking / ingresos 2026</t>
  </si>
  <si>
    <t>Release 2T26, contribución parking UDM por país</t>
  </si>
  <si>
    <t xml:space="preserve">  Parking</t>
  </si>
  <si>
    <t xml:space="preserve">  Arriendo y otros, mismo GLA</t>
  </si>
  <si>
    <t xml:space="preserve">  Ingreso anual por m² de GLA base (local)</t>
  </si>
  <si>
    <t>Unidades locales por m² (CLP, PEN, COP). Se aplica al GLA nuevo</t>
  </si>
  <si>
    <t xml:space="preserve">  Ingresos del GLA nuevo</t>
  </si>
  <si>
    <t xml:space="preserve">  Ingresos Chile (MM CLP)</t>
  </si>
  <si>
    <t xml:space="preserve">  Crecimiento en moneda local</t>
  </si>
  <si>
    <t xml:space="preserve">  Ocupación Perú</t>
  </si>
  <si>
    <t>2026 = 2T26 [R]; Perú recupera 94,6% (nivel 2025) hacia 2028 [S]</t>
  </si>
  <si>
    <t>[S] hacia 0,4%, punto medio Nota 11 (−0,4%–1,2%)</t>
  </si>
  <si>
    <t xml:space="preserve">  Ingresos Perú (MM PEN)</t>
  </si>
  <si>
    <t xml:space="preserve">  Ocupación Colombia</t>
  </si>
  <si>
    <t>[S] hacia 2,1%, punto medio Nota 11 (0,8%–3,4%)</t>
  </si>
  <si>
    <t xml:space="preserve">  Ingresos Colombia (MM COP)</t>
  </si>
  <si>
    <t>Gran Plaza (escenario, fuera del caso base)</t>
  </si>
  <si>
    <t xml:space="preserve">  Incluir Gran Plaza (1 = sí)</t>
  </si>
  <si>
    <t>Interruptor</t>
  </si>
  <si>
    <t xml:space="preserve">  Año de cierre (aporta medio año)</t>
  </si>
  <si>
    <t>[S] fecha de cierre no informada; verificar hecho esencial CMF</t>
  </si>
  <si>
    <t xml:space="preserve">  Valor empresa (MM COP)</t>
  </si>
  <si>
    <t>Release 2T26, carta y lámina "Adquisición Gran Plaza"</t>
  </si>
  <si>
    <t xml:space="preserve">  Cap rate de la transacción (sobre NOI UDM)</t>
  </si>
  <si>
    <t xml:space="preserve">  Margen NOI/ingresos supuesto</t>
  </si>
  <si>
    <t>[S] = margen EBITDA UDM de Colombia (release 2T26)</t>
  </si>
  <si>
    <t xml:space="preserve">  Ingresos Gran Plaza (MM COP)</t>
  </si>
  <si>
    <t>NOI implícito = VE × cap rate (≈110.700 MM COP), indexado a IPC Colombia</t>
  </si>
  <si>
    <t>Consolidado (MM CLP)</t>
  </si>
  <si>
    <t xml:space="preserve">  Chile</t>
  </si>
  <si>
    <t xml:space="preserve">  Perú</t>
  </si>
  <si>
    <t xml:space="preserve">  Colombia (incl. Gran Plaza si se activa)</t>
  </si>
  <si>
    <t xml:space="preserve">  Eliminaciones / ajuste a consolidado (% de la suma)</t>
  </si>
  <si>
    <t>C / S</t>
  </si>
  <si>
    <t>2026 = 1S26 (339.530 consolidado vs 340.019 suma de segmentos) [C]; luego 0 [S]</t>
  </si>
  <si>
    <t>Ingresos ordinarios consolidados</t>
  </si>
  <si>
    <t>Crecimiento ingresos consolidados (CLP)</t>
  </si>
  <si>
    <t>Consenso ingresos (Bloomberg DES, MM CLP)</t>
  </si>
  <si>
    <t>Bloomberg DES 27-09-2026 (699,79 y 770,37 mil MM CLP)</t>
  </si>
  <si>
    <t>Modelo vs consenso</t>
  </si>
  <si>
    <t>E. EBITDA</t>
  </si>
  <si>
    <t>Margen EBITDA Chile</t>
  </si>
  <si>
    <t>[S] ~promedio 2024 (79,5%) y UDM 2T26 (80,4%); no se extrapola el máximo</t>
  </si>
  <si>
    <t>Margen EBITDA Perú</t>
  </si>
  <si>
    <t>[S] UDM 2T26 83,5%; 2024 pro forma 78,9% (antes de integrar Open Plaza)</t>
  </si>
  <si>
    <t>Margen EBITDA Colombia</t>
  </si>
  <si>
    <t>[S] UDM 2T26 75,1%; 2024 67,7% (rampa de Cali)</t>
  </si>
  <si>
    <t>Gran Plaza, si se activa, entra con el margen de Colombia (la diferencia con el NOI es menor)</t>
  </si>
  <si>
    <t>Margen EBITDA consolidado</t>
  </si>
  <si>
    <t>F. FFO y utilidad distribuible</t>
  </si>
  <si>
    <t>Costo financiero neto / deuda financiera neta de apertura</t>
  </si>
  <si>
    <t>[C] 1S26 anualizado: (31.976 − 12.006) × 2 / DFN promedio dic-25–jun-26 = 3,08%; se mantiene [S]. Deuda nueva en UF a ~4,2% lo subiría marginalmente</t>
  </si>
  <si>
    <t>Costo financiero neto</t>
  </si>
  <si>
    <t>Impuesto corriente / (EBITDA − costo financiero neto)</t>
  </si>
  <si>
    <t>2026 = 1S26 (41.987 / 250.603) [C]; converge a 27% hacia 2030 a medida que se agotan beneficios tributarios [S] (WP §63.1; verificar Nota 13)</t>
  </si>
  <si>
    <t>Impuesto corriente</t>
  </si>
  <si>
    <t>FFO consolidado</t>
  </si>
  <si>
    <t>Participación de minoritarios en el FFO</t>
  </si>
  <si>
    <t>1S26: 2.350 / 208.616 (release 2T26)</t>
  </si>
  <si>
    <t>FFO atribuible (definición compañía)</t>
  </si>
  <si>
    <t>FFO atribuible por acción (CLP)</t>
  </si>
  <si>
    <t>Deuda en UF / deuda financiera bruta</t>
  </si>
  <si>
    <t>Release 2T26 (79% UF); se mantiene [S]</t>
  </si>
  <si>
    <t>Caja (se mantiene constante)</t>
  </si>
  <si>
    <t>jun-26 [R]; constante [S]: la deuda bruta = DFN + caja</t>
  </si>
  <si>
    <t>Reajuste UF de la deuda (costo devengado, no caja)</t>
  </si>
  <si>
    <t>Deuda UF de apertura × IPC Chile (proxy de la UF). 2025A real: 43.825</t>
  </si>
  <si>
    <t>Utilidad distribuible normalizada (proxy = FFO atribuible − reajuste UF)</t>
  </si>
  <si>
    <t>Calibración del proxy: 2025 → 405.300 − 43.825 = 361.475 vs 369.312 reportado (−2,1%); 2024 → 249.962 vs 238.305 (+4,9%)</t>
  </si>
  <si>
    <t>Consenso EPS (CLP) — referencia</t>
  </si>
  <si>
    <t>Bloomberg DES 27-09-2026. Incluye revalorización: comparar con la utilidad reportada (fila siguiente bloque G)</t>
  </si>
  <si>
    <t>G. Capex, revalorización y deuda neta</t>
  </si>
  <si>
    <t>Capex de proyectos (MMUSD, inversión remanente a jun-26 repartida linealmente hasta el año de apertura final)</t>
  </si>
  <si>
    <t>Release 2T26, láminas 12–14. Peso 2026 = medio año. Columna B = año de apertura final</t>
  </si>
  <si>
    <t xml:space="preserve">  Mallplaza Trébol — remanente 100.4 MMUSD</t>
  </si>
  <si>
    <t xml:space="preserve">  Mallplaza Oeste — remanente 37.6 MMUSD</t>
  </si>
  <si>
    <t xml:space="preserve">  Mallplaza Norte — remanente 27.8 MMUSD</t>
  </si>
  <si>
    <t xml:space="preserve">  Mallplaza Trujillo — remanente 43.1 MMUSD</t>
  </si>
  <si>
    <t xml:space="preserve">  Mallplaza La Serena — remanente 69.6 MMUSD</t>
  </si>
  <si>
    <t xml:space="preserve">  Mallplaza Piura — remanente 27.0 MMUSD</t>
  </si>
  <si>
    <t xml:space="preserve">  Open Plaza La Marina — remanente 55.3 MMUSD</t>
  </si>
  <si>
    <t xml:space="preserve">  Mallplaza Angamos — remanente 66.9 MMUSD</t>
  </si>
  <si>
    <t xml:space="preserve">  Transformación Los Dominicos — remanente 11.2 MMUSD</t>
  </si>
  <si>
    <t xml:space="preserve">  Transformación Atocongo — remanente 3.5 MMUSD</t>
  </si>
  <si>
    <t xml:space="preserve">  Proyectos ya abiertos (remanente) — remanente 2.6 MMUSD</t>
  </si>
  <si>
    <t xml:space="preserve">  Otros proyectos Chile — 134 MMUSD (solo si el interruptor = 1)</t>
  </si>
  <si>
    <t>Capex de proyectos (MMUSD)</t>
  </si>
  <si>
    <t>Capex de proyectos (MM CLP)</t>
  </si>
  <si>
    <t>2026: USDCLP promedio 2S26E</t>
  </si>
  <si>
    <t>Mantención + TI / ingresos</t>
  </si>
  <si>
    <t>[S] entre 2024 (~4,8%: 25,2 MMUSD) y UDM 2T26 (~6,6%: 50,2 MMUSD), release 2T26 lámina 30</t>
  </si>
  <si>
    <t>Capex de mantención + TI (MM CLP)</t>
  </si>
  <si>
    <t>2026: solo 2S26</t>
  </si>
  <si>
    <t>Capex real 1S26 (todas las categorías)</t>
  </si>
  <si>
    <t>Precio Gran Plaza (MM CLP, si se activa)</t>
  </si>
  <si>
    <t>Capex total + adquisiciones</t>
  </si>
  <si>
    <t>Payout sobre utilidad distribuible</t>
  </si>
  <si>
    <t>Política 40% (Inputs)</t>
  </si>
  <si>
    <t>Dividendos pagados (payout × distribuible del año anterior)</t>
  </si>
  <si>
    <t>[S] desfase de un año; 1S26 real pagado: 87.617</t>
  </si>
  <si>
    <t>Deuda financiera neta al cierre</t>
  </si>
  <si>
    <t>DFN(t) = DFN(t−1) − FFO consolidado + capex + dividendos + reajuste UF. Sin capital de trabajo ni dividendos a minoritarios [S]</t>
  </si>
  <si>
    <t>DFN / EBITDA</t>
  </si>
  <si>
    <t>Inflación ponderada por PI (Chile, Perú, Colombia)</t>
  </si>
  <si>
    <t>Pesos de PI jun-26 (E7)</t>
  </si>
  <si>
    <t>Revalorización de PI (bruta)</t>
  </si>
  <si>
    <t>Regla Forecast_link [S]: tasas de descuento constantes → PI × inflación. 2026 = 1S26 real (otros ingresos 216.606, proxy) + PI jun-26 × inflación / 2</t>
  </si>
  <si>
    <t>Impuesto diferido sobre revalorización</t>
  </si>
  <si>
    <t>[S] tasa Chile 27%</t>
  </si>
  <si>
    <t>Revalorización neta de impuesto diferido, atribuible</t>
  </si>
  <si>
    <t>Propiedades de inversión al cierre</t>
  </si>
  <si>
    <t>Todo el capex se capitaliza en PI [S]. Sin efecto de conversión de Perú/Colombia (ORI = 0) [S]</t>
  </si>
  <si>
    <t>Otros activos (constantes en el nivel de jun-26)</t>
  </si>
  <si>
    <t>Activos totales jun-26 7.985.701 − PI 7.309.810 [C]; constantes [S]</t>
  </si>
  <si>
    <t>Total activos al cierre</t>
  </si>
  <si>
    <t>LTV (DFN / PI)</t>
  </si>
  <si>
    <t>Utilidad atribuible reportada (distribuible + revalorización neta)</t>
  </si>
  <si>
    <t>EPS reportado implícito (CLP)</t>
  </si>
  <si>
    <t>EPS modelo vs consenso</t>
  </si>
  <si>
    <t>Forecast_link — insumos proyectados 2026E–2031E (vinculados a la hoja Forecast)</t>
  </si>
  <si>
    <t>Vinculado a la hoja Forecast (motor operativo). Si valuation mantiene un modelo propio, reemplazar estos vínculos por sus cifras: deben ser idénticas a las del DCF/NAV.</t>
  </si>
  <si>
    <t>Línea (MM CLP)</t>
  </si>
  <si>
    <t>FFO atribuible</t>
  </si>
  <si>
    <t>Utilidad líquida distribuible (normalizada)</t>
  </si>
  <si>
    <t>Revalorización de PI atribuible, neta de impuesto diferido</t>
  </si>
  <si>
    <t>Otros resultados integrales atribuibles (conversión, coberturas)</t>
  </si>
  <si>
    <t>Regla de proyección de la revalorización [S, a decidir con valuation]: con tasas de descuento constantes, la PI crece por indexación + capex; la revalorización = PI inicial × inflación de largo plazo, neta de impuesto diferido. Cualquier compresión de tasas debe ser explícita y consistente con el escenario del DCF.</t>
  </si>
  <si>
    <t>Patrimonio proyectado: E1 lo calcula por roll-forward = patrimonio previo + utilidad reportada − payout × utilidad distribuible + ORI.</t>
  </si>
  <si>
    <t>FCFF y DCF — interfaz forecast (supuestos de financial analysis) ↔ valuation (WACC, g, cap rate de salida)</t>
  </si>
  <si>
    <t>Fecha de valorización: 30-06-2026 (coincide con la última DFN y minoritarios reportados). Para llevar a la fecha de corte (D1), capitalizar el patrimonio al costo del patrimonio y restar dividendos pagados en el intermedio.</t>
  </si>
  <si>
    <t>Amarillo = inputs que entrega valuation. Flujos en CLP nominales → la WACC debe ser nominal en CLP. Celdas vacías dejan el bloque de resultado en blanco; la grilla de sensibilidad funciona sin inputs.</t>
  </si>
  <si>
    <t>A. Inputs de valuation</t>
  </si>
  <si>
    <t>WACC nominal CLP</t>
  </si>
  <si>
    <t>Valuation [S]. Debe ser nominal en CLP (BCP + ERP + riesgo país ponderado), consistente con flujos en CLP</t>
  </si>
  <si>
    <t>Crecimiento terminal nominal (g)</t>
  </si>
  <si>
    <t>Valuation [S]. Referencia: inflación LP Chile 3,0% + crecimiento real 0%–1% (Nota 11)</t>
  </si>
  <si>
    <t>Retorno sobre nueva inversión en perpetuidad (RONIC)</t>
  </si>
  <si>
    <t>[S] Si se deja vacío = WACC (el crecimiento terminal no crea valor; supuesto neutral)</t>
  </si>
  <si>
    <t>Cap rate de salida (sobre EBITDA 2032E)</t>
  </si>
  <si>
    <t>Valuation [S]. Referencias: Gran Plaza 9,4% (2026); WACC real Nota 11 Chile ~5,5%</t>
  </si>
  <si>
    <t>RONIC usado</t>
  </si>
  <si>
    <t>DFN 30-06-2026 (definición compañía)</t>
  </si>
  <si>
    <t>[R] Release 2T26 / Análisis Razonado 1S26</t>
  </si>
  <si>
    <t>Participaciones no controladoras (libro) 30-06-2026</t>
  </si>
  <si>
    <t>[R] Release 2T26, estado de situación. Libro como proxy del valor de mercado [S]</t>
  </si>
  <si>
    <t>Acciones (MM)</t>
  </si>
  <si>
    <t>Precio de referencia (CLP)</t>
  </si>
  <si>
    <t>[R] Bloomberg DES, impresión 27-09-2026. Reemplazar por el precio de la fecha de corte (D1)</t>
  </si>
  <si>
    <t>EBITDA 1S26 real (para aislar el 2S26)</t>
  </si>
  <si>
    <t>[R] Release 2T26</t>
  </si>
  <si>
    <t>B. Flujo de caja libre de la firma (MM CLP)</t>
  </si>
  <si>
    <t>EBITDA</t>
  </si>
  <si>
    <t>2S26E = EBITDA 2026E (Forecast) − 1S26 real</t>
  </si>
  <si>
    <t>Impuesto operativo en caja (tasa del forecast × EBITDA)</t>
  </si>
  <si>
    <t>Misma tasa de impuesto en caja del forecast, aplicada sin escudo de intereses (flujo desapalancado) [S]</t>
  </si>
  <si>
    <t>2S26E = capex de proyectos + mantención del 2S26 (Forecast). Sin greenfield ni capex de crecimiento post-2028 (ver anexo)</t>
  </si>
  <si>
    <t>Variación de capital de trabajo</t>
  </si>
  <si>
    <t>Δ capital de trabajo = 0 [S], declarado en el anexo</t>
  </si>
  <si>
    <t>FCFF</t>
  </si>
  <si>
    <t>Período de descuento (años, mitad de período)</t>
  </si>
  <si>
    <t>Mitad de período: 2S26 a 0,25 años; luego mitad de cada año desde el 30-06-2026</t>
  </si>
  <si>
    <t>Factor de descuento</t>
  </si>
  <si>
    <t>Valor presente del FCFF</t>
  </si>
  <si>
    <t>C. Valor terminal y valor por acción</t>
  </si>
  <si>
    <t>Gordon</t>
  </si>
  <si>
    <t>Cap rate salida</t>
  </si>
  <si>
    <t>NOPAT 2032E = EBITDA 2031E × (1+g) × (1 − tasa 2031E)</t>
  </si>
  <si>
    <t>EBITDA ≈ EBIT (D&amp;A 2025: 3.610) → NOPAT ≈ EBITDA × (1 − t). Tasa terminal = 27%</t>
  </si>
  <si>
    <t>Tasa de reinversión terminal = (g − IPC LP Chile) / RONIC</t>
  </si>
  <si>
    <t>Value driver: VT = NOPAT × (1 − reinversión) / (WACC − g). Solo el crecimiento REAL exige reinversión: la parte de inflación llega por la indexación de los contratos (UF/IPC) sin capex. Corrige que el forecast no tenga reinversión post-2028</t>
  </si>
  <si>
    <t>Valor terminal al 31-12-2031</t>
  </si>
  <si>
    <t>Gordon: perpetuidad con reinversión explícita. Cap rate: EBITDA 2032E / cap rate (EBITDA incluye gastos corporativos → conservador vs NOI)</t>
  </si>
  <si>
    <t>Valor presente del valor terminal (5,5 años)</t>
  </si>
  <si>
    <t>Valor presente FCFF explícito</t>
  </si>
  <si>
    <t>Valor empresa</t>
  </si>
  <si>
    <t>− DFN</t>
  </si>
  <si>
    <t>− Minoritarios</t>
  </si>
  <si>
    <t>Valor del patrimonio</t>
  </si>
  <si>
    <t>Valor por acción (CLP)</t>
  </si>
  <si>
    <t>Upside vs precio de referencia</t>
  </si>
  <si>
    <t>Chequeo: valor terminal / valor empresa</t>
  </si>
  <si>
    <t>Chequeo: EV / EBITDA 2027E implícito</t>
  </si>
  <si>
    <t>Chequeo: cap rate implícito del valor terminal (EBITDA 2032E / VT)</t>
  </si>
  <si>
    <t>Chequeo: WACC real implícita = (1+WACC)/(1+IPC LP Chile) − 1</t>
  </si>
  <si>
    <t>Debe estar cerca de la WACC real de la Nota 11 si valuation usa supuestos de mercado similares a la compañía; una diferencia grande debe explicarse</t>
  </si>
  <si>
    <t>Referencia: WACC real Nota 11 Chile jun-26 (punto medio)</t>
  </si>
  <si>
    <t>D. Sensibilidad: valor por acción (CLP), WACC nominal vs g (RONIC = WACC; reinversión solo sobre g real)</t>
  </si>
  <si>
    <t>WACC \ g</t>
  </si>
  <si>
    <t>E. Sensibilidad: valor por acción (CLP), WACC nominal vs cap rate de salida (g del EBITDA 2032E = 3%)</t>
  </si>
  <si>
    <t>WACC \ cap rate</t>
  </si>
  <si>
    <t>Grillas ilustrativas: no son el precio objetivo. El precio objetivo se calcula con la WACC y g de valuation en el bloque C.</t>
  </si>
  <si>
    <t>DCF de FCFF — Mallplaza (Plaza S.A.) · CLP nominales · fecha de valorización 30-06-2026 (2T26)</t>
  </si>
  <si>
    <t>Leyenda: azul con fondo celeste = dato observado [R] · negro = calculado [C] · fondo amarillo = supuesto [S] · fondo verde = proyección [P] (viene de la hoja Forecast) · verde = vínculo a otra hoja</t>
  </si>
  <si>
    <t>Unidad: MM CLP salvo indicación. Fuentes: EEFF dic-23 (reformulado), releases 4T24 y 2T26, Inputs, Forecast; WACC del modelo de valuation (Mall_plaza_Valuacion.xlsm, hoja FFCF).</t>
  </si>
  <si>
    <t>Ítem</t>
  </si>
  <si>
    <t>Tipo</t>
  </si>
  <si>
    <t>2022A</t>
  </si>
  <si>
    <t>2023A</t>
  </si>
  <si>
    <t>2024A</t>
  </si>
  <si>
    <t>1S26A</t>
  </si>
  <si>
    <t>Fuente / cálculo</t>
  </si>
  <si>
    <t>II–IV. Ingresos y construcción del EBITDA ajustado</t>
  </si>
  <si>
    <t>1</t>
  </si>
  <si>
    <t>R / P</t>
  </si>
  <si>
    <t>2022 reformulado (EEFF dic-23, EERR). 2023–1S26: EEFF y releases (Inputs). 2S26E = 2026E (Forecast) − 1S26 real</t>
  </si>
  <si>
    <t>2</t>
  </si>
  <si>
    <t>Crecimiento de ingresos</t>
  </si>
  <si>
    <t>2024: incluye 1 mes de Perú; 2025: 12 meses (perímetro). 2027E vs 2026E completo</t>
  </si>
  <si>
    <t>3a</t>
  </si>
  <si>
    <t>Resultado operacional (Ganancias de actividades operacionales)</t>
  </si>
  <si>
    <t>R / C</t>
  </si>
  <si>
    <t>2022–2023: EERR EEFF dic-23 (reformulado). 1S26 y 1S25 (720.093): release 2T26. 2024–2025 reconstruido desde EBITDA, D&amp;A y otros ingresos/gastos [C]</t>
  </si>
  <si>
    <t>3b</t>
  </si>
  <si>
    <t>(+) Depreciación y amortización</t>
  </si>
  <si>
    <t>R / C / S</t>
  </si>
  <si>
    <t>2022 implícita (EBITDA − ganancia bruta + GAV). 2023–2024: release 4T24. 1S26: release 2T26 (1.382 + 1.611). Proyección: D&amp;A/ingresos LTM [S]</t>
  </si>
  <si>
    <t>3</t>
  </si>
  <si>
    <t>EBITDA contable (incluye revalorización de PI)</t>
  </si>
  <si>
    <t>Resultado operacional + D&amp;A. Es el "EBITDA" que entregan algunas bases de datos (trampa 1 del WP: campo EBITDA de Bloomberg)</t>
  </si>
  <si>
    <t>4a</t>
  </si>
  <si>
    <t>(−) Otros ingresos por función (revalorización de PI a valor razonable)</t>
  </si>
  <si>
    <t>Valor razonable: 2022 79.489, 2025 1.447.136 (Inputs); el resto son ingresos menores no recurrentes. 1S25: 471.020 (release 2T26). Proyección: regla de Forecast</t>
  </si>
  <si>
    <t>4b</t>
  </si>
  <si>
    <t>(+) Otros gastos por función (no recurrentes)</t>
  </si>
  <si>
    <t>Release 4T24 / 2T26; proyección 0 [S]</t>
  </si>
  <si>
    <t>5</t>
  </si>
  <si>
    <t>EBITDA ajustado (= EBITDA definición compañía)</t>
  </si>
  <si>
    <t>C / P</t>
  </si>
  <si>
    <t>EBITDA que entra al DCF: excluye la revalorización (no caja). 2S26E = 2026E − 1S26</t>
  </si>
  <si>
    <t>5b</t>
  </si>
  <si>
    <t>Control: EBITDA ajustado − EBITDA reportado por la compañía</t>
  </si>
  <si>
    <t>Debe ser 0 (±1 por redondeo): el ajuste reproduce exactamente el EBITDA que publica la compañía</t>
  </si>
  <si>
    <t>5c</t>
  </si>
  <si>
    <t>Margen EBITDA ajustado</t>
  </si>
  <si>
    <t>6</t>
  </si>
  <si>
    <t>D&amp;A / ingresos</t>
  </si>
  <si>
    <t>Se usa para proyectar D&amp;A [S]</t>
  </si>
  <si>
    <t>7</t>
  </si>
  <si>
    <t>EBIT (EBITDA ajustado − D&amp;A)</t>
  </si>
  <si>
    <t>V. Construcción del FCFF (2S26E–2031E)</t>
  </si>
  <si>
    <t>8a</t>
  </si>
  <si>
    <t>Tasa de impuesto operacional</t>
  </si>
  <si>
    <t>S / P</t>
  </si>
  <si>
    <t>Trayectoria de impuesto en caja del forecast (16,8% → 27%) [S]. Alternativa: tasa legal ponderada 28,22% (FFCF!J37 del modelo de valuation)</t>
  </si>
  <si>
    <t>8</t>
  </si>
  <si>
    <t>(−) Impuestos operacionales sobre EBIT</t>
  </si>
  <si>
    <t>Sobre EBIT, sin escudo de intereses (flujo desapalancado)</t>
  </si>
  <si>
    <t>9</t>
  </si>
  <si>
    <t>NOPAT</t>
  </si>
  <si>
    <t>10</t>
  </si>
  <si>
    <t>(+) D&amp;A</t>
  </si>
  <si>
    <t>11</t>
  </si>
  <si>
    <t>(−) Capex</t>
  </si>
  <si>
    <t>Proyectos remanentes (release 2T26) + mantención/TI 5,5% de ingresos. 2S26E excluye el capex real del 1S26 (ya pagado antes de la fecha de valorización). Sin greenfield ni Gran Plaza</t>
  </si>
  <si>
    <t>12</t>
  </si>
  <si>
    <t>(−/+) Variación de capital de trabajo</t>
  </si>
  <si>
    <t>ΔNWC = 0 [S], declarado en el anexo</t>
  </si>
  <si>
    <t>13</t>
  </si>
  <si>
    <t>NOPAT + D&amp;A − capex − ΔNWC</t>
  </si>
  <si>
    <t>VI–VIII. Descuento</t>
  </si>
  <si>
    <t>14</t>
  </si>
  <si>
    <t>WACC nominal CLP (modelo de valuation)</t>
  </si>
  <si>
    <t>FFCF!B120 = 10,03% (Mall_plaza_Valuacion.xlsm). Se respeta; ver auditoría abajo antes de usarla como definitiva</t>
  </si>
  <si>
    <t>15a</t>
  </si>
  <si>
    <t>Período de descuento (años desde 30-06-2026, mitad de período)</t>
  </si>
  <si>
    <t>Convención de mitad de período</t>
  </si>
  <si>
    <t>15</t>
  </si>
  <si>
    <t>1 / (1 + WACC)^t</t>
  </si>
  <si>
    <t>16</t>
  </si>
  <si>
    <t>VII. Valor terminal (Gordon)</t>
  </si>
  <si>
    <t>17a</t>
  </si>
  <si>
    <t>Crecimiento perpetuo nominal (g)</t>
  </si>
  <si>
    <t>[S] = meta de inflación BCCh (3%): crecimiento real 0% a perpetuidad, coherente con un FCFF terminal sin capex de crecimiento. Rango Nota 11: 0,1%–1,1% real</t>
  </si>
  <si>
    <t>17b</t>
  </si>
  <si>
    <t>FCFF 2032E = FCFF 2031E × (1 + g)</t>
  </si>
  <si>
    <t>17</t>
  </si>
  <si>
    <t>Valor terminal al 31-12-2031 = FCFF 2032E / (WACC − g)</t>
  </si>
  <si>
    <t>18</t>
  </si>
  <si>
    <t>Valor presente del VT = VT / (1 + WACC)^5,5</t>
  </si>
  <si>
    <t>IX. Enterprise Value → Equity Value</t>
  </si>
  <si>
    <t>19a</t>
  </si>
  <si>
    <t>Suma VP FCFF explícito</t>
  </si>
  <si>
    <t>19</t>
  </si>
  <si>
    <t>Enterprise Value</t>
  </si>
  <si>
    <t>20a</t>
  </si>
  <si>
    <t>(−) Deuda financiera neta 30-06-2026</t>
  </si>
  <si>
    <t>Release 2T26 / Análisis Razonado 1S26 (1.285.740)</t>
  </si>
  <si>
    <t>20b</t>
  </si>
  <si>
    <t>(−) Participaciones no controladoras (libro) 30-06-2026</t>
  </si>
  <si>
    <t>Release 2T26, estado de situación. Libro como proxy [S]</t>
  </si>
  <si>
    <t>21</t>
  </si>
  <si>
    <t>Equity Value</t>
  </si>
  <si>
    <t>22a</t>
  </si>
  <si>
    <t>22</t>
  </si>
  <si>
    <t>22b</t>
  </si>
  <si>
    <t>Precio implícito en el modelo de valuation (CLP)</t>
  </si>
  <si>
    <t>FFCF!G26: market cap 7.905.900 MM CLP / 2.190 MM acciones</t>
  </si>
  <si>
    <t>22c</t>
  </si>
  <si>
    <t>Diferencia vs precio</t>
  </si>
  <si>
    <t>X. Chequeos</t>
  </si>
  <si>
    <t>X1</t>
  </si>
  <si>
    <t>VP del valor terminal / EV</t>
  </si>
  <si>
    <t>X2</t>
  </si>
  <si>
    <t>EV / EBITDA ajustado LTM</t>
  </si>
  <si>
    <t>X3</t>
  </si>
  <si>
    <t>Cap rate implícito del VT = EBITDA 2032E / VT</t>
  </si>
  <si>
    <t>Referencias: Gran Plaza 9,4% (2026); EBITDA LTM / PI jun-26 = 7,5%</t>
  </si>
  <si>
    <t>X4</t>
  </si>
  <si>
    <t>EV / Propiedades de inversión jun-26 (NAV contable)</t>
  </si>
  <si>
    <t>&lt; 1 = el DCF vale menos que la tasación de la propia compañía</t>
  </si>
  <si>
    <t>X5</t>
  </si>
  <si>
    <t>EV de mercado implícito / PI jun-26</t>
  </si>
  <si>
    <t>Sensibilidad: valor por acción (CLP) — WACC (filas) vs g (columnas)</t>
  </si>
  <si>
    <t>Sensibilidad: valor por acción (CLP) — WACC vs tasa de impuesto del año terminal (g = 3%)</t>
  </si>
  <si>
    <t>Auditoría de la WACC del modelo de valuation (FFCF) — no se reemplaza; observaciones para el equipo</t>
  </si>
  <si>
    <t>Rf</t>
  </si>
  <si>
    <t>5,43% "Chile" (FFCF!E11). Confirmar instrumento: si es el BCP 10Y nominal en CLP, ya incluye riesgo país Chile → no sumar CRP Chile (doble conteo)</t>
  </si>
  <si>
    <t>CRP</t>
  </si>
  <si>
    <t>1,41% = ponderación Chile/Perú/Colombia por ingresos. Si Rf es BCP, usar solo Perú y Colombia: 17,72%×1,55% + 10,52%×3,70% ≈ 0,66%</t>
  </si>
  <si>
    <t>Kd</t>
  </si>
  <si>
    <t>3,60% "última emisión": es tasa REAL en UF. En una WACC nominal CLP debe ser nominal: (1,036)(1+inflación LP 3%) − 1 ≈ 6,7%</t>
  </si>
  <si>
    <t>Escudo fiscal</t>
  </si>
  <si>
    <t>FFCF!B120 = E/V×Ke + D/V×Kd: falta (1 − t), aunque la fórmula de B7 lo incluye</t>
  </si>
  <si>
    <t>Betas</t>
  </si>
  <si>
    <t>Costa Verde (0,025) e IRSA (0,427) son atípicas; la mediana las neutraliza, pero conviene excluirlas y justificarlo</t>
  </si>
  <si>
    <t>Fecha</t>
  </si>
  <si>
    <t>FFCF dice "hasta 30 septiembre"; el DCF y la DFN están al 30-06-2026. Alinear (D1)</t>
  </si>
  <si>
    <t>Plantilla</t>
  </si>
  <si>
    <t>Las hojas de estados del .xlsm son la plantilla Bloomberg XFA sin datos (ticker FCX US, USD). Si se refrescan, cambiar a MALLPLAZ CI y CLP</t>
  </si>
  <si>
    <t>Ilustrativo</t>
  </si>
  <si>
    <t>Con Rf BCP 5,43%, CRP 0,66%, Kd nominal 6,7% y escudo 27%: Ke ≈ 10,56%, WACC ≈ 9,6%. Solo referencia; la WACC la define valuation</t>
  </si>
  <si>
    <t>Peers — Bloomberg FA, datos declarados (ARD), MM CLP. Export 28-09-2026 (WP §85)</t>
  </si>
  <si>
    <t>Azul = dato [R] de Bloomberg (verificar contra EEFF CMF 2025); negro = cálculo [C]. Método de revalorización distinto por par (ver notas). Validación: ROE reportado = §56 en los 8 años.</t>
  </si>
  <si>
    <t>Parque Arauco (PARAUCO CI)</t>
  </si>
  <si>
    <t>2021</t>
  </si>
  <si>
    <t>2022</t>
  </si>
  <si>
    <t>2023</t>
  </si>
  <si>
    <t>2024</t>
  </si>
  <si>
    <t>2025</t>
  </si>
  <si>
    <t>Campo Bloomberg</t>
  </si>
  <si>
    <t>Ingresos</t>
  </si>
  <si>
    <t>ARD_REVENUES</t>
  </si>
  <si>
    <t>ARD_REF_EBITDA_IS</t>
  </si>
  <si>
    <t>Resultado operacional</t>
  </si>
  <si>
    <t>ARD_OPERATING_INCOME</t>
  </si>
  <si>
    <t>D&amp;A</t>
  </si>
  <si>
    <t>ARDR_DEPRECIATION_AMORTIZATION</t>
  </si>
  <si>
    <t>Utilidad atribuible</t>
  </si>
  <si>
    <t>ARD_NET_INC</t>
  </si>
  <si>
    <t>Utilidad antes de minoritarios</t>
  </si>
  <si>
    <t>ARD_PROF_AFTER_TAX_BEF_MINORITY</t>
  </si>
  <si>
    <t>ARD_TOTAL_PROPERTY_INVESTMENTS (excluye negocios conjuntos)</t>
  </si>
  <si>
    <t>ARD_TOT_SHARE_EQY_EXCL_MINORITY</t>
  </si>
  <si>
    <t>Préstamos corto plazo</t>
  </si>
  <si>
    <t>ARD_ST_BORROW</t>
  </si>
  <si>
    <t>Deuda largo plazo</t>
  </si>
  <si>
    <t>ARD_LT_DEBT</t>
  </si>
  <si>
    <t>Efectivo y equivalentes</t>
  </si>
  <si>
    <t>ARD_CASH_AND_EQUIVALENTS</t>
  </si>
  <si>
    <t>Activos totales</t>
  </si>
  <si>
    <t>ARD_TOT_ASSETS</t>
  </si>
  <si>
    <t>Cencosud Shopping (CENCOMAL CI)</t>
  </si>
  <si>
    <t>ARDR_ADJUSTED_EBITDA_MARGIN (no hay ARD_REF_EBITDA_IS en el export)</t>
  </si>
  <si>
    <t>Otro (ingreso)/gasto operacional neto (negativo = ganancia)</t>
  </si>
  <si>
    <t>ARD_OTH_OPERATING_INC_EXP_NET</t>
  </si>
  <si>
    <t>ARD_TOTAL_PROPERTY_INVESTMENTS</t>
  </si>
  <si>
    <t>Tasa de impuesto para normalizar [S] (legal Chile)</t>
  </si>
  <si>
    <t>Cálculos [C]</t>
  </si>
  <si>
    <t>PA — Margen EBITDA</t>
  </si>
  <si>
    <t>PA — Revalorización (residuo: res. operacional − (EBITDA − D&amp;A))</t>
  </si>
  <si>
    <t>PA — % atribuible a la controladora (utilidad)</t>
  </si>
  <si>
    <t>PA — Utilidad atribuible normalizada</t>
  </si>
  <si>
    <t>PA — Patrimonio atribuible promedio</t>
  </si>
  <si>
    <t>PA — ROE reportado</t>
  </si>
  <si>
    <t>PA — ROE normalizado</t>
  </si>
  <si>
    <t>PA — Revalorización / PI de apertura</t>
  </si>
  <si>
    <t>PA — EBITDA / PI de cierre</t>
  </si>
  <si>
    <t>PA — LTV (deuda neta / PI)</t>
  </si>
  <si>
    <t>PA — Deuda neta / EBITDA</t>
  </si>
  <si>
    <t>PA — Activos / patrimonio atribuible</t>
  </si>
  <si>
    <t>CS — EBITDA (ingresos × margen ajustado)</t>
  </si>
  <si>
    <t>CS — Revalorización (= −otro ingreso/gasto operacional neto)</t>
  </si>
  <si>
    <t>CS — Utilidad atribuible normalizada</t>
  </si>
  <si>
    <t>CS — Patrimonio atribuible promedio</t>
  </si>
  <si>
    <t>CS — ROE reportado</t>
  </si>
  <si>
    <t>CS — ROE normalizado</t>
  </si>
  <si>
    <t>CS — Revalorización / PI de apertura</t>
  </si>
  <si>
    <t>CS — EBITDA / PI de cierre</t>
  </si>
  <si>
    <t>CS — LTV (deuda neta / PI)</t>
  </si>
  <si>
    <t>CS — Deuda neta / EBITDA</t>
  </si>
  <si>
    <t>CS — Activos / patrimonio atribuible</t>
  </si>
  <si>
    <t>Control: ROE reportado debe ser PA 9,09% / 9,19% / 8,73% / 9,81% y CS 6,81% / 6,91% / 9,58% / 10,45% (Bloomberg FA Ratios, WP §56).</t>
  </si>
  <si>
    <t>PA: la revalorización es un residuo; puede incluir otras partidas operacionales menores. Atribución por proporción de la utilidad [S]. La PI excluye negocios conjuntos (inversión por método de participación 209.196 en 2025): sobrestima LTV y DN/EBITDA.</t>
  </si>
  <si>
    <t>Mallplaza se normaliza con su utilidad distribuible auditada (Nota 20e), no con la tasa legal: diferencia de método declarada (WP §85.1).</t>
  </si>
  <si>
    <t>Pendiente: validar contra EEFF 2025 de ambos pares (CMF) y extraer sus tasas de descuento de la nota de PI (WP §88, #2/#19).</t>
  </si>
  <si>
    <t>Exhibit 1 — Operating record and DuPont: 2019A–2031E</t>
  </si>
  <si>
    <t>Bloque A (indiferente al régimen contable): 2019A–2025A + LTM. Bloque B (balance a valor razonable): 2022A en adelante; 2019–2021 no comparables (modelo del costo, WP §3). Proyecciones: hoja Forecast_link.</t>
  </si>
  <si>
    <t>A. Operating record (MM CLP)</t>
  </si>
  <si>
    <t>2019A</t>
  </si>
  <si>
    <t>2020A</t>
  </si>
  <si>
    <t>2021A</t>
  </si>
  <si>
    <t>Margen EBITDA</t>
  </si>
  <si>
    <t>Margen FFO</t>
  </si>
  <si>
    <t>2022: ingresos EEFF reformulados (370.899); el FFO de la compañía usa 383.864 (base costo) → margen 59,0% vs 57,0% reportado (WP §28).</t>
  </si>
  <si>
    <t>B. DuPont (fair-value balance sheet)</t>
  </si>
  <si>
    <t>Utilidad atribuible reportada</t>
  </si>
  <si>
    <t>Utilidad distribuible (normalizada)</t>
  </si>
  <si>
    <t>Patrimonio atribuible al cierre</t>
  </si>
  <si>
    <t>Apertura 2022A (reformulada 01-01-2022)</t>
  </si>
  <si>
    <t xml:space="preserve">  patrimonio apertura 2022A</t>
  </si>
  <si>
    <t>Activos promedio</t>
  </si>
  <si>
    <t>Patrimonio atribuible promedio</t>
  </si>
  <si>
    <t>Margen neto reportado</t>
  </si>
  <si>
    <t>n.c.</t>
  </si>
  <si>
    <t>Margen neto normalizado</t>
  </si>
  <si>
    <t>Rotación de activos</t>
  </si>
  <si>
    <t>Apalancamiento (activos / patrimonio)</t>
  </si>
  <si>
    <t>ROE reportado</t>
  </si>
  <si>
    <t>ROE normalizado</t>
  </si>
  <si>
    <t>ROA reportado</t>
  </si>
  <si>
    <t>ROA normalizado</t>
  </si>
  <si>
    <t>Controles: ROE reportado 2024A = 11,67% y 2025A = 37,46% (Bloomberg). Identidad DuPont: margen × rotación × apalancamiento = ROE.</t>
  </si>
  <si>
    <t>n.c. = no comparable (modelo del costo hasta 2021; NIC 8 reformula solo desde 01-01-2022).</t>
  </si>
  <si>
    <t>2022A–2023A con EEFF dic-23 reformulado: utilidad 2022 = 157.667 (no 66.445 base costo); distribuible 2023 = 197.540 [R, Nota 21e]; distribuible 2022 = 95.856 [C, proxy]. Payout 2023 sobre distribuible = 40,0%, en línea con la política.</t>
  </si>
  <si>
    <t>LTM 2T26 no se calcula en el bloque B: exige balance de jun-25 (EEFF jun-25, pendiente). La compañía reporta ROE LTM 28,6% con otra definición (patrimonio total, promedio de 4 trimestres).</t>
  </si>
  <si>
    <t>C. Peers — same normalization (WP §85)</t>
  </si>
  <si>
    <t>ROE normalizado — Mallplaza</t>
  </si>
  <si>
    <t>ROE normalizado — Parque Arauco</t>
  </si>
  <si>
    <t>ROE normalizado — Cencosud Shopping</t>
  </si>
  <si>
    <t>ROE reportado — Mallplaza</t>
  </si>
  <si>
    <t>ROE reportado — Parque Arauco</t>
  </si>
  <si>
    <t>ROE reportado — Cencosud Shopping</t>
  </si>
  <si>
    <t>Revalorización / PI de apertura — Mallplaza</t>
  </si>
  <si>
    <t>n/d</t>
  </si>
  <si>
    <t>Revalorización / PI de apertura — Parque Arauco</t>
  </si>
  <si>
    <t>Revalorización / PI de apertura — Cencosud Shopping</t>
  </si>
  <si>
    <t>EBITDA / PI (yield sobre libro) — Mallplaza Chile</t>
  </si>
  <si>
    <t>EBITDA / PI (yield sobre libro) — Parque Arauco</t>
  </si>
  <si>
    <t>EBITDA / PI (yield sobre libro) — Cencosud Shopping</t>
  </si>
  <si>
    <t>Apalancamiento (activos / patrimonio) — Mallplaza</t>
  </si>
  <si>
    <t>Activos / patrimonio atribuible (cierre) — Parque Arauco</t>
  </si>
  <si>
    <t>Activos / patrimonio atribuible (cierre) — Cencosud Shopping</t>
  </si>
  <si>
    <t>Mallplaza normalizado = utilidad distribuible (Nota 20e); pares = utilidad − revalorización × (1 − 27%) [S]. Métodos distintos, declarados.</t>
  </si>
  <si>
    <t>Yield sobre libro aproximado: EBITDA consolidado / PI (incluye terrenos y proyectos); Mallplaza Chile usa resultado del segmento. Mallplaza Chile jun-26: 7,08% LTM (WP §64).</t>
  </si>
  <si>
    <t>Lectura (WP §85.3): en 2024 el libro de Mallplaza era el más conservador (yield 8,45% vs 7,5%–7,8%); la revalorización de 2025 cerró la brecha. Cierre definitivo: tasas de descuento de los pares (CMF).</t>
  </si>
  <si>
    <t>Exhibit 2 — From reported profit to FFO, FY2025 (MM CLP)</t>
  </si>
  <si>
    <t>Reconstrucción propia; reproduce el FFO de la compañía con Δ −0,02%. Participación no controladora prorrateada por utilidad [S].</t>
  </si>
  <si>
    <t>Paso</t>
  </si>
  <si>
    <t>Monto</t>
  </si>
  <si>
    <t>Base (gráfico)</t>
  </si>
  <si>
    <t>Barra (gráfico)</t>
  </si>
  <si>
    <t>(−) Otros ingresos por función (revalorización)</t>
  </si>
  <si>
    <t>(+) Otros gastos por función</t>
  </si>
  <si>
    <t>(+) Reajuste UF de la deuda</t>
  </si>
  <si>
    <t>(+) Impuesto diferido</t>
  </si>
  <si>
    <t>(−) Participación no controladora (% de la utilidad)</t>
  </si>
  <si>
    <t>FFO atribuible reconstruido</t>
  </si>
  <si>
    <t>FFO atribuible reportado (compañía)</t>
  </si>
  <si>
    <t>Diferencia</t>
  </si>
  <si>
    <t>Reajuste UF / FFO atribuible</t>
  </si>
  <si>
    <t>Nota: columnas C–D solo alimentan el gráfico de cascada (base invisible).</t>
  </si>
  <si>
    <t>Exhibit 3 — Growth: perimeter, indexation, real</t>
  </si>
  <si>
    <t>Deflactor Chile = UF promedio del período [C]. Colombia y Perú: tipo de cambio promedio (WP §82) e inflación local (WP §83). Bloque B = Exhibit 3 v1 (WP §84).</t>
  </si>
  <si>
    <t>Reported (CLP)</t>
  </si>
  <si>
    <t>Real</t>
  </si>
  <si>
    <t>Ingresos consolidados</t>
  </si>
  <si>
    <t>Chile</t>
  </si>
  <si>
    <t>Peru</t>
  </si>
  <si>
    <t xml:space="preserve">  Colombia</t>
  </si>
  <si>
    <t>Colombia</t>
  </si>
  <si>
    <t>Consolidated</t>
  </si>
  <si>
    <t>Rango auxiliar del gráfico "Reported vs real".</t>
  </si>
  <si>
    <t>UF promedio</t>
  </si>
  <si>
    <t>Crecimiento</t>
  </si>
  <si>
    <t>Consolidado nominal</t>
  </si>
  <si>
    <t>Serie</t>
  </si>
  <si>
    <t xml:space="preserve">  de lo cual: perímetro Perú (pp)</t>
  </si>
  <si>
    <t>Nominal</t>
  </si>
  <si>
    <t>Ex-Perú nominal (Chile + Colombia)</t>
  </si>
  <si>
    <t>UF</t>
  </si>
  <si>
    <t>Chile nominal</t>
  </si>
  <si>
    <t>Indexación UF (UF promedio)</t>
  </si>
  <si>
    <t>Chile real</t>
  </si>
  <si>
    <t>Colombia nominal en CLP (incluye FX)</t>
  </si>
  <si>
    <t>Perú nominal en CLP (incluye FX)</t>
  </si>
  <si>
    <t>n.m.</t>
  </si>
  <si>
    <t>Rentas variables / ingresos</t>
  </si>
  <si>
    <t>Crecimiento rentas variables</t>
  </si>
  <si>
    <t>Crecimiento ingresos no variables</t>
  </si>
  <si>
    <t>B. By country: CLP → local currency → real</t>
  </si>
  <si>
    <t>Nominal CLP</t>
  </si>
  <si>
    <t>Efecto FX</t>
  </si>
  <si>
    <t>Moneda local</t>
  </si>
  <si>
    <t>Inflación / UF</t>
  </si>
  <si>
    <t>Chile FY2025</t>
  </si>
  <si>
    <t>Chile 1S26</t>
  </si>
  <si>
    <t>Perú 1S26</t>
  </si>
  <si>
    <t>Colombia FY2024</t>
  </si>
  <si>
    <t>Colombia FY2025</t>
  </si>
  <si>
    <t>Colombia 1S26</t>
  </si>
  <si>
    <t>Consolidado 1S26 (real ponderado por ingresos FY2025)</t>
  </si>
  <si>
    <t>Perú FY2025 n.m. (perímetro: consolidado desde 04-12-2024). Chile: efecto FX = 0 por definición.</t>
  </si>
  <si>
    <t>Colombia 1S26: inflación = variación anual a jun-26 (DANE), PROXY del promedio 1S26/1S25; el real exacto quedaría ~+1% a +2%.</t>
  </si>
  <si>
    <t>Colombia FY2024–FY2025: un real de dos dígitos probablemente incluye GLA nuevo. No publicar como crecimiento same-store hasta verificar GLA por año (WP §84.2, pendiente #37).</t>
  </si>
  <si>
    <t>Exhibit 4 — Cash conversion and dividend cover (MM CLP)</t>
  </si>
  <si>
    <t>Flujo operativo según EEFF (intereses en financiación). 1S26 incluye capital de trabajo estacional (WP §61).</t>
  </si>
  <si>
    <t>Flujo operativo</t>
  </si>
  <si>
    <t>(−) Capex total</t>
  </si>
  <si>
    <t>(−) Intereses netos pagados</t>
  </si>
  <si>
    <t>Flujo libre antes de amortizar deuda</t>
  </si>
  <si>
    <t>Cobertura de dividendos (x)</t>
  </si>
  <si>
    <t>Capex / ingresos</t>
  </si>
  <si>
    <t>Flujo operativo / EBITDA</t>
  </si>
  <si>
    <t>Exhibit 5 — Leverage: three lenses and the revaluation effect</t>
  </si>
  <si>
    <t>LTV = DFN / propiedades de inversión. Contrafactual: PI dic-25 sin revalorización 2025.</t>
  </si>
  <si>
    <t>Deuda financiera neta</t>
  </si>
  <si>
    <t>LTV</t>
  </si>
  <si>
    <t>Descomposición de la caída del LTV 2024→2025</t>
  </si>
  <si>
    <t>pp</t>
  </si>
  <si>
    <t>LTV dic-24</t>
  </si>
  <si>
    <t>LTV dic-25 contrafactual (PI sin revalorización)</t>
  </si>
  <si>
    <t>Efecto menor deuda neta y adiciones</t>
  </si>
  <si>
    <t>Efecto revalorización</t>
  </si>
  <si>
    <t>LTV dic-25</t>
  </si>
  <si>
    <t>Revalorización / caída total</t>
  </si>
  <si>
    <t>ALERTA: umbral del covenant publicado inconsistente (0,4x jun-24; "0,5x" dic-24; 2,0x dic-25). No mostrar holgura hasta verificar escrituras (WP §72).</t>
  </si>
  <si>
    <t>Peers (dic-25 / FY2025)</t>
  </si>
  <si>
    <t>Mallplaza</t>
  </si>
  <si>
    <t>Parque Arauco</t>
  </si>
  <si>
    <t>Cencosud Shopping</t>
  </si>
  <si>
    <t>LTV (deuda neta / PI)</t>
  </si>
  <si>
    <t>Deuda neta / EBITDA</t>
  </si>
  <si>
    <t>Activos / patrimonio atribuible (cierre)</t>
  </si>
  <si>
    <t>Mallplaza: DFN definición covenant (Nota 26). Pares: préstamos CP + deuda LP − caja (Bloomberg). Parque Arauco excluye negocios conjuntos de la PI: LTV y DN/EBITDA sobrestimados. Para Industry más que para FA.</t>
  </si>
  <si>
    <t>Exhibit 6 — Bond maturities and coupon vs effective rate (dic-25)</t>
  </si>
  <si>
    <t>Bonos en UF, valor libro MM CLP (EEFF dic-25, Nota 14). Deuda bancaria (PEN/COP) aparte. Nunca usar DDIS (WP §54).</t>
  </si>
  <si>
    <t>Vencimiento</t>
  </si>
  <si>
    <t>Valor libro</t>
  </si>
  <si>
    <t>Cupón</t>
  </si>
  <si>
    <t>Tasa efectiva</t>
  </si>
  <si>
    <t>Año</t>
  </si>
  <si>
    <t>Vencimientos bonos</t>
  </si>
  <si>
    <t>AA</t>
  </si>
  <si>
    <t>2027</t>
  </si>
  <si>
    <t>AD</t>
  </si>
  <si>
    <t>2028</t>
  </si>
  <si>
    <t>2029</t>
  </si>
  <si>
    <t>2030</t>
  </si>
  <si>
    <t>D</t>
  </si>
  <si>
    <t>2031</t>
  </si>
  <si>
    <t>E</t>
  </si>
  <si>
    <t>2032</t>
  </si>
  <si>
    <t>U</t>
  </si>
  <si>
    <t>2033</t>
  </si>
  <si>
    <t>H</t>
  </si>
  <si>
    <t>2034</t>
  </si>
  <si>
    <t>AE</t>
  </si>
  <si>
    <t>2035</t>
  </si>
  <si>
    <t>K</t>
  </si>
  <si>
    <t>2043</t>
  </si>
  <si>
    <t>N</t>
  </si>
  <si>
    <t>2045</t>
  </si>
  <si>
    <t>Z</t>
  </si>
  <si>
    <t>2047</t>
  </si>
  <si>
    <t>AC</t>
  </si>
  <si>
    <t>Total bonos</t>
  </si>
  <si>
    <t>Deuda bancaria (PEN/COP)</t>
  </si>
  <si>
    <t>Deuda financiera total</t>
  </si>
  <si>
    <t>Control vs Nota 25 (1.579.315)</t>
  </si>
  <si>
    <t>Refinanciamiento serie S (2029) a la tasa efectiva de la AE: costo anual adicional</t>
  </si>
  <si>
    <t>Exhibit 7 — Discount rate vs the company's stated benchmark</t>
  </si>
  <si>
    <t>Benchmark = soberano USD 10Y = UST 10Y + spread país, el insumo que declara la Nota 11 (WP §15.2). WACC = punto medio del rango real después de impuestos de la Nota 11 (Nota 10 en intermedios). Fin de mes.</t>
  </si>
  <si>
    <t>Fuentes: Bloomberg HP 28-09-2026 (USGG10YR Index, USGGT10Y Index, GTUSDCL10YR, GTUSDPE10YR, Colombia USD 10Y genérico — confirmar ticker), fuente BGN para soberanos; Nota 11 EEFF dic-23 (vía dic-24), jun-24, dic-24, dic-25, jun-26 (WP §69, §81).</t>
  </si>
  <si>
    <t>Serie (fin de mes)</t>
  </si>
  <si>
    <t>jun-24</t>
  </si>
  <si>
    <t>jun-25</t>
  </si>
  <si>
    <t>Tag / fuente</t>
  </si>
  <si>
    <t>Nota 11 WACC Chile (real)</t>
  </si>
  <si>
    <t>Stated benchmark: Chile USD 10Y</t>
  </si>
  <si>
    <t>UST 10Y</t>
  </si>
  <si>
    <t>R — USGG10YR Index</t>
  </si>
  <si>
    <t>TIPS 10Y (real)</t>
  </si>
  <si>
    <t>R — USGGT10Y Index</t>
  </si>
  <si>
    <t>Chile USD 10Y</t>
  </si>
  <si>
    <t>R — GTUSDCL10YR, BGN</t>
  </si>
  <si>
    <t>Perú USD 10Y</t>
  </si>
  <si>
    <t>R — GTUSDPE10YR, BGN</t>
  </si>
  <si>
    <t>Colombia USD 10Y</t>
  </si>
  <si>
    <t>R — genérico Colombia USD 10Y, BGN [P: confirmar ticker]</t>
  </si>
  <si>
    <t>WACC Chile — mínimo</t>
  </si>
  <si>
    <t>R — Nota 11</t>
  </si>
  <si>
    <t>Rango auxiliar del gráfico: cambio acumulado desde dic-23 en pb (compara movimientos, no niveles: el WACC es real y el benchmark nominal en USD). Omite jun-25 (WACC pendiente).</t>
  </si>
  <si>
    <t>WACC Chile — máximo</t>
  </si>
  <si>
    <t>WACC Perú — mínimo</t>
  </si>
  <si>
    <t>WACC Perú — máximo</t>
  </si>
  <si>
    <t>WACC Colombia — mínimo</t>
  </si>
  <si>
    <t>WACC Colombia — máximo</t>
  </si>
  <si>
    <t>jun-25: EEFF intermedios jun-25, Nota 11 (tasas de descuento). Dic-22 (no graficado): Chile 5,97%–6,61%, Perú 5,91%–6,55%, Colombia 7,45%–8,07% (EEFF dic-23, Nota 12).</t>
  </si>
  <si>
    <t>Breakeven EE.UU. (UST − TIPS)</t>
  </si>
  <si>
    <t>Spread país Chile (Chile USD − UST)</t>
  </si>
  <si>
    <t>Spread país Perú</t>
  </si>
  <si>
    <t>Spread país Colombia</t>
  </si>
  <si>
    <t>WACC Chile — punto medio</t>
  </si>
  <si>
    <t>WACC Perú — punto medio</t>
  </si>
  <si>
    <t>WACC Colombia — punto medio</t>
  </si>
  <si>
    <t>Residuo = Δ WACC − Δ benchmark (pb)</t>
  </si>
  <si>
    <t>Perú</t>
  </si>
  <si>
    <t>2024 (dic-23 → dic-24)</t>
  </si>
  <si>
    <t>2025 (dic-24 → dic-25)</t>
  </si>
  <si>
    <t>1S26 (dic-25 → jun-26)</t>
  </si>
  <si>
    <t>Acumulado dic-23 → jun-26</t>
  </si>
  <si>
    <t>Peso en PI jun-26</t>
  </si>
  <si>
    <t>Residuo acumulado ponderado por PI (pb)</t>
  </si>
  <si>
    <t>Regla ex ante (ventana dic-24 → jun-26, WP §81.4)</t>
  </si>
  <si>
    <t>Umbral: se mantiene si el mercado explica menos de [S]</t>
  </si>
  <si>
    <t>Umbral: se reescribe si el mercado explica más de [S]</t>
  </si>
  <si>
    <t>Δ benchmark (pb)</t>
  </si>
  <si>
    <t>Δ WACC (pb)</t>
  </si>
  <si>
    <t>% explicado por el mercado</t>
  </si>
  <si>
    <t>Resultado</t>
  </si>
  <si>
    <t>Mercado al 28-09-2026 (post jun-26)</t>
  </si>
  <si>
    <t>Nivel</t>
  </si>
  <si>
    <t>Δ vs jun-26 (pb)</t>
  </si>
  <si>
    <t>R — HP USGG10YR, 28-09-2026 17:12</t>
  </si>
  <si>
    <t>R — WB, 28-09-2026</t>
  </si>
  <si>
    <t>WB muestra bonos benchmark específicos (Chile 4.95 36, Perú 6.55 37, Colombia 7¾ 36); nivel comparable con el genérico, no idéntico.</t>
  </si>
  <si>
    <t>Residuo por semestre 2025 (pb) = Δ WACC − Δ benchmark</t>
  </si>
  <si>
    <t>1S25 (dic-24 → jun-25)</t>
  </si>
  <si>
    <t>2S25 (jun-25 → dic-25)</t>
  </si>
  <si>
    <t>Tasa del impuesto diferido [S]</t>
  </si>
  <si>
    <t>WACC Chile base jun-26</t>
  </si>
  <si>
    <t>Escenario</t>
  </si>
  <si>
    <t>WACC Chile</t>
  </si>
  <si>
    <t>Δ valor PI</t>
  </si>
  <si>
    <t>Δ valor PI (MM CLP)</t>
  </si>
  <si>
    <t>Neto de impuesto diferido</t>
  </si>
  <si>
    <t>CLP por acción</t>
  </si>
  <si>
    <t>WACC sigue su benchmark desde dic-23</t>
  </si>
  <si>
    <t>Traspaso del alza post jun-26 (Chile USD)</t>
  </si>
  <si>
    <t>Orden de magnitud, no estimación: supone que todo el movimiento del benchmark se traspasa al WACC real y g constante. Insumo para valuation / Risks.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</si>
</sst>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\(#,##0\);\-"/>
    <numFmt numFmtId="165" formatCode="0.00\x"/>
    <numFmt numFmtId="166" formatCode="0.000000"/>
    <numFmt numFmtId="167" formatCode="0.00%;\(0.00%\);\-"/>
    <numFmt numFmtId="168" formatCode="0.0%;\(0.0%\);\-"/>
    <numFmt numFmtId="169" formatCode="#,##0.00;\(#,##0.00\);\-"/>
    <numFmt numFmtId="170" formatCode="0.0000"/>
    <numFmt numFmtId="171" formatCode="#,##0.0;\(#,##0.0\);\-"/>
    <numFmt numFmtId="172" formatCode="0.0\x"/>
    <numFmt numFmtId="173" formatCode="0.00\x;\(0.00&quot;x)&quot;;\-"/>
    <numFmt numFmtId="174" formatCode="0.000\x"/>
  </numFmts>
  <fonts count="19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1"/>
      <color theme="1"/>
      <name val="Arial"/>
      <charset val="1"/>
    </font>
    <font>
      <i/>
      <sz val="9"/>
      <name val="Arial"/>
      <charset val="1"/>
    </font>
    <font>
      <sz val="10"/>
      <color rgb="FF008000"/>
      <name val="Arial"/>
      <charset val="1"/>
    </font>
    <font>
      <i/>
      <sz val="9"/>
      <color rgb="FFC00000"/>
      <name val="Arial"/>
      <charset val="1"/>
    </font>
    <font>
      <sz val="9"/>
      <name val="Arial"/>
      <charset val="1"/>
    </font>
    <font>
      <i/>
      <sz val="1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i/>
      <sz val="8"/>
      <name val="Arial"/>
      <charset val="1"/>
    </font>
    <font>
      <sz val="9"/>
      <color rgb="FF808080"/>
      <name val="Arial"/>
      <charset val="1"/>
    </font>
    <font>
      <sz val="10"/>
      <name val="Arial"/>
      <family val="2"/>
    </font>
    <font>
      <b/>
      <sz val="9"/>
      <color rgb="FFC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164" fontId="4" fillId="3" borderId="0" xfId="0" applyNumberFormat="1" applyFont="1" applyFill="1"/>
    <xf numFmtId="9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0" fontId="5" fillId="0" borderId="0" xfId="0" applyFont="1"/>
    <xf numFmtId="0" fontId="6" fillId="0" borderId="0" xfId="0" applyFont="1"/>
    <xf numFmtId="0" fontId="3" fillId="2" borderId="0" xfId="0" applyFont="1" applyFill="1" applyAlignment="1">
      <alignment horizontal="right"/>
    </xf>
    <xf numFmtId="168" fontId="4" fillId="0" borderId="0" xfId="0" applyNumberFormat="1" applyFont="1"/>
    <xf numFmtId="169" fontId="4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169" fontId="7" fillId="0" borderId="0" xfId="0" applyNumberFormat="1" applyFont="1"/>
    <xf numFmtId="170" fontId="7" fillId="0" borderId="0" xfId="0" applyNumberFormat="1" applyFont="1"/>
    <xf numFmtId="164" fontId="7" fillId="0" borderId="0" xfId="0" applyNumberFormat="1" applyFont="1"/>
    <xf numFmtId="168" fontId="2" fillId="0" borderId="0" xfId="0" applyNumberFormat="1" applyFont="1"/>
    <xf numFmtId="164" fontId="2" fillId="0" borderId="0" xfId="0" applyNumberFormat="1" applyFont="1"/>
    <xf numFmtId="171" fontId="2" fillId="0" borderId="0" xfId="0" applyNumberFormat="1" applyFont="1"/>
    <xf numFmtId="168" fontId="4" fillId="3" borderId="0" xfId="0" applyNumberFormat="1" applyFont="1" applyFill="1"/>
    <xf numFmtId="1" fontId="4" fillId="3" borderId="0" xfId="0" applyNumberFormat="1" applyFont="1" applyFill="1"/>
    <xf numFmtId="1" fontId="4" fillId="0" borderId="0" xfId="0" applyNumberFormat="1" applyFont="1"/>
    <xf numFmtId="0" fontId="3" fillId="0" borderId="0" xfId="0" applyFont="1"/>
    <xf numFmtId="164" fontId="3" fillId="0" borderId="0" xfId="0" applyNumberFormat="1" applyFont="1"/>
    <xf numFmtId="171" fontId="7" fillId="0" borderId="0" xfId="0" applyNumberFormat="1" applyFont="1"/>
    <xf numFmtId="171" fontId="4" fillId="0" borderId="0" xfId="0" applyNumberFormat="1" applyFont="1"/>
    <xf numFmtId="1" fontId="2" fillId="0" borderId="0" xfId="0" applyNumberFormat="1" applyFont="1"/>
    <xf numFmtId="168" fontId="7" fillId="0" borderId="0" xfId="0" applyNumberFormat="1" applyFont="1"/>
    <xf numFmtId="165" fontId="2" fillId="0" borderId="0" xfId="0" applyNumberFormat="1" applyFont="1"/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167" fontId="4" fillId="3" borderId="0" xfId="0" applyNumberFormat="1" applyFont="1" applyFill="1"/>
    <xf numFmtId="167" fontId="2" fillId="0" borderId="0" xfId="0" applyNumberFormat="1" applyFont="1"/>
    <xf numFmtId="2" fontId="4" fillId="0" borderId="0" xfId="0" applyNumberFormat="1" applyFont="1"/>
    <xf numFmtId="172" fontId="2" fillId="0" borderId="0" xfId="0" applyNumberFormat="1" applyFont="1"/>
    <xf numFmtId="167" fontId="7" fillId="0" borderId="0" xfId="0" applyNumberFormat="1" applyFont="1"/>
    <xf numFmtId="167" fontId="11" fillId="0" borderId="0" xfId="0" applyNumberFormat="1" applyFont="1"/>
    <xf numFmtId="0" fontId="0" fillId="2" borderId="0" xfId="0" applyFill="1"/>
    <xf numFmtId="164" fontId="4" fillId="4" borderId="0" xfId="0" applyNumberFormat="1" applyFont="1" applyFill="1"/>
    <xf numFmtId="164" fontId="7" fillId="5" borderId="0" xfId="0" applyNumberFormat="1" applyFont="1" applyFill="1"/>
    <xf numFmtId="168" fontId="12" fillId="0" borderId="0" xfId="0" applyNumberFormat="1" applyFont="1"/>
    <xf numFmtId="164" fontId="12" fillId="0" borderId="0" xfId="0" applyNumberFormat="1" applyFont="1"/>
    <xf numFmtId="164" fontId="13" fillId="0" borderId="0" xfId="0" applyNumberFormat="1" applyFont="1"/>
    <xf numFmtId="164" fontId="14" fillId="0" borderId="0" xfId="0" applyNumberFormat="1" applyFont="1"/>
    <xf numFmtId="164" fontId="14" fillId="5" borderId="0" xfId="0" applyNumberFormat="1" applyFont="1" applyFill="1"/>
    <xf numFmtId="167" fontId="12" fillId="0" borderId="0" xfId="0" applyNumberFormat="1" applyFont="1"/>
    <xf numFmtId="168" fontId="7" fillId="5" borderId="0" xfId="0" applyNumberFormat="1" applyFont="1" applyFill="1"/>
    <xf numFmtId="2" fontId="4" fillId="3" borderId="0" xfId="0" applyNumberFormat="1" applyFont="1" applyFill="1"/>
    <xf numFmtId="170" fontId="12" fillId="0" borderId="0" xfId="0" applyNumberFormat="1" applyFont="1"/>
    <xf numFmtId="172" fontId="12" fillId="0" borderId="0" xfId="0" applyNumberFormat="1" applyFont="1"/>
    <xf numFmtId="173" fontId="12" fillId="0" borderId="0" xfId="0" applyNumberFormat="1" applyFont="1"/>
    <xf numFmtId="0" fontId="3" fillId="2" borderId="0" xfId="0" applyFont="1" applyFill="1" applyAlignment="1">
      <alignment horizontal="center"/>
    </xf>
    <xf numFmtId="168" fontId="13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center"/>
    </xf>
    <xf numFmtId="174" fontId="16" fillId="0" borderId="0" xfId="0" applyNumberFormat="1" applyFont="1" applyAlignment="1">
      <alignment horizontal="center"/>
    </xf>
    <xf numFmtId="174" fontId="12" fillId="0" borderId="0" xfId="0" applyNumberFormat="1" applyFont="1"/>
    <xf numFmtId="165" fontId="16" fillId="0" borderId="0" xfId="0" applyNumberFormat="1" applyFont="1" applyAlignment="1">
      <alignment horizontal="center"/>
    </xf>
    <xf numFmtId="165" fontId="12" fillId="0" borderId="0" xfId="0" applyNumberFormat="1" applyFont="1"/>
    <xf numFmtId="173" fontId="7" fillId="0" borderId="0" xfId="0" applyNumberFormat="1" applyFont="1"/>
    <xf numFmtId="0" fontId="3" fillId="2" borderId="0" xfId="0" applyFont="1" applyFill="1" applyAlignment="1">
      <alignment horizontal="left"/>
    </xf>
    <xf numFmtId="4" fontId="7" fillId="0" borderId="0" xfId="0" applyNumberFormat="1" applyFont="1"/>
    <xf numFmtId="168" fontId="0" fillId="0" borderId="0" xfId="0" applyNumberFormat="1"/>
    <xf numFmtId="168" fontId="14" fillId="0" borderId="0" xfId="0" applyNumberFormat="1" applyFont="1"/>
    <xf numFmtId="172" fontId="13" fillId="0" borderId="0" xfId="0" applyNumberFormat="1" applyFont="1"/>
    <xf numFmtId="165" fontId="7" fillId="0" borderId="0" xfId="0" applyNumberFormat="1" applyFont="1"/>
    <xf numFmtId="0" fontId="18" fillId="3" borderId="0" xfId="0" applyFont="1" applyFill="1"/>
    <xf numFmtId="164" fontId="0" fillId="0" borderId="0" xfId="0" applyNumberFormat="1"/>
    <xf numFmtId="167" fontId="0" fillId="0" borderId="0" xfId="0" applyNumberFormat="1"/>
    <xf numFmtId="9" fontId="1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FY2025: profit to FFO (MM CLP)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E2_FFO_bridge!$C$4</c:f>
              <c:strCache>
                <c:ptCount val="1"/>
                <c:pt idx="0">
                  <c:v>Base (gráfico)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E2_FFO_bridge!$A$5:$A$11</c:f>
              <c:strCache>
                <c:ptCount val="7"/>
                <c:pt idx="0">
                  <c:v>Ganancia consolidada</c:v>
                </c:pt>
                <c:pt idx="1">
                  <c:v>(−) Otros ingresos por función (revalorización)</c:v>
                </c:pt>
                <c:pt idx="2">
                  <c:v>(+) Otros gastos por función</c:v>
                </c:pt>
                <c:pt idx="3">
                  <c:v>(+) D&amp;A</c:v>
                </c:pt>
                <c:pt idx="4">
                  <c:v>(+) Reajuste UF de la deuda</c:v>
                </c:pt>
                <c:pt idx="5">
                  <c:v>(+) Impuesto diferido</c:v>
                </c:pt>
                <c:pt idx="6">
                  <c:v>FFO consolidado</c:v>
                </c:pt>
              </c:strCache>
            </c:strRef>
          </c:cat>
          <c:val>
            <c:numRef>
              <c:f>E2_FFO_bridge!$C$5:$C$11</c:f>
              <c:numCache>
                <c:formatCode>#,##0;\(#,##0\);\-</c:formatCode>
                <c:ptCount val="7"/>
                <c:pt idx="0">
                  <c:v>0</c:v>
                </c:pt>
                <c:pt idx="1">
                  <c:v>-7965</c:v>
                </c:pt>
                <c:pt idx="2">
                  <c:v>-7965</c:v>
                </c:pt>
                <c:pt idx="3">
                  <c:v>-4454</c:v>
                </c:pt>
                <c:pt idx="4">
                  <c:v>-844</c:v>
                </c:pt>
                <c:pt idx="5">
                  <c:v>42981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F-457D-9F68-1554AC10B73D}"/>
            </c:ext>
          </c:extLst>
        </c:ser>
        <c:ser>
          <c:idx val="1"/>
          <c:order val="1"/>
          <c:tx>
            <c:strRef>
              <c:f>E2_FFO_bridge!$D$4</c:f>
              <c:strCache>
                <c:ptCount val="1"/>
                <c:pt idx="0">
                  <c:v>Barra (gráfico)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E2_FFO_bridge!$A$5:$A$11</c:f>
              <c:strCache>
                <c:ptCount val="7"/>
                <c:pt idx="0">
                  <c:v>Ganancia consolidada</c:v>
                </c:pt>
                <c:pt idx="1">
                  <c:v>(−) Otros ingresos por función (revalorización)</c:v>
                </c:pt>
                <c:pt idx="2">
                  <c:v>(+) Otros gastos por función</c:v>
                </c:pt>
                <c:pt idx="3">
                  <c:v>(+) D&amp;A</c:v>
                </c:pt>
                <c:pt idx="4">
                  <c:v>(+) Reajuste UF de la deuda</c:v>
                </c:pt>
                <c:pt idx="5">
                  <c:v>(+) Impuesto diferido</c:v>
                </c:pt>
                <c:pt idx="6">
                  <c:v>FFO consolidado</c:v>
                </c:pt>
              </c:strCache>
            </c:strRef>
          </c:cat>
          <c:val>
            <c:numRef>
              <c:f>E2_FFO_bridge!$D$5:$D$11</c:f>
              <c:numCache>
                <c:formatCode>#,##0;\(#,##0\);\-</c:formatCode>
                <c:ptCount val="7"/>
                <c:pt idx="0">
                  <c:v>1440978</c:v>
                </c:pt>
                <c:pt idx="1">
                  <c:v>1448943</c:v>
                </c:pt>
                <c:pt idx="2">
                  <c:v>3511</c:v>
                </c:pt>
                <c:pt idx="3">
                  <c:v>3610</c:v>
                </c:pt>
                <c:pt idx="4">
                  <c:v>43825</c:v>
                </c:pt>
                <c:pt idx="5">
                  <c:v>365071</c:v>
                </c:pt>
                <c:pt idx="6">
                  <c:v>408052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F-457D-9F68-1554AC10B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784162"/>
        <c:axId val="72479431"/>
      </c:barChart>
      <c:catAx>
        <c:axId val="307841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2479431"/>
        <c:crosses val="autoZero"/>
        <c:auto val="1"/>
        <c:lblAlgn val="ctr"/>
        <c:lblOffset val="100"/>
        <c:noMultiLvlLbl val="0"/>
      </c:catAx>
      <c:valAx>
        <c:axId val="72479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07841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Chile: nominal vs indexation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E3_Growth!$H$13</c:f>
              <c:strCache>
                <c:ptCount val="1"/>
                <c:pt idx="0">
                  <c:v>FY2025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E3_Growth!$G$14:$G$16</c:f>
              <c:strCache>
                <c:ptCount val="3"/>
                <c:pt idx="0">
                  <c:v>Nominal</c:v>
                </c:pt>
                <c:pt idx="1">
                  <c:v>UF</c:v>
                </c:pt>
                <c:pt idx="2">
                  <c:v>Real</c:v>
                </c:pt>
              </c:strCache>
            </c:strRef>
          </c:cat>
          <c:val>
            <c:numRef>
              <c:f>E3_Growth!$H$14:$H$16</c:f>
              <c:numCache>
                <c:formatCode>0.0%;\(0.0%\);\-</c:formatCode>
                <c:ptCount val="3"/>
                <c:pt idx="0">
                  <c:v>9.7221249433837142E-2</c:v>
                </c:pt>
                <c:pt idx="1">
                  <c:v>4.3562834245949533E-2</c:v>
                </c:pt>
                <c:pt idx="2">
                  <c:v>5.1418480446996595E-2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D-4862-BB68-528F01D3806D}"/>
            </c:ext>
          </c:extLst>
        </c:ser>
        <c:ser>
          <c:idx val="1"/>
          <c:order val="1"/>
          <c:tx>
            <c:strRef>
              <c:f>E3_Growth!$I$13</c:f>
              <c:strCache>
                <c:ptCount val="1"/>
                <c:pt idx="0">
                  <c:v>1S26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E3_Growth!$G$14:$G$16</c:f>
              <c:strCache>
                <c:ptCount val="3"/>
                <c:pt idx="0">
                  <c:v>Nominal</c:v>
                </c:pt>
                <c:pt idx="1">
                  <c:v>UF</c:v>
                </c:pt>
                <c:pt idx="2">
                  <c:v>Real</c:v>
                </c:pt>
              </c:strCache>
            </c:strRef>
          </c:cat>
          <c:val>
            <c:numRef>
              <c:f>E3_Growth!$I$14:$I$16</c:f>
              <c:numCache>
                <c:formatCode>0.0%;\(0.0%\);\-</c:formatCode>
                <c:ptCount val="3"/>
                <c:pt idx="0">
                  <c:v>6.0539574896152137E-2</c:v>
                </c:pt>
                <c:pt idx="1">
                  <c:v>3.1385414851051507E-2</c:v>
                </c:pt>
                <c:pt idx="2">
                  <c:v>2.8266988872739596E-2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BD-4862-BB68-528F01D38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013899"/>
        <c:axId val="71241290"/>
      </c:barChart>
      <c:catAx>
        <c:axId val="900138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1241290"/>
        <c:crosses val="autoZero"/>
        <c:auto val="1"/>
        <c:lblAlgn val="ctr"/>
        <c:lblOffset val="100"/>
        <c:noMultiLvlLbl val="0"/>
      </c:catAx>
      <c:valAx>
        <c:axId val="712412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0013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1S26 revenue growth: reported (CLP)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E3_Growth!$L$4</c:f>
              <c:strCache>
                <c:ptCount val="1"/>
                <c:pt idx="0">
                  <c:v>Reported (CLP)</c:v>
                </c:pt>
              </c:strCache>
            </c:strRef>
          </c:tx>
          <c:spPr>
            <a:solidFill>
              <a:srgbClr val="4F81B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E3_Growth!$K$5:$K$8</c:f>
              <c:strCache>
                <c:ptCount val="4"/>
                <c:pt idx="0">
                  <c:v>Chile</c:v>
                </c:pt>
                <c:pt idx="1">
                  <c:v>Peru</c:v>
                </c:pt>
                <c:pt idx="2">
                  <c:v>Colombia</c:v>
                </c:pt>
                <c:pt idx="3">
                  <c:v>Consolidated</c:v>
                </c:pt>
              </c:strCache>
            </c:strRef>
          </c:cat>
          <c:val>
            <c:numRef>
              <c:f>E3_Growth!$L$5:$L$8</c:f>
              <c:numCache>
                <c:formatCode>0.0%;\(0.0%\);\-</c:formatCode>
                <c:ptCount val="4"/>
                <c:pt idx="0">
                  <c:v>6.0539574896152137E-2</c:v>
                </c:pt>
                <c:pt idx="1">
                  <c:v>8.9139054092325143E-2</c:v>
                </c:pt>
                <c:pt idx="2">
                  <c:v>0.15330180655258063</c:v>
                </c:pt>
                <c:pt idx="3">
                  <c:v>7.4094929581029367E-2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3-415E-86B8-805319E3154C}"/>
            </c:ext>
          </c:extLst>
        </c:ser>
        <c:ser>
          <c:idx val="1"/>
          <c:order val="1"/>
          <c:tx>
            <c:strRef>
              <c:f>E3_Growth!$M$4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rgbClr val="C0504D"/>
            </a:solidFill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E3_Growth!$K$5:$K$8</c:f>
              <c:strCache>
                <c:ptCount val="4"/>
                <c:pt idx="0">
                  <c:v>Chile</c:v>
                </c:pt>
                <c:pt idx="1">
                  <c:v>Peru</c:v>
                </c:pt>
                <c:pt idx="2">
                  <c:v>Colombia</c:v>
                </c:pt>
                <c:pt idx="3">
                  <c:v>Consolidated</c:v>
                </c:pt>
              </c:strCache>
            </c:strRef>
          </c:cat>
          <c:val>
            <c:numRef>
              <c:f>E3_Growth!$M$5:$M$8</c:f>
              <c:numCache>
                <c:formatCode>0.0%;\(0.0%\);\-</c:formatCode>
                <c:ptCount val="4"/>
                <c:pt idx="0">
                  <c:v>2.8266988872739596E-2</c:v>
                </c:pt>
                <c:pt idx="1">
                  <c:v>4.492101771569823E-2</c:v>
                </c:pt>
                <c:pt idx="2">
                  <c:v>1.1081496908856847E-2</c:v>
                </c:pt>
                <c:pt idx="3">
                  <c:v>2.9710902454260103E-2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F3-415E-86B8-805319E3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7067"/>
        <c:axId val="72705859"/>
      </c:barChart>
      <c:catAx>
        <c:axId val="50870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2705859"/>
        <c:crosses val="autoZero"/>
        <c:auto val="1"/>
        <c:lblAlgn val="ctr"/>
        <c:lblOffset val="100"/>
        <c:noMultiLvlLbl val="0"/>
      </c:catAx>
      <c:valAx>
        <c:axId val="727058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50870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Free cash flow vs dividends paid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FCF before debt amortization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E4_Cash!$B$4:$D$4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1S26</c:v>
                </c:pt>
              </c:strCache>
            </c:strRef>
          </c:cat>
          <c:val>
            <c:numRef>
              <c:f>E4_Cash!$B$9:$D$9</c:f>
              <c:numCache>
                <c:formatCode>#,##0;\(#,##0\);\-</c:formatCode>
                <c:ptCount val="3"/>
                <c:pt idx="0">
                  <c:v>191065</c:v>
                </c:pt>
                <c:pt idx="1">
                  <c:v>280070</c:v>
                </c:pt>
                <c:pt idx="2">
                  <c:v>152351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9-4101-8F19-A76CD1160405}"/>
            </c:ext>
          </c:extLst>
        </c:ser>
        <c:ser>
          <c:idx val="1"/>
          <c:order val="1"/>
          <c:tx>
            <c:v>Dividends paid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E4_Cash!$B$4:$D$4</c:f>
              <c:strCache>
                <c:ptCount val="3"/>
                <c:pt idx="0">
                  <c:v>FY2024</c:v>
                </c:pt>
                <c:pt idx="1">
                  <c:v>FY2025</c:v>
                </c:pt>
                <c:pt idx="2">
                  <c:v>1S26</c:v>
                </c:pt>
              </c:strCache>
            </c:strRef>
          </c:cat>
          <c:val>
            <c:numRef>
              <c:f>E4_Cash!$B$10:$D$10</c:f>
              <c:numCache>
                <c:formatCode>#,##0;\(#,##0\);\-</c:formatCode>
                <c:ptCount val="3"/>
                <c:pt idx="0">
                  <c:v>125751</c:v>
                </c:pt>
                <c:pt idx="1">
                  <c:v>108499</c:v>
                </c:pt>
                <c:pt idx="2">
                  <c:v>87617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9-4101-8F19-A76CD1160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548410"/>
        <c:axId val="8418636"/>
      </c:barChart>
      <c:catAx>
        <c:axId val="825484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418636"/>
        <c:crosses val="autoZero"/>
        <c:auto val="1"/>
        <c:lblAlgn val="ctr"/>
        <c:lblOffset val="100"/>
        <c:noMultiLvlLbl val="0"/>
      </c:catAx>
      <c:valAx>
        <c:axId val="84186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2548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maturities by year (MM CLP, UF-linked)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E6_Debt!$H$4</c:f>
              <c:strCache>
                <c:ptCount val="1"/>
                <c:pt idx="0">
                  <c:v>Vencimientos bonos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E6_Debt!$G$5:$G$16</c:f>
              <c:strCache>
                <c:ptCount val="12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2043</c:v>
                </c:pt>
                <c:pt idx="10">
                  <c:v>2045</c:v>
                </c:pt>
                <c:pt idx="11">
                  <c:v>2047</c:v>
                </c:pt>
              </c:strCache>
            </c:strRef>
          </c:cat>
          <c:val>
            <c:numRef>
              <c:f>E6_Debt!$H$5:$H$16</c:f>
              <c:numCache>
                <c:formatCode>#,##0;\(#,##0\);\-</c:formatCode>
                <c:ptCount val="12"/>
                <c:pt idx="0">
                  <c:v>39887</c:v>
                </c:pt>
                <c:pt idx="1">
                  <c:v>59226</c:v>
                </c:pt>
                <c:pt idx="2">
                  <c:v>161405</c:v>
                </c:pt>
                <c:pt idx="3">
                  <c:v>6063</c:v>
                </c:pt>
                <c:pt idx="4">
                  <c:v>198317</c:v>
                </c:pt>
                <c:pt idx="5">
                  <c:v>89214</c:v>
                </c:pt>
                <c:pt idx="6">
                  <c:v>154709</c:v>
                </c:pt>
                <c:pt idx="7">
                  <c:v>119065</c:v>
                </c:pt>
                <c:pt idx="8">
                  <c:v>120963</c:v>
                </c:pt>
                <c:pt idx="9">
                  <c:v>128521</c:v>
                </c:pt>
                <c:pt idx="10">
                  <c:v>80219</c:v>
                </c:pt>
                <c:pt idx="11">
                  <c:v>120126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1-4356-82A9-019BB44E6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56558"/>
        <c:axId val="3052628"/>
      </c:barChart>
      <c:catAx>
        <c:axId val="737565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3052628"/>
        <c:crosses val="autoZero"/>
        <c:auto val="1"/>
        <c:lblAlgn val="ctr"/>
        <c:lblOffset val="100"/>
        <c:noMultiLvlLbl val="0"/>
      </c:catAx>
      <c:valAx>
        <c:axId val="3052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3756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Chile: cumulative change since Dec-23 (bp)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E7_WACC!$K$5</c:f>
              <c:strCache>
                <c:ptCount val="1"/>
                <c:pt idx="0">
                  <c:v>Nota 11 WACC Chile (real)</c:v>
                </c:pt>
              </c:strCache>
            </c:strRef>
          </c:tx>
          <c:spPr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E7_WACC!$J$6:$J$10</c:f>
              <c:strCache>
                <c:ptCount val="5"/>
                <c:pt idx="0">
                  <c:v>dic-23</c:v>
                </c:pt>
                <c:pt idx="1">
                  <c:v>jun-24</c:v>
                </c:pt>
                <c:pt idx="2">
                  <c:v>dic-24</c:v>
                </c:pt>
                <c:pt idx="3">
                  <c:v>dic-25</c:v>
                </c:pt>
                <c:pt idx="4">
                  <c:v>jun-26</c:v>
                </c:pt>
              </c:strCache>
            </c:strRef>
          </c:cat>
          <c:val>
            <c:numRef>
              <c:f>E7_WACC!$K$6:$K$10</c:f>
              <c:numCache>
                <c:formatCode>#,##0;\(#,##0\);\-</c:formatCode>
                <c:ptCount val="5"/>
                <c:pt idx="0">
                  <c:v>0</c:v>
                </c:pt>
                <c:pt idx="1">
                  <c:v>-2.5000000000000022</c:v>
                </c:pt>
                <c:pt idx="2">
                  <c:v>13.000000000000094</c:v>
                </c:pt>
                <c:pt idx="3">
                  <c:v>-84.999999999999943</c:v>
                </c:pt>
                <c:pt idx="4">
                  <c:v>-93.499999999999901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4-4F3E-AB77-AC2291005A34}"/>
            </c:ext>
          </c:extLst>
        </c:ser>
        <c:ser>
          <c:idx val="1"/>
          <c:order val="1"/>
          <c:tx>
            <c:strRef>
              <c:f>E7_WACC!$L$5</c:f>
              <c:strCache>
                <c:ptCount val="1"/>
                <c:pt idx="0">
                  <c:v>Stated benchmark: Chile USD 10Y</c:v>
                </c:pt>
              </c:strCache>
            </c:strRef>
          </c:tx>
          <c:spPr>
            <a:ln w="2844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E7_WACC!$J$6:$J$10</c:f>
              <c:strCache>
                <c:ptCount val="5"/>
                <c:pt idx="0">
                  <c:v>dic-23</c:v>
                </c:pt>
                <c:pt idx="1">
                  <c:v>jun-24</c:v>
                </c:pt>
                <c:pt idx="2">
                  <c:v>dic-24</c:v>
                </c:pt>
                <c:pt idx="3">
                  <c:v>dic-25</c:v>
                </c:pt>
                <c:pt idx="4">
                  <c:v>jun-26</c:v>
                </c:pt>
              </c:strCache>
            </c:strRef>
          </c:cat>
          <c:val>
            <c:numRef>
              <c:f>E7_WACC!$L$6:$L$10</c:f>
              <c:numCache>
                <c:formatCode>#,##0;\(#,##0\);\-</c:formatCode>
                <c:ptCount val="5"/>
                <c:pt idx="0">
                  <c:v>0</c:v>
                </c:pt>
                <c:pt idx="1">
                  <c:v>38.999999999999936</c:v>
                </c:pt>
                <c:pt idx="2">
                  <c:v>55.899999999999977</c:v>
                </c:pt>
                <c:pt idx="3">
                  <c:v>-3.7000000000000228</c:v>
                </c:pt>
                <c:pt idx="4">
                  <c:v>22.699999999999942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4-4F3E-AB77-AC2291005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7500603"/>
        <c:axId val="64033172"/>
      </c:lineChart>
      <c:catAx>
        <c:axId val="875006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4033172"/>
        <c:crosses val="autoZero"/>
        <c:auto val="1"/>
        <c:lblAlgn val="ctr"/>
        <c:lblOffset val="100"/>
        <c:noMultiLvlLbl val="0"/>
      </c:catAx>
      <c:valAx>
        <c:axId val="640331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\-#,##0;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75006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14</xdr:col>
      <xdr:colOff>568080</xdr:colOff>
      <xdr:row>19</xdr:row>
      <xdr:rowOff>189720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18</xdr:row>
      <xdr:rowOff>0</xdr:rowOff>
    </xdr:from>
    <xdr:to>
      <xdr:col>13</xdr:col>
      <xdr:colOff>6120</xdr:colOff>
      <xdr:row>33</xdr:row>
      <xdr:rowOff>19800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145800</xdr:colOff>
      <xdr:row>18</xdr:row>
      <xdr:rowOff>20520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11</xdr:col>
      <xdr:colOff>242640</xdr:colOff>
      <xdr:row>18</xdr:row>
      <xdr:rowOff>20160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18</xdr:col>
      <xdr:colOff>253800</xdr:colOff>
      <xdr:row>18</xdr:row>
      <xdr:rowOff>20160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16</xdr:col>
      <xdr:colOff>351360</xdr:colOff>
      <xdr:row>27</xdr:row>
      <xdr:rowOff>20160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zoomScaleNormal="100" workbookViewId="0"/>
  </sheetViews>
  <sheetFormatPr baseColWidth="10" defaultColWidth="8.7109375" defaultRowHeight="15" x14ac:dyDescent="0.25"/>
  <cols>
    <col min="1" max="1" width="120" customWidth="1"/>
  </cols>
  <sheetData>
    <row r="1" spans="1:1" ht="15" customHeight="1" x14ac:dyDescent="0.25">
      <c r="A1" s="1" t="s">
        <v>0</v>
      </c>
    </row>
    <row r="2" spans="1:1" ht="15" customHeight="1" x14ac:dyDescent="0.25">
      <c r="A2" s="2" t="s">
        <v>1</v>
      </c>
    </row>
    <row r="3" spans="1:1" ht="15" customHeight="1" x14ac:dyDescent="0.25">
      <c r="A3" s="2"/>
    </row>
    <row r="4" spans="1:1" ht="15" customHeight="1" x14ac:dyDescent="0.25">
      <c r="A4" s="2" t="s">
        <v>2</v>
      </c>
    </row>
    <row r="5" spans="1:1" ht="15" customHeight="1" x14ac:dyDescent="0.25">
      <c r="A5" s="2" t="s">
        <v>3</v>
      </c>
    </row>
    <row r="6" spans="1:1" ht="15" customHeight="1" x14ac:dyDescent="0.25">
      <c r="A6" s="2" t="s">
        <v>4</v>
      </c>
    </row>
    <row r="7" spans="1:1" ht="15" customHeight="1" x14ac:dyDescent="0.25">
      <c r="A7" s="2" t="s">
        <v>5</v>
      </c>
    </row>
    <row r="8" spans="1:1" ht="15" customHeight="1" x14ac:dyDescent="0.25">
      <c r="A8" s="2" t="s">
        <v>6</v>
      </c>
    </row>
    <row r="9" spans="1:1" ht="15" customHeight="1" x14ac:dyDescent="0.25">
      <c r="A9" s="2" t="s">
        <v>7</v>
      </c>
    </row>
    <row r="10" spans="1:1" ht="15" customHeight="1" x14ac:dyDescent="0.25">
      <c r="A10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5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52" customWidth="1"/>
    <col min="3" max="3" width="14" customWidth="1"/>
    <col min="4" max="5" width="9" customWidth="1"/>
    <col min="6" max="6" width="5" customWidth="1"/>
    <col min="7" max="7" width="60" customWidth="1"/>
  </cols>
  <sheetData>
    <row r="1" spans="1:7" ht="15" customHeight="1" x14ac:dyDescent="0.25">
      <c r="A1" s="1" t="s">
        <v>8</v>
      </c>
    </row>
    <row r="3" spans="1:7" ht="15" customHeight="1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1:7" ht="15" customHeight="1" x14ac:dyDescent="0.25">
      <c r="A4" s="2" t="s">
        <v>16</v>
      </c>
      <c r="B4" s="2" t="s">
        <v>17</v>
      </c>
      <c r="C4" s="4">
        <v>419904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" customHeight="1" x14ac:dyDescent="0.25">
      <c r="A5" s="2" t="s">
        <v>22</v>
      </c>
      <c r="B5" s="2" t="s">
        <v>17</v>
      </c>
      <c r="C5" s="4">
        <v>494605</v>
      </c>
      <c r="D5" s="2" t="s">
        <v>18</v>
      </c>
      <c r="E5" s="2" t="s">
        <v>23</v>
      </c>
      <c r="F5" s="2" t="s">
        <v>20</v>
      </c>
      <c r="G5" s="2" t="s">
        <v>24</v>
      </c>
    </row>
    <row r="6" spans="1:7" ht="15" customHeight="1" x14ac:dyDescent="0.25">
      <c r="A6" s="2" t="s">
        <v>25</v>
      </c>
      <c r="B6" s="2" t="s">
        <v>17</v>
      </c>
      <c r="C6" s="4">
        <v>653911</v>
      </c>
      <c r="D6" s="2" t="s">
        <v>18</v>
      </c>
      <c r="E6" s="2" t="s">
        <v>26</v>
      </c>
      <c r="F6" s="2" t="s">
        <v>20</v>
      </c>
      <c r="G6" s="2" t="s">
        <v>27</v>
      </c>
    </row>
    <row r="7" spans="1:7" ht="15" customHeight="1" x14ac:dyDescent="0.25">
      <c r="A7" s="2" t="s">
        <v>28</v>
      </c>
      <c r="B7" s="2" t="s">
        <v>17</v>
      </c>
      <c r="C7" s="4">
        <v>316108</v>
      </c>
      <c r="D7" s="2" t="s">
        <v>18</v>
      </c>
      <c r="E7" s="2" t="s">
        <v>29</v>
      </c>
      <c r="F7" s="2" t="s">
        <v>20</v>
      </c>
      <c r="G7" s="2" t="s">
        <v>30</v>
      </c>
    </row>
    <row r="8" spans="1:7" ht="15" customHeight="1" x14ac:dyDescent="0.25">
      <c r="A8" s="2" t="s">
        <v>31</v>
      </c>
      <c r="B8" s="2" t="s">
        <v>17</v>
      </c>
      <c r="C8" s="4">
        <v>339530</v>
      </c>
      <c r="D8" s="2" t="s">
        <v>18</v>
      </c>
      <c r="E8" s="2" t="s">
        <v>32</v>
      </c>
      <c r="F8" s="2" t="s">
        <v>20</v>
      </c>
      <c r="G8" s="2" t="s">
        <v>33</v>
      </c>
    </row>
    <row r="9" spans="1:7" ht="15" customHeight="1" x14ac:dyDescent="0.25">
      <c r="A9" s="2" t="s">
        <v>34</v>
      </c>
      <c r="B9" s="2" t="s">
        <v>35</v>
      </c>
      <c r="C9" s="4">
        <v>380637</v>
      </c>
      <c r="D9" s="2" t="s">
        <v>18</v>
      </c>
      <c r="E9" s="2" t="s">
        <v>23</v>
      </c>
      <c r="F9" s="2" t="s">
        <v>20</v>
      </c>
      <c r="G9" s="2" t="s">
        <v>36</v>
      </c>
    </row>
    <row r="10" spans="1:7" ht="15" customHeight="1" x14ac:dyDescent="0.25">
      <c r="A10" s="2" t="s">
        <v>37</v>
      </c>
      <c r="B10" s="2" t="s">
        <v>35</v>
      </c>
      <c r="C10" s="4">
        <v>526228</v>
      </c>
      <c r="D10" s="2" t="s">
        <v>18</v>
      </c>
      <c r="E10" s="2" t="s">
        <v>26</v>
      </c>
      <c r="F10" s="2" t="s">
        <v>20</v>
      </c>
      <c r="G10" s="2" t="s">
        <v>38</v>
      </c>
    </row>
    <row r="11" spans="1:7" ht="15" customHeight="1" x14ac:dyDescent="0.25">
      <c r="A11" s="2" t="s">
        <v>39</v>
      </c>
      <c r="B11" s="2" t="s">
        <v>40</v>
      </c>
      <c r="C11" s="4">
        <v>1440978</v>
      </c>
      <c r="D11" s="2" t="s">
        <v>18</v>
      </c>
      <c r="E11" s="2" t="s">
        <v>26</v>
      </c>
      <c r="F11" s="2" t="s">
        <v>20</v>
      </c>
      <c r="G11" s="2" t="s">
        <v>27</v>
      </c>
    </row>
    <row r="12" spans="1:7" ht="15" customHeight="1" x14ac:dyDescent="0.25">
      <c r="A12" s="2" t="s">
        <v>41</v>
      </c>
      <c r="B12" s="2" t="s">
        <v>42</v>
      </c>
      <c r="C12" s="4">
        <v>335934</v>
      </c>
      <c r="D12" s="2" t="s">
        <v>18</v>
      </c>
      <c r="E12" s="2" t="s">
        <v>23</v>
      </c>
      <c r="F12" s="2" t="s">
        <v>20</v>
      </c>
      <c r="G12" s="2" t="s">
        <v>27</v>
      </c>
    </row>
    <row r="13" spans="1:7" ht="15" customHeight="1" x14ac:dyDescent="0.25">
      <c r="A13" s="2" t="s">
        <v>43</v>
      </c>
      <c r="B13" s="2" t="s">
        <v>42</v>
      </c>
      <c r="C13" s="4">
        <v>1431012</v>
      </c>
      <c r="D13" s="2" t="s">
        <v>18</v>
      </c>
      <c r="E13" s="2" t="s">
        <v>26</v>
      </c>
      <c r="F13" s="2" t="s">
        <v>20</v>
      </c>
      <c r="G13" s="2" t="s">
        <v>27</v>
      </c>
    </row>
    <row r="14" spans="1:7" ht="15" customHeight="1" x14ac:dyDescent="0.25">
      <c r="A14" s="2" t="s">
        <v>44</v>
      </c>
      <c r="B14" s="2" t="s">
        <v>45</v>
      </c>
      <c r="C14" s="4">
        <v>9967</v>
      </c>
      <c r="D14" s="2" t="s">
        <v>18</v>
      </c>
      <c r="E14" s="2" t="s">
        <v>26</v>
      </c>
      <c r="F14" s="2" t="s">
        <v>20</v>
      </c>
      <c r="G14" s="2" t="s">
        <v>27</v>
      </c>
    </row>
    <row r="15" spans="1:7" ht="15" customHeight="1" x14ac:dyDescent="0.25">
      <c r="A15" s="2" t="s">
        <v>46</v>
      </c>
      <c r="B15" s="2" t="s">
        <v>47</v>
      </c>
      <c r="C15" s="4">
        <v>1448943</v>
      </c>
      <c r="D15" s="2" t="s">
        <v>18</v>
      </c>
      <c r="E15" s="2" t="s">
        <v>26</v>
      </c>
      <c r="F15" s="2" t="s">
        <v>20</v>
      </c>
      <c r="G15" s="2" t="s">
        <v>48</v>
      </c>
    </row>
    <row r="16" spans="1:7" ht="15" customHeight="1" x14ac:dyDescent="0.25">
      <c r="A16" s="2" t="s">
        <v>49</v>
      </c>
      <c r="B16" s="2" t="s">
        <v>50</v>
      </c>
      <c r="C16" s="4">
        <v>3511</v>
      </c>
      <c r="D16" s="2" t="s">
        <v>18</v>
      </c>
      <c r="E16" s="2" t="s">
        <v>26</v>
      </c>
      <c r="F16" s="2" t="s">
        <v>20</v>
      </c>
      <c r="G16" s="2" t="s">
        <v>51</v>
      </c>
    </row>
    <row r="17" spans="1:7" ht="15" customHeight="1" x14ac:dyDescent="0.25">
      <c r="A17" s="2" t="s">
        <v>52</v>
      </c>
      <c r="B17" s="2" t="s">
        <v>53</v>
      </c>
      <c r="C17" s="4">
        <v>3610</v>
      </c>
      <c r="D17" s="2" t="s">
        <v>18</v>
      </c>
      <c r="E17" s="2" t="s">
        <v>26</v>
      </c>
      <c r="F17" s="2" t="s">
        <v>20</v>
      </c>
      <c r="G17" s="2" t="s">
        <v>54</v>
      </c>
    </row>
    <row r="18" spans="1:7" ht="15" customHeight="1" x14ac:dyDescent="0.25">
      <c r="A18" s="2" t="s">
        <v>55</v>
      </c>
      <c r="B18" s="2" t="s">
        <v>56</v>
      </c>
      <c r="C18" s="4">
        <v>43825</v>
      </c>
      <c r="D18" s="2" t="s">
        <v>18</v>
      </c>
      <c r="E18" s="2" t="s">
        <v>26</v>
      </c>
      <c r="F18" s="2" t="s">
        <v>20</v>
      </c>
      <c r="G18" s="2" t="s">
        <v>57</v>
      </c>
    </row>
    <row r="19" spans="1:7" ht="15" customHeight="1" x14ac:dyDescent="0.25">
      <c r="A19" s="2" t="s">
        <v>58</v>
      </c>
      <c r="B19" s="2" t="s">
        <v>59</v>
      </c>
      <c r="C19" s="4">
        <v>365071</v>
      </c>
      <c r="D19" s="2" t="s">
        <v>18</v>
      </c>
      <c r="E19" s="2" t="s">
        <v>26</v>
      </c>
      <c r="F19" s="2" t="s">
        <v>20</v>
      </c>
      <c r="G19" s="2" t="s">
        <v>60</v>
      </c>
    </row>
    <row r="20" spans="1:7" ht="15" customHeight="1" x14ac:dyDescent="0.25">
      <c r="A20" s="2" t="s">
        <v>61</v>
      </c>
      <c r="B20" s="2" t="s">
        <v>62</v>
      </c>
      <c r="C20" s="4">
        <v>405300</v>
      </c>
      <c r="D20" s="2" t="s">
        <v>18</v>
      </c>
      <c r="E20" s="2" t="s">
        <v>26</v>
      </c>
      <c r="F20" s="2" t="s">
        <v>20</v>
      </c>
      <c r="G20" s="2" t="s">
        <v>63</v>
      </c>
    </row>
    <row r="21" spans="1:7" ht="15" customHeight="1" x14ac:dyDescent="0.25">
      <c r="A21" s="2" t="s">
        <v>64</v>
      </c>
      <c r="B21" s="2" t="s">
        <v>65</v>
      </c>
      <c r="C21" s="4">
        <v>238305</v>
      </c>
      <c r="D21" s="2" t="s">
        <v>18</v>
      </c>
      <c r="E21" s="2" t="s">
        <v>23</v>
      </c>
      <c r="F21" s="2" t="s">
        <v>20</v>
      </c>
      <c r="G21" s="2" t="s">
        <v>66</v>
      </c>
    </row>
    <row r="22" spans="1:7" ht="15" customHeight="1" x14ac:dyDescent="0.25">
      <c r="A22" s="2" t="s">
        <v>67</v>
      </c>
      <c r="B22" s="2" t="s">
        <v>65</v>
      </c>
      <c r="C22" s="4">
        <v>369312</v>
      </c>
      <c r="D22" s="2" t="s">
        <v>18</v>
      </c>
      <c r="E22" s="2" t="s">
        <v>26</v>
      </c>
      <c r="F22" s="2" t="s">
        <v>20</v>
      </c>
      <c r="G22" s="2" t="s">
        <v>66</v>
      </c>
    </row>
    <row r="23" spans="1:7" ht="15" customHeight="1" x14ac:dyDescent="0.25">
      <c r="A23" s="2" t="s">
        <v>68</v>
      </c>
      <c r="B23" s="2" t="s">
        <v>69</v>
      </c>
      <c r="C23" s="4">
        <v>4796336</v>
      </c>
      <c r="D23" s="2" t="s">
        <v>18</v>
      </c>
      <c r="E23" s="2" t="s">
        <v>70</v>
      </c>
      <c r="F23" s="2" t="s">
        <v>20</v>
      </c>
      <c r="G23" s="2" t="s">
        <v>71</v>
      </c>
    </row>
    <row r="24" spans="1:7" ht="15" customHeight="1" x14ac:dyDescent="0.25">
      <c r="A24" s="2" t="s">
        <v>72</v>
      </c>
      <c r="B24" s="2" t="s">
        <v>69</v>
      </c>
      <c r="C24" s="4">
        <v>5915073</v>
      </c>
      <c r="D24" s="2" t="s">
        <v>18</v>
      </c>
      <c r="E24" s="2" t="s">
        <v>73</v>
      </c>
      <c r="F24" s="2" t="s">
        <v>20</v>
      </c>
      <c r="G24" s="2" t="s">
        <v>74</v>
      </c>
    </row>
    <row r="25" spans="1:7" ht="15" customHeight="1" x14ac:dyDescent="0.25">
      <c r="A25" s="2" t="s">
        <v>75</v>
      </c>
      <c r="B25" s="2" t="s">
        <v>69</v>
      </c>
      <c r="C25" s="4">
        <v>7583643</v>
      </c>
      <c r="D25" s="2" t="s">
        <v>18</v>
      </c>
      <c r="E25" s="2" t="s">
        <v>76</v>
      </c>
      <c r="F25" s="2" t="s">
        <v>20</v>
      </c>
      <c r="G25" s="2" t="s">
        <v>77</v>
      </c>
    </row>
    <row r="26" spans="1:7" ht="15" customHeight="1" x14ac:dyDescent="0.25">
      <c r="A26" s="2" t="s">
        <v>78</v>
      </c>
      <c r="B26" s="2" t="s">
        <v>79</v>
      </c>
      <c r="C26" s="4">
        <v>2601053</v>
      </c>
      <c r="D26" s="2" t="s">
        <v>18</v>
      </c>
      <c r="E26" s="2" t="s">
        <v>70</v>
      </c>
      <c r="F26" s="2" t="s">
        <v>20</v>
      </c>
      <c r="G26" s="2" t="s">
        <v>80</v>
      </c>
    </row>
    <row r="27" spans="1:7" ht="15" customHeight="1" x14ac:dyDescent="0.25">
      <c r="A27" s="2" t="s">
        <v>81</v>
      </c>
      <c r="B27" s="2" t="s">
        <v>79</v>
      </c>
      <c r="C27" s="4">
        <v>3157863</v>
      </c>
      <c r="D27" s="2" t="s">
        <v>18</v>
      </c>
      <c r="E27" s="2" t="s">
        <v>73</v>
      </c>
      <c r="F27" s="2" t="s">
        <v>20</v>
      </c>
      <c r="G27" s="2" t="s">
        <v>82</v>
      </c>
    </row>
    <row r="28" spans="1:7" ht="15" customHeight="1" x14ac:dyDescent="0.25">
      <c r="A28" s="2" t="s">
        <v>83</v>
      </c>
      <c r="B28" s="2" t="s">
        <v>79</v>
      </c>
      <c r="C28" s="4">
        <v>4482905</v>
      </c>
      <c r="D28" s="2" t="s">
        <v>18</v>
      </c>
      <c r="E28" s="2" t="s">
        <v>76</v>
      </c>
      <c r="F28" s="2" t="s">
        <v>20</v>
      </c>
      <c r="G28" s="2" t="s">
        <v>84</v>
      </c>
    </row>
    <row r="29" spans="1:7" ht="15" customHeight="1" x14ac:dyDescent="0.25">
      <c r="A29" s="2" t="s">
        <v>85</v>
      </c>
      <c r="B29" s="2" t="s">
        <v>86</v>
      </c>
      <c r="C29" s="4">
        <v>230626</v>
      </c>
      <c r="D29" s="2" t="s">
        <v>18</v>
      </c>
      <c r="E29" s="2" t="s">
        <v>29</v>
      </c>
      <c r="F29" s="2" t="s">
        <v>20</v>
      </c>
      <c r="G29" s="2" t="s">
        <v>87</v>
      </c>
    </row>
    <row r="30" spans="1:7" ht="15" customHeight="1" x14ac:dyDescent="0.25">
      <c r="A30" s="2" t="s">
        <v>88</v>
      </c>
      <c r="B30" s="2" t="s">
        <v>86</v>
      </c>
      <c r="C30" s="4">
        <v>244588</v>
      </c>
      <c r="D30" s="2" t="s">
        <v>18</v>
      </c>
      <c r="E30" s="2" t="s">
        <v>32</v>
      </c>
      <c r="F30" s="2" t="s">
        <v>20</v>
      </c>
      <c r="G30" s="2" t="s">
        <v>87</v>
      </c>
    </row>
    <row r="31" spans="1:7" ht="15" customHeight="1" x14ac:dyDescent="0.25">
      <c r="A31" s="2" t="s">
        <v>89</v>
      </c>
      <c r="B31" s="2" t="s">
        <v>90</v>
      </c>
      <c r="C31" s="4">
        <v>29393</v>
      </c>
      <c r="D31" s="2" t="s">
        <v>18</v>
      </c>
      <c r="E31" s="2" t="s">
        <v>29</v>
      </c>
      <c r="F31" s="2" t="s">
        <v>20</v>
      </c>
      <c r="G31" s="2" t="s">
        <v>87</v>
      </c>
    </row>
    <row r="32" spans="1:7" ht="15" customHeight="1" x14ac:dyDescent="0.25">
      <c r="A32" s="2" t="s">
        <v>91</v>
      </c>
      <c r="B32" s="2" t="s">
        <v>90</v>
      </c>
      <c r="C32" s="4">
        <v>33899</v>
      </c>
      <c r="D32" s="2" t="s">
        <v>18</v>
      </c>
      <c r="E32" s="2" t="s">
        <v>32</v>
      </c>
      <c r="F32" s="2" t="s">
        <v>20</v>
      </c>
      <c r="G32" s="2" t="s">
        <v>87</v>
      </c>
    </row>
    <row r="33" spans="1:7" ht="15" customHeight="1" x14ac:dyDescent="0.25">
      <c r="A33" s="2" t="s">
        <v>92</v>
      </c>
      <c r="B33" s="2" t="s">
        <v>93</v>
      </c>
      <c r="C33" s="4">
        <v>56496</v>
      </c>
      <c r="D33" s="2" t="s">
        <v>18</v>
      </c>
      <c r="E33" s="2" t="s">
        <v>29</v>
      </c>
      <c r="F33" s="2" t="s">
        <v>20</v>
      </c>
      <c r="G33" s="2" t="s">
        <v>87</v>
      </c>
    </row>
    <row r="34" spans="1:7" ht="15" customHeight="1" x14ac:dyDescent="0.25">
      <c r="A34" s="2" t="s">
        <v>94</v>
      </c>
      <c r="B34" s="2" t="s">
        <v>93</v>
      </c>
      <c r="C34" s="4">
        <v>61532</v>
      </c>
      <c r="D34" s="2" t="s">
        <v>18</v>
      </c>
      <c r="E34" s="2" t="s">
        <v>32</v>
      </c>
      <c r="F34" s="2" t="s">
        <v>20</v>
      </c>
      <c r="G34" s="2" t="s">
        <v>87</v>
      </c>
    </row>
    <row r="35" spans="1:7" ht="15" customHeight="1" x14ac:dyDescent="0.25">
      <c r="A35" s="2" t="s">
        <v>95</v>
      </c>
      <c r="B35" s="2" t="s">
        <v>86</v>
      </c>
      <c r="C35" s="4">
        <v>428322</v>
      </c>
      <c r="D35" s="2" t="s">
        <v>18</v>
      </c>
      <c r="E35" s="2" t="s">
        <v>23</v>
      </c>
      <c r="F35" s="2" t="s">
        <v>20</v>
      </c>
      <c r="G35" s="2" t="s">
        <v>96</v>
      </c>
    </row>
    <row r="36" spans="1:7" ht="15" customHeight="1" x14ac:dyDescent="0.25">
      <c r="A36" s="2" t="s">
        <v>97</v>
      </c>
      <c r="B36" s="2" t="s">
        <v>86</v>
      </c>
      <c r="C36" s="4">
        <v>469964</v>
      </c>
      <c r="D36" s="2" t="s">
        <v>18</v>
      </c>
      <c r="E36" s="2" t="s">
        <v>26</v>
      </c>
      <c r="F36" s="2" t="s">
        <v>20</v>
      </c>
      <c r="G36" s="2" t="s">
        <v>96</v>
      </c>
    </row>
    <row r="37" spans="1:7" ht="15" customHeight="1" x14ac:dyDescent="0.25">
      <c r="A37" s="2" t="s">
        <v>98</v>
      </c>
      <c r="B37" s="2" t="s">
        <v>90</v>
      </c>
      <c r="C37" s="4">
        <v>52671</v>
      </c>
      <c r="D37" s="2" t="s">
        <v>18</v>
      </c>
      <c r="E37" s="2" t="s">
        <v>23</v>
      </c>
      <c r="F37" s="2" t="s">
        <v>20</v>
      </c>
      <c r="G37" s="2" t="s">
        <v>96</v>
      </c>
    </row>
    <row r="38" spans="1:7" ht="15" customHeight="1" x14ac:dyDescent="0.25">
      <c r="A38" s="2" t="s">
        <v>99</v>
      </c>
      <c r="B38" s="2" t="s">
        <v>90</v>
      </c>
      <c r="C38" s="4">
        <v>62627</v>
      </c>
      <c r="D38" s="2" t="s">
        <v>18</v>
      </c>
      <c r="E38" s="2" t="s">
        <v>26</v>
      </c>
      <c r="F38" s="2" t="s">
        <v>20</v>
      </c>
      <c r="G38" s="2" t="s">
        <v>96</v>
      </c>
    </row>
    <row r="39" spans="1:7" ht="15" customHeight="1" x14ac:dyDescent="0.25">
      <c r="A39" s="2" t="s">
        <v>100</v>
      </c>
      <c r="B39" s="2" t="s">
        <v>93</v>
      </c>
      <c r="C39" s="4">
        <v>13612</v>
      </c>
      <c r="D39" s="2" t="s">
        <v>18</v>
      </c>
      <c r="E39" s="2" t="s">
        <v>23</v>
      </c>
      <c r="F39" s="2" t="s">
        <v>20</v>
      </c>
      <c r="G39" s="2" t="s">
        <v>96</v>
      </c>
    </row>
    <row r="40" spans="1:7" ht="15" customHeight="1" x14ac:dyDescent="0.25">
      <c r="A40" s="2" t="s">
        <v>101</v>
      </c>
      <c r="B40" s="2" t="s">
        <v>93</v>
      </c>
      <c r="C40" s="4">
        <v>121320</v>
      </c>
      <c r="D40" s="2" t="s">
        <v>18</v>
      </c>
      <c r="E40" s="2" t="s">
        <v>26</v>
      </c>
      <c r="F40" s="2" t="s">
        <v>20</v>
      </c>
      <c r="G40" s="2" t="s">
        <v>96</v>
      </c>
    </row>
    <row r="41" spans="1:7" ht="15" customHeight="1" x14ac:dyDescent="0.25">
      <c r="A41" s="2" t="s">
        <v>102</v>
      </c>
      <c r="B41" s="2" t="s">
        <v>103</v>
      </c>
      <c r="C41" s="4">
        <v>20315</v>
      </c>
      <c r="D41" s="2" t="s">
        <v>18</v>
      </c>
      <c r="E41" s="2" t="s">
        <v>19</v>
      </c>
      <c r="F41" s="2" t="s">
        <v>20</v>
      </c>
      <c r="G41" s="2" t="s">
        <v>104</v>
      </c>
    </row>
    <row r="42" spans="1:7" ht="15" customHeight="1" x14ac:dyDescent="0.25">
      <c r="A42" s="2" t="s">
        <v>105</v>
      </c>
      <c r="B42" s="2" t="s">
        <v>103</v>
      </c>
      <c r="C42" s="4">
        <v>24833</v>
      </c>
      <c r="D42" s="2" t="s">
        <v>18</v>
      </c>
      <c r="E42" s="2" t="s">
        <v>23</v>
      </c>
      <c r="F42" s="2" t="s">
        <v>20</v>
      </c>
      <c r="G42" s="2" t="s">
        <v>106</v>
      </c>
    </row>
    <row r="43" spans="1:7" ht="15" customHeight="1" x14ac:dyDescent="0.25">
      <c r="A43" s="2" t="s">
        <v>107</v>
      </c>
      <c r="B43" s="2" t="s">
        <v>103</v>
      </c>
      <c r="C43" s="4">
        <v>38936</v>
      </c>
      <c r="D43" s="2" t="s">
        <v>18</v>
      </c>
      <c r="E43" s="2" t="s">
        <v>26</v>
      </c>
      <c r="F43" s="2" t="s">
        <v>20</v>
      </c>
      <c r="G43" s="2" t="s">
        <v>106</v>
      </c>
    </row>
    <row r="44" spans="1:7" ht="15" customHeight="1" x14ac:dyDescent="0.25">
      <c r="A44" s="2" t="s">
        <v>108</v>
      </c>
      <c r="B44" s="2" t="s">
        <v>103</v>
      </c>
      <c r="C44" s="4">
        <v>17521</v>
      </c>
      <c r="D44" s="2" t="s">
        <v>18</v>
      </c>
      <c r="E44" s="2" t="s">
        <v>29</v>
      </c>
      <c r="F44" s="2" t="s">
        <v>20</v>
      </c>
      <c r="G44" s="2" t="s">
        <v>109</v>
      </c>
    </row>
    <row r="45" spans="1:7" ht="15" customHeight="1" x14ac:dyDescent="0.25">
      <c r="A45" s="2" t="s">
        <v>110</v>
      </c>
      <c r="B45" s="2" t="s">
        <v>103</v>
      </c>
      <c r="C45" s="4">
        <v>17332</v>
      </c>
      <c r="D45" s="2" t="s">
        <v>18</v>
      </c>
      <c r="E45" s="2" t="s">
        <v>32</v>
      </c>
      <c r="F45" s="2" t="s">
        <v>20</v>
      </c>
      <c r="G45" s="2" t="s">
        <v>109</v>
      </c>
    </row>
    <row r="46" spans="1:7" ht="15" customHeight="1" x14ac:dyDescent="0.25">
      <c r="A46" s="2" t="s">
        <v>111</v>
      </c>
      <c r="B46" s="2" t="s">
        <v>112</v>
      </c>
      <c r="C46" s="5">
        <v>37569.64</v>
      </c>
      <c r="D46" s="2" t="s">
        <v>113</v>
      </c>
      <c r="E46" s="2" t="s">
        <v>23</v>
      </c>
      <c r="F46" s="2" t="s">
        <v>114</v>
      </c>
      <c r="G46" s="2" t="s">
        <v>115</v>
      </c>
    </row>
    <row r="47" spans="1:7" ht="15" customHeight="1" x14ac:dyDescent="0.25">
      <c r="A47" s="2" t="s">
        <v>116</v>
      </c>
      <c r="B47" s="2" t="s">
        <v>112</v>
      </c>
      <c r="C47" s="5">
        <v>39206.28</v>
      </c>
      <c r="D47" s="2" t="s">
        <v>113</v>
      </c>
      <c r="E47" s="2" t="s">
        <v>26</v>
      </c>
      <c r="F47" s="2" t="s">
        <v>114</v>
      </c>
      <c r="G47" s="2" t="s">
        <v>117</v>
      </c>
    </row>
    <row r="48" spans="1:7" ht="15" customHeight="1" x14ac:dyDescent="0.25">
      <c r="A48" s="2" t="s">
        <v>118</v>
      </c>
      <c r="B48" s="2" t="s">
        <v>119</v>
      </c>
      <c r="C48" s="5">
        <v>38841.29</v>
      </c>
      <c r="D48" s="2" t="s">
        <v>113</v>
      </c>
      <c r="E48" s="2" t="s">
        <v>29</v>
      </c>
      <c r="F48" s="2" t="s">
        <v>114</v>
      </c>
      <c r="G48" s="2" t="s">
        <v>120</v>
      </c>
    </row>
    <row r="49" spans="1:7" ht="15" customHeight="1" x14ac:dyDescent="0.25">
      <c r="A49" s="2" t="s">
        <v>121</v>
      </c>
      <c r="B49" s="2" t="s">
        <v>119</v>
      </c>
      <c r="C49" s="5">
        <v>40060.339999999997</v>
      </c>
      <c r="D49" s="2" t="s">
        <v>113</v>
      </c>
      <c r="E49" s="2" t="s">
        <v>32</v>
      </c>
      <c r="F49" s="2" t="s">
        <v>114</v>
      </c>
      <c r="G49" s="2" t="s">
        <v>122</v>
      </c>
    </row>
    <row r="50" spans="1:7" ht="15" customHeight="1" x14ac:dyDescent="0.25">
      <c r="A50" s="2" t="s">
        <v>123</v>
      </c>
      <c r="B50" s="2" t="s">
        <v>124</v>
      </c>
      <c r="C50" s="4">
        <v>300822</v>
      </c>
      <c r="D50" s="2" t="s">
        <v>18</v>
      </c>
      <c r="E50" s="2" t="s">
        <v>23</v>
      </c>
      <c r="F50" s="2" t="s">
        <v>20</v>
      </c>
      <c r="G50" s="2" t="s">
        <v>125</v>
      </c>
    </row>
    <row r="51" spans="1:7" ht="15" customHeight="1" x14ac:dyDescent="0.25">
      <c r="A51" s="2" t="s">
        <v>126</v>
      </c>
      <c r="B51" s="2" t="s">
        <v>124</v>
      </c>
      <c r="C51" s="4">
        <v>441135</v>
      </c>
      <c r="D51" s="2" t="s">
        <v>18</v>
      </c>
      <c r="E51" s="2" t="s">
        <v>26</v>
      </c>
      <c r="F51" s="2" t="s">
        <v>20</v>
      </c>
      <c r="G51" s="2" t="s">
        <v>125</v>
      </c>
    </row>
    <row r="52" spans="1:7" ht="15" customHeight="1" x14ac:dyDescent="0.25">
      <c r="A52" s="2" t="s">
        <v>127</v>
      </c>
      <c r="B52" s="2" t="s">
        <v>124</v>
      </c>
      <c r="C52" s="4">
        <v>258193</v>
      </c>
      <c r="D52" s="2" t="s">
        <v>18</v>
      </c>
      <c r="E52" s="2" t="s">
        <v>32</v>
      </c>
      <c r="F52" s="2" t="s">
        <v>20</v>
      </c>
      <c r="G52" s="2" t="s">
        <v>128</v>
      </c>
    </row>
    <row r="53" spans="1:7" ht="15" customHeight="1" x14ac:dyDescent="0.25">
      <c r="A53" s="2" t="s">
        <v>129</v>
      </c>
      <c r="B53" s="2" t="s">
        <v>130</v>
      </c>
      <c r="C53" s="4">
        <v>76321</v>
      </c>
      <c r="D53" s="2" t="s">
        <v>18</v>
      </c>
      <c r="E53" s="2" t="s">
        <v>23</v>
      </c>
      <c r="F53" s="2" t="s">
        <v>20</v>
      </c>
      <c r="G53" s="2" t="s">
        <v>131</v>
      </c>
    </row>
    <row r="54" spans="1:7" ht="15" customHeight="1" x14ac:dyDescent="0.25">
      <c r="A54" s="2" t="s">
        <v>132</v>
      </c>
      <c r="B54" s="2" t="s">
        <v>130</v>
      </c>
      <c r="C54" s="4">
        <v>103642</v>
      </c>
      <c r="D54" s="2" t="s">
        <v>18</v>
      </c>
      <c r="E54" s="2" t="s">
        <v>26</v>
      </c>
      <c r="F54" s="2" t="s">
        <v>20</v>
      </c>
      <c r="G54" s="2" t="s">
        <v>133</v>
      </c>
    </row>
    <row r="55" spans="1:7" ht="15" customHeight="1" x14ac:dyDescent="0.25">
      <c r="A55" s="2" t="s">
        <v>134</v>
      </c>
      <c r="B55" s="2" t="s">
        <v>135</v>
      </c>
      <c r="C55" s="4">
        <v>84241</v>
      </c>
      <c r="D55" s="2" t="s">
        <v>18</v>
      </c>
      <c r="E55" s="2" t="s">
        <v>32</v>
      </c>
      <c r="F55" s="2" t="s">
        <v>20</v>
      </c>
      <c r="G55" s="2" t="s">
        <v>136</v>
      </c>
    </row>
    <row r="56" spans="1:7" ht="15" customHeight="1" x14ac:dyDescent="0.25">
      <c r="A56" s="2" t="s">
        <v>137</v>
      </c>
      <c r="B56" s="2" t="s">
        <v>138</v>
      </c>
      <c r="C56" s="4">
        <v>33436</v>
      </c>
      <c r="D56" s="2" t="s">
        <v>18</v>
      </c>
      <c r="E56" s="2" t="s">
        <v>23</v>
      </c>
      <c r="F56" s="2" t="s">
        <v>20</v>
      </c>
      <c r="G56" s="2" t="s">
        <v>139</v>
      </c>
    </row>
    <row r="57" spans="1:7" ht="15" customHeight="1" x14ac:dyDescent="0.25">
      <c r="A57" s="2" t="s">
        <v>140</v>
      </c>
      <c r="B57" s="2" t="s">
        <v>138</v>
      </c>
      <c r="C57" s="4">
        <v>57423</v>
      </c>
      <c r="D57" s="2" t="s">
        <v>18</v>
      </c>
      <c r="E57" s="2" t="s">
        <v>26</v>
      </c>
      <c r="F57" s="2" t="s">
        <v>20</v>
      </c>
      <c r="G57" s="2" t="s">
        <v>141</v>
      </c>
    </row>
    <row r="58" spans="1:7" ht="15" customHeight="1" x14ac:dyDescent="0.25">
      <c r="A58" s="2" t="s">
        <v>142</v>
      </c>
      <c r="B58" s="2" t="s">
        <v>143</v>
      </c>
      <c r="C58" s="4">
        <v>21601</v>
      </c>
      <c r="D58" s="2" t="s">
        <v>18</v>
      </c>
      <c r="E58" s="2" t="s">
        <v>32</v>
      </c>
      <c r="F58" s="2" t="s">
        <v>20</v>
      </c>
      <c r="G58" s="2" t="s">
        <v>144</v>
      </c>
    </row>
    <row r="59" spans="1:7" ht="15" customHeight="1" x14ac:dyDescent="0.25">
      <c r="A59" s="2" t="s">
        <v>145</v>
      </c>
      <c r="B59" s="2" t="s">
        <v>146</v>
      </c>
      <c r="C59" s="4">
        <v>125751</v>
      </c>
      <c r="D59" s="2" t="s">
        <v>18</v>
      </c>
      <c r="E59" s="2" t="s">
        <v>23</v>
      </c>
      <c r="F59" s="2" t="s">
        <v>20</v>
      </c>
      <c r="G59" s="2" t="s">
        <v>147</v>
      </c>
    </row>
    <row r="60" spans="1:7" ht="15" customHeight="1" x14ac:dyDescent="0.25">
      <c r="A60" s="2" t="s">
        <v>148</v>
      </c>
      <c r="B60" s="2" t="s">
        <v>146</v>
      </c>
      <c r="C60" s="4">
        <v>108499</v>
      </c>
      <c r="D60" s="2" t="s">
        <v>18</v>
      </c>
      <c r="E60" s="2" t="s">
        <v>26</v>
      </c>
      <c r="F60" s="2" t="s">
        <v>20</v>
      </c>
      <c r="G60" s="2" t="s">
        <v>147</v>
      </c>
    </row>
    <row r="61" spans="1:7" ht="15" customHeight="1" x14ac:dyDescent="0.25">
      <c r="A61" s="2" t="s">
        <v>149</v>
      </c>
      <c r="B61" s="2" t="s">
        <v>146</v>
      </c>
      <c r="C61" s="4">
        <v>87617</v>
      </c>
      <c r="D61" s="2" t="s">
        <v>18</v>
      </c>
      <c r="E61" s="2" t="s">
        <v>32</v>
      </c>
      <c r="F61" s="2" t="s">
        <v>20</v>
      </c>
      <c r="G61" s="2" t="s">
        <v>150</v>
      </c>
    </row>
    <row r="62" spans="1:7" ht="15" customHeight="1" x14ac:dyDescent="0.25">
      <c r="A62" s="2" t="s">
        <v>151</v>
      </c>
      <c r="B62" s="2" t="s">
        <v>152</v>
      </c>
      <c r="C62" s="4">
        <v>1438401</v>
      </c>
      <c r="D62" s="2" t="s">
        <v>18</v>
      </c>
      <c r="E62" s="2" t="s">
        <v>73</v>
      </c>
      <c r="F62" s="2" t="s">
        <v>20</v>
      </c>
      <c r="G62" s="2" t="s">
        <v>153</v>
      </c>
    </row>
    <row r="63" spans="1:7" ht="15" customHeight="1" x14ac:dyDescent="0.25">
      <c r="A63" s="2" t="s">
        <v>154</v>
      </c>
      <c r="B63" s="2" t="s">
        <v>152</v>
      </c>
      <c r="C63" s="4">
        <v>1311024</v>
      </c>
      <c r="D63" s="2" t="s">
        <v>18</v>
      </c>
      <c r="E63" s="2" t="s">
        <v>76</v>
      </c>
      <c r="F63" s="2" t="s">
        <v>20</v>
      </c>
      <c r="G63" s="2" t="s">
        <v>155</v>
      </c>
    </row>
    <row r="64" spans="1:7" ht="15" customHeight="1" x14ac:dyDescent="0.25">
      <c r="A64" s="2" t="s">
        <v>156</v>
      </c>
      <c r="B64" s="2" t="s">
        <v>157</v>
      </c>
      <c r="C64" s="4">
        <v>1285740</v>
      </c>
      <c r="D64" s="2" t="s">
        <v>18</v>
      </c>
      <c r="E64" s="2" t="s">
        <v>158</v>
      </c>
      <c r="F64" s="2" t="s">
        <v>20</v>
      </c>
      <c r="G64" s="2" t="s">
        <v>159</v>
      </c>
    </row>
    <row r="65" spans="1:7" ht="15" customHeight="1" x14ac:dyDescent="0.25">
      <c r="A65" s="2" t="s">
        <v>160</v>
      </c>
      <c r="B65" s="2" t="s">
        <v>161</v>
      </c>
      <c r="C65" s="4">
        <v>5356540</v>
      </c>
      <c r="D65" s="2" t="s">
        <v>18</v>
      </c>
      <c r="E65" s="2" t="s">
        <v>73</v>
      </c>
      <c r="F65" s="2" t="s">
        <v>20</v>
      </c>
      <c r="G65" s="2" t="s">
        <v>162</v>
      </c>
    </row>
    <row r="66" spans="1:7" ht="15" customHeight="1" x14ac:dyDescent="0.25">
      <c r="A66" s="2" t="s">
        <v>163</v>
      </c>
      <c r="B66" s="2" t="s">
        <v>161</v>
      </c>
      <c r="C66" s="4">
        <v>6961880</v>
      </c>
      <c r="D66" s="2" t="s">
        <v>18</v>
      </c>
      <c r="E66" s="2" t="s">
        <v>76</v>
      </c>
      <c r="F66" s="2" t="s">
        <v>20</v>
      </c>
      <c r="G66" s="2" t="s">
        <v>162</v>
      </c>
    </row>
    <row r="67" spans="1:7" ht="15" customHeight="1" x14ac:dyDescent="0.25">
      <c r="A67" s="2" t="s">
        <v>164</v>
      </c>
      <c r="B67" s="2" t="s">
        <v>161</v>
      </c>
      <c r="C67" s="4">
        <v>7309810</v>
      </c>
      <c r="D67" s="2" t="s">
        <v>18</v>
      </c>
      <c r="E67" s="2" t="s">
        <v>158</v>
      </c>
      <c r="F67" s="2" t="s">
        <v>20</v>
      </c>
      <c r="G67" s="2" t="s">
        <v>165</v>
      </c>
    </row>
    <row r="68" spans="1:7" ht="15" customHeight="1" x14ac:dyDescent="0.25">
      <c r="A68" s="2" t="s">
        <v>166</v>
      </c>
      <c r="B68" s="2" t="s">
        <v>167</v>
      </c>
      <c r="C68" s="4">
        <v>1447136</v>
      </c>
      <c r="D68" s="2" t="s">
        <v>18</v>
      </c>
      <c r="E68" s="2" t="s">
        <v>26</v>
      </c>
      <c r="F68" s="2" t="s">
        <v>20</v>
      </c>
      <c r="G68" s="2" t="s">
        <v>162</v>
      </c>
    </row>
    <row r="69" spans="1:7" ht="15" customHeight="1" x14ac:dyDescent="0.25">
      <c r="A69" s="2" t="s">
        <v>168</v>
      </c>
      <c r="B69" s="2" t="s">
        <v>169</v>
      </c>
      <c r="C69" s="6">
        <v>3.78</v>
      </c>
      <c r="D69" s="2" t="s">
        <v>170</v>
      </c>
      <c r="E69" s="2" t="s">
        <v>73</v>
      </c>
      <c r="F69" s="2" t="s">
        <v>20</v>
      </c>
      <c r="G69" s="2" t="s">
        <v>36</v>
      </c>
    </row>
    <row r="70" spans="1:7" ht="15" customHeight="1" x14ac:dyDescent="0.25">
      <c r="A70" s="2" t="s">
        <v>171</v>
      </c>
      <c r="B70" s="2" t="s">
        <v>169</v>
      </c>
      <c r="C70" s="6">
        <v>2.4900000000000002</v>
      </c>
      <c r="D70" s="2" t="s">
        <v>170</v>
      </c>
      <c r="E70" s="2" t="s">
        <v>76</v>
      </c>
      <c r="F70" s="2" t="s">
        <v>20</v>
      </c>
      <c r="G70" s="2" t="s">
        <v>36</v>
      </c>
    </row>
    <row r="71" spans="1:7" ht="15" customHeight="1" x14ac:dyDescent="0.25">
      <c r="A71" s="2" t="s">
        <v>172</v>
      </c>
      <c r="B71" s="2" t="s">
        <v>173</v>
      </c>
      <c r="C71" s="6">
        <v>2.36</v>
      </c>
      <c r="D71" s="2" t="s">
        <v>170</v>
      </c>
      <c r="E71" s="2" t="s">
        <v>158</v>
      </c>
      <c r="F71" s="2" t="s">
        <v>20</v>
      </c>
      <c r="G71" s="2" t="s">
        <v>174</v>
      </c>
    </row>
    <row r="72" spans="1:7" ht="15" customHeight="1" x14ac:dyDescent="0.25">
      <c r="A72" s="2" t="s">
        <v>175</v>
      </c>
      <c r="B72" s="2" t="s">
        <v>176</v>
      </c>
      <c r="C72" s="6">
        <v>0.45</v>
      </c>
      <c r="D72" s="2" t="s">
        <v>170</v>
      </c>
      <c r="E72" s="2" t="s">
        <v>73</v>
      </c>
      <c r="F72" s="2" t="s">
        <v>20</v>
      </c>
      <c r="G72" s="2" t="s">
        <v>153</v>
      </c>
    </row>
    <row r="73" spans="1:7" ht="15" customHeight="1" x14ac:dyDescent="0.25">
      <c r="A73" s="2" t="s">
        <v>177</v>
      </c>
      <c r="B73" s="2" t="s">
        <v>176</v>
      </c>
      <c r="C73" s="6">
        <v>0.28999999999999998</v>
      </c>
      <c r="D73" s="2" t="s">
        <v>170</v>
      </c>
      <c r="E73" s="2" t="s">
        <v>76</v>
      </c>
      <c r="F73" s="2" t="s">
        <v>20</v>
      </c>
      <c r="G73" s="2" t="s">
        <v>155</v>
      </c>
    </row>
    <row r="74" spans="1:7" ht="15" customHeight="1" x14ac:dyDescent="0.25">
      <c r="A74" s="2" t="s">
        <v>178</v>
      </c>
      <c r="B74" s="2" t="s">
        <v>179</v>
      </c>
      <c r="C74" s="6">
        <v>0.26</v>
      </c>
      <c r="D74" s="2" t="s">
        <v>170</v>
      </c>
      <c r="E74" s="2" t="s">
        <v>158</v>
      </c>
      <c r="F74" s="2" t="s">
        <v>20</v>
      </c>
      <c r="G74" s="2" t="s">
        <v>174</v>
      </c>
    </row>
    <row r="75" spans="1:7" ht="15" customHeight="1" x14ac:dyDescent="0.25">
      <c r="A75" s="2" t="s">
        <v>180</v>
      </c>
      <c r="B75" s="2" t="s">
        <v>35</v>
      </c>
      <c r="C75" s="4">
        <v>116114</v>
      </c>
      <c r="D75" s="2" t="s">
        <v>18</v>
      </c>
      <c r="E75" s="2" t="s">
        <v>181</v>
      </c>
      <c r="F75" s="2" t="s">
        <v>20</v>
      </c>
      <c r="G75" s="2" t="s">
        <v>182</v>
      </c>
    </row>
    <row r="76" spans="1:7" ht="15" customHeight="1" x14ac:dyDescent="0.25">
      <c r="A76" s="2" t="s">
        <v>183</v>
      </c>
      <c r="B76" s="2" t="s">
        <v>35</v>
      </c>
      <c r="C76" s="4">
        <v>208621</v>
      </c>
      <c r="D76" s="2" t="s">
        <v>18</v>
      </c>
      <c r="E76" s="2" t="s">
        <v>184</v>
      </c>
      <c r="F76" s="2" t="s">
        <v>20</v>
      </c>
      <c r="G76" s="2" t="s">
        <v>182</v>
      </c>
    </row>
    <row r="77" spans="1:7" ht="15" customHeight="1" x14ac:dyDescent="0.25">
      <c r="A77" s="2" t="s">
        <v>185</v>
      </c>
      <c r="B77" s="2" t="s">
        <v>35</v>
      </c>
      <c r="C77" s="4">
        <v>282699</v>
      </c>
      <c r="D77" s="2" t="s">
        <v>18</v>
      </c>
      <c r="E77" s="2" t="s">
        <v>186</v>
      </c>
      <c r="F77" s="2" t="s">
        <v>20</v>
      </c>
      <c r="G77" s="2" t="s">
        <v>187</v>
      </c>
    </row>
    <row r="78" spans="1:7" ht="15" customHeight="1" x14ac:dyDescent="0.25">
      <c r="A78" s="2" t="s">
        <v>188</v>
      </c>
      <c r="B78" s="2" t="s">
        <v>35</v>
      </c>
      <c r="C78" s="4">
        <v>322185</v>
      </c>
      <c r="D78" s="2" t="s">
        <v>18</v>
      </c>
      <c r="E78" s="2" t="s">
        <v>19</v>
      </c>
      <c r="F78" s="2" t="s">
        <v>20</v>
      </c>
      <c r="G78" s="2" t="s">
        <v>187</v>
      </c>
    </row>
    <row r="79" spans="1:7" ht="15" customHeight="1" x14ac:dyDescent="0.25">
      <c r="A79" s="2" t="s">
        <v>189</v>
      </c>
      <c r="B79" s="2" t="s">
        <v>190</v>
      </c>
      <c r="C79" s="4">
        <v>544935</v>
      </c>
      <c r="D79" s="2" t="s">
        <v>18</v>
      </c>
      <c r="E79" s="2" t="s">
        <v>191</v>
      </c>
      <c r="F79" s="2" t="s">
        <v>20</v>
      </c>
      <c r="G79" s="2" t="s">
        <v>192</v>
      </c>
    </row>
    <row r="80" spans="1:7" ht="15" customHeight="1" x14ac:dyDescent="0.25">
      <c r="A80" s="2" t="s">
        <v>193</v>
      </c>
      <c r="B80" s="2" t="s">
        <v>17</v>
      </c>
      <c r="C80" s="4">
        <v>276695</v>
      </c>
      <c r="D80" s="2" t="s">
        <v>18</v>
      </c>
      <c r="E80" s="2" t="s">
        <v>184</v>
      </c>
      <c r="F80" s="2" t="s">
        <v>20</v>
      </c>
      <c r="G80" s="2" t="s">
        <v>194</v>
      </c>
    </row>
    <row r="81" spans="1:7" ht="15" customHeight="1" x14ac:dyDescent="0.25">
      <c r="A81" s="2" t="s">
        <v>195</v>
      </c>
      <c r="B81" s="2" t="s">
        <v>196</v>
      </c>
      <c r="C81" s="4">
        <v>370899</v>
      </c>
      <c r="D81" s="2" t="s">
        <v>18</v>
      </c>
      <c r="E81" s="2" t="s">
        <v>186</v>
      </c>
      <c r="F81" s="2" t="s">
        <v>20</v>
      </c>
      <c r="G81" s="2" t="s">
        <v>197</v>
      </c>
    </row>
    <row r="82" spans="1:7" ht="15" customHeight="1" x14ac:dyDescent="0.25">
      <c r="A82" s="2" t="s">
        <v>198</v>
      </c>
      <c r="B82" s="2" t="s">
        <v>199</v>
      </c>
      <c r="C82" s="4">
        <v>677333</v>
      </c>
      <c r="D82" s="2" t="s">
        <v>18</v>
      </c>
      <c r="E82" s="2" t="s">
        <v>191</v>
      </c>
      <c r="F82" s="2" t="s">
        <v>20</v>
      </c>
      <c r="G82" s="2" t="s">
        <v>192</v>
      </c>
    </row>
    <row r="83" spans="1:7" ht="15" customHeight="1" x14ac:dyDescent="0.25">
      <c r="A83" s="2" t="s">
        <v>200</v>
      </c>
      <c r="B83" s="2" t="s">
        <v>201</v>
      </c>
      <c r="C83" s="4">
        <v>218931</v>
      </c>
      <c r="D83" s="2" t="s">
        <v>18</v>
      </c>
      <c r="E83" s="2" t="s">
        <v>186</v>
      </c>
      <c r="F83" s="2" t="s">
        <v>20</v>
      </c>
      <c r="G83" s="2" t="s">
        <v>192</v>
      </c>
    </row>
    <row r="84" spans="1:7" ht="15" customHeight="1" x14ac:dyDescent="0.25">
      <c r="A84" s="2" t="s">
        <v>202</v>
      </c>
      <c r="B84" s="2" t="s">
        <v>201</v>
      </c>
      <c r="C84" s="4">
        <v>257227</v>
      </c>
      <c r="D84" s="2" t="s">
        <v>18</v>
      </c>
      <c r="E84" s="2" t="s">
        <v>19</v>
      </c>
      <c r="F84" s="2" t="s">
        <v>20</v>
      </c>
      <c r="G84" s="2" t="s">
        <v>192</v>
      </c>
    </row>
    <row r="85" spans="1:7" ht="15" customHeight="1" x14ac:dyDescent="0.25">
      <c r="A85" s="2" t="s">
        <v>203</v>
      </c>
      <c r="B85" s="2" t="s">
        <v>201</v>
      </c>
      <c r="C85" s="4">
        <v>303195</v>
      </c>
      <c r="D85" s="2" t="s">
        <v>18</v>
      </c>
      <c r="E85" s="2" t="s">
        <v>23</v>
      </c>
      <c r="F85" s="2" t="s">
        <v>20</v>
      </c>
      <c r="G85" s="2" t="s">
        <v>192</v>
      </c>
    </row>
    <row r="86" spans="1:7" ht="15" customHeight="1" x14ac:dyDescent="0.25">
      <c r="A86" s="2" t="s">
        <v>204</v>
      </c>
      <c r="B86" s="2" t="s">
        <v>205</v>
      </c>
      <c r="C86" s="4">
        <v>419907</v>
      </c>
      <c r="D86" s="2" t="s">
        <v>18</v>
      </c>
      <c r="E86" s="2" t="s">
        <v>191</v>
      </c>
      <c r="F86" s="2" t="s">
        <v>20</v>
      </c>
      <c r="G86" s="2" t="s">
        <v>192</v>
      </c>
    </row>
    <row r="87" spans="1:7" ht="15" customHeight="1" x14ac:dyDescent="0.25">
      <c r="A87" s="2" t="s">
        <v>206</v>
      </c>
      <c r="B87" s="2" t="s">
        <v>42</v>
      </c>
      <c r="C87" s="4">
        <v>157667</v>
      </c>
      <c r="D87" s="2" t="s">
        <v>18</v>
      </c>
      <c r="E87" s="2" t="s">
        <v>186</v>
      </c>
      <c r="F87" s="2" t="s">
        <v>20</v>
      </c>
      <c r="G87" s="2" t="s">
        <v>207</v>
      </c>
    </row>
    <row r="88" spans="1:7" ht="15" customHeight="1" x14ac:dyDescent="0.25">
      <c r="A88" s="2" t="s">
        <v>208</v>
      </c>
      <c r="B88" s="2" t="s">
        <v>42</v>
      </c>
      <c r="C88" s="4">
        <v>349759</v>
      </c>
      <c r="D88" s="2" t="s">
        <v>18</v>
      </c>
      <c r="E88" s="2" t="s">
        <v>19</v>
      </c>
      <c r="F88" s="2" t="s">
        <v>20</v>
      </c>
      <c r="G88" s="2" t="s">
        <v>209</v>
      </c>
    </row>
    <row r="89" spans="1:7" ht="15" customHeight="1" x14ac:dyDescent="0.25">
      <c r="A89" s="2" t="s">
        <v>210</v>
      </c>
      <c r="B89" s="2" t="s">
        <v>65</v>
      </c>
      <c r="C89" s="4">
        <v>197540</v>
      </c>
      <c r="D89" s="2" t="s">
        <v>18</v>
      </c>
      <c r="E89" s="2" t="s">
        <v>19</v>
      </c>
      <c r="F89" s="2" t="s">
        <v>20</v>
      </c>
      <c r="G89" s="2" t="s">
        <v>211</v>
      </c>
    </row>
    <row r="90" spans="1:7" ht="15" customHeight="1" x14ac:dyDescent="0.25">
      <c r="A90" s="2" t="s">
        <v>212</v>
      </c>
      <c r="B90" s="2" t="s">
        <v>17</v>
      </c>
      <c r="C90" s="7"/>
      <c r="D90" s="2" t="s">
        <v>18</v>
      </c>
      <c r="E90" s="2" t="s">
        <v>213</v>
      </c>
      <c r="F90" s="2" t="s">
        <v>214</v>
      </c>
      <c r="G90" s="2" t="s">
        <v>215</v>
      </c>
    </row>
    <row r="91" spans="1:7" ht="15" customHeight="1" x14ac:dyDescent="0.25">
      <c r="A91" s="2" t="s">
        <v>216</v>
      </c>
      <c r="B91" s="2" t="s">
        <v>17</v>
      </c>
      <c r="C91" s="7"/>
      <c r="D91" s="2" t="s">
        <v>18</v>
      </c>
      <c r="E91" s="2" t="s">
        <v>181</v>
      </c>
      <c r="F91" s="2" t="s">
        <v>214</v>
      </c>
      <c r="G91" s="2" t="s">
        <v>215</v>
      </c>
    </row>
    <row r="92" spans="1:7" ht="15" customHeight="1" x14ac:dyDescent="0.25">
      <c r="A92" s="2" t="s">
        <v>217</v>
      </c>
      <c r="B92" s="2" t="s">
        <v>35</v>
      </c>
      <c r="C92" s="7"/>
      <c r="D92" s="2" t="s">
        <v>18</v>
      </c>
      <c r="E92" s="2" t="s">
        <v>213</v>
      </c>
      <c r="F92" s="2" t="s">
        <v>214</v>
      </c>
      <c r="G92" s="2" t="s">
        <v>218</v>
      </c>
    </row>
    <row r="93" spans="1:7" ht="15" customHeight="1" x14ac:dyDescent="0.25">
      <c r="A93" s="2" t="s">
        <v>219</v>
      </c>
      <c r="B93" s="2" t="s">
        <v>220</v>
      </c>
      <c r="C93" s="4">
        <v>4094996</v>
      </c>
      <c r="D93" s="2" t="s">
        <v>18</v>
      </c>
      <c r="E93" s="2" t="s">
        <v>221</v>
      </c>
      <c r="F93" s="2" t="s">
        <v>20</v>
      </c>
      <c r="G93" s="2" t="s">
        <v>222</v>
      </c>
    </row>
    <row r="94" spans="1:7" ht="15" customHeight="1" x14ac:dyDescent="0.25">
      <c r="A94" s="2" t="s">
        <v>223</v>
      </c>
      <c r="B94" s="2" t="s">
        <v>69</v>
      </c>
      <c r="C94" s="4">
        <v>4513943</v>
      </c>
      <c r="D94" s="2" t="s">
        <v>18</v>
      </c>
      <c r="E94" s="2" t="s">
        <v>224</v>
      </c>
      <c r="F94" s="2" t="s">
        <v>20</v>
      </c>
      <c r="G94" s="2" t="s">
        <v>225</v>
      </c>
    </row>
    <row r="95" spans="1:7" ht="15" customHeight="1" x14ac:dyDescent="0.25">
      <c r="A95" s="2" t="s">
        <v>226</v>
      </c>
      <c r="B95" s="2" t="s">
        <v>227</v>
      </c>
      <c r="C95" s="4">
        <v>2167172</v>
      </c>
      <c r="D95" s="2" t="s">
        <v>18</v>
      </c>
      <c r="E95" s="2" t="s">
        <v>221</v>
      </c>
      <c r="F95" s="2" t="s">
        <v>20</v>
      </c>
      <c r="G95" s="2" t="s">
        <v>228</v>
      </c>
    </row>
    <row r="96" spans="1:7" ht="15" customHeight="1" x14ac:dyDescent="0.25">
      <c r="A96" s="2" t="s">
        <v>229</v>
      </c>
      <c r="B96" s="2" t="s">
        <v>230</v>
      </c>
      <c r="C96" s="4">
        <v>2263298</v>
      </c>
      <c r="D96" s="2" t="s">
        <v>18</v>
      </c>
      <c r="E96" s="2" t="s">
        <v>224</v>
      </c>
      <c r="F96" s="2" t="s">
        <v>20</v>
      </c>
      <c r="G96" s="2" t="s">
        <v>231</v>
      </c>
    </row>
    <row r="97" spans="1:7" ht="15" customHeight="1" x14ac:dyDescent="0.25">
      <c r="A97" s="2" t="s">
        <v>232</v>
      </c>
      <c r="B97" s="2" t="s">
        <v>65</v>
      </c>
      <c r="C97" s="4">
        <v>95856</v>
      </c>
      <c r="D97" s="2" t="s">
        <v>18</v>
      </c>
      <c r="E97" s="2" t="s">
        <v>186</v>
      </c>
      <c r="F97" s="2" t="s">
        <v>114</v>
      </c>
      <c r="G97" s="2" t="s">
        <v>233</v>
      </c>
    </row>
    <row r="98" spans="1:7" ht="15" customHeight="1" x14ac:dyDescent="0.25">
      <c r="A98" s="2" t="s">
        <v>234</v>
      </c>
      <c r="B98" s="2" t="s">
        <v>235</v>
      </c>
      <c r="C98" s="8">
        <v>0.4</v>
      </c>
      <c r="D98" s="2" t="s">
        <v>236</v>
      </c>
      <c r="E98" s="2" t="s">
        <v>237</v>
      </c>
      <c r="F98" s="2" t="s">
        <v>20</v>
      </c>
      <c r="G98" s="2" t="s">
        <v>238</v>
      </c>
    </row>
    <row r="99" spans="1:7" ht="15" customHeight="1" x14ac:dyDescent="0.25">
      <c r="A99" s="2" t="s">
        <v>239</v>
      </c>
      <c r="B99" s="2" t="s">
        <v>240</v>
      </c>
      <c r="C99" s="4">
        <v>301600</v>
      </c>
      <c r="D99" s="2" t="s">
        <v>18</v>
      </c>
      <c r="E99" s="2" t="s">
        <v>76</v>
      </c>
      <c r="F99" s="2" t="s">
        <v>20</v>
      </c>
      <c r="G99" s="2" t="s">
        <v>241</v>
      </c>
    </row>
    <row r="100" spans="1:7" ht="15" customHeight="1" x14ac:dyDescent="0.25">
      <c r="A100" s="2" t="s">
        <v>242</v>
      </c>
      <c r="B100" s="2" t="s">
        <v>90</v>
      </c>
      <c r="C100" s="4">
        <v>36360</v>
      </c>
      <c r="D100" s="2" t="s">
        <v>18</v>
      </c>
      <c r="E100" s="2" t="s">
        <v>19</v>
      </c>
      <c r="F100" s="2" t="s">
        <v>20</v>
      </c>
      <c r="G100" s="2" t="s">
        <v>243</v>
      </c>
    </row>
    <row r="101" spans="1:7" ht="15" customHeight="1" x14ac:dyDescent="0.25">
      <c r="A101" s="2" t="s">
        <v>244</v>
      </c>
      <c r="B101" s="2" t="s">
        <v>245</v>
      </c>
      <c r="C101" s="9">
        <v>0.197936</v>
      </c>
      <c r="D101" s="2" t="s">
        <v>246</v>
      </c>
      <c r="E101" s="2" t="s">
        <v>247</v>
      </c>
      <c r="F101" s="2" t="s">
        <v>114</v>
      </c>
      <c r="G101" s="2" t="s">
        <v>248</v>
      </c>
    </row>
    <row r="102" spans="1:7" ht="15" customHeight="1" x14ac:dyDescent="0.25">
      <c r="A102" s="2" t="s">
        <v>249</v>
      </c>
      <c r="B102" s="2" t="s">
        <v>245</v>
      </c>
      <c r="C102" s="9">
        <v>0.232018</v>
      </c>
      <c r="D102" s="2" t="s">
        <v>246</v>
      </c>
      <c r="E102" s="2" t="s">
        <v>23</v>
      </c>
      <c r="F102" s="2" t="s">
        <v>114</v>
      </c>
      <c r="G102" s="2" t="s">
        <v>250</v>
      </c>
    </row>
    <row r="103" spans="1:7" ht="15" customHeight="1" x14ac:dyDescent="0.25">
      <c r="A103" s="2" t="s">
        <v>251</v>
      </c>
      <c r="B103" s="2" t="s">
        <v>245</v>
      </c>
      <c r="C103" s="9">
        <v>0.235126</v>
      </c>
      <c r="D103" s="2" t="s">
        <v>246</v>
      </c>
      <c r="E103" s="2" t="s">
        <v>26</v>
      </c>
      <c r="F103" s="2" t="s">
        <v>114</v>
      </c>
      <c r="G103" s="2" t="s">
        <v>250</v>
      </c>
    </row>
    <row r="104" spans="1:7" ht="15" customHeight="1" x14ac:dyDescent="0.25">
      <c r="A104" s="2" t="s">
        <v>252</v>
      </c>
      <c r="B104" s="2" t="s">
        <v>245</v>
      </c>
      <c r="C104" s="9">
        <v>0.22792999999999999</v>
      </c>
      <c r="D104" s="2" t="s">
        <v>246</v>
      </c>
      <c r="E104" s="2" t="s">
        <v>29</v>
      </c>
      <c r="F104" s="2" t="s">
        <v>114</v>
      </c>
      <c r="G104" s="2" t="s">
        <v>250</v>
      </c>
    </row>
    <row r="105" spans="1:7" ht="15" customHeight="1" x14ac:dyDescent="0.25">
      <c r="A105" s="2" t="s">
        <v>253</v>
      </c>
      <c r="B105" s="2" t="s">
        <v>245</v>
      </c>
      <c r="C105" s="9">
        <v>0.244951</v>
      </c>
      <c r="D105" s="2" t="s">
        <v>246</v>
      </c>
      <c r="E105" s="2" t="s">
        <v>32</v>
      </c>
      <c r="F105" s="2" t="s">
        <v>114</v>
      </c>
      <c r="G105" s="2" t="s">
        <v>250</v>
      </c>
    </row>
    <row r="106" spans="1:7" ht="15" customHeight="1" x14ac:dyDescent="0.25">
      <c r="A106" s="2" t="s">
        <v>254</v>
      </c>
      <c r="B106" s="2" t="s">
        <v>255</v>
      </c>
      <c r="C106" s="5">
        <v>251.46006800000001</v>
      </c>
      <c r="D106" s="2" t="s">
        <v>256</v>
      </c>
      <c r="E106" s="2" t="s">
        <v>23</v>
      </c>
      <c r="F106" s="2" t="s">
        <v>114</v>
      </c>
      <c r="G106" s="2" t="s">
        <v>257</v>
      </c>
    </row>
    <row r="107" spans="1:7" ht="15" customHeight="1" x14ac:dyDescent="0.25">
      <c r="A107" s="2" t="s">
        <v>258</v>
      </c>
      <c r="B107" s="2" t="s">
        <v>255</v>
      </c>
      <c r="C107" s="5">
        <v>266.84001699999999</v>
      </c>
      <c r="D107" s="2" t="s">
        <v>256</v>
      </c>
      <c r="E107" s="2" t="s">
        <v>26</v>
      </c>
      <c r="F107" s="2" t="s">
        <v>114</v>
      </c>
      <c r="G107" s="2" t="s">
        <v>250</v>
      </c>
    </row>
    <row r="108" spans="1:7" ht="15" customHeight="1" x14ac:dyDescent="0.25">
      <c r="A108" s="2" t="s">
        <v>259</v>
      </c>
      <c r="B108" s="2" t="s">
        <v>255</v>
      </c>
      <c r="C108" s="5">
        <v>259.72006900000002</v>
      </c>
      <c r="D108" s="2" t="s">
        <v>256</v>
      </c>
      <c r="E108" s="2" t="s">
        <v>29</v>
      </c>
      <c r="F108" s="2" t="s">
        <v>114</v>
      </c>
      <c r="G108" s="2" t="s">
        <v>250</v>
      </c>
    </row>
    <row r="109" spans="1:7" ht="15" customHeight="1" x14ac:dyDescent="0.25">
      <c r="A109" s="2" t="s">
        <v>260</v>
      </c>
      <c r="B109" s="2" t="s">
        <v>255</v>
      </c>
      <c r="C109" s="5">
        <v>262.11386099999999</v>
      </c>
      <c r="D109" s="2" t="s">
        <v>256</v>
      </c>
      <c r="E109" s="2" t="s">
        <v>32</v>
      </c>
      <c r="F109" s="2" t="s">
        <v>114</v>
      </c>
      <c r="G109" s="2" t="s">
        <v>250</v>
      </c>
    </row>
    <row r="110" spans="1:7" ht="15" customHeight="1" x14ac:dyDescent="0.25">
      <c r="A110" s="2" t="s">
        <v>261</v>
      </c>
      <c r="B110" s="2" t="s">
        <v>262</v>
      </c>
      <c r="C110" s="10">
        <v>2.3507E-2</v>
      </c>
      <c r="D110" s="2" t="s">
        <v>236</v>
      </c>
      <c r="E110" s="2" t="s">
        <v>23</v>
      </c>
      <c r="F110" s="2" t="s">
        <v>114</v>
      </c>
      <c r="G110" s="2" t="s">
        <v>263</v>
      </c>
    </row>
    <row r="111" spans="1:7" ht="15" customHeight="1" x14ac:dyDescent="0.25">
      <c r="A111" s="2" t="s">
        <v>264</v>
      </c>
      <c r="B111" s="2" t="s">
        <v>262</v>
      </c>
      <c r="C111" s="10">
        <v>1.5011E-2</v>
      </c>
      <c r="D111" s="2" t="s">
        <v>236</v>
      </c>
      <c r="E111" s="2" t="s">
        <v>26</v>
      </c>
      <c r="F111" s="2" t="s">
        <v>114</v>
      </c>
      <c r="G111" s="2" t="s">
        <v>265</v>
      </c>
    </row>
    <row r="112" spans="1:7" ht="15" customHeight="1" x14ac:dyDescent="0.25">
      <c r="A112" s="2" t="s">
        <v>266</v>
      </c>
      <c r="B112" s="2" t="s">
        <v>267</v>
      </c>
      <c r="C112" s="10">
        <v>3.2798000000000001E-2</v>
      </c>
      <c r="D112" s="2" t="s">
        <v>236</v>
      </c>
      <c r="E112" s="2" t="s">
        <v>32</v>
      </c>
      <c r="F112" s="2" t="s">
        <v>114</v>
      </c>
      <c r="G112" s="2" t="s">
        <v>265</v>
      </c>
    </row>
    <row r="113" spans="1:7" ht="15" customHeight="1" x14ac:dyDescent="0.25">
      <c r="A113" s="2" t="s">
        <v>268</v>
      </c>
      <c r="B113" s="2" t="s">
        <v>269</v>
      </c>
      <c r="C113" s="10">
        <v>5.1999999999999998E-2</v>
      </c>
      <c r="D113" s="2" t="s">
        <v>236</v>
      </c>
      <c r="E113" s="2" t="s">
        <v>23</v>
      </c>
      <c r="F113" s="2" t="s">
        <v>20</v>
      </c>
      <c r="G113" s="2" t="s">
        <v>270</v>
      </c>
    </row>
    <row r="114" spans="1:7" ht="15" customHeight="1" x14ac:dyDescent="0.25">
      <c r="A114" s="2" t="s">
        <v>271</v>
      </c>
      <c r="B114" s="2" t="s">
        <v>269</v>
      </c>
      <c r="C114" s="10">
        <v>5.0999999999999997E-2</v>
      </c>
      <c r="D114" s="2" t="s">
        <v>236</v>
      </c>
      <c r="E114" s="2" t="s">
        <v>26</v>
      </c>
      <c r="F114" s="2" t="s">
        <v>20</v>
      </c>
      <c r="G114" s="2" t="s">
        <v>270</v>
      </c>
    </row>
    <row r="115" spans="1:7" ht="15" customHeight="1" x14ac:dyDescent="0.25">
      <c r="A115" s="2" t="s">
        <v>272</v>
      </c>
      <c r="B115" s="2" t="s">
        <v>273</v>
      </c>
      <c r="C115" s="10">
        <v>6.1400000000000003E-2</v>
      </c>
      <c r="D115" s="2" t="s">
        <v>236</v>
      </c>
      <c r="E115" s="2" t="s">
        <v>32</v>
      </c>
      <c r="F115" s="2" t="s">
        <v>20</v>
      </c>
      <c r="G115" s="2" t="s">
        <v>274</v>
      </c>
    </row>
    <row r="116" spans="1:7" ht="15" customHeight="1" x14ac:dyDescent="0.25">
      <c r="A116" s="2" t="s">
        <v>275</v>
      </c>
      <c r="B116" s="2" t="s">
        <v>167</v>
      </c>
      <c r="C116" s="4">
        <v>155840</v>
      </c>
      <c r="D116" s="2" t="s">
        <v>18</v>
      </c>
      <c r="E116" s="2" t="s">
        <v>23</v>
      </c>
      <c r="F116" s="2" t="s">
        <v>20</v>
      </c>
      <c r="G116" s="2" t="s">
        <v>276</v>
      </c>
    </row>
    <row r="117" spans="1:7" ht="15" customHeight="1" x14ac:dyDescent="0.25">
      <c r="A117" s="2" t="s">
        <v>277</v>
      </c>
      <c r="B117" s="2" t="s">
        <v>161</v>
      </c>
      <c r="C117" s="4">
        <v>4166499</v>
      </c>
      <c r="D117" s="2" t="s">
        <v>18</v>
      </c>
      <c r="E117" s="2" t="s">
        <v>70</v>
      </c>
      <c r="F117" s="2" t="s">
        <v>20</v>
      </c>
      <c r="G117" s="2" t="s">
        <v>278</v>
      </c>
    </row>
    <row r="118" spans="1:7" ht="15" customHeight="1" x14ac:dyDescent="0.25">
      <c r="A118" s="2" t="s">
        <v>279</v>
      </c>
      <c r="B118" s="2" t="s">
        <v>280</v>
      </c>
      <c r="C118" s="4">
        <v>332235</v>
      </c>
      <c r="D118" s="2" t="s">
        <v>18</v>
      </c>
      <c r="E118" s="2" t="s">
        <v>23</v>
      </c>
      <c r="F118" s="2" t="s">
        <v>114</v>
      </c>
      <c r="G118" s="2" t="s">
        <v>281</v>
      </c>
    </row>
    <row r="119" spans="1:7" ht="15" customHeight="1" x14ac:dyDescent="0.25">
      <c r="A119" s="2" t="s">
        <v>282</v>
      </c>
      <c r="B119" s="2" t="s">
        <v>280</v>
      </c>
      <c r="C119" s="4">
        <v>375996</v>
      </c>
      <c r="D119" s="2" t="s">
        <v>18</v>
      </c>
      <c r="E119" s="2" t="s">
        <v>26</v>
      </c>
      <c r="F119" s="2" t="s">
        <v>114</v>
      </c>
      <c r="G119" s="2" t="s">
        <v>283</v>
      </c>
    </row>
    <row r="120" spans="1:7" ht="15" customHeight="1" x14ac:dyDescent="0.25">
      <c r="A120" s="2" t="s">
        <v>284</v>
      </c>
      <c r="B120" s="2" t="s">
        <v>285</v>
      </c>
      <c r="C120" s="4">
        <v>3932994</v>
      </c>
      <c r="D120" s="2" t="s">
        <v>18</v>
      </c>
      <c r="E120" s="2" t="s">
        <v>73</v>
      </c>
      <c r="F120" s="2" t="s">
        <v>20</v>
      </c>
      <c r="G120" s="2" t="s">
        <v>286</v>
      </c>
    </row>
    <row r="121" spans="1:7" ht="15" customHeight="1" x14ac:dyDescent="0.25">
      <c r="A121" s="2" t="s">
        <v>287</v>
      </c>
      <c r="B121" s="2" t="s">
        <v>285</v>
      </c>
      <c r="C121" s="4">
        <v>5176903</v>
      </c>
      <c r="D121" s="2" t="s">
        <v>18</v>
      </c>
      <c r="E121" s="2" t="s">
        <v>76</v>
      </c>
      <c r="F121" s="2" t="s">
        <v>20</v>
      </c>
      <c r="G121" s="2" t="s">
        <v>286</v>
      </c>
    </row>
    <row r="122" spans="1:7" ht="15" customHeight="1" x14ac:dyDescent="0.25">
      <c r="A122" s="2" t="s">
        <v>288</v>
      </c>
      <c r="B122" s="2" t="s">
        <v>285</v>
      </c>
      <c r="C122" s="4">
        <v>5453009</v>
      </c>
      <c r="D122" s="2" t="s">
        <v>18</v>
      </c>
      <c r="E122" s="2" t="s">
        <v>158</v>
      </c>
      <c r="F122" s="2" t="s">
        <v>20</v>
      </c>
      <c r="G122" s="2" t="s">
        <v>289</v>
      </c>
    </row>
    <row r="123" spans="1:7" ht="15" customHeight="1" x14ac:dyDescent="0.25">
      <c r="A123" s="2" t="s">
        <v>290</v>
      </c>
      <c r="B123" s="2" t="s">
        <v>291</v>
      </c>
      <c r="C123" s="4">
        <v>1289088</v>
      </c>
      <c r="D123" s="2" t="s">
        <v>18</v>
      </c>
      <c r="E123" s="2" t="s">
        <v>158</v>
      </c>
      <c r="F123" s="2" t="s">
        <v>20</v>
      </c>
      <c r="G123" s="2" t="s">
        <v>289</v>
      </c>
    </row>
    <row r="124" spans="1:7" ht="15" customHeight="1" x14ac:dyDescent="0.25">
      <c r="A124" s="2" t="s">
        <v>292</v>
      </c>
      <c r="B124" s="2" t="s">
        <v>293</v>
      </c>
      <c r="C124" s="4">
        <v>567713</v>
      </c>
      <c r="D124" s="2" t="s">
        <v>18</v>
      </c>
      <c r="E124" s="2" t="s">
        <v>158</v>
      </c>
      <c r="F124" s="2" t="s">
        <v>20</v>
      </c>
      <c r="G124" s="2" t="s">
        <v>289</v>
      </c>
    </row>
    <row r="125" spans="1:7" ht="15" customHeight="1" x14ac:dyDescent="0.25">
      <c r="A125" s="2" t="s">
        <v>294</v>
      </c>
      <c r="B125" s="2" t="s">
        <v>295</v>
      </c>
      <c r="C125" s="4">
        <v>2190</v>
      </c>
      <c r="D125" s="2" t="s">
        <v>296</v>
      </c>
      <c r="E125" s="2" t="s">
        <v>297</v>
      </c>
      <c r="F125" s="2" t="s">
        <v>20</v>
      </c>
      <c r="G125" s="2" t="s">
        <v>298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58" customWidth="1"/>
    <col min="2" max="9" width="12" customWidth="1"/>
    <col min="10" max="10" width="90" customWidth="1"/>
  </cols>
  <sheetData>
    <row r="1" spans="1:10" ht="15" customHeight="1" x14ac:dyDescent="0.25">
      <c r="A1" s="1" t="s">
        <v>299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5" customHeight="1" x14ac:dyDescent="0.25">
      <c r="A2" s="12" t="s">
        <v>300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5" customHeight="1" x14ac:dyDescent="0.25">
      <c r="A3" s="12" t="s">
        <v>301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ht="15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5" customHeight="1" x14ac:dyDescent="0.25">
      <c r="A5" s="3" t="s">
        <v>302</v>
      </c>
      <c r="B5" s="3" t="s">
        <v>14</v>
      </c>
      <c r="C5" s="13" t="s">
        <v>303</v>
      </c>
      <c r="D5" s="13" t="s">
        <v>304</v>
      </c>
      <c r="E5" s="13" t="s">
        <v>305</v>
      </c>
      <c r="F5" s="13" t="s">
        <v>306</v>
      </c>
      <c r="G5" s="13" t="s">
        <v>307</v>
      </c>
      <c r="H5" s="13" t="s">
        <v>308</v>
      </c>
      <c r="I5" s="13" t="s">
        <v>309</v>
      </c>
      <c r="J5" s="3" t="s">
        <v>310</v>
      </c>
    </row>
    <row r="6" spans="1:10" ht="15" customHeight="1" x14ac:dyDescent="0.25">
      <c r="A6" s="2" t="s">
        <v>311</v>
      </c>
      <c r="B6" s="2" t="s">
        <v>312</v>
      </c>
      <c r="C6" s="14">
        <v>4.2000000000000003E-2</v>
      </c>
      <c r="D6" s="14">
        <v>3.6999999999999998E-2</v>
      </c>
      <c r="E6" s="14">
        <v>3.2000000000000001E-2</v>
      </c>
      <c r="F6" s="14">
        <v>0.03</v>
      </c>
      <c r="G6" s="14">
        <v>0.03</v>
      </c>
      <c r="H6" s="14">
        <v>0.03</v>
      </c>
      <c r="I6" s="14">
        <v>0.03</v>
      </c>
      <c r="J6" s="12" t="s">
        <v>313</v>
      </c>
    </row>
    <row r="7" spans="1:10" ht="15" customHeight="1" x14ac:dyDescent="0.25">
      <c r="A7" s="2" t="s">
        <v>314</v>
      </c>
      <c r="B7" s="2" t="s">
        <v>312</v>
      </c>
      <c r="C7" s="14">
        <v>1.4999999999999999E-2</v>
      </c>
      <c r="D7" s="14">
        <v>3.7999999999999999E-2</v>
      </c>
      <c r="E7" s="14">
        <v>2.5999999999999999E-2</v>
      </c>
      <c r="F7" s="14">
        <v>2.4E-2</v>
      </c>
      <c r="G7" s="14">
        <v>0.02</v>
      </c>
      <c r="H7" s="14">
        <v>0.02</v>
      </c>
      <c r="I7" s="14">
        <v>0.02</v>
      </c>
      <c r="J7" s="12" t="s">
        <v>315</v>
      </c>
    </row>
    <row r="8" spans="1:10" ht="15" customHeight="1" x14ac:dyDescent="0.25">
      <c r="A8" s="2" t="s">
        <v>316</v>
      </c>
      <c r="B8" s="2" t="s">
        <v>312</v>
      </c>
      <c r="C8" s="14">
        <v>5.0999999999999997E-2</v>
      </c>
      <c r="D8" s="14">
        <v>0.06</v>
      </c>
      <c r="E8" s="14">
        <v>5.3999999999999999E-2</v>
      </c>
      <c r="F8" s="14">
        <v>4.1000000000000002E-2</v>
      </c>
      <c r="G8" s="14">
        <v>3.5000000000000003E-2</v>
      </c>
      <c r="H8" s="14">
        <v>0.03</v>
      </c>
      <c r="I8" s="14">
        <v>0.03</v>
      </c>
      <c r="J8" s="12" t="s">
        <v>317</v>
      </c>
    </row>
    <row r="9" spans="1:10" ht="15" customHeight="1" x14ac:dyDescent="0.25">
      <c r="A9" s="2" t="s">
        <v>318</v>
      </c>
      <c r="B9" s="2" t="s">
        <v>312</v>
      </c>
      <c r="C9" s="10">
        <v>4.4999999999999998E-2</v>
      </c>
      <c r="D9" s="10">
        <v>4.5199999999999997E-2</v>
      </c>
      <c r="E9" s="10">
        <v>4.5600000000000002E-2</v>
      </c>
      <c r="F9" s="10">
        <v>4.3299999999999998E-2</v>
      </c>
      <c r="G9" s="10">
        <v>4.3299999999999998E-2</v>
      </c>
      <c r="H9" s="10">
        <v>4.3299999999999998E-2</v>
      </c>
      <c r="I9" s="10">
        <v>4.3299999999999998E-2</v>
      </c>
      <c r="J9" s="12" t="s">
        <v>319</v>
      </c>
    </row>
    <row r="10" spans="1:10" ht="15" customHeight="1" x14ac:dyDescent="0.25">
      <c r="A10" s="2" t="s">
        <v>320</v>
      </c>
      <c r="B10" s="2" t="s">
        <v>312</v>
      </c>
      <c r="C10" s="15">
        <v>900.58</v>
      </c>
      <c r="D10" s="15">
        <v>937</v>
      </c>
      <c r="E10" s="15">
        <v>908.5</v>
      </c>
      <c r="F10" s="15">
        <v>921</v>
      </c>
      <c r="G10" s="16">
        <f>F10</f>
        <v>921</v>
      </c>
      <c r="H10" s="16">
        <f>G10</f>
        <v>921</v>
      </c>
      <c r="I10" s="16">
        <f>H10</f>
        <v>921</v>
      </c>
      <c r="J10" s="12" t="s">
        <v>321</v>
      </c>
    </row>
    <row r="11" spans="1:10" ht="15" customHeight="1" x14ac:dyDescent="0.25">
      <c r="A11" s="2" t="s">
        <v>322</v>
      </c>
      <c r="B11" s="2" t="s">
        <v>214</v>
      </c>
      <c r="C11" s="15">
        <v>3.36</v>
      </c>
      <c r="D11" s="15">
        <v>3.39</v>
      </c>
      <c r="E11" s="15">
        <v>3.3</v>
      </c>
      <c r="F11" s="15">
        <v>3.25</v>
      </c>
      <c r="G11" s="11"/>
      <c r="H11" s="11"/>
      <c r="I11" s="11"/>
      <c r="J11" s="12" t="s">
        <v>323</v>
      </c>
    </row>
    <row r="12" spans="1:10" ht="15" customHeight="1" x14ac:dyDescent="0.25">
      <c r="A12" s="2" t="s">
        <v>324</v>
      </c>
      <c r="B12" s="2" t="s">
        <v>214</v>
      </c>
      <c r="C12" s="4">
        <v>3775</v>
      </c>
      <c r="D12" s="4">
        <v>3213</v>
      </c>
      <c r="E12" s="4">
        <v>3288</v>
      </c>
      <c r="F12" s="4">
        <v>3500</v>
      </c>
      <c r="G12" s="11"/>
      <c r="H12" s="11"/>
      <c r="I12" s="11"/>
      <c r="J12" s="12" t="s">
        <v>325</v>
      </c>
    </row>
    <row r="13" spans="1:10" ht="15" customHeight="1" x14ac:dyDescent="0.25">
      <c r="A13" s="2" t="s">
        <v>326</v>
      </c>
      <c r="B13" s="2" t="s">
        <v>114</v>
      </c>
      <c r="C13" s="16">
        <f>C10/C11</f>
        <v>268.02976190476193</v>
      </c>
      <c r="D13" s="16">
        <f>D10/D11</f>
        <v>276.40117994100297</v>
      </c>
      <c r="E13" s="16">
        <f>E10/E11</f>
        <v>275.30303030303031</v>
      </c>
      <c r="F13" s="16">
        <f>F10/F11</f>
        <v>283.38461538461536</v>
      </c>
      <c r="G13" s="16">
        <f>F13*(1+G6)/(1+G7)</f>
        <v>286.16289592760177</v>
      </c>
      <c r="H13" s="16">
        <f>G13*(1+H6)/(1+H7)</f>
        <v>288.96841451512728</v>
      </c>
      <c r="I13" s="16">
        <f>H13*(1+I6)/(1+I7)</f>
        <v>291.80143818684422</v>
      </c>
      <c r="J13" s="12" t="s">
        <v>327</v>
      </c>
    </row>
    <row r="14" spans="1:10" ht="15" customHeight="1" x14ac:dyDescent="0.25">
      <c r="A14" s="2" t="s">
        <v>328</v>
      </c>
      <c r="B14" s="2" t="s">
        <v>114</v>
      </c>
      <c r="C14" s="17">
        <f>C10/C12</f>
        <v>0.23856423841059604</v>
      </c>
      <c r="D14" s="17">
        <f>D10/D12</f>
        <v>0.29162776221599751</v>
      </c>
      <c r="E14" s="17">
        <f>E10/E12</f>
        <v>0.27630778588807786</v>
      </c>
      <c r="F14" s="17">
        <f>F10/F12</f>
        <v>0.26314285714285712</v>
      </c>
      <c r="G14" s="17">
        <f>F14*(1+G6)/(1+G8)</f>
        <v>0.2618716356107661</v>
      </c>
      <c r="H14" s="17">
        <f>G14*(1+H6)/(1+H8)</f>
        <v>0.2618716356107661</v>
      </c>
      <c r="I14" s="17">
        <f>H14*(1+I6)/(1+I8)</f>
        <v>0.2618716356107661</v>
      </c>
      <c r="J14" s="12" t="s">
        <v>327</v>
      </c>
    </row>
    <row r="15" spans="1:10" ht="15" customHeight="1" x14ac:dyDescent="0.25">
      <c r="A15" s="2" t="s">
        <v>329</v>
      </c>
      <c r="B15" s="2" t="s">
        <v>114</v>
      </c>
      <c r="C15" s="18">
        <f>Inputs!C107</f>
        <v>266.84001699999999</v>
      </c>
      <c r="D15" s="16">
        <f>G34/G31</f>
        <v>267.99721965484741</v>
      </c>
      <c r="E15" s="16">
        <f t="shared" ref="E15:I16" si="0">(D13+E13)/2</f>
        <v>275.85210512201661</v>
      </c>
      <c r="F15" s="16">
        <f t="shared" si="0"/>
        <v>279.34382284382286</v>
      </c>
      <c r="G15" s="16">
        <f t="shared" si="0"/>
        <v>284.77375565610856</v>
      </c>
      <c r="H15" s="16">
        <f t="shared" si="0"/>
        <v>287.56565522136452</v>
      </c>
      <c r="I15" s="16">
        <f t="shared" si="0"/>
        <v>290.38492635098578</v>
      </c>
      <c r="J15" s="12" t="s">
        <v>330</v>
      </c>
    </row>
    <row r="16" spans="1:10" ht="15" customHeight="1" x14ac:dyDescent="0.25">
      <c r="A16" s="2" t="s">
        <v>331</v>
      </c>
      <c r="B16" s="2" t="s">
        <v>114</v>
      </c>
      <c r="C16" s="19">
        <f>Inputs!C103</f>
        <v>0.235126</v>
      </c>
      <c r="D16" s="17">
        <f>G35/G32</f>
        <v>0.26340868856374</v>
      </c>
      <c r="E16" s="17">
        <f t="shared" si="0"/>
        <v>0.28396777405203766</v>
      </c>
      <c r="F16" s="17">
        <f t="shared" si="0"/>
        <v>0.26972532151546746</v>
      </c>
      <c r="G16" s="17">
        <f t="shared" si="0"/>
        <v>0.26250724637681161</v>
      </c>
      <c r="H16" s="17">
        <f t="shared" si="0"/>
        <v>0.2618716356107661</v>
      </c>
      <c r="I16" s="17">
        <f t="shared" si="0"/>
        <v>0.2618716356107661</v>
      </c>
      <c r="J16" s="12" t="s">
        <v>330</v>
      </c>
    </row>
    <row r="17" spans="1:10" ht="15" customHeight="1" x14ac:dyDescent="0.25">
      <c r="A17" s="2" t="s">
        <v>332</v>
      </c>
      <c r="B17" s="2" t="s">
        <v>114</v>
      </c>
      <c r="C17" s="15"/>
      <c r="D17" s="16">
        <f t="shared" ref="D17:I17" si="1">(C10+D10)/2</f>
        <v>918.79</v>
      </c>
      <c r="E17" s="16">
        <f t="shared" si="1"/>
        <v>922.75</v>
      </c>
      <c r="F17" s="16">
        <f t="shared" si="1"/>
        <v>914.75</v>
      </c>
      <c r="G17" s="16">
        <f t="shared" si="1"/>
        <v>921</v>
      </c>
      <c r="H17" s="16">
        <f t="shared" si="1"/>
        <v>921</v>
      </c>
      <c r="I17" s="16">
        <f t="shared" si="1"/>
        <v>921</v>
      </c>
      <c r="J17" s="12" t="s">
        <v>330</v>
      </c>
    </row>
    <row r="18" spans="1:10" ht="15" customHeight="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15" customHeight="1" x14ac:dyDescent="0.25">
      <c r="A19" s="3" t="s">
        <v>333</v>
      </c>
      <c r="B19" s="11"/>
      <c r="C19" s="13" t="s">
        <v>29</v>
      </c>
      <c r="D19" s="13" t="s">
        <v>334</v>
      </c>
      <c r="E19" s="13" t="s">
        <v>32</v>
      </c>
      <c r="F19" s="13" t="s">
        <v>335</v>
      </c>
      <c r="G19" s="13" t="s">
        <v>304</v>
      </c>
      <c r="H19" s="11"/>
      <c r="I19" s="11"/>
      <c r="J19" s="3" t="s">
        <v>310</v>
      </c>
    </row>
    <row r="20" spans="1:10" ht="15" customHeight="1" x14ac:dyDescent="0.25">
      <c r="A20" s="2" t="s">
        <v>336</v>
      </c>
      <c r="B20" s="2" t="s">
        <v>20</v>
      </c>
      <c r="C20" s="11"/>
      <c r="D20" s="11"/>
      <c r="E20" s="15">
        <v>922.1</v>
      </c>
      <c r="F20" s="11"/>
      <c r="G20" s="11"/>
      <c r="H20" s="11"/>
      <c r="I20" s="11"/>
      <c r="J20" s="12" t="s">
        <v>337</v>
      </c>
    </row>
    <row r="21" spans="1:10" ht="15" customHeight="1" x14ac:dyDescent="0.25">
      <c r="A21" s="2" t="s">
        <v>338</v>
      </c>
      <c r="B21" s="2" t="s">
        <v>20</v>
      </c>
      <c r="C21" s="11"/>
      <c r="D21" s="11"/>
      <c r="E21" s="15">
        <v>3.41</v>
      </c>
      <c r="F21" s="11"/>
      <c r="G21" s="11"/>
      <c r="H21" s="11"/>
      <c r="I21" s="11"/>
      <c r="J21" s="12" t="s">
        <v>339</v>
      </c>
    </row>
    <row r="22" spans="1:10" ht="15" customHeight="1" x14ac:dyDescent="0.25">
      <c r="A22" s="2" t="s">
        <v>340</v>
      </c>
      <c r="B22" s="2" t="s">
        <v>20</v>
      </c>
      <c r="C22" s="11"/>
      <c r="D22" s="11"/>
      <c r="E22" s="15">
        <v>3416.45</v>
      </c>
      <c r="F22" s="11"/>
      <c r="G22" s="11"/>
      <c r="H22" s="11"/>
      <c r="I22" s="11"/>
      <c r="J22" s="12" t="s">
        <v>339</v>
      </c>
    </row>
    <row r="23" spans="1:10" ht="15" customHeight="1" x14ac:dyDescent="0.25">
      <c r="A23" s="2" t="s">
        <v>341</v>
      </c>
      <c r="B23" s="2" t="s">
        <v>114</v>
      </c>
      <c r="C23" s="18">
        <f>Inputs!C108</f>
        <v>259.72006900000002</v>
      </c>
      <c r="D23" s="18">
        <f>2*Inputs!C107-Inputs!C108</f>
        <v>273.95996499999995</v>
      </c>
      <c r="E23" s="18">
        <f>Inputs!C109</f>
        <v>262.11386099999999</v>
      </c>
      <c r="F23" s="16">
        <f>(E20/E21+D13)/2</f>
        <v>273.40586856287683</v>
      </c>
      <c r="G23" s="11"/>
      <c r="H23" s="11"/>
      <c r="I23" s="11"/>
      <c r="J23" s="12" t="s">
        <v>342</v>
      </c>
    </row>
    <row r="24" spans="1:10" ht="15" customHeight="1" x14ac:dyDescent="0.25">
      <c r="A24" s="2" t="s">
        <v>343</v>
      </c>
      <c r="B24" s="2" t="s">
        <v>114</v>
      </c>
      <c r="C24" s="19">
        <f>Inputs!C104</f>
        <v>0.22792999999999999</v>
      </c>
      <c r="D24" s="19">
        <f>2*Inputs!C103-Inputs!C104</f>
        <v>0.24232200000000001</v>
      </c>
      <c r="E24" s="19">
        <f>Inputs!C105</f>
        <v>0.244951</v>
      </c>
      <c r="F24" s="17">
        <f>(E20/E22+D14)/2</f>
        <v>0.28076390232885667</v>
      </c>
      <c r="G24" s="11"/>
      <c r="H24" s="11"/>
      <c r="I24" s="11"/>
      <c r="J24" s="12" t="s">
        <v>339</v>
      </c>
    </row>
    <row r="25" spans="1:10" ht="15" customHeight="1" x14ac:dyDescent="0.25">
      <c r="A25" s="2" t="s">
        <v>344</v>
      </c>
      <c r="B25" s="2" t="s">
        <v>114</v>
      </c>
      <c r="C25" s="11"/>
      <c r="D25" s="11"/>
      <c r="E25" s="11"/>
      <c r="F25" s="16">
        <f>(E20+D10)/2</f>
        <v>929.55</v>
      </c>
      <c r="G25" s="11"/>
      <c r="H25" s="11"/>
      <c r="I25" s="11"/>
      <c r="J25" s="12" t="s">
        <v>345</v>
      </c>
    </row>
    <row r="26" spans="1:10" ht="15" customHeight="1" x14ac:dyDescent="0.25">
      <c r="A26" s="2" t="s">
        <v>346</v>
      </c>
      <c r="B26" s="2" t="s">
        <v>20</v>
      </c>
      <c r="C26" s="20">
        <f>Inputs!C29</f>
        <v>230626</v>
      </c>
      <c r="D26" s="20">
        <f>Inputs!C36-Inputs!C29</f>
        <v>239338</v>
      </c>
      <c r="E26" s="20">
        <f>Inputs!C30</f>
        <v>244588</v>
      </c>
      <c r="F26" s="11"/>
      <c r="G26" s="11"/>
      <c r="H26" s="11"/>
      <c r="I26" s="11"/>
      <c r="J26" s="12" t="s">
        <v>347</v>
      </c>
    </row>
    <row r="27" spans="1:10" ht="15" customHeight="1" x14ac:dyDescent="0.25">
      <c r="A27" s="2" t="s">
        <v>348</v>
      </c>
      <c r="B27" s="2" t="s">
        <v>20</v>
      </c>
      <c r="C27" s="20">
        <f>Inputs!C33</f>
        <v>56496</v>
      </c>
      <c r="D27" s="20">
        <f>Inputs!C40-Inputs!C33</f>
        <v>64824</v>
      </c>
      <c r="E27" s="20">
        <f>Inputs!C34</f>
        <v>61532</v>
      </c>
      <c r="F27" s="11"/>
      <c r="G27" s="11"/>
      <c r="H27" s="11"/>
      <c r="I27" s="11"/>
      <c r="J27" s="12" t="s">
        <v>339</v>
      </c>
    </row>
    <row r="28" spans="1:10" ht="15" customHeight="1" x14ac:dyDescent="0.25">
      <c r="A28" s="2" t="s">
        <v>349</v>
      </c>
      <c r="B28" s="2" t="s">
        <v>20</v>
      </c>
      <c r="C28" s="20">
        <f>Inputs!C31</f>
        <v>29393</v>
      </c>
      <c r="D28" s="20">
        <f>Inputs!C38-Inputs!C31</f>
        <v>33234</v>
      </c>
      <c r="E28" s="20">
        <f>Inputs!C32</f>
        <v>33899</v>
      </c>
      <c r="F28" s="11"/>
      <c r="G28" s="11"/>
      <c r="H28" s="11"/>
      <c r="I28" s="11"/>
      <c r="J28" s="12" t="s">
        <v>339</v>
      </c>
    </row>
    <row r="29" spans="1:10" ht="15" customHeight="1" x14ac:dyDescent="0.25">
      <c r="A29" s="2" t="s">
        <v>350</v>
      </c>
      <c r="B29" s="2" t="s">
        <v>351</v>
      </c>
      <c r="C29" s="21">
        <f>E30/C30-1</f>
        <v>6.0539574896152137E-2</v>
      </c>
      <c r="D29" s="21">
        <f>E31/C31-1</f>
        <v>7.9192337254737843E-2</v>
      </c>
      <c r="E29" s="21">
        <f>E32/C32-1</f>
        <v>7.3161900819060488E-2</v>
      </c>
      <c r="F29" s="11"/>
      <c r="G29" s="11"/>
      <c r="H29" s="11"/>
      <c r="I29" s="11"/>
      <c r="J29" s="12" t="s">
        <v>352</v>
      </c>
    </row>
    <row r="30" spans="1:10" ht="15" customHeight="1" x14ac:dyDescent="0.25">
      <c r="A30" s="2" t="s">
        <v>353</v>
      </c>
      <c r="B30" s="2" t="s">
        <v>114</v>
      </c>
      <c r="C30" s="22">
        <f>C26</f>
        <v>230626</v>
      </c>
      <c r="D30" s="22">
        <f>D26</f>
        <v>239338</v>
      </c>
      <c r="E30" s="22">
        <f>E26</f>
        <v>244588</v>
      </c>
      <c r="F30" s="22">
        <f>D26*(1+E26/C26-1)</f>
        <v>253827.4207764953</v>
      </c>
      <c r="G30" s="22">
        <f>E30+F30</f>
        <v>498415.4207764953</v>
      </c>
      <c r="H30" s="11"/>
      <c r="I30" s="11"/>
      <c r="J30" s="11"/>
    </row>
    <row r="31" spans="1:10" ht="15" customHeight="1" x14ac:dyDescent="0.25">
      <c r="A31" s="2" t="s">
        <v>354</v>
      </c>
      <c r="B31" s="2" t="s">
        <v>114</v>
      </c>
      <c r="C31" s="23">
        <f t="shared" ref="C31:E32" si="2">C27/C23</f>
        <v>217.52650928180677</v>
      </c>
      <c r="D31" s="23">
        <f t="shared" si="2"/>
        <v>236.61851467969055</v>
      </c>
      <c r="E31" s="23">
        <f t="shared" si="2"/>
        <v>234.75294196669745</v>
      </c>
      <c r="F31" s="23">
        <f>D31*E31/C31</f>
        <v>255.35688789491971</v>
      </c>
      <c r="G31" s="23">
        <f>E31+F31</f>
        <v>490.10982986161719</v>
      </c>
      <c r="H31" s="11"/>
      <c r="I31" s="11"/>
      <c r="J31" s="11"/>
    </row>
    <row r="32" spans="1:10" ht="15" customHeight="1" x14ac:dyDescent="0.25">
      <c r="A32" s="2" t="s">
        <v>355</v>
      </c>
      <c r="B32" s="2" t="s">
        <v>114</v>
      </c>
      <c r="C32" s="22">
        <f t="shared" si="2"/>
        <v>128956.25850041679</v>
      </c>
      <c r="D32" s="22">
        <f t="shared" si="2"/>
        <v>137148.09220788867</v>
      </c>
      <c r="E32" s="22">
        <f t="shared" si="2"/>
        <v>138390.9434948214</v>
      </c>
      <c r="F32" s="22">
        <f>D32*E32/C32</f>
        <v>147182.10732752556</v>
      </c>
      <c r="G32" s="22">
        <f>E32+F32</f>
        <v>285573.05082234694</v>
      </c>
      <c r="H32" s="11"/>
      <c r="I32" s="11"/>
      <c r="J32" s="11"/>
    </row>
    <row r="33" spans="1:10" ht="15" customHeight="1" x14ac:dyDescent="0.25">
      <c r="A33" s="2" t="s">
        <v>356</v>
      </c>
      <c r="B33" s="2" t="s">
        <v>114</v>
      </c>
      <c r="C33" s="11"/>
      <c r="D33" s="11"/>
      <c r="E33" s="11"/>
      <c r="F33" s="22">
        <f>F30</f>
        <v>253827.4207764953</v>
      </c>
      <c r="G33" s="22">
        <f>E26+F30</f>
        <v>498415.4207764953</v>
      </c>
      <c r="H33" s="11"/>
      <c r="I33" s="11"/>
      <c r="J33" s="11"/>
    </row>
    <row r="34" spans="1:10" ht="15" customHeight="1" x14ac:dyDescent="0.25">
      <c r="A34" s="2" t="s">
        <v>357</v>
      </c>
      <c r="B34" s="2" t="s">
        <v>114</v>
      </c>
      <c r="C34" s="11"/>
      <c r="D34" s="11"/>
      <c r="E34" s="11"/>
      <c r="F34" s="22">
        <f>F31*F23</f>
        <v>69816.071728423689</v>
      </c>
      <c r="G34" s="22">
        <f>E27+F31*F23</f>
        <v>131348.0717284237</v>
      </c>
      <c r="H34" s="11"/>
      <c r="I34" s="11"/>
      <c r="J34" s="11"/>
    </row>
    <row r="35" spans="1:10" ht="15" customHeight="1" x14ac:dyDescent="0.25">
      <c r="A35" s="2" t="s">
        <v>358</v>
      </c>
      <c r="B35" s="2" t="s">
        <v>114</v>
      </c>
      <c r="C35" s="11"/>
      <c r="D35" s="11"/>
      <c r="E35" s="11"/>
      <c r="F35" s="22">
        <f>F32*F24</f>
        <v>41323.422806260685</v>
      </c>
      <c r="G35" s="22">
        <f>E28+F32*F24</f>
        <v>75222.422806260685</v>
      </c>
      <c r="H35" s="11"/>
      <c r="I35" s="11"/>
      <c r="J35" s="11"/>
    </row>
    <row r="36" spans="1:10" ht="1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5" customHeight="1" x14ac:dyDescent="0.25">
      <c r="A37" s="3" t="s">
        <v>359</v>
      </c>
      <c r="B37" s="3" t="s">
        <v>14</v>
      </c>
      <c r="C37" s="13" t="s">
        <v>303</v>
      </c>
      <c r="D37" s="13" t="s">
        <v>304</v>
      </c>
      <c r="E37" s="13" t="s">
        <v>305</v>
      </c>
      <c r="F37" s="13" t="s">
        <v>306</v>
      </c>
      <c r="G37" s="13" t="s">
        <v>307</v>
      </c>
      <c r="H37" s="13" t="s">
        <v>308</v>
      </c>
      <c r="I37" s="13" t="s">
        <v>309</v>
      </c>
      <c r="J37" s="3" t="s">
        <v>310</v>
      </c>
    </row>
    <row r="38" spans="1:10" ht="15" customHeight="1" x14ac:dyDescent="0.25">
      <c r="A38" s="2" t="s">
        <v>360</v>
      </c>
      <c r="B38" s="2" t="s">
        <v>351</v>
      </c>
      <c r="C38" s="11"/>
      <c r="D38" s="24">
        <v>0.35</v>
      </c>
      <c r="E38" s="11"/>
      <c r="F38" s="11"/>
      <c r="G38" s="11"/>
      <c r="H38" s="11"/>
      <c r="I38" s="11"/>
      <c r="J38" s="12" t="s">
        <v>361</v>
      </c>
    </row>
    <row r="39" spans="1:10" ht="15" customHeight="1" x14ac:dyDescent="0.25">
      <c r="A39" s="2" t="s">
        <v>362</v>
      </c>
      <c r="B39" s="2" t="s">
        <v>351</v>
      </c>
      <c r="C39" s="11"/>
      <c r="D39" s="24">
        <v>0.9</v>
      </c>
      <c r="E39" s="11"/>
      <c r="F39" s="11"/>
      <c r="G39" s="11"/>
      <c r="H39" s="11"/>
      <c r="I39" s="11"/>
      <c r="J39" s="12" t="s">
        <v>363</v>
      </c>
    </row>
    <row r="40" spans="1:10" ht="15" customHeight="1" x14ac:dyDescent="0.25">
      <c r="A40" s="2" t="s">
        <v>364</v>
      </c>
      <c r="B40" s="2" t="s">
        <v>351</v>
      </c>
      <c r="C40" s="11"/>
      <c r="D40" s="14">
        <v>1</v>
      </c>
      <c r="E40" s="11"/>
      <c r="F40" s="11"/>
      <c r="G40" s="11"/>
      <c r="H40" s="11"/>
      <c r="I40" s="11"/>
      <c r="J40" s="12" t="s">
        <v>363</v>
      </c>
    </row>
    <row r="41" spans="1:10" ht="15" customHeight="1" x14ac:dyDescent="0.25">
      <c r="A41" s="2" t="s">
        <v>365</v>
      </c>
      <c r="B41" s="2" t="s">
        <v>20</v>
      </c>
      <c r="C41" s="11"/>
      <c r="D41" s="4">
        <v>7600</v>
      </c>
      <c r="E41" s="4">
        <v>37150</v>
      </c>
      <c r="F41" s="4">
        <v>23150</v>
      </c>
      <c r="G41" s="11"/>
      <c r="H41" s="11"/>
      <c r="I41" s="11"/>
      <c r="J41" s="12" t="s">
        <v>366</v>
      </c>
    </row>
    <row r="42" spans="1:10" ht="15" customHeight="1" x14ac:dyDescent="0.25">
      <c r="A42" s="2" t="s">
        <v>367</v>
      </c>
      <c r="B42" s="2" t="s">
        <v>20</v>
      </c>
      <c r="C42" s="11"/>
      <c r="D42" s="4">
        <v>1300</v>
      </c>
      <c r="E42" s="4">
        <v>35800</v>
      </c>
      <c r="F42" s="4">
        <v>18700</v>
      </c>
      <c r="G42" s="11"/>
      <c r="H42" s="11"/>
      <c r="I42" s="11"/>
      <c r="J42" s="12" t="s">
        <v>368</v>
      </c>
    </row>
    <row r="43" spans="1:10" ht="15" customHeight="1" x14ac:dyDescent="0.25">
      <c r="A43" s="2" t="s">
        <v>369</v>
      </c>
      <c r="B43" s="2" t="s">
        <v>351</v>
      </c>
      <c r="C43" s="11"/>
      <c r="D43" s="25">
        <v>0</v>
      </c>
      <c r="E43" s="11"/>
      <c r="F43" s="11"/>
      <c r="G43" s="11"/>
      <c r="H43" s="11"/>
      <c r="I43" s="11"/>
      <c r="J43" s="12" t="s">
        <v>370</v>
      </c>
    </row>
    <row r="44" spans="1:10" ht="15" customHeight="1" x14ac:dyDescent="0.25">
      <c r="A44" s="2" t="s">
        <v>371</v>
      </c>
      <c r="B44" s="2" t="s">
        <v>351</v>
      </c>
      <c r="C44" s="11"/>
      <c r="D44" s="26">
        <v>2029</v>
      </c>
      <c r="E44" s="11"/>
      <c r="F44" s="11"/>
      <c r="G44" s="11"/>
      <c r="H44" s="11"/>
      <c r="I44" s="11"/>
      <c r="J44" s="12" t="s">
        <v>363</v>
      </c>
    </row>
    <row r="45" spans="1:10" ht="15" customHeight="1" x14ac:dyDescent="0.25">
      <c r="A45" s="2" t="s">
        <v>372</v>
      </c>
      <c r="B45" s="2" t="s">
        <v>20</v>
      </c>
      <c r="C45" s="11"/>
      <c r="D45" s="4">
        <v>46500</v>
      </c>
      <c r="E45" s="11"/>
      <c r="F45" s="11"/>
      <c r="G45" s="11"/>
      <c r="H45" s="11"/>
      <c r="I45" s="11"/>
      <c r="J45" s="12" t="s">
        <v>373</v>
      </c>
    </row>
    <row r="46" spans="1:10" ht="15" customHeight="1" x14ac:dyDescent="0.25">
      <c r="A46" s="2" t="s">
        <v>374</v>
      </c>
      <c r="B46" s="2" t="s">
        <v>20</v>
      </c>
      <c r="C46" s="11"/>
      <c r="D46" s="4">
        <v>1461288</v>
      </c>
      <c r="E46" s="11"/>
      <c r="F46" s="11"/>
      <c r="G46" s="11"/>
      <c r="H46" s="11"/>
      <c r="I46" s="11"/>
      <c r="J46" s="12" t="s">
        <v>375</v>
      </c>
    </row>
    <row r="47" spans="1:10" ht="15" customHeight="1" x14ac:dyDescent="0.25">
      <c r="A47" s="2" t="s">
        <v>376</v>
      </c>
      <c r="B47" s="2" t="s">
        <v>20</v>
      </c>
      <c r="C47" s="11"/>
      <c r="D47" s="4">
        <v>618093</v>
      </c>
      <c r="E47" s="11"/>
      <c r="F47" s="11"/>
      <c r="G47" s="11"/>
      <c r="H47" s="11"/>
      <c r="I47" s="11"/>
      <c r="J47" s="12" t="s">
        <v>339</v>
      </c>
    </row>
    <row r="48" spans="1:10" ht="15" customHeight="1" x14ac:dyDescent="0.25">
      <c r="A48" s="2" t="s">
        <v>377</v>
      </c>
      <c r="B48" s="2" t="s">
        <v>20</v>
      </c>
      <c r="C48" s="11"/>
      <c r="D48" s="4">
        <v>280754</v>
      </c>
      <c r="E48" s="11"/>
      <c r="F48" s="11"/>
      <c r="G48" s="11"/>
      <c r="H48" s="11"/>
      <c r="I48" s="11"/>
      <c r="J48" s="12" t="s">
        <v>339</v>
      </c>
    </row>
    <row r="49" spans="1:10" ht="15" customHeight="1" x14ac:dyDescent="0.25">
      <c r="A49" s="2" t="s">
        <v>378</v>
      </c>
      <c r="B49" s="2" t="s">
        <v>114</v>
      </c>
      <c r="C49" s="11"/>
      <c r="D49" s="11"/>
      <c r="E49" s="22">
        <f>$D$41*IF((2027-2026)&lt;0,0,IF((2027-2026)=0,$D$38,IF((2027-2026)=1,$D$39,$D$40)))+$E$41*IF((2027-2027)&lt;0,0,IF((2027-2027)=0,$D$38,IF((2027-2027)=1,$D$39,$D$40)))+$F$41*IF((2027-2028)&lt;0,0,IF((2027-2028)=0,$D$38,IF((2027-2028)=1,$D$39,$D$40)))+$D$43*$D$45*IF((2027-$D$44)&lt;0,0,IF((2027-$D$44)=0,$D$38,IF((2027-$D$44)=1,$D$39,$D$40)))</f>
        <v>19842.5</v>
      </c>
      <c r="F49" s="22">
        <f>$D$41*IF((2028-2026)&lt;0,0,IF((2028-2026)=0,$D$38,IF((2028-2026)=1,$D$39,$D$40)))+$E$41*IF((2028-2027)&lt;0,0,IF((2028-2027)=0,$D$38,IF((2028-2027)=1,$D$39,$D$40)))+$F$41*IF((2028-2028)&lt;0,0,IF((2028-2028)=0,$D$38,IF((2028-2028)=1,$D$39,$D$40)))+$D$43*$D$45*IF((2028-$D$44)&lt;0,0,IF((2028-$D$44)=0,$D$38,IF((2028-$D$44)=1,$D$39,$D$40)))</f>
        <v>49137.5</v>
      </c>
      <c r="G49" s="22">
        <f>$D$41*IF((2029-2026)&lt;0,0,IF((2029-2026)=0,$D$38,IF((2029-2026)=1,$D$39,$D$40)))+$E$41*IF((2029-2027)&lt;0,0,IF((2029-2027)=0,$D$38,IF((2029-2027)=1,$D$39,$D$40)))+$F$41*IF((2029-2028)&lt;0,0,IF((2029-2028)=0,$D$38,IF((2029-2028)=1,$D$39,$D$40)))+$D$43*$D$45*IF((2029-$D$44)&lt;0,0,IF((2029-$D$44)=0,$D$38,IF((2029-$D$44)=1,$D$39,$D$40)))</f>
        <v>65585</v>
      </c>
      <c r="H49" s="22">
        <f>$D$41*IF((2030-2026)&lt;0,0,IF((2030-2026)=0,$D$38,IF((2030-2026)=1,$D$39,$D$40)))+$E$41*IF((2030-2027)&lt;0,0,IF((2030-2027)=0,$D$38,IF((2030-2027)=1,$D$39,$D$40)))+$F$41*IF((2030-2028)&lt;0,0,IF((2030-2028)=0,$D$38,IF((2030-2028)=1,$D$39,$D$40)))+$D$43*$D$45*IF((2030-$D$44)&lt;0,0,IF((2030-$D$44)=0,$D$38,IF((2030-$D$44)=1,$D$39,$D$40)))</f>
        <v>67900</v>
      </c>
      <c r="I49" s="22">
        <f>$D$41*IF((2031-2026)&lt;0,0,IF((2031-2026)=0,$D$38,IF((2031-2026)=1,$D$39,$D$40)))+$E$41*IF((2031-2027)&lt;0,0,IF((2031-2027)=0,$D$38,IF((2031-2027)=1,$D$39,$D$40)))+$F$41*IF((2031-2028)&lt;0,0,IF((2031-2028)=0,$D$38,IF((2031-2028)=1,$D$39,$D$40)))+$D$43*$D$45*IF((2031-$D$44)&lt;0,0,IF((2031-$D$44)=0,$D$38,IF((2031-$D$44)=1,$D$39,$D$40)))</f>
        <v>67900</v>
      </c>
      <c r="J49" s="12" t="s">
        <v>379</v>
      </c>
    </row>
    <row r="50" spans="1:10" ht="15" customHeight="1" x14ac:dyDescent="0.25">
      <c r="A50" s="2" t="s">
        <v>380</v>
      </c>
      <c r="B50" s="2" t="s">
        <v>114</v>
      </c>
      <c r="C50" s="11"/>
      <c r="D50" s="11"/>
      <c r="E50" s="22">
        <f>$D$42*IF((2027-2026)&lt;0,0,IF((2027-2026)=0,$D$38,IF((2027-2026)=1,$D$39,$D$40)))+$E$42*IF((2027-2027)&lt;0,0,IF((2027-2027)=0,$D$38,IF((2027-2027)=1,$D$39,$D$40)))+$F$42*IF((2027-2028)&lt;0,0,IF((2027-2028)=0,$D$38,IF((2027-2028)=1,$D$39,$D$40)))</f>
        <v>13700</v>
      </c>
      <c r="F50" s="22">
        <f>$D$42*IF((2028-2026)&lt;0,0,IF((2028-2026)=0,$D$38,IF((2028-2026)=1,$D$39,$D$40)))+$E$42*IF((2028-2027)&lt;0,0,IF((2028-2027)=0,$D$38,IF((2028-2027)=1,$D$39,$D$40)))+$F$42*IF((2028-2028)&lt;0,0,IF((2028-2028)=0,$D$38,IF((2028-2028)=1,$D$39,$D$40)))</f>
        <v>40065</v>
      </c>
      <c r="G50" s="22">
        <f>$D$42*IF((2029-2026)&lt;0,0,IF((2029-2026)=0,$D$38,IF((2029-2026)=1,$D$39,$D$40)))+$E$42*IF((2029-2027)&lt;0,0,IF((2029-2027)=0,$D$38,IF((2029-2027)=1,$D$39,$D$40)))+$F$42*IF((2029-2028)&lt;0,0,IF((2029-2028)=0,$D$38,IF((2029-2028)=1,$D$39,$D$40)))</f>
        <v>53930</v>
      </c>
      <c r="H50" s="22">
        <f>$D$42*IF((2030-2026)&lt;0,0,IF((2030-2026)=0,$D$38,IF((2030-2026)=1,$D$39,$D$40)))+$E$42*IF((2030-2027)&lt;0,0,IF((2030-2027)=0,$D$38,IF((2030-2027)=1,$D$39,$D$40)))+$F$42*IF((2030-2028)&lt;0,0,IF((2030-2028)=0,$D$38,IF((2030-2028)=1,$D$39,$D$40)))</f>
        <v>55800</v>
      </c>
      <c r="I50" s="22">
        <f>$D$42*IF((2031-2026)&lt;0,0,IF((2031-2026)=0,$D$38,IF((2031-2026)=1,$D$39,$D$40)))+$E$42*IF((2031-2027)&lt;0,0,IF((2031-2027)=0,$D$38,IF((2031-2027)=1,$D$39,$D$40)))+$F$42*IF((2031-2028)&lt;0,0,IF((2031-2028)=0,$D$38,IF((2031-2028)=1,$D$39,$D$40)))</f>
        <v>55800</v>
      </c>
      <c r="J50" s="12" t="s">
        <v>339</v>
      </c>
    </row>
    <row r="51" spans="1:10" ht="1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5" customHeight="1" x14ac:dyDescent="0.25">
      <c r="A52" s="3" t="s">
        <v>381</v>
      </c>
      <c r="B52" s="3" t="s">
        <v>14</v>
      </c>
      <c r="C52" s="13" t="s">
        <v>303</v>
      </c>
      <c r="D52" s="13" t="s">
        <v>304</v>
      </c>
      <c r="E52" s="13" t="s">
        <v>305</v>
      </c>
      <c r="F52" s="13" t="s">
        <v>306</v>
      </c>
      <c r="G52" s="13" t="s">
        <v>307</v>
      </c>
      <c r="H52" s="13" t="s">
        <v>308</v>
      </c>
      <c r="I52" s="13" t="s">
        <v>309</v>
      </c>
      <c r="J52" s="3" t="s">
        <v>310</v>
      </c>
    </row>
    <row r="53" spans="1:10" ht="15" customHeight="1" x14ac:dyDescent="0.25">
      <c r="A53" s="2" t="s">
        <v>382</v>
      </c>
      <c r="B53" s="2" t="s">
        <v>351</v>
      </c>
      <c r="C53" s="11"/>
      <c r="D53" s="11"/>
      <c r="E53" s="24">
        <v>0.09</v>
      </c>
      <c r="F53" s="24">
        <v>0.06</v>
      </c>
      <c r="G53" s="24">
        <v>0.04</v>
      </c>
      <c r="H53" s="24">
        <v>0.03</v>
      </c>
      <c r="I53" s="24">
        <v>0.02</v>
      </c>
      <c r="J53" s="12" t="s">
        <v>383</v>
      </c>
    </row>
    <row r="54" spans="1:10" ht="15" customHeight="1" x14ac:dyDescent="0.25">
      <c r="A54" s="27" t="s">
        <v>353</v>
      </c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15" customHeight="1" x14ac:dyDescent="0.25">
      <c r="A55" s="2" t="s">
        <v>384</v>
      </c>
      <c r="B55" s="2" t="s">
        <v>385</v>
      </c>
      <c r="C55" s="11"/>
      <c r="D55" s="14">
        <v>0.96099999999999997</v>
      </c>
      <c r="E55" s="14">
        <v>0.96099999999999997</v>
      </c>
      <c r="F55" s="14">
        <v>0.96099999999999997</v>
      </c>
      <c r="G55" s="14">
        <v>0.96099999999999997</v>
      </c>
      <c r="H55" s="14">
        <v>0.96099999999999997</v>
      </c>
      <c r="I55" s="14">
        <v>0.96099999999999997</v>
      </c>
      <c r="J55" s="12" t="s">
        <v>386</v>
      </c>
    </row>
    <row r="56" spans="1:10" ht="15" customHeight="1" x14ac:dyDescent="0.25">
      <c r="A56" s="2" t="s">
        <v>387</v>
      </c>
      <c r="B56" s="2" t="s">
        <v>351</v>
      </c>
      <c r="C56" s="11"/>
      <c r="D56" s="11"/>
      <c r="E56" s="24">
        <v>1.4999999999999999E-2</v>
      </c>
      <c r="F56" s="24">
        <v>1.2500000000000001E-2</v>
      </c>
      <c r="G56" s="24">
        <v>0.01</v>
      </c>
      <c r="H56" s="24">
        <v>7.4999999999999997E-3</v>
      </c>
      <c r="I56" s="24">
        <v>6.0000000000000001E-3</v>
      </c>
      <c r="J56" s="12" t="s">
        <v>388</v>
      </c>
    </row>
    <row r="57" spans="1:10" ht="15" customHeight="1" x14ac:dyDescent="0.25">
      <c r="A57" s="2" t="s">
        <v>389</v>
      </c>
      <c r="B57" s="2" t="s">
        <v>20</v>
      </c>
      <c r="C57" s="11"/>
      <c r="D57" s="14">
        <v>0.121</v>
      </c>
      <c r="E57" s="11"/>
      <c r="F57" s="11"/>
      <c r="G57" s="11"/>
      <c r="H57" s="11"/>
      <c r="I57" s="11"/>
      <c r="J57" s="12" t="s">
        <v>390</v>
      </c>
    </row>
    <row r="58" spans="1:10" ht="15" customHeight="1" x14ac:dyDescent="0.25">
      <c r="A58" s="2" t="s">
        <v>391</v>
      </c>
      <c r="B58" s="2" t="s">
        <v>114</v>
      </c>
      <c r="C58" s="11"/>
      <c r="D58" s="22">
        <f>G30*D57</f>
        <v>60308.265913955933</v>
      </c>
      <c r="E58" s="22">
        <f>D58*(1+E6)*(1+E53)</f>
        <v>67839.562161290756</v>
      </c>
      <c r="F58" s="22">
        <f>E58*(1+F6)*(1+F53)</f>
        <v>74067.233967697262</v>
      </c>
      <c r="G58" s="22">
        <f>F58*(1+G6)*(1+G53)</f>
        <v>79340.8210261973</v>
      </c>
      <c r="H58" s="22">
        <f>G58*(1+H6)*(1+H53)</f>
        <v>84172.67702669272</v>
      </c>
      <c r="I58" s="22">
        <f>H58*(1+I6)*(1+I53)</f>
        <v>88431.814484243383</v>
      </c>
      <c r="J58" s="11"/>
    </row>
    <row r="59" spans="1:10" ht="15" customHeight="1" x14ac:dyDescent="0.25">
      <c r="A59" s="2" t="s">
        <v>392</v>
      </c>
      <c r="B59" s="2" t="s">
        <v>114</v>
      </c>
      <c r="C59" s="11"/>
      <c r="D59" s="22">
        <f>G30-D58</f>
        <v>438107.15486253938</v>
      </c>
      <c r="E59" s="22">
        <f>D59*(1+E6)*(1+E56)*E55/D55</f>
        <v>458908.48257541272</v>
      </c>
      <c r="F59" s="22">
        <f>E59*(1+F6)*(1+F56)*F55/E55</f>
        <v>478584.1837658335</v>
      </c>
      <c r="G59" s="22">
        <f>F59*(1+G6)*(1+G56)*G55/F55</f>
        <v>497871.12637159659</v>
      </c>
      <c r="H59" s="22">
        <f>G59*(1+H6)*(1+H56)*H55/G55</f>
        <v>516653.31461396511</v>
      </c>
      <c r="I59" s="22">
        <f>H59*(1+I6)*(1+I56)*I55/H55</f>
        <v>535345.83153669839</v>
      </c>
      <c r="J59" s="11"/>
    </row>
    <row r="60" spans="1:10" ht="15" customHeight="1" x14ac:dyDescent="0.25">
      <c r="A60" s="2" t="s">
        <v>393</v>
      </c>
      <c r="B60" s="2" t="s">
        <v>114</v>
      </c>
      <c r="C60" s="11"/>
      <c r="D60" s="22">
        <f t="shared" ref="D60:I60" si="3">(D59+D58)/$D$46*1000000</f>
        <v>341079.52763349545</v>
      </c>
      <c r="E60" s="22">
        <f t="shared" si="3"/>
        <v>360468.32981363259</v>
      </c>
      <c r="F60" s="22">
        <f t="shared" si="3"/>
        <v>378194.72803001927</v>
      </c>
      <c r="G60" s="22">
        <f t="shared" si="3"/>
        <v>395002.1812249152</v>
      </c>
      <c r="H60" s="22">
        <f t="shared" si="3"/>
        <v>411161.92813508213</v>
      </c>
      <c r="I60" s="22">
        <f t="shared" si="3"/>
        <v>426868.38324884744</v>
      </c>
      <c r="J60" s="12" t="s">
        <v>394</v>
      </c>
    </row>
    <row r="61" spans="1:10" ht="15" customHeight="1" x14ac:dyDescent="0.25">
      <c r="A61" s="2" t="s">
        <v>395</v>
      </c>
      <c r="B61" s="2" t="s">
        <v>114</v>
      </c>
      <c r="C61" s="11"/>
      <c r="D61" s="11"/>
      <c r="E61" s="22">
        <f>E60*E49/1000000</f>
        <v>7152.5928343270043</v>
      </c>
      <c r="F61" s="22">
        <f>F60*F49/1000000</f>
        <v>18583.543448575074</v>
      </c>
      <c r="G61" s="22">
        <f>G60*G49/1000000</f>
        <v>25906.218055636062</v>
      </c>
      <c r="H61" s="22">
        <f>H60*H49/1000000</f>
        <v>27917.894920372077</v>
      </c>
      <c r="I61" s="22">
        <f>I60*I49/1000000</f>
        <v>28984.363222596741</v>
      </c>
      <c r="J61" s="11"/>
    </row>
    <row r="62" spans="1:10" ht="15" customHeight="1" x14ac:dyDescent="0.25">
      <c r="A62" s="2" t="s">
        <v>396</v>
      </c>
      <c r="B62" s="2" t="s">
        <v>114</v>
      </c>
      <c r="C62" s="11"/>
      <c r="D62" s="22">
        <f>G30</f>
        <v>498415.4207764953</v>
      </c>
      <c r="E62" s="22">
        <f>E59+E58+E61</f>
        <v>533900.63757103053</v>
      </c>
      <c r="F62" s="22">
        <f>F59+F58+F61</f>
        <v>571234.96118210582</v>
      </c>
      <c r="G62" s="22">
        <f>G59+G58+G61</f>
        <v>603118.16545342992</v>
      </c>
      <c r="H62" s="22">
        <f>H59+H58+H61</f>
        <v>628743.88656102994</v>
      </c>
      <c r="I62" s="22">
        <f>I59+I58+I61</f>
        <v>652762.00924353849</v>
      </c>
      <c r="J62" s="11"/>
    </row>
    <row r="63" spans="1:10" ht="15" customHeight="1" x14ac:dyDescent="0.25">
      <c r="A63" s="2" t="s">
        <v>397</v>
      </c>
      <c r="B63" s="2" t="s">
        <v>114</v>
      </c>
      <c r="C63" s="11"/>
      <c r="D63" s="11"/>
      <c r="E63" s="21">
        <f>E62/D62-1</f>
        <v>7.1196065200494374E-2</v>
      </c>
      <c r="F63" s="21">
        <f>F62/E62-1</f>
        <v>6.9927475233831915E-2</v>
      </c>
      <c r="G63" s="21">
        <f>G62/F62-1</f>
        <v>5.5814518434490479E-2</v>
      </c>
      <c r="H63" s="21">
        <f>H62/G62-1</f>
        <v>4.2488723728515643E-2</v>
      </c>
      <c r="I63" s="21">
        <f>I62/H62-1</f>
        <v>3.8200168933455236E-2</v>
      </c>
      <c r="J63" s="11"/>
    </row>
    <row r="64" spans="1:10" ht="15" customHeight="1" x14ac:dyDescent="0.25">
      <c r="A64" s="27" t="s">
        <v>354</v>
      </c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5" customHeight="1" x14ac:dyDescent="0.25">
      <c r="A65" s="2" t="s">
        <v>398</v>
      </c>
      <c r="B65" s="2" t="s">
        <v>385</v>
      </c>
      <c r="C65" s="11"/>
      <c r="D65" s="14">
        <v>0.93799999999999994</v>
      </c>
      <c r="E65" s="14">
        <v>0.94199999999999995</v>
      </c>
      <c r="F65" s="14">
        <v>0.94599999999999995</v>
      </c>
      <c r="G65" s="14">
        <v>0.94599999999999995</v>
      </c>
      <c r="H65" s="14">
        <v>0.94599999999999995</v>
      </c>
      <c r="I65" s="14">
        <v>0.94599999999999995</v>
      </c>
      <c r="J65" s="12" t="s">
        <v>399</v>
      </c>
    </row>
    <row r="66" spans="1:10" ht="15" customHeight="1" x14ac:dyDescent="0.25">
      <c r="A66" s="2" t="s">
        <v>387</v>
      </c>
      <c r="B66" s="2" t="s">
        <v>351</v>
      </c>
      <c r="C66" s="11"/>
      <c r="D66" s="11"/>
      <c r="E66" s="24">
        <v>1.4999999999999999E-2</v>
      </c>
      <c r="F66" s="24">
        <v>1.2E-2</v>
      </c>
      <c r="G66" s="24">
        <v>8.9999999999999993E-3</v>
      </c>
      <c r="H66" s="24">
        <v>6.0000000000000001E-3</v>
      </c>
      <c r="I66" s="24">
        <v>4.0000000000000001E-3</v>
      </c>
      <c r="J66" s="12" t="s">
        <v>400</v>
      </c>
    </row>
    <row r="67" spans="1:10" ht="15" customHeight="1" x14ac:dyDescent="0.25">
      <c r="A67" s="2" t="s">
        <v>389</v>
      </c>
      <c r="B67" s="2" t="s">
        <v>20</v>
      </c>
      <c r="C67" s="11"/>
      <c r="D67" s="14">
        <v>6.4000000000000001E-2</v>
      </c>
      <c r="E67" s="11"/>
      <c r="F67" s="11"/>
      <c r="G67" s="11"/>
      <c r="H67" s="11"/>
      <c r="I67" s="11"/>
      <c r="J67" s="12" t="s">
        <v>390</v>
      </c>
    </row>
    <row r="68" spans="1:10" ht="15" customHeight="1" x14ac:dyDescent="0.25">
      <c r="A68" s="2" t="s">
        <v>391</v>
      </c>
      <c r="B68" s="2" t="s">
        <v>114</v>
      </c>
      <c r="C68" s="11"/>
      <c r="D68" s="23">
        <f>G31*D67</f>
        <v>31.367029111143502</v>
      </c>
      <c r="E68" s="23">
        <f>D68*(1+E7)*(1+E53)</f>
        <v>35.079003336156227</v>
      </c>
      <c r="F68" s="23">
        <f>E68*(1+F7)*(1+F53)</f>
        <v>38.076153381197415</v>
      </c>
      <c r="G68" s="23">
        <f>F68*(1+G7)*(1+G53)</f>
        <v>40.391183506774219</v>
      </c>
      <c r="H68" s="23">
        <f>G68*(1+H7)*(1+H53)</f>
        <v>42.434977392216993</v>
      </c>
      <c r="I68" s="23">
        <f>H68*(1+I7)*(1+I53)</f>
        <v>44.149350478862559</v>
      </c>
      <c r="J68" s="11"/>
    </row>
    <row r="69" spans="1:10" ht="15" customHeight="1" x14ac:dyDescent="0.25">
      <c r="A69" s="2" t="s">
        <v>392</v>
      </c>
      <c r="B69" s="2" t="s">
        <v>114</v>
      </c>
      <c r="C69" s="11"/>
      <c r="D69" s="23">
        <f>G31-D68</f>
        <v>458.74280075047369</v>
      </c>
      <c r="E69" s="23">
        <f>D69*(1+E7)*(1+E66)*E65/D65</f>
        <v>479.76739412331631</v>
      </c>
      <c r="F69" s="23">
        <f>E69*(1+F7)*(1+F66)*F65/E65</f>
        <v>499.28834913154458</v>
      </c>
      <c r="G69" s="23">
        <f>F69*(1+G7)*(1+G66)*G65/F65</f>
        <v>513.85758315920293</v>
      </c>
      <c r="H69" s="23">
        <f>G69*(1+H7)*(1+H66)*H65/G65</f>
        <v>527.27954323132133</v>
      </c>
      <c r="I69" s="23">
        <f>H69*(1+I7)*(1+I66)*I65/H65</f>
        <v>539.97643463233157</v>
      </c>
      <c r="J69" s="11"/>
    </row>
    <row r="70" spans="1:10" ht="15" customHeight="1" x14ac:dyDescent="0.25">
      <c r="A70" s="2" t="s">
        <v>393</v>
      </c>
      <c r="B70" s="2" t="s">
        <v>114</v>
      </c>
      <c r="C70" s="11"/>
      <c r="D70" s="22">
        <f t="shared" ref="D70:I70" si="4">(D69+D68)/$D$47*1000000</f>
        <v>792.93865140297203</v>
      </c>
      <c r="E70" s="22">
        <f t="shared" si="4"/>
        <v>832.95943726829546</v>
      </c>
      <c r="F70" s="22">
        <f t="shared" si="4"/>
        <v>869.39101803893914</v>
      </c>
      <c r="G70" s="22">
        <f t="shared" si="4"/>
        <v>896.70772305458433</v>
      </c>
      <c r="H70" s="22">
        <f t="shared" si="4"/>
        <v>921.72944948986367</v>
      </c>
      <c r="I70" s="22">
        <f t="shared" si="4"/>
        <v>945.04513901822884</v>
      </c>
      <c r="J70" s="12" t="s">
        <v>394</v>
      </c>
    </row>
    <row r="71" spans="1:10" ht="15" customHeight="1" x14ac:dyDescent="0.25">
      <c r="A71" s="2" t="s">
        <v>395</v>
      </c>
      <c r="B71" s="2" t="s">
        <v>114</v>
      </c>
      <c r="C71" s="11"/>
      <c r="D71" s="11"/>
      <c r="E71" s="23">
        <f>E70*E50/1000000</f>
        <v>11.411544290575648</v>
      </c>
      <c r="F71" s="23">
        <f>F70*F50/1000000</f>
        <v>34.832151137730101</v>
      </c>
      <c r="G71" s="23">
        <f>G70*G50/1000000</f>
        <v>48.359447504333737</v>
      </c>
      <c r="H71" s="23">
        <f>H70*H50/1000000</f>
        <v>51.432503281534395</v>
      </c>
      <c r="I71" s="23">
        <f>I70*I50/1000000</f>
        <v>52.733518757217169</v>
      </c>
      <c r="J71" s="11"/>
    </row>
    <row r="72" spans="1:10" ht="15" customHeight="1" x14ac:dyDescent="0.25">
      <c r="A72" s="2" t="s">
        <v>401</v>
      </c>
      <c r="B72" s="2" t="s">
        <v>114</v>
      </c>
      <c r="C72" s="11"/>
      <c r="D72" s="23">
        <f>G31</f>
        <v>490.10982986161719</v>
      </c>
      <c r="E72" s="23">
        <f>E69+E68+E71</f>
        <v>526.25794175004819</v>
      </c>
      <c r="F72" s="23">
        <f>F69+F68+F71</f>
        <v>572.19665365047206</v>
      </c>
      <c r="G72" s="23">
        <f>G69+G68+G71</f>
        <v>602.60821417031093</v>
      </c>
      <c r="H72" s="23">
        <f>H69+H68+H71</f>
        <v>621.14702390507273</v>
      </c>
      <c r="I72" s="23">
        <f>I69+I68+I71</f>
        <v>636.8593038684113</v>
      </c>
      <c r="J72" s="11"/>
    </row>
    <row r="73" spans="1:10" ht="15" customHeight="1" x14ac:dyDescent="0.25">
      <c r="A73" s="2" t="s">
        <v>397</v>
      </c>
      <c r="B73" s="2" t="s">
        <v>114</v>
      </c>
      <c r="C73" s="11"/>
      <c r="D73" s="11"/>
      <c r="E73" s="21">
        <f>E72/D72-1</f>
        <v>7.3755125251492082E-2</v>
      </c>
      <c r="F73" s="21">
        <f>F72/E72-1</f>
        <v>8.7293147059513521E-2</v>
      </c>
      <c r="G73" s="21">
        <f>G72/F72-1</f>
        <v>5.3148791286738106E-2</v>
      </c>
      <c r="H73" s="21">
        <f>H72/G72-1</f>
        <v>3.0764283159144368E-2</v>
      </c>
      <c r="I73" s="21">
        <f>I72/H72-1</f>
        <v>2.5295589222270598E-2</v>
      </c>
      <c r="J73" s="11"/>
    </row>
    <row r="74" spans="1:10" ht="15" customHeight="1" x14ac:dyDescent="0.25">
      <c r="A74" s="27" t="s">
        <v>355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5" customHeight="1" x14ac:dyDescent="0.25">
      <c r="A75" s="2" t="s">
        <v>402</v>
      </c>
      <c r="B75" s="2" t="s">
        <v>385</v>
      </c>
      <c r="C75" s="11"/>
      <c r="D75" s="14">
        <v>0.97499999999999998</v>
      </c>
      <c r="E75" s="14">
        <v>0.97499999999999998</v>
      </c>
      <c r="F75" s="14">
        <v>0.97499999999999998</v>
      </c>
      <c r="G75" s="14">
        <v>0.97499999999999998</v>
      </c>
      <c r="H75" s="14">
        <v>0.97499999999999998</v>
      </c>
      <c r="I75" s="14">
        <v>0.97499999999999998</v>
      </c>
      <c r="J75" s="12" t="s">
        <v>386</v>
      </c>
    </row>
    <row r="76" spans="1:10" ht="15" customHeight="1" x14ac:dyDescent="0.25">
      <c r="A76" s="2" t="s">
        <v>387</v>
      </c>
      <c r="B76" s="2" t="s">
        <v>351</v>
      </c>
      <c r="C76" s="11"/>
      <c r="D76" s="11"/>
      <c r="E76" s="24">
        <v>2.5000000000000001E-2</v>
      </c>
      <c r="F76" s="24">
        <v>2.3E-2</v>
      </c>
      <c r="G76" s="24">
        <v>2.1999999999999999E-2</v>
      </c>
      <c r="H76" s="24">
        <v>2.1000000000000001E-2</v>
      </c>
      <c r="I76" s="24">
        <v>2.1000000000000001E-2</v>
      </c>
      <c r="J76" s="12" t="s">
        <v>403</v>
      </c>
    </row>
    <row r="77" spans="1:10" ht="15" customHeight="1" x14ac:dyDescent="0.25">
      <c r="A77" s="2" t="s">
        <v>389</v>
      </c>
      <c r="B77" s="2" t="s">
        <v>20</v>
      </c>
      <c r="C77" s="11"/>
      <c r="D77" s="14">
        <v>0.09</v>
      </c>
      <c r="E77" s="11"/>
      <c r="F77" s="11"/>
      <c r="G77" s="11"/>
      <c r="H77" s="11"/>
      <c r="I77" s="11"/>
      <c r="J77" s="12" t="s">
        <v>390</v>
      </c>
    </row>
    <row r="78" spans="1:10" ht="15" customHeight="1" x14ac:dyDescent="0.25">
      <c r="A78" s="2" t="s">
        <v>391</v>
      </c>
      <c r="B78" s="2" t="s">
        <v>114</v>
      </c>
      <c r="C78" s="11"/>
      <c r="D78" s="22">
        <f>G32*D77</f>
        <v>25701.574574011222</v>
      </c>
      <c r="E78" s="22">
        <f>D78*(1+E8)*(1+E53)</f>
        <v>29527.510965098536</v>
      </c>
      <c r="F78" s="22">
        <f>E78*(1+F8)*(1+F53)</f>
        <v>32582.427249547629</v>
      </c>
      <c r="G78" s="22">
        <f>F78*(1+G8)*(1+G53)</f>
        <v>35071.724691413066</v>
      </c>
      <c r="H78" s="22">
        <f>G78*(1+H8)*(1+H53)</f>
        <v>37207.592725120128</v>
      </c>
      <c r="I78" s="22">
        <f>H78*(1+I8)*(1+I53)</f>
        <v>39090.296917011205</v>
      </c>
      <c r="J78" s="11"/>
    </row>
    <row r="79" spans="1:10" ht="15" customHeight="1" x14ac:dyDescent="0.25">
      <c r="A79" s="2" t="s">
        <v>392</v>
      </c>
      <c r="B79" s="2" t="s">
        <v>114</v>
      </c>
      <c r="C79" s="11"/>
      <c r="D79" s="22">
        <f>G32-D78</f>
        <v>259871.4762483357</v>
      </c>
      <c r="E79" s="22">
        <f>D79*(1+E8)*(1+E76)*E75/D75</f>
        <v>280752.14936488948</v>
      </c>
      <c r="F79" s="22">
        <f>E79*(1+F8)*(1+F76)*F75/E75</f>
        <v>298985.0362010934</v>
      </c>
      <c r="G79" s="22">
        <f>F79*(1+G8)*(1+G76)*G75/F75</f>
        <v>316257.40174243058</v>
      </c>
      <c r="H79" s="22">
        <f>G79*(1+H8)*(1+H76)*H75/G75</f>
        <v>332585.77139439224</v>
      </c>
      <c r="I79" s="22">
        <f>H79*(1+I8)*(1+I76)*I75/H75</f>
        <v>349757.17477148469</v>
      </c>
      <c r="J79" s="11"/>
    </row>
    <row r="80" spans="1:10" ht="15" customHeight="1" x14ac:dyDescent="0.25">
      <c r="A80" s="2" t="s">
        <v>393</v>
      </c>
      <c r="B80" s="2" t="s">
        <v>114</v>
      </c>
      <c r="C80" s="11"/>
      <c r="D80" s="22">
        <f t="shared" ref="D80:I80" si="5">(D79+D78)/$D$48*1000000</f>
        <v>1017164.6737797038</v>
      </c>
      <c r="E80" s="22">
        <f t="shared" si="5"/>
        <v>1105165.5909799612</v>
      </c>
      <c r="F80" s="22">
        <f t="shared" si="5"/>
        <v>1180989.276913743</v>
      </c>
      <c r="G80" s="22">
        <f t="shared" si="5"/>
        <v>1251377.1003577639</v>
      </c>
      <c r="H80" s="22">
        <f t="shared" si="5"/>
        <v>1317143.706303427</v>
      </c>
      <c r="I80" s="22">
        <f t="shared" si="5"/>
        <v>1385011.3326559761</v>
      </c>
      <c r="J80" s="12" t="s">
        <v>394</v>
      </c>
    </row>
    <row r="81" spans="1:10" ht="15" customHeight="1" x14ac:dyDescent="0.25">
      <c r="A81" s="2" t="s">
        <v>404</v>
      </c>
      <c r="B81" s="2" t="s">
        <v>114</v>
      </c>
      <c r="C81" s="11"/>
      <c r="D81" s="22">
        <f>G32</f>
        <v>285573.05082234694</v>
      </c>
      <c r="E81" s="22">
        <f>E79+E78</f>
        <v>310279.66032998799</v>
      </c>
      <c r="F81" s="22">
        <f>F79+F78</f>
        <v>331567.46345064102</v>
      </c>
      <c r="G81" s="22">
        <f>G79+G78</f>
        <v>351329.12643384363</v>
      </c>
      <c r="H81" s="22">
        <f>H79+H78</f>
        <v>369793.36411951238</v>
      </c>
      <c r="I81" s="22">
        <f>I79+I78</f>
        <v>388847.47168849589</v>
      </c>
      <c r="J81" s="11"/>
    </row>
    <row r="82" spans="1:10" ht="15" customHeight="1" x14ac:dyDescent="0.25">
      <c r="A82" s="2" t="s">
        <v>397</v>
      </c>
      <c r="B82" s="2" t="s">
        <v>114</v>
      </c>
      <c r="C82" s="11"/>
      <c r="D82" s="11"/>
      <c r="E82" s="21">
        <f>E81/D81-1</f>
        <v>8.6515899999999979E-2</v>
      </c>
      <c r="F82" s="21">
        <f>F81/E81-1</f>
        <v>6.8608438909637304E-2</v>
      </c>
      <c r="G82" s="21">
        <f>G81/F81-1</f>
        <v>5.9600730353762454E-2</v>
      </c>
      <c r="H82" s="21">
        <f>H81/G81-1</f>
        <v>5.2555385524364118E-2</v>
      </c>
      <c r="I82" s="21">
        <f>I81/H81-1</f>
        <v>5.1526364228714261E-2</v>
      </c>
      <c r="J82" s="11"/>
    </row>
    <row r="83" spans="1:10" ht="15" customHeight="1" x14ac:dyDescent="0.25">
      <c r="A83" s="27" t="s">
        <v>405</v>
      </c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5" customHeight="1" x14ac:dyDescent="0.25">
      <c r="A84" s="2" t="s">
        <v>406</v>
      </c>
      <c r="B84" s="2" t="s">
        <v>351</v>
      </c>
      <c r="C84" s="11"/>
      <c r="D84" s="25">
        <v>0</v>
      </c>
      <c r="E84" s="11"/>
      <c r="F84" s="11"/>
      <c r="G84" s="11"/>
      <c r="H84" s="11"/>
      <c r="I84" s="11"/>
      <c r="J84" s="12" t="s">
        <v>407</v>
      </c>
    </row>
    <row r="85" spans="1:10" ht="15" customHeight="1" x14ac:dyDescent="0.25">
      <c r="A85" s="2" t="s">
        <v>408</v>
      </c>
      <c r="B85" s="2" t="s">
        <v>351</v>
      </c>
      <c r="C85" s="11"/>
      <c r="D85" s="26">
        <v>2027</v>
      </c>
      <c r="E85" s="11"/>
      <c r="F85" s="11"/>
      <c r="G85" s="11"/>
      <c r="H85" s="11"/>
      <c r="I85" s="11"/>
      <c r="J85" s="12" t="s">
        <v>409</v>
      </c>
    </row>
    <row r="86" spans="1:10" ht="15" customHeight="1" x14ac:dyDescent="0.25">
      <c r="A86" s="2" t="s">
        <v>410</v>
      </c>
      <c r="B86" s="2" t="s">
        <v>20</v>
      </c>
      <c r="C86" s="11"/>
      <c r="D86" s="4">
        <v>1178000</v>
      </c>
      <c r="E86" s="11"/>
      <c r="F86" s="11"/>
      <c r="G86" s="11"/>
      <c r="H86" s="11"/>
      <c r="I86" s="11"/>
      <c r="J86" s="12" t="s">
        <v>411</v>
      </c>
    </row>
    <row r="87" spans="1:10" ht="15" customHeight="1" x14ac:dyDescent="0.25">
      <c r="A87" s="2" t="s">
        <v>412</v>
      </c>
      <c r="B87" s="2" t="s">
        <v>20</v>
      </c>
      <c r="C87" s="11"/>
      <c r="D87" s="14">
        <v>9.4E-2</v>
      </c>
      <c r="E87" s="11"/>
      <c r="F87" s="11"/>
      <c r="G87" s="11"/>
      <c r="H87" s="11"/>
      <c r="I87" s="11"/>
      <c r="J87" s="12" t="s">
        <v>339</v>
      </c>
    </row>
    <row r="88" spans="1:10" ht="15" customHeight="1" x14ac:dyDescent="0.25">
      <c r="A88" s="2" t="s">
        <v>413</v>
      </c>
      <c r="B88" s="2" t="s">
        <v>351</v>
      </c>
      <c r="C88" s="11"/>
      <c r="D88" s="14">
        <v>0.751</v>
      </c>
      <c r="E88" s="11"/>
      <c r="F88" s="11"/>
      <c r="G88" s="11"/>
      <c r="H88" s="11"/>
      <c r="I88" s="11"/>
      <c r="J88" s="12" t="s">
        <v>414</v>
      </c>
    </row>
    <row r="89" spans="1:10" ht="15" customHeight="1" x14ac:dyDescent="0.25">
      <c r="A89" s="2" t="s">
        <v>415</v>
      </c>
      <c r="B89" s="2" t="s">
        <v>114</v>
      </c>
      <c r="C89" s="11"/>
      <c r="D89" s="11"/>
      <c r="E89" s="22">
        <f>$D$84*IF(2027&lt;$D$85,0,IF(2027=$D$85,0.5,1))*$D$86*$D$87/$D$88*(1+E8)^(2027-2026)</f>
        <v>0</v>
      </c>
      <c r="F89" s="22">
        <f>$D$84*IF(2028&lt;$D$85,0,IF(2028=$D$85,0.5,1))*$D$86*$D$87/$D$88*(1+F8)^(2028-2026)</f>
        <v>0</v>
      </c>
      <c r="G89" s="22">
        <f>$D$84*IF(2029&lt;$D$85,0,IF(2029=$D$85,0.5,1))*$D$86*$D$87/$D$88*(1+G8)^(2029-2026)</f>
        <v>0</v>
      </c>
      <c r="H89" s="22">
        <f>$D$84*IF(2030&lt;$D$85,0,IF(2030=$D$85,0.5,1))*$D$86*$D$87/$D$88*(1+H8)^(2030-2026)</f>
        <v>0</v>
      </c>
      <c r="I89" s="22">
        <f>$D$84*IF(2031&lt;$D$85,0,IF(2031=$D$85,0.5,1))*$D$86*$D$87/$D$88*(1+I8)^(2031-2026)</f>
        <v>0</v>
      </c>
      <c r="J89" s="12" t="s">
        <v>416</v>
      </c>
    </row>
    <row r="90" spans="1:10" ht="15" customHeight="1" x14ac:dyDescent="0.25">
      <c r="A90" s="27" t="s">
        <v>417</v>
      </c>
      <c r="B90" s="11"/>
      <c r="C90" s="11"/>
      <c r="D90" s="11"/>
      <c r="E90" s="11"/>
      <c r="F90" s="11"/>
      <c r="G90" s="11"/>
      <c r="H90" s="11"/>
      <c r="I90" s="11"/>
      <c r="J90" s="11"/>
    </row>
    <row r="91" spans="1:10" ht="15" customHeight="1" x14ac:dyDescent="0.25">
      <c r="A91" s="2" t="s">
        <v>418</v>
      </c>
      <c r="B91" s="2" t="s">
        <v>114</v>
      </c>
      <c r="C91" s="20">
        <f>Inputs!C36</f>
        <v>469964</v>
      </c>
      <c r="D91" s="22">
        <f>G33</f>
        <v>498415.4207764953</v>
      </c>
      <c r="E91" s="22">
        <f>E62</f>
        <v>533900.63757103053</v>
      </c>
      <c r="F91" s="22">
        <f>F62</f>
        <v>571234.96118210582</v>
      </c>
      <c r="G91" s="22">
        <f>G62</f>
        <v>603118.16545342992</v>
      </c>
      <c r="H91" s="22">
        <f>H62</f>
        <v>628743.88656102994</v>
      </c>
      <c r="I91" s="22">
        <f>I62</f>
        <v>652762.00924353849</v>
      </c>
      <c r="J91" s="11"/>
    </row>
    <row r="92" spans="1:10" ht="15" customHeight="1" x14ac:dyDescent="0.25">
      <c r="A92" s="2" t="s">
        <v>419</v>
      </c>
      <c r="B92" s="2" t="s">
        <v>114</v>
      </c>
      <c r="C92" s="20">
        <f>Inputs!C40</f>
        <v>121320</v>
      </c>
      <c r="D92" s="22">
        <f>G34</f>
        <v>131348.0717284237</v>
      </c>
      <c r="E92" s="22">
        <f>E72*E15</f>
        <v>145169.36106893039</v>
      </c>
      <c r="F92" s="22">
        <f>F72*F15</f>
        <v>159839.60064916575</v>
      </c>
      <c r="G92" s="22">
        <f>G72*G15</f>
        <v>171607.00433850006</v>
      </c>
      <c r="H92" s="22">
        <f>H72*H15</f>
        <v>178620.5509180628</v>
      </c>
      <c r="I92" s="22">
        <f>I72*I15</f>
        <v>184934.34204976869</v>
      </c>
      <c r="J92" s="11"/>
    </row>
    <row r="93" spans="1:10" ht="15" customHeight="1" x14ac:dyDescent="0.25">
      <c r="A93" s="2" t="s">
        <v>420</v>
      </c>
      <c r="B93" s="2" t="s">
        <v>114</v>
      </c>
      <c r="C93" s="20">
        <f>Inputs!C38</f>
        <v>62627</v>
      </c>
      <c r="D93" s="22">
        <f>G35</f>
        <v>75222.422806260685</v>
      </c>
      <c r="E93" s="22">
        <f>(E81+E89)*E16</f>
        <v>88109.424477529028</v>
      </c>
      <c r="F93" s="22">
        <f>(F81+F89)*F16</f>
        <v>89432.140683292164</v>
      </c>
      <c r="G93" s="22">
        <f>(G81+G89)*G16</f>
        <v>92226.44155211898</v>
      </c>
      <c r="H93" s="22">
        <f>(H81+H89)*H16</f>
        <v>96838.393099984285</v>
      </c>
      <c r="I93" s="22">
        <f>(I81+I89)*I16</f>
        <v>101828.12341417748</v>
      </c>
      <c r="J93" s="11"/>
    </row>
    <row r="94" spans="1:10" ht="15" customHeight="1" x14ac:dyDescent="0.25">
      <c r="A94" s="2" t="s">
        <v>421</v>
      </c>
      <c r="B94" s="2" t="s">
        <v>422</v>
      </c>
      <c r="C94" s="11"/>
      <c r="D94" s="10">
        <v>-1.4E-3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2" t="s">
        <v>423</v>
      </c>
    </row>
    <row r="95" spans="1:10" ht="15" customHeight="1" x14ac:dyDescent="0.25">
      <c r="A95" s="2" t="s">
        <v>424</v>
      </c>
      <c r="B95" s="2" t="s">
        <v>114</v>
      </c>
      <c r="C95" s="20">
        <f>Inputs!C6</f>
        <v>653911</v>
      </c>
      <c r="D95" s="28">
        <f t="shared" ref="D95:I95" si="6">(D91+D92+D93)*(1+D94)</f>
        <v>703998.93502974394</v>
      </c>
      <c r="E95" s="28">
        <f t="shared" si="6"/>
        <v>767179.4231174899</v>
      </c>
      <c r="F95" s="28">
        <f t="shared" si="6"/>
        <v>820506.70251456369</v>
      </c>
      <c r="G95" s="28">
        <f t="shared" si="6"/>
        <v>866951.61134404899</v>
      </c>
      <c r="H95" s="28">
        <f t="shared" si="6"/>
        <v>904202.83057907701</v>
      </c>
      <c r="I95" s="28">
        <f t="shared" si="6"/>
        <v>939524.47470748459</v>
      </c>
      <c r="J95" s="11"/>
    </row>
    <row r="96" spans="1:10" ht="15" customHeight="1" x14ac:dyDescent="0.25">
      <c r="A96" s="2" t="s">
        <v>425</v>
      </c>
      <c r="B96" s="2" t="s">
        <v>114</v>
      </c>
      <c r="C96" s="11"/>
      <c r="D96" s="21">
        <f t="shared" ref="D96:I96" si="7">D95/C95-1</f>
        <v>7.6597480436548571E-2</v>
      </c>
      <c r="E96" s="21">
        <f t="shared" si="7"/>
        <v>8.9745147249514767E-2</v>
      </c>
      <c r="F96" s="21">
        <f t="shared" si="7"/>
        <v>6.951083122169055E-2</v>
      </c>
      <c r="G96" s="21">
        <f t="shared" si="7"/>
        <v>5.6605154701537597E-2</v>
      </c>
      <c r="H96" s="21">
        <f t="shared" si="7"/>
        <v>4.2968048905609457E-2</v>
      </c>
      <c r="I96" s="21">
        <f t="shared" si="7"/>
        <v>3.9063850425890223E-2</v>
      </c>
      <c r="J96" s="11"/>
    </row>
    <row r="97" spans="1:10" ht="15" customHeight="1" x14ac:dyDescent="0.25">
      <c r="A97" s="2" t="s">
        <v>426</v>
      </c>
      <c r="B97" s="2" t="s">
        <v>214</v>
      </c>
      <c r="C97" s="11"/>
      <c r="D97" s="4">
        <v>699790</v>
      </c>
      <c r="E97" s="4">
        <v>770370</v>
      </c>
      <c r="F97" s="11"/>
      <c r="G97" s="11"/>
      <c r="H97" s="11"/>
      <c r="I97" s="11"/>
      <c r="J97" s="12" t="s">
        <v>427</v>
      </c>
    </row>
    <row r="98" spans="1:10" ht="15" customHeight="1" x14ac:dyDescent="0.25">
      <c r="A98" s="2" t="s">
        <v>428</v>
      </c>
      <c r="B98" s="2" t="s">
        <v>114</v>
      </c>
      <c r="C98" s="11"/>
      <c r="D98" s="21">
        <f>D95/D97-1</f>
        <v>6.0145686988153368E-3</v>
      </c>
      <c r="E98" s="21">
        <f>E95/E97-1</f>
        <v>-4.1416162136507229E-3</v>
      </c>
      <c r="F98" s="11"/>
      <c r="G98" s="11"/>
      <c r="H98" s="11"/>
      <c r="I98" s="11"/>
      <c r="J98" s="11"/>
    </row>
    <row r="99" spans="1:10" ht="1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15" customHeight="1" x14ac:dyDescent="0.25">
      <c r="A100" s="3" t="s">
        <v>429</v>
      </c>
      <c r="B100" s="3" t="s">
        <v>14</v>
      </c>
      <c r="C100" s="13" t="s">
        <v>303</v>
      </c>
      <c r="D100" s="13" t="s">
        <v>304</v>
      </c>
      <c r="E100" s="13" t="s">
        <v>305</v>
      </c>
      <c r="F100" s="13" t="s">
        <v>306</v>
      </c>
      <c r="G100" s="13" t="s">
        <v>307</v>
      </c>
      <c r="H100" s="13" t="s">
        <v>308</v>
      </c>
      <c r="I100" s="13" t="s">
        <v>309</v>
      </c>
      <c r="J100" s="3" t="s">
        <v>310</v>
      </c>
    </row>
    <row r="101" spans="1:10" ht="15" customHeight="1" x14ac:dyDescent="0.25">
      <c r="A101" s="2" t="s">
        <v>430</v>
      </c>
      <c r="B101" s="2" t="s">
        <v>351</v>
      </c>
      <c r="C101" s="11"/>
      <c r="D101" s="24">
        <v>0.8</v>
      </c>
      <c r="E101" s="24">
        <v>0.8</v>
      </c>
      <c r="F101" s="24">
        <v>0.8</v>
      </c>
      <c r="G101" s="24">
        <v>0.8</v>
      </c>
      <c r="H101" s="24">
        <v>0.8</v>
      </c>
      <c r="I101" s="24">
        <v>0.8</v>
      </c>
      <c r="J101" s="12" t="s">
        <v>431</v>
      </c>
    </row>
    <row r="102" spans="1:10" ht="15" customHeight="1" x14ac:dyDescent="0.25">
      <c r="A102" s="2" t="s">
        <v>432</v>
      </c>
      <c r="B102" s="2" t="s">
        <v>351</v>
      </c>
      <c r="C102" s="11"/>
      <c r="D102" s="24">
        <v>0.82</v>
      </c>
      <c r="E102" s="24">
        <v>0.82</v>
      </c>
      <c r="F102" s="24">
        <v>0.82</v>
      </c>
      <c r="G102" s="24">
        <v>0.82</v>
      </c>
      <c r="H102" s="24">
        <v>0.82</v>
      </c>
      <c r="I102" s="24">
        <v>0.82</v>
      </c>
      <c r="J102" s="12" t="s">
        <v>433</v>
      </c>
    </row>
    <row r="103" spans="1:10" ht="15" customHeight="1" x14ac:dyDescent="0.25">
      <c r="A103" s="2" t="s">
        <v>434</v>
      </c>
      <c r="B103" s="2" t="s">
        <v>351</v>
      </c>
      <c r="C103" s="11"/>
      <c r="D103" s="24">
        <v>0.74</v>
      </c>
      <c r="E103" s="24">
        <v>0.74</v>
      </c>
      <c r="F103" s="24">
        <v>0.74</v>
      </c>
      <c r="G103" s="24">
        <v>0.74</v>
      </c>
      <c r="H103" s="24">
        <v>0.74</v>
      </c>
      <c r="I103" s="24">
        <v>0.74</v>
      </c>
      <c r="J103" s="12" t="s">
        <v>435</v>
      </c>
    </row>
    <row r="104" spans="1:10" ht="15" customHeight="1" x14ac:dyDescent="0.25">
      <c r="A104" s="2" t="s">
        <v>35</v>
      </c>
      <c r="B104" s="2" t="s">
        <v>114</v>
      </c>
      <c r="C104" s="20">
        <f>Inputs!C10</f>
        <v>526228</v>
      </c>
      <c r="D104" s="22">
        <f t="shared" ref="D104:I104" si="8">(D91*D101+D92*D102+D93*D103)*(1+D94)</f>
        <v>561315.40502749546</v>
      </c>
      <c r="E104" s="22">
        <f t="shared" si="8"/>
        <v>611360.36024671874</v>
      </c>
      <c r="F104" s="22">
        <f t="shared" si="8"/>
        <v>654236.22558363678</v>
      </c>
      <c r="G104" s="22">
        <f t="shared" si="8"/>
        <v>691459.84266888211</v>
      </c>
      <c r="H104" s="22">
        <f t="shared" si="8"/>
        <v>721124.37189562374</v>
      </c>
      <c r="I104" s="22">
        <f t="shared" si="8"/>
        <v>749208.57920213242</v>
      </c>
      <c r="J104" s="12" t="s">
        <v>436</v>
      </c>
    </row>
    <row r="105" spans="1:10" ht="15" customHeight="1" x14ac:dyDescent="0.25">
      <c r="A105" s="2" t="s">
        <v>437</v>
      </c>
      <c r="B105" s="2" t="s">
        <v>114</v>
      </c>
      <c r="C105" s="21">
        <f t="shared" ref="C105:I105" si="9">C104/C95</f>
        <v>0.8047394828959904</v>
      </c>
      <c r="D105" s="21">
        <f t="shared" si="9"/>
        <v>0.79732422465068065</v>
      </c>
      <c r="E105" s="21">
        <f t="shared" si="9"/>
        <v>0.79689358424449275</v>
      </c>
      <c r="F105" s="21">
        <f t="shared" si="9"/>
        <v>0.7973563452664475</v>
      </c>
      <c r="G105" s="21">
        <f t="shared" si="9"/>
        <v>0.79757605109805474</v>
      </c>
      <c r="H105" s="21">
        <f t="shared" si="9"/>
        <v>0.79752501043797364</v>
      </c>
      <c r="I105" s="21">
        <f t="shared" si="9"/>
        <v>0.79743380760293026</v>
      </c>
      <c r="J105" s="11"/>
    </row>
    <row r="106" spans="1:10" ht="1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15" customHeight="1" x14ac:dyDescent="0.25">
      <c r="A107" s="3" t="s">
        <v>438</v>
      </c>
      <c r="B107" s="3" t="s">
        <v>14</v>
      </c>
      <c r="C107" s="13" t="s">
        <v>303</v>
      </c>
      <c r="D107" s="13" t="s">
        <v>304</v>
      </c>
      <c r="E107" s="13" t="s">
        <v>305</v>
      </c>
      <c r="F107" s="13" t="s">
        <v>306</v>
      </c>
      <c r="G107" s="13" t="s">
        <v>307</v>
      </c>
      <c r="H107" s="13" t="s">
        <v>308</v>
      </c>
      <c r="I107" s="13" t="s">
        <v>309</v>
      </c>
      <c r="J107" s="3" t="s">
        <v>310</v>
      </c>
    </row>
    <row r="108" spans="1:10" ht="15" customHeight="1" x14ac:dyDescent="0.25">
      <c r="A108" s="2" t="s">
        <v>439</v>
      </c>
      <c r="B108" s="2" t="s">
        <v>422</v>
      </c>
      <c r="C108" s="11"/>
      <c r="D108" s="10">
        <v>3.0800000000000001E-2</v>
      </c>
      <c r="E108" s="10">
        <v>3.0800000000000001E-2</v>
      </c>
      <c r="F108" s="10">
        <v>3.0800000000000001E-2</v>
      </c>
      <c r="G108" s="10">
        <v>3.0800000000000001E-2</v>
      </c>
      <c r="H108" s="10">
        <v>3.0800000000000001E-2</v>
      </c>
      <c r="I108" s="10">
        <v>3.0800000000000001E-2</v>
      </c>
      <c r="J108" s="12" t="s">
        <v>440</v>
      </c>
    </row>
    <row r="109" spans="1:10" ht="15" customHeight="1" x14ac:dyDescent="0.25">
      <c r="A109" s="2" t="s">
        <v>441</v>
      </c>
      <c r="B109" s="2" t="s">
        <v>114</v>
      </c>
      <c r="C109" s="11"/>
      <c r="D109" s="22">
        <f t="shared" ref="D109:I109" si="10">D108*C145</f>
        <v>40379.539199999999</v>
      </c>
      <c r="E109" s="22">
        <f t="shared" si="10"/>
        <v>39517.85947940113</v>
      </c>
      <c r="F109" s="22">
        <f t="shared" si="10"/>
        <v>38615.614627992465</v>
      </c>
      <c r="G109" s="22">
        <f t="shared" si="10"/>
        <v>34700.300816684583</v>
      </c>
      <c r="H109" s="22">
        <f t="shared" si="10"/>
        <v>27290.572473482225</v>
      </c>
      <c r="I109" s="22">
        <f t="shared" si="10"/>
        <v>19772.093343873948</v>
      </c>
      <c r="J109" s="11"/>
    </row>
    <row r="110" spans="1:10" ht="15" customHeight="1" x14ac:dyDescent="0.25">
      <c r="A110" s="2" t="s">
        <v>442</v>
      </c>
      <c r="B110" s="2" t="s">
        <v>422</v>
      </c>
      <c r="C110" s="11"/>
      <c r="D110" s="24">
        <v>0.16800000000000001</v>
      </c>
      <c r="E110" s="24">
        <v>0.19</v>
      </c>
      <c r="F110" s="24">
        <v>0.215</v>
      </c>
      <c r="G110" s="24">
        <v>0.24</v>
      </c>
      <c r="H110" s="24">
        <v>0.27</v>
      </c>
      <c r="I110" s="24">
        <v>0.27</v>
      </c>
      <c r="J110" s="12" t="s">
        <v>443</v>
      </c>
    </row>
    <row r="111" spans="1:10" ht="15" customHeight="1" x14ac:dyDescent="0.25">
      <c r="A111" s="2" t="s">
        <v>444</v>
      </c>
      <c r="B111" s="2" t="s">
        <v>114</v>
      </c>
      <c r="C111" s="11"/>
      <c r="D111" s="22">
        <f t="shared" ref="D111:I111" si="11">D110*(D104-D109)</f>
        <v>87517.225459019246</v>
      </c>
      <c r="E111" s="22">
        <f t="shared" si="11"/>
        <v>108650.07514579034</v>
      </c>
      <c r="F111" s="22">
        <f t="shared" si="11"/>
        <v>132358.43135546352</v>
      </c>
      <c r="G111" s="22">
        <f t="shared" si="11"/>
        <v>157622.29004452738</v>
      </c>
      <c r="H111" s="22">
        <f t="shared" si="11"/>
        <v>187335.12584397823</v>
      </c>
      <c r="I111" s="22">
        <f t="shared" si="11"/>
        <v>196947.85118172978</v>
      </c>
      <c r="J111" s="11"/>
    </row>
    <row r="112" spans="1:10" ht="15" customHeight="1" x14ac:dyDescent="0.25">
      <c r="A112" s="2" t="s">
        <v>445</v>
      </c>
      <c r="B112" s="2" t="s">
        <v>114</v>
      </c>
      <c r="C112" s="11"/>
      <c r="D112" s="22">
        <f t="shared" ref="D112:I112" si="12">D104-D109-D111</f>
        <v>433418.64036847622</v>
      </c>
      <c r="E112" s="22">
        <f t="shared" si="12"/>
        <v>463192.42562152725</v>
      </c>
      <c r="F112" s="22">
        <f t="shared" si="12"/>
        <v>483262.17960018077</v>
      </c>
      <c r="G112" s="22">
        <f t="shared" si="12"/>
        <v>499137.25180767011</v>
      </c>
      <c r="H112" s="22">
        <f t="shared" si="12"/>
        <v>506498.67357816326</v>
      </c>
      <c r="I112" s="22">
        <f t="shared" si="12"/>
        <v>532488.63467652863</v>
      </c>
      <c r="J112" s="11"/>
    </row>
    <row r="113" spans="1:10" ht="15" customHeight="1" x14ac:dyDescent="0.25">
      <c r="A113" s="2" t="s">
        <v>446</v>
      </c>
      <c r="B113" s="2" t="s">
        <v>114</v>
      </c>
      <c r="C113" s="11"/>
      <c r="D113" s="10">
        <v>1.1299999999999999E-2</v>
      </c>
      <c r="E113" s="10">
        <v>1.1299999999999999E-2</v>
      </c>
      <c r="F113" s="10">
        <v>1.1299999999999999E-2</v>
      </c>
      <c r="G113" s="10">
        <v>1.1299999999999999E-2</v>
      </c>
      <c r="H113" s="10">
        <v>1.1299999999999999E-2</v>
      </c>
      <c r="I113" s="10">
        <v>1.1299999999999999E-2</v>
      </c>
      <c r="J113" s="12" t="s">
        <v>447</v>
      </c>
    </row>
    <row r="114" spans="1:10" ht="15" customHeight="1" x14ac:dyDescent="0.25">
      <c r="A114" s="2" t="s">
        <v>448</v>
      </c>
      <c r="B114" s="2" t="s">
        <v>114</v>
      </c>
      <c r="C114" s="20">
        <f>Inputs!C20</f>
        <v>405300</v>
      </c>
      <c r="D114" s="28">
        <f t="shared" ref="D114:I114" si="13">D112*(1-D113)</f>
        <v>428521.00973231246</v>
      </c>
      <c r="E114" s="28">
        <f t="shared" si="13"/>
        <v>457958.35121200403</v>
      </c>
      <c r="F114" s="28">
        <f t="shared" si="13"/>
        <v>477801.31697069871</v>
      </c>
      <c r="G114" s="28">
        <f t="shared" si="13"/>
        <v>493497.00086224347</v>
      </c>
      <c r="H114" s="28">
        <f t="shared" si="13"/>
        <v>500775.23856673006</v>
      </c>
      <c r="I114" s="28">
        <f t="shared" si="13"/>
        <v>526471.51310468384</v>
      </c>
      <c r="J114" s="11"/>
    </row>
    <row r="115" spans="1:10" ht="15" customHeight="1" x14ac:dyDescent="0.25">
      <c r="A115" s="2" t="s">
        <v>449</v>
      </c>
      <c r="B115" s="2" t="s">
        <v>114</v>
      </c>
      <c r="C115" s="29">
        <f>C114/Inputs!$C$125</f>
        <v>185.06849315068493</v>
      </c>
      <c r="D115" s="29">
        <f>D114/Inputs!$C$125</f>
        <v>195.6716939416952</v>
      </c>
      <c r="E115" s="29">
        <f>E114/Inputs!$C$125</f>
        <v>209.11340237991053</v>
      </c>
      <c r="F115" s="29">
        <f>F114/Inputs!$C$125</f>
        <v>218.17411733821859</v>
      </c>
      <c r="G115" s="29">
        <f>G114/Inputs!$C$125</f>
        <v>225.34109628412943</v>
      </c>
      <c r="H115" s="29">
        <f>H114/Inputs!$C$125</f>
        <v>228.66449249622377</v>
      </c>
      <c r="I115" s="29">
        <f>I114/Inputs!$C$125</f>
        <v>240.39795118935334</v>
      </c>
      <c r="J115" s="11"/>
    </row>
    <row r="116" spans="1:10" ht="15" customHeight="1" x14ac:dyDescent="0.25">
      <c r="A116" s="2" t="s">
        <v>450</v>
      </c>
      <c r="B116" s="2" t="s">
        <v>385</v>
      </c>
      <c r="C116" s="11"/>
      <c r="D116" s="14">
        <v>0.79</v>
      </c>
      <c r="E116" s="14">
        <v>0.79</v>
      </c>
      <c r="F116" s="14">
        <v>0.79</v>
      </c>
      <c r="G116" s="14">
        <v>0.79</v>
      </c>
      <c r="H116" s="14">
        <v>0.79</v>
      </c>
      <c r="I116" s="14">
        <v>0.79</v>
      </c>
      <c r="J116" s="12" t="s">
        <v>451</v>
      </c>
    </row>
    <row r="117" spans="1:10" ht="15" customHeight="1" x14ac:dyDescent="0.25">
      <c r="A117" s="2" t="s">
        <v>452</v>
      </c>
      <c r="B117" s="2" t="s">
        <v>385</v>
      </c>
      <c r="C117" s="11"/>
      <c r="D117" s="4">
        <v>347621</v>
      </c>
      <c r="E117" s="4">
        <v>347621</v>
      </c>
      <c r="F117" s="4">
        <v>347621</v>
      </c>
      <c r="G117" s="4">
        <v>347621</v>
      </c>
      <c r="H117" s="4">
        <v>347621</v>
      </c>
      <c r="I117" s="4">
        <v>347621</v>
      </c>
      <c r="J117" s="12" t="s">
        <v>453</v>
      </c>
    </row>
    <row r="118" spans="1:10" ht="15" customHeight="1" x14ac:dyDescent="0.25">
      <c r="A118" s="2" t="s">
        <v>454</v>
      </c>
      <c r="B118" s="2" t="s">
        <v>114</v>
      </c>
      <c r="C118" s="20">
        <f>Inputs!C18</f>
        <v>43825</v>
      </c>
      <c r="D118" s="22">
        <f t="shared" ref="D118:I118" si="14">D116*(C145+D117)*D6</f>
        <v>48482.193350000001</v>
      </c>
      <c r="E118" s="22">
        <f t="shared" si="14"/>
        <v>41223.29679036561</v>
      </c>
      <c r="F118" s="22">
        <f t="shared" si="14"/>
        <v>37952.580904007191</v>
      </c>
      <c r="G118" s="22">
        <f t="shared" si="14"/>
        <v>34939.823198552745</v>
      </c>
      <c r="H118" s="22">
        <f t="shared" si="14"/>
        <v>29238.181583815869</v>
      </c>
      <c r="I118" s="22">
        <f t="shared" si="14"/>
        <v>23452.858357461449</v>
      </c>
      <c r="J118" s="12" t="s">
        <v>455</v>
      </c>
    </row>
    <row r="119" spans="1:10" ht="15" customHeight="1" x14ac:dyDescent="0.25">
      <c r="A119" s="2" t="s">
        <v>456</v>
      </c>
      <c r="B119" s="2" t="s">
        <v>114</v>
      </c>
      <c r="C119" s="20">
        <f>Inputs!C22</f>
        <v>369312</v>
      </c>
      <c r="D119" s="22">
        <f t="shared" ref="D119:I119" si="15">D114-D118</f>
        <v>380038.81638231245</v>
      </c>
      <c r="E119" s="22">
        <f t="shared" si="15"/>
        <v>416735.05442163843</v>
      </c>
      <c r="F119" s="22">
        <f t="shared" si="15"/>
        <v>439848.73606669152</v>
      </c>
      <c r="G119" s="22">
        <f t="shared" si="15"/>
        <v>458557.1776636907</v>
      </c>
      <c r="H119" s="22">
        <f t="shared" si="15"/>
        <v>471537.05698291416</v>
      </c>
      <c r="I119" s="22">
        <f t="shared" si="15"/>
        <v>503018.65474722238</v>
      </c>
      <c r="J119" s="12" t="s">
        <v>457</v>
      </c>
    </row>
    <row r="120" spans="1:10" ht="15" customHeight="1" x14ac:dyDescent="0.25">
      <c r="A120" s="2" t="s">
        <v>458</v>
      </c>
      <c r="B120" s="2" t="s">
        <v>214</v>
      </c>
      <c r="C120" s="11"/>
      <c r="D120" s="15">
        <v>213.97</v>
      </c>
      <c r="E120" s="15">
        <v>218.08</v>
      </c>
      <c r="F120" s="11"/>
      <c r="G120" s="11"/>
      <c r="H120" s="11"/>
      <c r="I120" s="11"/>
      <c r="J120" s="12" t="s">
        <v>459</v>
      </c>
    </row>
    <row r="121" spans="1:10" ht="1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5" customHeight="1" x14ac:dyDescent="0.25">
      <c r="A122" s="3" t="s">
        <v>460</v>
      </c>
      <c r="B122" s="3" t="s">
        <v>14</v>
      </c>
      <c r="C122" s="13" t="s">
        <v>303</v>
      </c>
      <c r="D122" s="13" t="s">
        <v>304</v>
      </c>
      <c r="E122" s="13" t="s">
        <v>305</v>
      </c>
      <c r="F122" s="13" t="s">
        <v>306</v>
      </c>
      <c r="G122" s="13" t="s">
        <v>307</v>
      </c>
      <c r="H122" s="13" t="s">
        <v>308</v>
      </c>
      <c r="I122" s="13" t="s">
        <v>309</v>
      </c>
      <c r="J122" s="3" t="s">
        <v>310</v>
      </c>
    </row>
    <row r="123" spans="1:10" ht="15" customHeight="1" x14ac:dyDescent="0.25">
      <c r="A123" s="27" t="s">
        <v>461</v>
      </c>
      <c r="B123" s="11"/>
      <c r="C123" s="11"/>
      <c r="D123" s="11"/>
      <c r="E123" s="11"/>
      <c r="F123" s="11"/>
      <c r="G123" s="11"/>
      <c r="H123" s="11"/>
      <c r="I123" s="11"/>
      <c r="J123" s="12" t="s">
        <v>462</v>
      </c>
    </row>
    <row r="124" spans="1:10" ht="15" customHeight="1" x14ac:dyDescent="0.25">
      <c r="A124" s="2" t="s">
        <v>463</v>
      </c>
      <c r="B124" s="26">
        <v>2028</v>
      </c>
      <c r="C124" s="11"/>
      <c r="D124" s="23">
        <f t="shared" ref="D124:D134" si="16">IF(2026&gt;$B124,0,IF(2026=2026,0.5,1)/($B124-2026+0.5))*$J124</f>
        <v>20.080000000000002</v>
      </c>
      <c r="E124" s="23">
        <f t="shared" ref="E124:E134" si="17">IF(2027&gt;$B124,0,IF(2027=2026,0.5,1)/($B124-2026+0.5))*$J124</f>
        <v>40.160000000000004</v>
      </c>
      <c r="F124" s="23">
        <f t="shared" ref="F124:F134" si="18">IF(2028&gt;$B124,0,IF(2028=2026,0.5,1)/($B124-2026+0.5))*$J124</f>
        <v>40.160000000000004</v>
      </c>
      <c r="G124" s="23">
        <f t="shared" ref="G124:G134" si="19">IF(2029&gt;$B124,0,IF(2029=2026,0.5,1)/($B124-2026+0.5))*$J124</f>
        <v>0</v>
      </c>
      <c r="H124" s="23">
        <f t="shared" ref="H124:H134" si="20">IF(2030&gt;$B124,0,IF(2030=2026,0.5,1)/($B124-2026+0.5))*$J124</f>
        <v>0</v>
      </c>
      <c r="I124" s="23">
        <f t="shared" ref="I124:I134" si="21">IF(2031&gt;$B124,0,IF(2031=2026,0.5,1)/($B124-2026+0.5))*$J124</f>
        <v>0</v>
      </c>
      <c r="J124" s="30">
        <v>100.4</v>
      </c>
    </row>
    <row r="125" spans="1:10" ht="15" customHeight="1" x14ac:dyDescent="0.25">
      <c r="A125" s="2" t="s">
        <v>464</v>
      </c>
      <c r="B125" s="26">
        <v>2028</v>
      </c>
      <c r="C125" s="11"/>
      <c r="D125" s="23">
        <f t="shared" si="16"/>
        <v>7.5200000000000005</v>
      </c>
      <c r="E125" s="23">
        <f t="shared" si="17"/>
        <v>15.040000000000001</v>
      </c>
      <c r="F125" s="23">
        <f t="shared" si="18"/>
        <v>15.040000000000001</v>
      </c>
      <c r="G125" s="23">
        <f t="shared" si="19"/>
        <v>0</v>
      </c>
      <c r="H125" s="23">
        <f t="shared" si="20"/>
        <v>0</v>
      </c>
      <c r="I125" s="23">
        <f t="shared" si="21"/>
        <v>0</v>
      </c>
      <c r="J125" s="30">
        <v>37.6</v>
      </c>
    </row>
    <row r="126" spans="1:10" ht="15" customHeight="1" x14ac:dyDescent="0.25">
      <c r="A126" s="2" t="s">
        <v>465</v>
      </c>
      <c r="B126" s="26">
        <v>2028</v>
      </c>
      <c r="C126" s="11"/>
      <c r="D126" s="23">
        <f t="shared" si="16"/>
        <v>5.5600000000000005</v>
      </c>
      <c r="E126" s="23">
        <f t="shared" si="17"/>
        <v>11.120000000000001</v>
      </c>
      <c r="F126" s="23">
        <f t="shared" si="18"/>
        <v>11.120000000000001</v>
      </c>
      <c r="G126" s="23">
        <f t="shared" si="19"/>
        <v>0</v>
      </c>
      <c r="H126" s="23">
        <f t="shared" si="20"/>
        <v>0</v>
      </c>
      <c r="I126" s="23">
        <f t="shared" si="21"/>
        <v>0</v>
      </c>
      <c r="J126" s="30">
        <v>27.8</v>
      </c>
    </row>
    <row r="127" spans="1:10" ht="15" customHeight="1" x14ac:dyDescent="0.25">
      <c r="A127" s="2" t="s">
        <v>466</v>
      </c>
      <c r="B127" s="26">
        <v>2027</v>
      </c>
      <c r="C127" s="11"/>
      <c r="D127" s="23">
        <f t="shared" si="16"/>
        <v>14.366666666666667</v>
      </c>
      <c r="E127" s="23">
        <f t="shared" si="17"/>
        <v>28.733333333333334</v>
      </c>
      <c r="F127" s="23">
        <f t="shared" si="18"/>
        <v>0</v>
      </c>
      <c r="G127" s="23">
        <f t="shared" si="19"/>
        <v>0</v>
      </c>
      <c r="H127" s="23">
        <f t="shared" si="20"/>
        <v>0</v>
      </c>
      <c r="I127" s="23">
        <f t="shared" si="21"/>
        <v>0</v>
      </c>
      <c r="J127" s="30">
        <v>43.1</v>
      </c>
    </row>
    <row r="128" spans="1:10" ht="15" customHeight="1" x14ac:dyDescent="0.25">
      <c r="A128" s="2" t="s">
        <v>467</v>
      </c>
      <c r="B128" s="26">
        <v>2028</v>
      </c>
      <c r="C128" s="11"/>
      <c r="D128" s="23">
        <f t="shared" si="16"/>
        <v>13.92</v>
      </c>
      <c r="E128" s="23">
        <f t="shared" si="17"/>
        <v>27.84</v>
      </c>
      <c r="F128" s="23">
        <f t="shared" si="18"/>
        <v>27.84</v>
      </c>
      <c r="G128" s="23">
        <f t="shared" si="19"/>
        <v>0</v>
      </c>
      <c r="H128" s="23">
        <f t="shared" si="20"/>
        <v>0</v>
      </c>
      <c r="I128" s="23">
        <f t="shared" si="21"/>
        <v>0</v>
      </c>
      <c r="J128" s="30">
        <v>69.599999999999994</v>
      </c>
    </row>
    <row r="129" spans="1:10" ht="15" customHeight="1" x14ac:dyDescent="0.25">
      <c r="A129" s="2" t="s">
        <v>468</v>
      </c>
      <c r="B129" s="26">
        <v>2027</v>
      </c>
      <c r="C129" s="11"/>
      <c r="D129" s="23">
        <f t="shared" si="16"/>
        <v>9</v>
      </c>
      <c r="E129" s="23">
        <f t="shared" si="17"/>
        <v>18</v>
      </c>
      <c r="F129" s="23">
        <f t="shared" si="18"/>
        <v>0</v>
      </c>
      <c r="G129" s="23">
        <f t="shared" si="19"/>
        <v>0</v>
      </c>
      <c r="H129" s="23">
        <f t="shared" si="20"/>
        <v>0</v>
      </c>
      <c r="I129" s="23">
        <f t="shared" si="21"/>
        <v>0</v>
      </c>
      <c r="J129" s="30">
        <v>27</v>
      </c>
    </row>
    <row r="130" spans="1:10" ht="15" customHeight="1" x14ac:dyDescent="0.25">
      <c r="A130" s="2" t="s">
        <v>469</v>
      </c>
      <c r="B130" s="26">
        <v>2028</v>
      </c>
      <c r="C130" s="11"/>
      <c r="D130" s="23">
        <f t="shared" si="16"/>
        <v>11.06</v>
      </c>
      <c r="E130" s="23">
        <f t="shared" si="17"/>
        <v>22.12</v>
      </c>
      <c r="F130" s="23">
        <f t="shared" si="18"/>
        <v>22.12</v>
      </c>
      <c r="G130" s="23">
        <f t="shared" si="19"/>
        <v>0</v>
      </c>
      <c r="H130" s="23">
        <f t="shared" si="20"/>
        <v>0</v>
      </c>
      <c r="I130" s="23">
        <f t="shared" si="21"/>
        <v>0</v>
      </c>
      <c r="J130" s="30">
        <v>55.3</v>
      </c>
    </row>
    <row r="131" spans="1:10" ht="15" customHeight="1" x14ac:dyDescent="0.25">
      <c r="A131" s="2" t="s">
        <v>470</v>
      </c>
      <c r="B131" s="26">
        <v>2027</v>
      </c>
      <c r="C131" s="11"/>
      <c r="D131" s="23">
        <f t="shared" si="16"/>
        <v>22.3</v>
      </c>
      <c r="E131" s="23">
        <f t="shared" si="17"/>
        <v>44.6</v>
      </c>
      <c r="F131" s="23">
        <f t="shared" si="18"/>
        <v>0</v>
      </c>
      <c r="G131" s="23">
        <f t="shared" si="19"/>
        <v>0</v>
      </c>
      <c r="H131" s="23">
        <f t="shared" si="20"/>
        <v>0</v>
      </c>
      <c r="I131" s="23">
        <f t="shared" si="21"/>
        <v>0</v>
      </c>
      <c r="J131" s="30">
        <v>66.900000000000006</v>
      </c>
    </row>
    <row r="132" spans="1:10" ht="15" customHeight="1" x14ac:dyDescent="0.25">
      <c r="A132" s="2" t="s">
        <v>471</v>
      </c>
      <c r="B132" s="26">
        <v>2027</v>
      </c>
      <c r="C132" s="11"/>
      <c r="D132" s="23">
        <f t="shared" si="16"/>
        <v>3.7333333333333329</v>
      </c>
      <c r="E132" s="23">
        <f t="shared" si="17"/>
        <v>7.4666666666666659</v>
      </c>
      <c r="F132" s="23">
        <f t="shared" si="18"/>
        <v>0</v>
      </c>
      <c r="G132" s="23">
        <f t="shared" si="19"/>
        <v>0</v>
      </c>
      <c r="H132" s="23">
        <f t="shared" si="20"/>
        <v>0</v>
      </c>
      <c r="I132" s="23">
        <f t="shared" si="21"/>
        <v>0</v>
      </c>
      <c r="J132" s="30">
        <v>11.2</v>
      </c>
    </row>
    <row r="133" spans="1:10" ht="15" customHeight="1" x14ac:dyDescent="0.25">
      <c r="A133" s="2" t="s">
        <v>472</v>
      </c>
      <c r="B133" s="26">
        <v>2026</v>
      </c>
      <c r="C133" s="11"/>
      <c r="D133" s="23">
        <f t="shared" si="16"/>
        <v>3.5</v>
      </c>
      <c r="E133" s="23">
        <f t="shared" si="17"/>
        <v>0</v>
      </c>
      <c r="F133" s="23">
        <f t="shared" si="18"/>
        <v>0</v>
      </c>
      <c r="G133" s="23">
        <f t="shared" si="19"/>
        <v>0</v>
      </c>
      <c r="H133" s="23">
        <f t="shared" si="20"/>
        <v>0</v>
      </c>
      <c r="I133" s="23">
        <f t="shared" si="21"/>
        <v>0</v>
      </c>
      <c r="J133" s="30">
        <v>3.5</v>
      </c>
    </row>
    <row r="134" spans="1:10" ht="15" customHeight="1" x14ac:dyDescent="0.25">
      <c r="A134" s="2" t="s">
        <v>473</v>
      </c>
      <c r="B134" s="26">
        <v>2026</v>
      </c>
      <c r="C134" s="11"/>
      <c r="D134" s="23">
        <f t="shared" si="16"/>
        <v>2.6</v>
      </c>
      <c r="E134" s="23">
        <f t="shared" si="17"/>
        <v>0</v>
      </c>
      <c r="F134" s="23">
        <f t="shared" si="18"/>
        <v>0</v>
      </c>
      <c r="G134" s="23">
        <f t="shared" si="19"/>
        <v>0</v>
      </c>
      <c r="H134" s="23">
        <f t="shared" si="20"/>
        <v>0</v>
      </c>
      <c r="I134" s="23">
        <f t="shared" si="21"/>
        <v>0</v>
      </c>
      <c r="J134" s="30">
        <v>2.6</v>
      </c>
    </row>
    <row r="135" spans="1:10" ht="15" customHeight="1" x14ac:dyDescent="0.25">
      <c r="A135" s="2" t="s">
        <v>474</v>
      </c>
      <c r="B135" s="31">
        <f>$D$44</f>
        <v>2029</v>
      </c>
      <c r="C135" s="11"/>
      <c r="D135" s="23">
        <f>$D$43*IF(2026&gt;$B135,0,IF(2026=2026,0.5,1)/($B135-2026+0.5))*$J135</f>
        <v>0</v>
      </c>
      <c r="E135" s="23">
        <f>$D$43*IF(2027&gt;$B135,0,IF(2027=2026,0.5,1)/($B135-2026+0.5))*$J135</f>
        <v>0</v>
      </c>
      <c r="F135" s="23">
        <f>$D$43*IF(2028&gt;$B135,0,IF(2028=2026,0.5,1)/($B135-2026+0.5))*$J135</f>
        <v>0</v>
      </c>
      <c r="G135" s="23">
        <f>$D$43*IF(2029&gt;$B135,0,IF(2029=2026,0.5,1)/($B135-2026+0.5))*$J135</f>
        <v>0</v>
      </c>
      <c r="H135" s="23">
        <f>$D$43*IF(2030&gt;$B135,0,IF(2030=2026,0.5,1)/($B135-2026+0.5))*$J135</f>
        <v>0</v>
      </c>
      <c r="I135" s="23">
        <f>$D$43*IF(2031&gt;$B135,0,IF(2031=2026,0.5,1)/($B135-2026+0.5))*$J135</f>
        <v>0</v>
      </c>
      <c r="J135" s="30">
        <v>134</v>
      </c>
    </row>
    <row r="136" spans="1:10" ht="15" customHeight="1" x14ac:dyDescent="0.25">
      <c r="A136" s="2" t="s">
        <v>475</v>
      </c>
      <c r="B136" s="2" t="s">
        <v>114</v>
      </c>
      <c r="C136" s="11"/>
      <c r="D136" s="23">
        <f t="shared" ref="D136:I136" si="22">SUM(D124:D135)</f>
        <v>113.64</v>
      </c>
      <c r="E136" s="23">
        <f t="shared" si="22"/>
        <v>215.08</v>
      </c>
      <c r="F136" s="23">
        <f t="shared" si="22"/>
        <v>116.28000000000002</v>
      </c>
      <c r="G136" s="23">
        <f t="shared" si="22"/>
        <v>0</v>
      </c>
      <c r="H136" s="23">
        <f t="shared" si="22"/>
        <v>0</v>
      </c>
      <c r="I136" s="23">
        <f t="shared" si="22"/>
        <v>0</v>
      </c>
      <c r="J136" s="11"/>
    </row>
    <row r="137" spans="1:10" ht="15" customHeight="1" x14ac:dyDescent="0.25">
      <c r="A137" s="2" t="s">
        <v>476</v>
      </c>
      <c r="B137" s="2" t="s">
        <v>114</v>
      </c>
      <c r="C137" s="11"/>
      <c r="D137" s="22">
        <f>D136*F25</f>
        <v>105634.06199999999</v>
      </c>
      <c r="E137" s="22">
        <f>E136*E17</f>
        <v>198465.07</v>
      </c>
      <c r="F137" s="22">
        <f>F136*F17</f>
        <v>106367.13000000002</v>
      </c>
      <c r="G137" s="22">
        <f>G136*G17</f>
        <v>0</v>
      </c>
      <c r="H137" s="22">
        <f>H136*H17</f>
        <v>0</v>
      </c>
      <c r="I137" s="22">
        <f>I136*I17</f>
        <v>0</v>
      </c>
      <c r="J137" s="12" t="s">
        <v>477</v>
      </c>
    </row>
    <row r="138" spans="1:10" ht="15" customHeight="1" x14ac:dyDescent="0.25">
      <c r="A138" s="2" t="s">
        <v>478</v>
      </c>
      <c r="B138" s="2" t="s">
        <v>351</v>
      </c>
      <c r="C138" s="11"/>
      <c r="D138" s="24">
        <v>5.5E-2</v>
      </c>
      <c r="E138" s="24">
        <v>5.5E-2</v>
      </c>
      <c r="F138" s="24">
        <v>5.5E-2</v>
      </c>
      <c r="G138" s="24">
        <v>5.5E-2</v>
      </c>
      <c r="H138" s="24">
        <v>5.5E-2</v>
      </c>
      <c r="I138" s="24">
        <v>5.5E-2</v>
      </c>
      <c r="J138" s="12" t="s">
        <v>479</v>
      </c>
    </row>
    <row r="139" spans="1:10" ht="15" customHeight="1" x14ac:dyDescent="0.25">
      <c r="A139" s="2" t="s">
        <v>480</v>
      </c>
      <c r="B139" s="2" t="s">
        <v>114</v>
      </c>
      <c r="C139" s="11"/>
      <c r="D139" s="22">
        <f>D138*D95/2</f>
        <v>19359.970713317958</v>
      </c>
      <c r="E139" s="22">
        <f>E138*E95</f>
        <v>42194.868271461943</v>
      </c>
      <c r="F139" s="22">
        <f>F138*F95</f>
        <v>45127.868638301006</v>
      </c>
      <c r="G139" s="22">
        <f>G138*G95</f>
        <v>47682.338623922697</v>
      </c>
      <c r="H139" s="22">
        <f>H138*H95</f>
        <v>49731.155681849239</v>
      </c>
      <c r="I139" s="22">
        <f>I138*I95</f>
        <v>51673.846108911654</v>
      </c>
      <c r="J139" s="12" t="s">
        <v>481</v>
      </c>
    </row>
    <row r="140" spans="1:10" ht="15" customHeight="1" x14ac:dyDescent="0.25">
      <c r="A140" s="2" t="s">
        <v>482</v>
      </c>
      <c r="B140" s="2" t="s">
        <v>20</v>
      </c>
      <c r="C140" s="11"/>
      <c r="D140" s="20">
        <f>Inputs!C55</f>
        <v>84241</v>
      </c>
      <c r="E140" s="11"/>
      <c r="F140" s="11"/>
      <c r="G140" s="11"/>
      <c r="H140" s="11"/>
      <c r="I140" s="11"/>
      <c r="J140" s="11"/>
    </row>
    <row r="141" spans="1:10" ht="15" customHeight="1" x14ac:dyDescent="0.25">
      <c r="A141" s="2" t="s">
        <v>483</v>
      </c>
      <c r="B141" s="2" t="s">
        <v>114</v>
      </c>
      <c r="C141" s="11"/>
      <c r="D141" s="11"/>
      <c r="E141" s="22">
        <f>$D$84*(2027=$D$85)*$D$86*E16</f>
        <v>0</v>
      </c>
      <c r="F141" s="22">
        <f>$D$84*(2028=$D$85)*$D$86*F16</f>
        <v>0</v>
      </c>
      <c r="G141" s="22">
        <f>$D$84*(2029=$D$85)*$D$86*G16</f>
        <v>0</v>
      </c>
      <c r="H141" s="22">
        <f>$D$84*(2030=$D$85)*$D$86*H16</f>
        <v>0</v>
      </c>
      <c r="I141" s="22">
        <f>$D$84*(2031=$D$85)*$D$86*I16</f>
        <v>0</v>
      </c>
      <c r="J141" s="11"/>
    </row>
    <row r="142" spans="1:10" ht="15" customHeight="1" x14ac:dyDescent="0.25">
      <c r="A142" s="2" t="s">
        <v>484</v>
      </c>
      <c r="B142" s="2" t="s">
        <v>114</v>
      </c>
      <c r="C142" s="11"/>
      <c r="D142" s="22">
        <f t="shared" ref="D142:I142" si="23">N(D137)+N(D139)+N(D140)+N(D141)</f>
        <v>209235.03271331795</v>
      </c>
      <c r="E142" s="22">
        <f t="shared" si="23"/>
        <v>240659.93827146196</v>
      </c>
      <c r="F142" s="22">
        <f t="shared" si="23"/>
        <v>151494.99863830104</v>
      </c>
      <c r="G142" s="22">
        <f t="shared" si="23"/>
        <v>47682.338623922697</v>
      </c>
      <c r="H142" s="22">
        <f t="shared" si="23"/>
        <v>49731.155681849239</v>
      </c>
      <c r="I142" s="22">
        <f t="shared" si="23"/>
        <v>51673.846108911654</v>
      </c>
      <c r="J142" s="11"/>
    </row>
    <row r="143" spans="1:10" ht="15" customHeight="1" x14ac:dyDescent="0.25">
      <c r="A143" s="2" t="s">
        <v>485</v>
      </c>
      <c r="B143" s="2" t="s">
        <v>20</v>
      </c>
      <c r="C143" s="11"/>
      <c r="D143" s="32">
        <f>Inputs!$C$98</f>
        <v>0.4</v>
      </c>
      <c r="E143" s="32">
        <f>Inputs!$C$98</f>
        <v>0.4</v>
      </c>
      <c r="F143" s="32">
        <f>Inputs!$C$98</f>
        <v>0.4</v>
      </c>
      <c r="G143" s="32">
        <f>Inputs!$C$98</f>
        <v>0.4</v>
      </c>
      <c r="H143" s="32">
        <f>Inputs!$C$98</f>
        <v>0.4</v>
      </c>
      <c r="I143" s="32">
        <f>Inputs!$C$98</f>
        <v>0.4</v>
      </c>
      <c r="J143" s="12" t="s">
        <v>486</v>
      </c>
    </row>
    <row r="144" spans="1:10" ht="15" customHeight="1" x14ac:dyDescent="0.25">
      <c r="A144" s="2" t="s">
        <v>487</v>
      </c>
      <c r="B144" s="2" t="s">
        <v>114</v>
      </c>
      <c r="C144" s="11"/>
      <c r="D144" s="22">
        <f t="shared" ref="D144:I144" si="24">D143*C119</f>
        <v>147724.80000000002</v>
      </c>
      <c r="E144" s="22">
        <f t="shared" si="24"/>
        <v>152015.52655292497</v>
      </c>
      <c r="F144" s="22">
        <f t="shared" si="24"/>
        <v>166694.0217686554</v>
      </c>
      <c r="G144" s="22">
        <f t="shared" si="24"/>
        <v>175939.49442667663</v>
      </c>
      <c r="H144" s="22">
        <f t="shared" si="24"/>
        <v>183422.8710654763</v>
      </c>
      <c r="I144" s="22">
        <f t="shared" si="24"/>
        <v>188614.82279316569</v>
      </c>
      <c r="J144" s="12" t="s">
        <v>488</v>
      </c>
    </row>
    <row r="145" spans="1:10" ht="15" customHeight="1" x14ac:dyDescent="0.25">
      <c r="A145" s="2" t="s">
        <v>489</v>
      </c>
      <c r="B145" s="2" t="s">
        <v>114</v>
      </c>
      <c r="C145" s="20">
        <f>Inputs!C63</f>
        <v>1311024</v>
      </c>
      <c r="D145" s="22">
        <f t="shared" ref="D145:I145" si="25">C145-D112+D142+D144+D118</f>
        <v>1283047.3856948419</v>
      </c>
      <c r="E145" s="22">
        <f t="shared" si="25"/>
        <v>1253753.7216880671</v>
      </c>
      <c r="F145" s="22">
        <f t="shared" si="25"/>
        <v>1126633.14339885</v>
      </c>
      <c r="G145" s="22">
        <f t="shared" si="25"/>
        <v>886057.54784033191</v>
      </c>
      <c r="H145" s="22">
        <f t="shared" si="25"/>
        <v>641951.08259331004</v>
      </c>
      <c r="I145" s="22">
        <f t="shared" si="25"/>
        <v>373203.97517632024</v>
      </c>
      <c r="J145" s="12" t="s">
        <v>490</v>
      </c>
    </row>
    <row r="146" spans="1:10" ht="15" customHeight="1" x14ac:dyDescent="0.25">
      <c r="A146" s="2" t="s">
        <v>491</v>
      </c>
      <c r="B146" s="2" t="s">
        <v>114</v>
      </c>
      <c r="C146" s="33">
        <f t="shared" ref="C146:I146" si="26">C145/C104</f>
        <v>2.491361159041328</v>
      </c>
      <c r="D146" s="33">
        <f t="shared" si="26"/>
        <v>2.2857868752631028</v>
      </c>
      <c r="E146" s="33">
        <f t="shared" si="26"/>
        <v>2.0507605713627002</v>
      </c>
      <c r="F146" s="33">
        <f t="shared" si="26"/>
        <v>1.7220586377554885</v>
      </c>
      <c r="G146" s="33">
        <f t="shared" si="26"/>
        <v>1.2814302337795145</v>
      </c>
      <c r="H146" s="33">
        <f t="shared" si="26"/>
        <v>0.89020855155097534</v>
      </c>
      <c r="I146" s="33">
        <f t="shared" si="26"/>
        <v>0.49813094181831546</v>
      </c>
      <c r="J146" s="11"/>
    </row>
    <row r="147" spans="1:10" ht="15" customHeight="1" x14ac:dyDescent="0.25">
      <c r="A147" s="2" t="s">
        <v>492</v>
      </c>
      <c r="B147" s="2" t="s">
        <v>114</v>
      </c>
      <c r="C147" s="11"/>
      <c r="D147" s="32">
        <f>E7_WACC!$B$33*D6+E7_WACC!$C$33*D7+E7_WACC!$D$33*D8</f>
        <v>3.896263473332412E-2</v>
      </c>
      <c r="E147" s="32">
        <f>E7_WACC!$B$33*E6+E7_WACC!$C$33*E7+E7_WACC!$D$33*E8</f>
        <v>3.2650517318507599E-2</v>
      </c>
      <c r="F147" s="32">
        <f>E7_WACC!$B$33*F6+E7_WACC!$C$33*F7+E7_WACC!$D$33*F8</f>
        <v>2.9796207425363999E-2</v>
      </c>
      <c r="G147" s="32">
        <f>E7_WACC!$B$33*G6+E7_WACC!$C$33*G7+E7_WACC!$D$33*G8</f>
        <v>2.8624818565735632E-2</v>
      </c>
      <c r="H147" s="32">
        <f>E7_WACC!$B$33*H6+E7_WACC!$C$33*H7+E7_WACC!$D$33*H8</f>
        <v>2.8236495887033999E-2</v>
      </c>
      <c r="I147" s="32">
        <f>E7_WACC!$B$33*I6+E7_WACC!$C$33*I7+E7_WACC!$D$33*I8</f>
        <v>2.8236495887033999E-2</v>
      </c>
      <c r="J147" s="12" t="s">
        <v>493</v>
      </c>
    </row>
    <row r="148" spans="1:10" ht="15" customHeight="1" x14ac:dyDescent="0.25">
      <c r="A148" s="2" t="s">
        <v>494</v>
      </c>
      <c r="B148" s="2" t="s">
        <v>385</v>
      </c>
      <c r="C148" s="20">
        <f>Inputs!C68</f>
        <v>1447136</v>
      </c>
      <c r="D148" s="20">
        <f>216606+Inputs!C67*D147/2</f>
        <v>359010.72849999997</v>
      </c>
      <c r="E148" s="22">
        <f>D151*E147</f>
        <v>245862.50157703567</v>
      </c>
      <c r="F148" s="22">
        <f>E151*F147</f>
        <v>238865.71265500903</v>
      </c>
      <c r="G148" s="22">
        <f>F151*G147</f>
        <v>240649.1047966879</v>
      </c>
      <c r="H148" s="22">
        <f>G151*H147</f>
        <v>245525.94219222228</v>
      </c>
      <c r="I148" s="22">
        <f>H151*I147</f>
        <v>253862.96802196107</v>
      </c>
      <c r="J148" s="12" t="s">
        <v>495</v>
      </c>
    </row>
    <row r="149" spans="1:10" ht="15" customHeight="1" x14ac:dyDescent="0.25">
      <c r="A149" s="2" t="s">
        <v>496</v>
      </c>
      <c r="B149" s="2" t="s">
        <v>351</v>
      </c>
      <c r="C149" s="11"/>
      <c r="D149" s="14">
        <v>0.27</v>
      </c>
      <c r="E149" s="14">
        <v>0.27</v>
      </c>
      <c r="F149" s="14">
        <v>0.27</v>
      </c>
      <c r="G149" s="14">
        <v>0.27</v>
      </c>
      <c r="H149" s="14">
        <v>0.27</v>
      </c>
      <c r="I149" s="14">
        <v>0.27</v>
      </c>
      <c r="J149" s="12" t="s">
        <v>497</v>
      </c>
    </row>
    <row r="150" spans="1:10" ht="15" customHeight="1" x14ac:dyDescent="0.25">
      <c r="A150" s="2" t="s">
        <v>498</v>
      </c>
      <c r="B150" s="2" t="s">
        <v>114</v>
      </c>
      <c r="C150" s="11"/>
      <c r="D150" s="22">
        <f t="shared" ref="D150:I150" si="27">D148*(1-D149)*(1-D113)</f>
        <v>259116.35230560348</v>
      </c>
      <c r="E150" s="22">
        <f t="shared" si="27"/>
        <v>177451.50637572707</v>
      </c>
      <c r="F150" s="22">
        <f t="shared" si="27"/>
        <v>172401.56697446542</v>
      </c>
      <c r="G150" s="22">
        <f t="shared" si="27"/>
        <v>173688.73203611429</v>
      </c>
      <c r="H150" s="22">
        <f t="shared" si="27"/>
        <v>177208.5943031786</v>
      </c>
      <c r="I150" s="22">
        <f t="shared" si="27"/>
        <v>183225.85103281843</v>
      </c>
      <c r="J150" s="11"/>
    </row>
    <row r="151" spans="1:10" ht="15" customHeight="1" x14ac:dyDescent="0.25">
      <c r="A151" s="2" t="s">
        <v>499</v>
      </c>
      <c r="B151" s="2" t="s">
        <v>114</v>
      </c>
      <c r="C151" s="20">
        <f>Inputs!C66</f>
        <v>6961880</v>
      </c>
      <c r="D151" s="22">
        <f t="shared" ref="D151:I151" si="28">C151+D148+D142</f>
        <v>7530125.7612133184</v>
      </c>
      <c r="E151" s="22">
        <f t="shared" si="28"/>
        <v>8016648.201061816</v>
      </c>
      <c r="F151" s="22">
        <f t="shared" si="28"/>
        <v>8407008.912355125</v>
      </c>
      <c r="G151" s="22">
        <f t="shared" si="28"/>
        <v>8695340.3557757344</v>
      </c>
      <c r="H151" s="22">
        <f t="shared" si="28"/>
        <v>8990597.4536498059</v>
      </c>
      <c r="I151" s="22">
        <f t="shared" si="28"/>
        <v>9296134.2677806783</v>
      </c>
      <c r="J151" s="12" t="s">
        <v>500</v>
      </c>
    </row>
    <row r="152" spans="1:10" ht="15" customHeight="1" x14ac:dyDescent="0.25">
      <c r="A152" s="2" t="s">
        <v>501</v>
      </c>
      <c r="B152" s="2" t="s">
        <v>422</v>
      </c>
      <c r="C152" s="11"/>
      <c r="D152" s="4">
        <v>675891</v>
      </c>
      <c r="E152" s="4">
        <v>675891</v>
      </c>
      <c r="F152" s="4">
        <v>675891</v>
      </c>
      <c r="G152" s="4">
        <v>675891</v>
      </c>
      <c r="H152" s="4">
        <v>675891</v>
      </c>
      <c r="I152" s="4">
        <v>675891</v>
      </c>
      <c r="J152" s="12" t="s">
        <v>502</v>
      </c>
    </row>
    <row r="153" spans="1:10" ht="15" customHeight="1" x14ac:dyDescent="0.25">
      <c r="A153" s="2" t="s">
        <v>503</v>
      </c>
      <c r="B153" s="2" t="s">
        <v>114</v>
      </c>
      <c r="C153" s="20">
        <f>Inputs!C25</f>
        <v>7583643</v>
      </c>
      <c r="D153" s="22">
        <f t="shared" ref="D153:I153" si="29">D151+D152</f>
        <v>8206016.7612133184</v>
      </c>
      <c r="E153" s="22">
        <f t="shared" si="29"/>
        <v>8692539.201061815</v>
      </c>
      <c r="F153" s="22">
        <f t="shared" si="29"/>
        <v>9082899.912355125</v>
      </c>
      <c r="G153" s="22">
        <f t="shared" si="29"/>
        <v>9371231.3557757344</v>
      </c>
      <c r="H153" s="22">
        <f t="shared" si="29"/>
        <v>9666488.4536498059</v>
      </c>
      <c r="I153" s="22">
        <f t="shared" si="29"/>
        <v>9972025.2677806783</v>
      </c>
      <c r="J153" s="11"/>
    </row>
    <row r="154" spans="1:10" ht="15" customHeight="1" x14ac:dyDescent="0.25">
      <c r="A154" s="2" t="s">
        <v>504</v>
      </c>
      <c r="B154" s="2" t="s">
        <v>114</v>
      </c>
      <c r="C154" s="21">
        <f t="shared" ref="C154:I154" si="30">C145/C151</f>
        <v>0.18831465064034428</v>
      </c>
      <c r="D154" s="21">
        <f t="shared" si="30"/>
        <v>0.17038857336269855</v>
      </c>
      <c r="E154" s="21">
        <f t="shared" si="30"/>
        <v>0.15639375587443213</v>
      </c>
      <c r="F154" s="21">
        <f t="shared" si="30"/>
        <v>0.1340111750973792</v>
      </c>
      <c r="G154" s="21">
        <f t="shared" si="30"/>
        <v>0.10190027205223577</v>
      </c>
      <c r="H154" s="21">
        <f t="shared" si="30"/>
        <v>7.1402494206066897E-2</v>
      </c>
      <c r="I154" s="21">
        <f t="shared" si="30"/>
        <v>4.0146147250669763E-2</v>
      </c>
      <c r="J154" s="11"/>
    </row>
    <row r="155" spans="1:10" ht="15" customHeight="1" x14ac:dyDescent="0.25">
      <c r="A155" s="2" t="s">
        <v>505</v>
      </c>
      <c r="B155" s="2" t="s">
        <v>114</v>
      </c>
      <c r="C155" s="11"/>
      <c r="D155" s="22">
        <f t="shared" ref="D155:I155" si="31">D119+D150</f>
        <v>639155.1686879159</v>
      </c>
      <c r="E155" s="22">
        <f t="shared" si="31"/>
        <v>594186.5607973655</v>
      </c>
      <c r="F155" s="22">
        <f t="shared" si="31"/>
        <v>612250.30304115696</v>
      </c>
      <c r="G155" s="22">
        <f t="shared" si="31"/>
        <v>632245.90969980496</v>
      </c>
      <c r="H155" s="22">
        <f t="shared" si="31"/>
        <v>648745.65128609282</v>
      </c>
      <c r="I155" s="22">
        <f t="shared" si="31"/>
        <v>686244.50578004075</v>
      </c>
      <c r="J155" s="11"/>
    </row>
    <row r="156" spans="1:10" ht="15" customHeight="1" x14ac:dyDescent="0.25">
      <c r="A156" s="2" t="s">
        <v>506</v>
      </c>
      <c r="B156" s="2" t="s">
        <v>114</v>
      </c>
      <c r="C156" s="11"/>
      <c r="D156" s="29">
        <f>D155/Inputs!$C$125</f>
        <v>291.85167519996162</v>
      </c>
      <c r="E156" s="29">
        <f>E155/Inputs!$C$125</f>
        <v>271.31806429103449</v>
      </c>
      <c r="F156" s="29">
        <f>F155/Inputs!$C$125</f>
        <v>279.56634842061959</v>
      </c>
      <c r="G156" s="29">
        <f>G155/Inputs!$C$125</f>
        <v>288.69676242000224</v>
      </c>
      <c r="H156" s="29">
        <f>H155/Inputs!$C$125</f>
        <v>296.2308909982159</v>
      </c>
      <c r="I156" s="29">
        <f>I155/Inputs!$C$125</f>
        <v>313.35365560732453</v>
      </c>
      <c r="J156" s="11"/>
    </row>
    <row r="157" spans="1:10" ht="15" customHeight="1" x14ac:dyDescent="0.25">
      <c r="A157" s="2" t="s">
        <v>507</v>
      </c>
      <c r="B157" s="2" t="s">
        <v>114</v>
      </c>
      <c r="C157" s="11"/>
      <c r="D157" s="21">
        <f>D156/D120-1</f>
        <v>0.36398408748872102</v>
      </c>
      <c r="E157" s="21">
        <f>E156/E120-1</f>
        <v>0.24412171813570471</v>
      </c>
      <c r="F157" s="11"/>
      <c r="G157" s="11"/>
      <c r="H157" s="11"/>
      <c r="I157" s="11"/>
      <c r="J157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zoomScaleNormal="100" workbookViewId="0"/>
  </sheetViews>
  <sheetFormatPr baseColWidth="10" defaultColWidth="8.7109375" defaultRowHeight="15" x14ac:dyDescent="0.25"/>
  <cols>
    <col min="1" max="1" width="62" customWidth="1"/>
    <col min="2" max="7" width="13" customWidth="1"/>
  </cols>
  <sheetData>
    <row r="1" spans="1:7" ht="15" customHeight="1" x14ac:dyDescent="0.25">
      <c r="A1" s="1" t="s">
        <v>508</v>
      </c>
    </row>
    <row r="2" spans="1:7" ht="15" customHeight="1" x14ac:dyDescent="0.25">
      <c r="A2" s="34" t="s">
        <v>509</v>
      </c>
    </row>
    <row r="4" spans="1:7" ht="15" customHeight="1" x14ac:dyDescent="0.25">
      <c r="A4" s="3" t="s">
        <v>510</v>
      </c>
      <c r="B4" s="3" t="s">
        <v>304</v>
      </c>
      <c r="C4" s="3" t="s">
        <v>305</v>
      </c>
      <c r="D4" s="3" t="s">
        <v>306</v>
      </c>
      <c r="E4" s="3" t="s">
        <v>307</v>
      </c>
      <c r="F4" s="3" t="s">
        <v>308</v>
      </c>
      <c r="G4" s="3" t="s">
        <v>309</v>
      </c>
    </row>
    <row r="5" spans="1:7" ht="15" customHeight="1" x14ac:dyDescent="0.25">
      <c r="A5" s="2" t="s">
        <v>17</v>
      </c>
      <c r="B5" s="20">
        <f>Forecast!D95</f>
        <v>703998.93502974394</v>
      </c>
      <c r="C5" s="20">
        <f>Forecast!E95</f>
        <v>767179.4231174899</v>
      </c>
      <c r="D5" s="20">
        <f>Forecast!F95</f>
        <v>820506.70251456369</v>
      </c>
      <c r="E5" s="20">
        <f>Forecast!G95</f>
        <v>866951.61134404899</v>
      </c>
      <c r="F5" s="20">
        <f>Forecast!H95</f>
        <v>904202.83057907701</v>
      </c>
      <c r="G5" s="20">
        <f>Forecast!I95</f>
        <v>939524.47470748459</v>
      </c>
    </row>
    <row r="6" spans="1:7" ht="15" customHeight="1" x14ac:dyDescent="0.25">
      <c r="A6" s="2" t="s">
        <v>35</v>
      </c>
      <c r="B6" s="20">
        <f>Forecast!D104</f>
        <v>561315.40502749546</v>
      </c>
      <c r="C6" s="20">
        <f>Forecast!E104</f>
        <v>611360.36024671874</v>
      </c>
      <c r="D6" s="20">
        <f>Forecast!F104</f>
        <v>654236.22558363678</v>
      </c>
      <c r="E6" s="20">
        <f>Forecast!G104</f>
        <v>691459.84266888211</v>
      </c>
      <c r="F6" s="20">
        <f>Forecast!H104</f>
        <v>721124.37189562374</v>
      </c>
      <c r="G6" s="20">
        <f>Forecast!I104</f>
        <v>749208.57920213242</v>
      </c>
    </row>
    <row r="7" spans="1:7" ht="15" customHeight="1" x14ac:dyDescent="0.25">
      <c r="A7" s="2" t="s">
        <v>511</v>
      </c>
      <c r="B7" s="20">
        <f>Forecast!D114</f>
        <v>428521.00973231246</v>
      </c>
      <c r="C7" s="20">
        <f>Forecast!E114</f>
        <v>457958.35121200403</v>
      </c>
      <c r="D7" s="20">
        <f>Forecast!F114</f>
        <v>477801.31697069871</v>
      </c>
      <c r="E7" s="20">
        <f>Forecast!G114</f>
        <v>493497.00086224347</v>
      </c>
      <c r="F7" s="20">
        <f>Forecast!H114</f>
        <v>500775.23856673006</v>
      </c>
      <c r="G7" s="20">
        <f>Forecast!I114</f>
        <v>526471.51310468384</v>
      </c>
    </row>
    <row r="8" spans="1:7" ht="15" customHeight="1" x14ac:dyDescent="0.25">
      <c r="A8" s="2" t="s">
        <v>512</v>
      </c>
      <c r="B8" s="20">
        <f>Forecast!D119</f>
        <v>380038.81638231245</v>
      </c>
      <c r="C8" s="20">
        <f>Forecast!E119</f>
        <v>416735.05442163843</v>
      </c>
      <c r="D8" s="20">
        <f>Forecast!F119</f>
        <v>439848.73606669152</v>
      </c>
      <c r="E8" s="20">
        <f>Forecast!G119</f>
        <v>458557.1776636907</v>
      </c>
      <c r="F8" s="20">
        <f>Forecast!H119</f>
        <v>471537.05698291416</v>
      </c>
      <c r="G8" s="20">
        <f>Forecast!I119</f>
        <v>503018.65474722238</v>
      </c>
    </row>
    <row r="9" spans="1:7" ht="15" customHeight="1" x14ac:dyDescent="0.25">
      <c r="A9" s="2" t="s">
        <v>513</v>
      </c>
      <c r="B9" s="20">
        <f>Forecast!D150</f>
        <v>259116.35230560348</v>
      </c>
      <c r="C9" s="20">
        <f>Forecast!E150</f>
        <v>177451.50637572707</v>
      </c>
      <c r="D9" s="20">
        <f>Forecast!F150</f>
        <v>172401.56697446542</v>
      </c>
      <c r="E9" s="20">
        <f>Forecast!G150</f>
        <v>173688.73203611429</v>
      </c>
      <c r="F9" s="20">
        <f>Forecast!H150</f>
        <v>177208.5943031786</v>
      </c>
      <c r="G9" s="20">
        <f>Forecast!I150</f>
        <v>183225.85103281843</v>
      </c>
    </row>
    <row r="10" spans="1:7" ht="15" customHeight="1" x14ac:dyDescent="0.25">
      <c r="A10" s="2" t="s">
        <v>503</v>
      </c>
      <c r="B10" s="20">
        <f>Forecast!D153</f>
        <v>8206016.7612133184</v>
      </c>
      <c r="C10" s="20">
        <f>Forecast!E153</f>
        <v>8692539.201061815</v>
      </c>
      <c r="D10" s="20">
        <f>Forecast!F153</f>
        <v>9082899.912355125</v>
      </c>
      <c r="E10" s="20">
        <f>Forecast!G153</f>
        <v>9371231.3557757344</v>
      </c>
      <c r="F10" s="20">
        <f>Forecast!H153</f>
        <v>9666488.4536498059</v>
      </c>
      <c r="G10" s="20">
        <f>Forecast!I153</f>
        <v>9972025.2677806783</v>
      </c>
    </row>
    <row r="11" spans="1:7" ht="15" customHeight="1" x14ac:dyDescent="0.25">
      <c r="A11" s="2" t="s">
        <v>514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3" spans="1:7" ht="45" customHeight="1" x14ac:dyDescent="0.25">
      <c r="A13" s="35" t="s">
        <v>515</v>
      </c>
    </row>
    <row r="14" spans="1:7" ht="30" customHeight="1" x14ac:dyDescent="0.25">
      <c r="A14" s="35" t="s">
        <v>516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4"/>
  <sheetViews>
    <sheetView tabSelected="1" zoomScaleNormal="100" workbookViewId="0">
      <pane xSplit="2" ySplit="4" topLeftCell="C29" activePane="bottomRight" state="frozen"/>
      <selection pane="topRight" activeCell="C1" sqref="C1"/>
      <selection pane="bottomLeft" activeCell="A5" sqref="A5"/>
      <selection pane="bottomRight" activeCell="A21" sqref="A21"/>
    </sheetView>
  </sheetViews>
  <sheetFormatPr baseColWidth="10" defaultColWidth="8.7109375" defaultRowHeight="15" x14ac:dyDescent="0.25"/>
  <cols>
    <col min="1" max="1" width="60" customWidth="1"/>
    <col min="2" max="9" width="12" customWidth="1"/>
    <col min="10" max="10" width="80" customWidth="1"/>
  </cols>
  <sheetData>
    <row r="1" spans="1:10" ht="15" customHeight="1" x14ac:dyDescent="0.25">
      <c r="A1" s="1" t="s">
        <v>517</v>
      </c>
    </row>
    <row r="2" spans="1:10" ht="15" customHeight="1" x14ac:dyDescent="0.25">
      <c r="A2" s="36" t="s">
        <v>518</v>
      </c>
    </row>
    <row r="3" spans="1:10" ht="15" customHeight="1" x14ac:dyDescent="0.25">
      <c r="A3" s="36" t="s">
        <v>519</v>
      </c>
    </row>
    <row r="5" spans="1:10" ht="15" customHeight="1" x14ac:dyDescent="0.25">
      <c r="A5" s="3" t="s">
        <v>520</v>
      </c>
    </row>
    <row r="6" spans="1:10" ht="15" customHeight="1" x14ac:dyDescent="0.25">
      <c r="A6" s="2" t="s">
        <v>521</v>
      </c>
      <c r="C6" s="37"/>
      <c r="J6" s="36" t="s">
        <v>522</v>
      </c>
    </row>
    <row r="7" spans="1:10" ht="15" customHeight="1" x14ac:dyDescent="0.25">
      <c r="A7" s="2" t="s">
        <v>523</v>
      </c>
      <c r="C7" s="37"/>
      <c r="J7" s="36" t="s">
        <v>524</v>
      </c>
    </row>
    <row r="8" spans="1:10" ht="15" customHeight="1" x14ac:dyDescent="0.25">
      <c r="A8" s="2" t="s">
        <v>525</v>
      </c>
      <c r="C8" s="37"/>
      <c r="J8" s="36" t="s">
        <v>526</v>
      </c>
    </row>
    <row r="9" spans="1:10" ht="15" customHeight="1" x14ac:dyDescent="0.25">
      <c r="A9" s="2" t="s">
        <v>527</v>
      </c>
      <c r="C9" s="37"/>
      <c r="J9" s="36" t="s">
        <v>528</v>
      </c>
    </row>
    <row r="10" spans="1:10" ht="15" customHeight="1" x14ac:dyDescent="0.25">
      <c r="A10" s="2" t="s">
        <v>529</v>
      </c>
      <c r="C10" s="38">
        <f>IF(C8="",C6,C8)</f>
        <v>0</v>
      </c>
    </row>
    <row r="11" spans="1:10" ht="15" customHeight="1" x14ac:dyDescent="0.25">
      <c r="A11" s="2" t="s">
        <v>530</v>
      </c>
      <c r="C11" s="20">
        <f>Inputs!C64</f>
        <v>1285740</v>
      </c>
      <c r="J11" t="s">
        <v>531</v>
      </c>
    </row>
    <row r="12" spans="1:10" ht="15" customHeight="1" x14ac:dyDescent="0.25">
      <c r="A12" s="2" t="s">
        <v>532</v>
      </c>
      <c r="C12" s="4">
        <v>50841</v>
      </c>
      <c r="J12" t="s">
        <v>533</v>
      </c>
    </row>
    <row r="13" spans="1:10" ht="15" customHeight="1" x14ac:dyDescent="0.25">
      <c r="A13" s="2" t="s">
        <v>534</v>
      </c>
      <c r="C13" s="20">
        <f>Inputs!C125</f>
        <v>2190</v>
      </c>
    </row>
    <row r="14" spans="1:10" ht="15" customHeight="1" x14ac:dyDescent="0.25">
      <c r="A14" s="2" t="s">
        <v>535</v>
      </c>
      <c r="C14" s="4">
        <v>3642</v>
      </c>
      <c r="J14" t="s">
        <v>536</v>
      </c>
    </row>
    <row r="15" spans="1:10" ht="15" customHeight="1" x14ac:dyDescent="0.25">
      <c r="A15" s="2" t="s">
        <v>537</v>
      </c>
      <c r="C15" s="4">
        <v>270573</v>
      </c>
      <c r="J15" t="s">
        <v>538</v>
      </c>
    </row>
    <row r="17" spans="1:10" ht="15" customHeight="1" x14ac:dyDescent="0.25">
      <c r="A17" s="3" t="s">
        <v>539</v>
      </c>
      <c r="C17" s="13" t="s">
        <v>335</v>
      </c>
      <c r="D17" s="13" t="s">
        <v>305</v>
      </c>
      <c r="E17" s="13" t="s">
        <v>306</v>
      </c>
      <c r="F17" s="13" t="s">
        <v>307</v>
      </c>
      <c r="G17" s="13" t="s">
        <v>308</v>
      </c>
      <c r="H17" s="13" t="s">
        <v>309</v>
      </c>
      <c r="J17" s="3" t="s">
        <v>310</v>
      </c>
    </row>
    <row r="18" spans="1:10" ht="15" customHeight="1" x14ac:dyDescent="0.25">
      <c r="A18" s="2" t="s">
        <v>540</v>
      </c>
      <c r="C18" s="20">
        <f>Forecast!D104-$C$15</f>
        <v>290742.40502749546</v>
      </c>
      <c r="D18" s="20">
        <f>Forecast!E104</f>
        <v>611360.36024671874</v>
      </c>
      <c r="E18" s="20">
        <f>Forecast!F104</f>
        <v>654236.22558363678</v>
      </c>
      <c r="F18" s="20">
        <f>Forecast!G104</f>
        <v>691459.84266888211</v>
      </c>
      <c r="G18" s="20">
        <f>Forecast!H104</f>
        <v>721124.37189562374</v>
      </c>
      <c r="H18" s="20">
        <f>Forecast!I104</f>
        <v>749208.57920213242</v>
      </c>
      <c r="J18" s="36" t="s">
        <v>541</v>
      </c>
    </row>
    <row r="19" spans="1:10" ht="15" customHeight="1" x14ac:dyDescent="0.25">
      <c r="A19" s="2" t="s">
        <v>542</v>
      </c>
      <c r="C19" s="20">
        <f>-Forecast!D110*C18</f>
        <v>-48844.724044619245</v>
      </c>
      <c r="D19" s="20">
        <f>-Forecast!E110*D18</f>
        <v>-116158.46844687656</v>
      </c>
      <c r="E19" s="20">
        <f>-Forecast!F110*E18</f>
        <v>-140660.7885004819</v>
      </c>
      <c r="F19" s="20">
        <f>-Forecast!G110*F18</f>
        <v>-165950.36224053169</v>
      </c>
      <c r="G19" s="20">
        <f>-Forecast!H110*G18</f>
        <v>-194703.58041181843</v>
      </c>
      <c r="H19" s="20">
        <f>-Forecast!I110*H18</f>
        <v>-202286.31638457577</v>
      </c>
      <c r="J19" s="36" t="s">
        <v>543</v>
      </c>
    </row>
    <row r="20" spans="1:10" ht="15" customHeight="1" x14ac:dyDescent="0.25">
      <c r="A20" s="2" t="s">
        <v>135</v>
      </c>
      <c r="C20" s="20">
        <f>-(Forecast!D137+Forecast!D139)</f>
        <v>-124994.03271331795</v>
      </c>
      <c r="D20" s="20">
        <f>-Forecast!E142</f>
        <v>-240659.93827146196</v>
      </c>
      <c r="E20" s="20">
        <f>-Forecast!F142</f>
        <v>-151494.99863830104</v>
      </c>
      <c r="F20" s="20">
        <f>-Forecast!G142</f>
        <v>-47682.338623922697</v>
      </c>
      <c r="G20" s="20">
        <f>-Forecast!H142</f>
        <v>-49731.155681849239</v>
      </c>
      <c r="H20" s="20">
        <f>-Forecast!I142</f>
        <v>-51673.846108911654</v>
      </c>
      <c r="J20" s="36" t="s">
        <v>544</v>
      </c>
    </row>
    <row r="21" spans="1:10" ht="15" customHeight="1" x14ac:dyDescent="0.25">
      <c r="A21" s="2" t="s">
        <v>545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J21" s="36" t="s">
        <v>546</v>
      </c>
    </row>
    <row r="22" spans="1:10" ht="15" customHeight="1" x14ac:dyDescent="0.25">
      <c r="A22" s="27" t="s">
        <v>547</v>
      </c>
      <c r="C22" s="28">
        <f>SUM(C18:C21)</f>
        <v>116903.64826955827</v>
      </c>
      <c r="D22" s="28">
        <f t="shared" ref="C22:H22" si="0">SUM(D18:D21)</f>
        <v>254541.95352838023</v>
      </c>
      <c r="E22" s="28">
        <f t="shared" si="0"/>
        <v>362080.43844485388</v>
      </c>
      <c r="F22" s="28">
        <f t="shared" si="0"/>
        <v>477827.14180442772</v>
      </c>
      <c r="G22" s="28">
        <f t="shared" si="0"/>
        <v>476689.63580195606</v>
      </c>
      <c r="H22" s="28">
        <f t="shared" si="0"/>
        <v>495248.41670864495</v>
      </c>
      <c r="J22" s="36"/>
    </row>
    <row r="23" spans="1:10" ht="15" customHeight="1" x14ac:dyDescent="0.25">
      <c r="A23" s="2" t="s">
        <v>548</v>
      </c>
      <c r="C23" s="39">
        <v>0.25</v>
      </c>
      <c r="D23" s="39">
        <v>1</v>
      </c>
      <c r="E23" s="39">
        <v>2</v>
      </c>
      <c r="F23" s="39">
        <v>3</v>
      </c>
      <c r="G23" s="39">
        <v>4</v>
      </c>
      <c r="H23" s="39">
        <v>5</v>
      </c>
      <c r="J23" s="36" t="s">
        <v>549</v>
      </c>
    </row>
    <row r="24" spans="1:10" ht="15" customHeight="1" x14ac:dyDescent="0.25">
      <c r="A24" s="2" t="s">
        <v>550</v>
      </c>
      <c r="C24" s="17" t="str">
        <f t="shared" ref="C24:H24" si="1">IF($C$6="","",1/(1+$C$6)^C23)</f>
        <v/>
      </c>
      <c r="D24" s="17" t="str">
        <f t="shared" si="1"/>
        <v/>
      </c>
      <c r="E24" s="17" t="str">
        <f t="shared" si="1"/>
        <v/>
      </c>
      <c r="F24" s="17" t="str">
        <f t="shared" si="1"/>
        <v/>
      </c>
      <c r="G24" s="17" t="str">
        <f t="shared" si="1"/>
        <v/>
      </c>
      <c r="H24" s="17" t="str">
        <f t="shared" si="1"/>
        <v/>
      </c>
      <c r="J24" s="36"/>
    </row>
    <row r="25" spans="1:10" ht="15" customHeight="1" x14ac:dyDescent="0.25">
      <c r="A25" s="2" t="s">
        <v>551</v>
      </c>
      <c r="C25" s="22" t="str">
        <f t="shared" ref="C25:H25" si="2">IF($C$6="","",C22*C24)</f>
        <v/>
      </c>
      <c r="D25" s="22" t="str">
        <f t="shared" si="2"/>
        <v/>
      </c>
      <c r="E25" s="22" t="str">
        <f t="shared" si="2"/>
        <v/>
      </c>
      <c r="F25" s="22" t="str">
        <f t="shared" si="2"/>
        <v/>
      </c>
      <c r="G25" s="22" t="str">
        <f t="shared" si="2"/>
        <v/>
      </c>
      <c r="H25" s="22" t="str">
        <f t="shared" si="2"/>
        <v/>
      </c>
      <c r="J25" s="36"/>
    </row>
    <row r="27" spans="1:10" ht="15" customHeight="1" x14ac:dyDescent="0.25">
      <c r="A27" s="3" t="s">
        <v>552</v>
      </c>
      <c r="C27" s="13" t="s">
        <v>553</v>
      </c>
      <c r="D27" s="13" t="s">
        <v>554</v>
      </c>
    </row>
    <row r="28" spans="1:10" ht="15" customHeight="1" x14ac:dyDescent="0.25">
      <c r="A28" s="2" t="s">
        <v>555</v>
      </c>
      <c r="C28" s="20" t="str">
        <f>IF($C$7="","",H18*(1+$C$7)*(1-Forecast!I110))</f>
        <v/>
      </c>
      <c r="J28" s="36" t="s">
        <v>556</v>
      </c>
    </row>
    <row r="29" spans="1:10" ht="15" customHeight="1" x14ac:dyDescent="0.25">
      <c r="A29" s="2" t="s">
        <v>557</v>
      </c>
      <c r="C29" s="21" t="str">
        <f>IF(OR($C$6="",$C$7=""),"",MAX(0,$C$7-Forecast!$I$6)/$C$10)</f>
        <v/>
      </c>
      <c r="J29" s="36" t="s">
        <v>558</v>
      </c>
    </row>
    <row r="30" spans="1:10" ht="15" customHeight="1" x14ac:dyDescent="0.25">
      <c r="A30" s="2" t="s">
        <v>559</v>
      </c>
      <c r="C30" s="22" t="str">
        <f>IF(OR($C$6="",$C$7=""),"",C28*(1-C29)/($C$6-$C$7))</f>
        <v/>
      </c>
      <c r="D30" s="22" t="str">
        <f>IF(OR($C$7="",$C$9=""),"",H18*(1+$C$7)/$C$9)</f>
        <v/>
      </c>
      <c r="J30" s="36" t="s">
        <v>560</v>
      </c>
    </row>
    <row r="31" spans="1:10" ht="15" customHeight="1" x14ac:dyDescent="0.25">
      <c r="A31" s="2" t="s">
        <v>561</v>
      </c>
      <c r="C31" s="22" t="str">
        <f>IF(OR($C$6="",C30=""),"",C30/(1+$C$6)^5.5)</f>
        <v/>
      </c>
      <c r="D31" s="22" t="str">
        <f>IF(OR($C$6="",D30=""),"",D30/(1+$C$6)^5.5)</f>
        <v/>
      </c>
    </row>
    <row r="32" spans="1:10" ht="15" customHeight="1" x14ac:dyDescent="0.25">
      <c r="A32" s="2" t="s">
        <v>562</v>
      </c>
      <c r="C32" s="22" t="str">
        <f>IF($C$6="","",SUM($C$25:$H$25))</f>
        <v/>
      </c>
      <c r="D32" s="22" t="str">
        <f>IF($C$6="","",SUM($C$25:$H$25))</f>
        <v/>
      </c>
    </row>
    <row r="33" spans="1:10" ht="15" customHeight="1" x14ac:dyDescent="0.25">
      <c r="A33" s="27" t="s">
        <v>563</v>
      </c>
      <c r="C33" s="22" t="str">
        <f>IF(C31="","",C31+C32)</f>
        <v/>
      </c>
      <c r="D33" s="22" t="str">
        <f>IF(D31="","",D31+D32)</f>
        <v/>
      </c>
    </row>
    <row r="34" spans="1:10" ht="15" customHeight="1" x14ac:dyDescent="0.25">
      <c r="A34" s="2" t="s">
        <v>564</v>
      </c>
      <c r="C34" s="22" t="str">
        <f>IF(C33="","",-$C$11)</f>
        <v/>
      </c>
      <c r="D34" s="22" t="str">
        <f>IF(D33="","",-$C$11)</f>
        <v/>
      </c>
    </row>
    <row r="35" spans="1:10" ht="15" customHeight="1" x14ac:dyDescent="0.25">
      <c r="A35" s="2" t="s">
        <v>565</v>
      </c>
      <c r="C35" s="22" t="str">
        <f>IF(C33="","",-$C$12)</f>
        <v/>
      </c>
      <c r="D35" s="22" t="str">
        <f>IF(D33="","",-$C$12)</f>
        <v/>
      </c>
    </row>
    <row r="36" spans="1:10" ht="15" customHeight="1" x14ac:dyDescent="0.25">
      <c r="A36" s="2" t="s">
        <v>566</v>
      </c>
      <c r="C36" s="22" t="str">
        <f>IF(C33="","",SUM(C33:C35))</f>
        <v/>
      </c>
      <c r="D36" s="22" t="str">
        <f>IF(D33="","",SUM(D33:D35))</f>
        <v/>
      </c>
    </row>
    <row r="37" spans="1:10" ht="15" customHeight="1" x14ac:dyDescent="0.25">
      <c r="A37" s="27" t="s">
        <v>567</v>
      </c>
      <c r="C37" s="22" t="str">
        <f>IF(C36="","",C36/$C$13)</f>
        <v/>
      </c>
      <c r="D37" s="22" t="str">
        <f>IF(D36="","",D36/$C$13)</f>
        <v/>
      </c>
    </row>
    <row r="38" spans="1:10" ht="15" customHeight="1" x14ac:dyDescent="0.25">
      <c r="A38" s="2" t="s">
        <v>568</v>
      </c>
      <c r="C38" s="21" t="str">
        <f>IF(C37="","",C37/$C$14-1)</f>
        <v/>
      </c>
      <c r="D38" s="21" t="str">
        <f>IF(D37="","",D37/$C$14-1)</f>
        <v/>
      </c>
    </row>
    <row r="40" spans="1:10" ht="15" customHeight="1" x14ac:dyDescent="0.25">
      <c r="A40" s="2" t="s">
        <v>569</v>
      </c>
      <c r="C40" s="21" t="str">
        <f>IF(C33="","",C31/C33)</f>
        <v/>
      </c>
      <c r="D40" s="21" t="str">
        <f>IF(D33="","",D31/D33)</f>
        <v/>
      </c>
    </row>
    <row r="41" spans="1:10" ht="15" customHeight="1" x14ac:dyDescent="0.25">
      <c r="A41" s="2" t="s">
        <v>570</v>
      </c>
      <c r="C41" s="40" t="str">
        <f>IF(C33="","",C33/D18)</f>
        <v/>
      </c>
      <c r="D41" s="40" t="str">
        <f>IF(D33="","",D33/D18)</f>
        <v/>
      </c>
    </row>
    <row r="42" spans="1:10" ht="15" customHeight="1" x14ac:dyDescent="0.25">
      <c r="A42" s="2" t="s">
        <v>571</v>
      </c>
      <c r="C42" s="38" t="str">
        <f>IF(C30="","",H18*(1+$C$7)/C30)</f>
        <v/>
      </c>
    </row>
    <row r="43" spans="1:10" ht="15" customHeight="1" x14ac:dyDescent="0.25">
      <c r="A43" s="2" t="s">
        <v>572</v>
      </c>
      <c r="C43" s="41" t="str">
        <f>IF($C$6="","",(1+$C$6)/(1+Forecast!I6)-1)</f>
        <v/>
      </c>
      <c r="J43" s="36" t="s">
        <v>573</v>
      </c>
    </row>
    <row r="44" spans="1:10" ht="15" customHeight="1" x14ac:dyDescent="0.25">
      <c r="A44" s="2" t="s">
        <v>574</v>
      </c>
      <c r="C44" s="41">
        <f>E7_WACC!G24</f>
        <v>5.5500000000000001E-2</v>
      </c>
    </row>
    <row r="47" spans="1:10" ht="15" customHeight="1" x14ac:dyDescent="0.25">
      <c r="A47" s="3" t="s">
        <v>575</v>
      </c>
    </row>
    <row r="48" spans="1:10" ht="15" customHeight="1" x14ac:dyDescent="0.25">
      <c r="B48" s="36" t="s">
        <v>576</v>
      </c>
      <c r="C48" s="42">
        <v>2.5000000000000001E-2</v>
      </c>
      <c r="D48" s="42">
        <v>0.03</v>
      </c>
      <c r="E48" s="42">
        <v>3.5000000000000003E-2</v>
      </c>
      <c r="F48" s="42">
        <v>0.04</v>
      </c>
    </row>
    <row r="49" spans="1:7" ht="15" customHeight="1" x14ac:dyDescent="0.25">
      <c r="B49" s="42">
        <v>0.08</v>
      </c>
      <c r="C49" s="22">
        <f>(SUMPRODUCT($C$22:$H$22,1/(1+$B49)^$C$23:$H$23)+H$18*(1+C$48)*(1-Forecast!$I$110)*(1-MAX(0,C$48-Forecast!$I$6)/$B49)/($B49-C$48)/(1+$B49)^5.5-$C$11-$C$12)/$C$13</f>
        <v>3226.5002468003249</v>
      </c>
      <c r="D49" s="22">
        <f>(SUMPRODUCT($C$22:$H$22,1/(1+$B49)^$C$23:$H$23)+H$18*(1+D$48)*(1-Forecast!$I$110)*(1-MAX(0,D$48-Forecast!$I$6)/$B49)/($B49-D$48)/(1+$B49)^5.5-$C$11-$C$12)/$C$13</f>
        <v>3547.653183706816</v>
      </c>
      <c r="E49" s="22">
        <f>(SUMPRODUCT($C$22:$H$22,1/(1+$B49)^$C$23:$H$23)+H$18*(1+E$48)*(1-Forecast!$I$110)*(1-MAX(0,E$48-Forecast!$I$6)/$B49)/($B49-E$48)/(1+$B49)^5.5-$C$11-$C$12)/$C$13</f>
        <v>3705.0701614613276</v>
      </c>
      <c r="F49" s="22">
        <f>(SUMPRODUCT($C$22:$H$22,1/(1+$B49)^$C$23:$H$23)+H$18*(1+F$48)*(1-Forecast!$I$110)*(1-MAX(0,F$48-Forecast!$I$6)/$B49)/($B49-F$48)/(1+$B49)^5.5-$C$11-$C$12)/$C$13</f>
        <v>3899.2859132363756</v>
      </c>
    </row>
    <row r="50" spans="1:7" ht="15" customHeight="1" x14ac:dyDescent="0.25">
      <c r="B50" s="42">
        <v>8.5000000000000006E-2</v>
      </c>
      <c r="C50" s="22">
        <f>(SUMPRODUCT($C$22:$H$22,1/(1+$B50)^$C$23:$H$23)+H$18*(1+C$48)*(1-Forecast!$I$110)*(1-MAX(0,C$48-Forecast!$I$6)/$B50)/($B50-C$48)/(1+$B50)^5.5-$C$11-$C$12)/$C$13</f>
        <v>2891.7312790668852</v>
      </c>
      <c r="D50" s="22">
        <f>(SUMPRODUCT($C$22:$H$22,1/(1+$B50)^$C$23:$H$23)+H$18*(1+D$48)*(1-Forecast!$I$110)*(1-MAX(0,D$48-Forecast!$I$6)/$B50)/($B50-D$48)/(1+$B50)^5.5-$C$11-$C$12)/$C$13</f>
        <v>3153.8534340459046</v>
      </c>
      <c r="E50" s="22">
        <f>(SUMPRODUCT($C$22:$H$22,1/(1+$B50)^$C$23:$H$23)+H$18*(1+E$48)*(1-Forecast!$I$110)*(1-MAX(0,E$48-Forecast!$I$6)/$B50)/($B50-E$48)/(1+$B50)^5.5-$C$11-$C$12)/$C$13</f>
        <v>3274.2491454572487</v>
      </c>
      <c r="F50" s="22">
        <f>(SUMPRODUCT($C$22:$H$22,1/(1+$B50)^$C$23:$H$23)+H$18*(1+F$48)*(1-Forecast!$I$110)*(1-MAX(0,F$48-Forecast!$I$6)/$B50)/($B50-F$48)/(1+$B50)^5.5-$C$11-$C$12)/$C$13</f>
        <v>3419.3151773372069</v>
      </c>
    </row>
    <row r="51" spans="1:7" ht="15" customHeight="1" x14ac:dyDescent="0.25">
      <c r="B51" s="42">
        <v>0.09</v>
      </c>
      <c r="C51" s="22">
        <f>(SUMPRODUCT($C$22:$H$22,1/(1+$B51)^$C$23:$H$23)+H$18*(1+C$48)*(1-Forecast!$I$110)*(1-MAX(0,C$48-Forecast!$I$6)/$B51)/($B51-C$48)/(1+$B51)^5.5-$C$11-$C$12)/$C$13</f>
        <v>2608.9592427901166</v>
      </c>
      <c r="D51" s="22">
        <f>(SUMPRODUCT($C$22:$H$22,1/(1+$B51)^$C$23:$H$23)+H$18*(1+D$48)*(1-Forecast!$I$110)*(1-MAX(0,D$48-Forecast!$I$6)/$B51)/($B51-D$48)/(1+$B51)^5.5-$C$11-$C$12)/$C$13</f>
        <v>2826.2131739764395</v>
      </c>
      <c r="E51" s="22">
        <f>(SUMPRODUCT($C$22:$H$22,1/(1+$B51)^$C$23:$H$23)+H$18*(1+E$48)*(1-Forecast!$I$110)*(1-MAX(0,E$48-Forecast!$I$6)/$B51)/($B51-E$48)/(1+$B51)^5.5-$C$11-$C$12)/$C$13</f>
        <v>2920.4350623975301</v>
      </c>
      <c r="F51" s="22">
        <f>(SUMPRODUCT($C$22:$H$22,1/(1+$B51)^$C$23:$H$23)+H$18*(1+F$48)*(1-Forecast!$I$110)*(1-MAX(0,F$48-Forecast!$I$6)/$B51)/($B51-F$48)/(1+$B51)^5.5-$C$11-$C$12)/$C$13</f>
        <v>3031.7739272151184</v>
      </c>
    </row>
    <row r="52" spans="1:7" ht="15" customHeight="1" x14ac:dyDescent="0.25">
      <c r="B52" s="42">
        <v>9.5000000000000001E-2</v>
      </c>
      <c r="C52" s="22">
        <f>(SUMPRODUCT($C$22:$H$22,1/(1+$B52)^$C$23:$H$23)+H$18*(1+C$48)*(1-Forecast!$I$110)*(1-MAX(0,C$48-Forecast!$I$6)/$B52)/($B52-C$48)/(1+$B52)^5.5-$C$11-$C$12)/$C$13</f>
        <v>2367.0246595267522</v>
      </c>
      <c r="D52" s="22">
        <f>(SUMPRODUCT($C$22:$H$22,1/(1+$B52)^$C$23:$H$23)+H$18*(1+D$48)*(1-Forecast!$I$110)*(1-MAX(0,D$48-Forecast!$I$6)/$B52)/($B52-D$48)/(1+$B52)^5.5-$C$11-$C$12)/$C$13</f>
        <v>2549.4463846805102</v>
      </c>
      <c r="E52" s="22">
        <f>(SUMPRODUCT($C$22:$H$22,1/(1+$B52)^$C$23:$H$23)+H$18*(1+E$48)*(1-Forecast!$I$110)*(1-MAX(0,E$48-Forecast!$I$6)/$B52)/($B52-E$48)/(1+$B52)^5.5-$C$11-$C$12)/$C$13</f>
        <v>2624.6334211233589</v>
      </c>
      <c r="F52" s="22">
        <f>(SUMPRODUCT($C$22:$H$22,1/(1+$B52)^$C$23:$H$23)+H$18*(1+F$48)*(1-Forecast!$I$110)*(1-MAX(0,F$48-Forecast!$I$6)/$B52)/($B52-F$48)/(1+$B52)^5.5-$C$11-$C$12)/$C$13</f>
        <v>2712.040094657847</v>
      </c>
    </row>
    <row r="53" spans="1:7" ht="15" customHeight="1" x14ac:dyDescent="0.25">
      <c r="B53" s="42">
        <v>0.1</v>
      </c>
      <c r="C53" s="22">
        <f>(SUMPRODUCT($C$22:$H$22,1/(1+$B53)^$C$23:$H$23)+H$18*(1+C$48)*(1-Forecast!$I$110)*(1-MAX(0,C$48-Forecast!$I$6)/$B53)/($B53-C$48)/(1+$B53)^5.5-$C$11-$C$12)/$C$13</f>
        <v>2157.7445969159112</v>
      </c>
      <c r="D53" s="22">
        <f>(SUMPRODUCT($C$22:$H$22,1/(1+$B53)^$C$23:$H$23)+H$18*(1+D$48)*(1-Forecast!$I$110)*(1-MAX(0,D$48-Forecast!$I$6)/$B53)/($B53-D$48)/(1+$B53)^5.5-$C$11-$C$12)/$C$13</f>
        <v>2312.6352121616555</v>
      </c>
      <c r="E53" s="22">
        <f>(SUMPRODUCT($C$22:$H$22,1/(1+$B53)^$C$23:$H$23)+H$18*(1+E$48)*(1-Forecast!$I$110)*(1-MAX(0,E$48-Forecast!$I$6)/$B53)/($B53-E$48)/(1+$B53)^5.5-$C$11-$C$12)/$C$13</f>
        <v>2373.6437009988344</v>
      </c>
      <c r="F53" s="22">
        <f>(SUMPRODUCT($C$22:$H$22,1/(1+$B53)^$C$23:$H$23)+H$18*(1+F$48)*(1-Forecast!$I$110)*(1-MAX(0,F$48-Forecast!$I$6)/$B53)/($B53-F$48)/(1+$B53)^5.5-$C$11-$C$12)/$C$13</f>
        <v>2443.5881868694214</v>
      </c>
    </row>
    <row r="56" spans="1:7" ht="15" customHeight="1" x14ac:dyDescent="0.25">
      <c r="A56" s="3" t="s">
        <v>577</v>
      </c>
    </row>
    <row r="57" spans="1:7" ht="15" customHeight="1" x14ac:dyDescent="0.25">
      <c r="B57" s="36" t="s">
        <v>578</v>
      </c>
      <c r="C57" s="42">
        <v>7.4999999999999997E-2</v>
      </c>
      <c r="D57" s="42">
        <v>0.08</v>
      </c>
      <c r="E57" s="42">
        <v>8.5000000000000006E-2</v>
      </c>
      <c r="F57" s="42">
        <v>0.09</v>
      </c>
      <c r="G57" s="42">
        <v>9.5000000000000001E-2</v>
      </c>
    </row>
    <row r="58" spans="1:7" ht="15" customHeight="1" x14ac:dyDescent="0.25">
      <c r="B58" s="42">
        <v>0.08</v>
      </c>
      <c r="C58" s="22">
        <f>(SUMPRODUCT($C$22:$H$22,1/(1+$B58)^$C$23:$H$23)+H$18*(1+0.03)/C$57/(1+$B58)^5.5-$C$11-$C$12)/$C$13</f>
        <v>3255.3540431357842</v>
      </c>
      <c r="D58" s="22">
        <f>(SUMPRODUCT($C$22:$H$22,1/(1+$B58)^$C$23:$H$23)+H$18*(1+0.03)/D$57/(1+$B58)^5.5-$C$11-$C$12)/$C$13</f>
        <v>3063.0519769706334</v>
      </c>
      <c r="E58" s="22">
        <f>(SUMPRODUCT($C$22:$H$22,1/(1+$B58)^$C$23:$H$23)+H$18*(1+0.03)/E$57/(1+$B58)^5.5-$C$11-$C$12)/$C$13</f>
        <v>2893.3736832954987</v>
      </c>
      <c r="F58" s="22">
        <f>(SUMPRODUCT($C$22:$H$22,1/(1+$B58)^$C$23:$H$23)+H$18*(1+0.03)/F$57/(1+$B58)^5.5-$C$11-$C$12)/$C$13</f>
        <v>2742.5485333620472</v>
      </c>
      <c r="G58" s="22">
        <f>(SUMPRODUCT($C$22:$H$22,1/(1+$B58)^$C$23:$H$23)+H$18*(1+0.03)/G$57/(1+$B58)^5.5-$C$11-$C$12)/$C$13</f>
        <v>2607.5997150005369</v>
      </c>
    </row>
    <row r="59" spans="1:7" ht="15" customHeight="1" x14ac:dyDescent="0.25">
      <c r="B59" s="42">
        <v>8.5000000000000006E-2</v>
      </c>
      <c r="C59" s="22">
        <f>(SUMPRODUCT($C$22:$H$22,1/(1+$B59)^$C$23:$H$23)+H$18*(1+0.03)/C$57/(1+$B59)^5.5-$C$11-$C$12)/$C$13</f>
        <v>3167.4882207198971</v>
      </c>
      <c r="D59" s="22">
        <f>(SUMPRODUCT($C$22:$H$22,1/(1+$B59)^$C$23:$H$23)+H$18*(1+0.03)/D$57/(1+$B59)^5.5-$C$11-$C$12)/$C$13</f>
        <v>2980.009903952503</v>
      </c>
      <c r="E59" s="22">
        <f>(SUMPRODUCT($C$22:$H$22,1/(1+$B59)^$C$23:$H$23)+H$18*(1+0.03)/E$57/(1+$B59)^5.5-$C$11-$C$12)/$C$13</f>
        <v>2814.5878597459782</v>
      </c>
      <c r="F59" s="22">
        <f>(SUMPRODUCT($C$22:$H$22,1/(1+$B59)^$C$23:$H$23)+H$18*(1+0.03)/F$57/(1+$B59)^5.5-$C$11-$C$12)/$C$13</f>
        <v>2667.5460426735131</v>
      </c>
      <c r="G59" s="22">
        <f>(SUMPRODUCT($C$22:$H$22,1/(1+$B59)^$C$23:$H$23)+H$18*(1+0.03)/G$57/(1+$B59)^5.5-$C$11-$C$12)/$C$13</f>
        <v>2535.9823116086745</v>
      </c>
    </row>
    <row r="60" spans="1:7" ht="15" customHeight="1" x14ac:dyDescent="0.25">
      <c r="B60" s="42">
        <v>0.09</v>
      </c>
      <c r="C60" s="22">
        <f>(SUMPRODUCT($C$22:$H$22,1/(1+$B60)^$C$23:$H$23)+H$18*(1+0.03)/C$57/(1+$B60)^5.5-$C$11-$C$12)/$C$13</f>
        <v>3082.1288579037237</v>
      </c>
      <c r="D60" s="22">
        <f>(SUMPRODUCT($C$22:$H$22,1/(1+$B60)^$C$23:$H$23)+H$18*(1+0.03)/D$57/(1+$B60)^5.5-$C$11-$C$12)/$C$13</f>
        <v>2899.3319408128068</v>
      </c>
      <c r="E60" s="22">
        <f>(SUMPRODUCT($C$22:$H$22,1/(1+$B60)^$C$23:$H$23)+H$18*(1+0.03)/E$57/(1+$B60)^5.5-$C$11-$C$12)/$C$13</f>
        <v>2738.0405433796436</v>
      </c>
      <c r="F60" s="22">
        <f>(SUMPRODUCT($C$22:$H$22,1/(1+$B60)^$C$23:$H$23)+H$18*(1+0.03)/F$57/(1+$B60)^5.5-$C$11-$C$12)/$C$13</f>
        <v>2594.6704123279446</v>
      </c>
      <c r="G60" s="22">
        <f>(SUMPRODUCT($C$22:$H$22,1/(1+$B60)^$C$23:$H$23)+H$18*(1+0.03)/G$57/(1+$B60)^5.5-$C$11-$C$12)/$C$13</f>
        <v>2466.3918740185286</v>
      </c>
    </row>
    <row r="61" spans="1:7" ht="15" customHeight="1" x14ac:dyDescent="0.25">
      <c r="B61" s="42">
        <v>9.5000000000000001E-2</v>
      </c>
      <c r="C61" s="22">
        <f>(SUMPRODUCT($C$22:$H$22,1/(1+$B61)^$C$23:$H$23)+H$18*(1+0.03)/C$57/(1+$B61)^5.5-$C$11-$C$12)/$C$13</f>
        <v>2999.1925215225465</v>
      </c>
      <c r="D61" s="22">
        <f>(SUMPRODUCT($C$22:$H$22,1/(1+$B61)^$C$23:$H$23)+H$18*(1+0.03)/D$57/(1+$B61)^5.5-$C$11-$C$12)/$C$13</f>
        <v>2820.9394794814962</v>
      </c>
      <c r="E61" s="22">
        <f>(SUMPRODUCT($C$22:$H$22,1/(1+$B61)^$C$23:$H$23)+H$18*(1+0.03)/E$57/(1+$B61)^5.5-$C$11-$C$12)/$C$13</f>
        <v>2663.657383562921</v>
      </c>
      <c r="F61" s="22">
        <f>(SUMPRODUCT($C$22:$H$22,1/(1+$B61)^$C$23:$H$23)+H$18*(1+0.03)/F$57/(1+$B61)^5.5-$C$11-$C$12)/$C$13</f>
        <v>2523.8510760797444</v>
      </c>
      <c r="G61" s="22">
        <f>(SUMPRODUCT($C$22:$H$22,1/(1+$B61)^$C$23:$H$23)+H$18*(1+0.03)/G$57/(1+$B61)^5.5-$C$11-$C$12)/$C$13</f>
        <v>2398.761222015848</v>
      </c>
    </row>
    <row r="62" spans="1:7" ht="15" customHeight="1" x14ac:dyDescent="0.25">
      <c r="B62" s="42">
        <v>0.1</v>
      </c>
      <c r="C62" s="22">
        <f>(SUMPRODUCT($C$22:$H$22,1/(1+$B62)^$C$23:$H$23)+H$18*(1+0.03)/C$57/(1+$B62)^5.5-$C$11-$C$12)/$C$13</f>
        <v>2918.5989329518243</v>
      </c>
      <c r="D62" s="22">
        <f>(SUMPRODUCT($C$22:$H$22,1/(1+$B62)^$C$23:$H$23)+H$18*(1+0.03)/D$57/(1+$B62)^5.5-$C$11-$C$12)/$C$13</f>
        <v>2744.756881905465</v>
      </c>
      <c r="E62" s="22">
        <f>(SUMPRODUCT($C$22:$H$22,1/(1+$B62)^$C$23:$H$23)+H$18*(1+0.03)/E$57/(1+$B62)^5.5-$C$11-$C$12)/$C$13</f>
        <v>2591.3668368645585</v>
      </c>
      <c r="F62" s="22">
        <f>(SUMPRODUCT($C$22:$H$22,1/(1+$B62)^$C$23:$H$23)+H$18*(1+0.03)/F$57/(1+$B62)^5.5-$C$11-$C$12)/$C$13</f>
        <v>2455.0201301615321</v>
      </c>
      <c r="G62" s="22">
        <f>(SUMPRODUCT($C$22:$H$22,1/(1+$B62)^$C$23:$H$23)+H$18*(1+0.03)/G$57/(1+$B62)^5.5-$C$11-$C$12)/$C$13</f>
        <v>2333.0257083746123</v>
      </c>
    </row>
    <row r="64" spans="1:7" ht="15" customHeight="1" x14ac:dyDescent="0.25">
      <c r="A64" s="36" t="s">
        <v>579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4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7109375" defaultRowHeight="15" x14ac:dyDescent="0.25"/>
  <cols>
    <col min="1" max="1" width="6" customWidth="1"/>
    <col min="2" max="2" width="52" customWidth="1"/>
    <col min="3" max="3" width="10" customWidth="1"/>
    <col min="4" max="15" width="12" customWidth="1"/>
    <col min="16" max="16" width="95" customWidth="1"/>
  </cols>
  <sheetData>
    <row r="1" spans="1:16" ht="15" customHeight="1" x14ac:dyDescent="0.25">
      <c r="B1" s="1" t="s">
        <v>580</v>
      </c>
    </row>
    <row r="2" spans="1:16" ht="15" customHeight="1" x14ac:dyDescent="0.25">
      <c r="B2" s="36" t="s">
        <v>581</v>
      </c>
    </row>
    <row r="3" spans="1:16" ht="15" customHeight="1" x14ac:dyDescent="0.25">
      <c r="B3" s="36" t="s">
        <v>582</v>
      </c>
    </row>
    <row r="5" spans="1:16" ht="15" customHeight="1" x14ac:dyDescent="0.25">
      <c r="A5" s="43"/>
      <c r="B5" s="3" t="s">
        <v>583</v>
      </c>
      <c r="C5" s="3" t="s">
        <v>584</v>
      </c>
      <c r="D5" s="13" t="s">
        <v>585</v>
      </c>
      <c r="E5" s="13" t="s">
        <v>586</v>
      </c>
      <c r="F5" s="13" t="s">
        <v>587</v>
      </c>
      <c r="G5" s="13" t="s">
        <v>303</v>
      </c>
      <c r="H5" s="13" t="s">
        <v>191</v>
      </c>
      <c r="I5" s="13" t="s">
        <v>588</v>
      </c>
      <c r="J5" s="13" t="s">
        <v>335</v>
      </c>
      <c r="K5" s="13" t="s">
        <v>305</v>
      </c>
      <c r="L5" s="13" t="s">
        <v>306</v>
      </c>
      <c r="M5" s="13" t="s">
        <v>307</v>
      </c>
      <c r="N5" s="13" t="s">
        <v>308</v>
      </c>
      <c r="O5" s="13" t="s">
        <v>309</v>
      </c>
      <c r="P5" s="3" t="s">
        <v>589</v>
      </c>
    </row>
    <row r="7" spans="1:16" ht="15" customHeight="1" x14ac:dyDescent="0.25">
      <c r="B7" s="3" t="s">
        <v>590</v>
      </c>
    </row>
    <row r="8" spans="1:16" ht="15" customHeight="1" x14ac:dyDescent="0.25">
      <c r="A8" s="2" t="s">
        <v>591</v>
      </c>
      <c r="B8" s="2" t="s">
        <v>17</v>
      </c>
      <c r="C8" s="36" t="s">
        <v>592</v>
      </c>
      <c r="D8" s="44">
        <v>370899</v>
      </c>
      <c r="E8" s="20">
        <f>Inputs!C4</f>
        <v>419904</v>
      </c>
      <c r="F8" s="20">
        <f>Inputs!C5</f>
        <v>494605</v>
      </c>
      <c r="G8" s="20">
        <f>Inputs!C6</f>
        <v>653911</v>
      </c>
      <c r="H8" s="20">
        <f>Inputs!C82</f>
        <v>677333</v>
      </c>
      <c r="I8" s="20">
        <f>Inputs!C8</f>
        <v>339530</v>
      </c>
      <c r="J8" s="45">
        <f>Forecast!D95-I8</f>
        <v>364468.93502974394</v>
      </c>
      <c r="K8" s="45">
        <f>Forecast!E95</f>
        <v>767179.4231174899</v>
      </c>
      <c r="L8" s="45">
        <f>Forecast!F95</f>
        <v>820506.70251456369</v>
      </c>
      <c r="M8" s="45">
        <f>Forecast!G95</f>
        <v>866951.61134404899</v>
      </c>
      <c r="N8" s="45">
        <f>Forecast!H95</f>
        <v>904202.83057907701</v>
      </c>
      <c r="O8" s="45">
        <f>Forecast!I95</f>
        <v>939524.47470748459</v>
      </c>
      <c r="P8" s="36" t="s">
        <v>593</v>
      </c>
    </row>
    <row r="9" spans="1:16" ht="15" customHeight="1" x14ac:dyDescent="0.25">
      <c r="A9" s="2" t="s">
        <v>594</v>
      </c>
      <c r="B9" s="2" t="s">
        <v>595</v>
      </c>
      <c r="C9" s="36" t="s">
        <v>114</v>
      </c>
      <c r="E9" s="46">
        <f>E8/D8-1</f>
        <v>0.13212491810438953</v>
      </c>
      <c r="F9" s="46">
        <f>F8/E8-1</f>
        <v>0.17790018670934304</v>
      </c>
      <c r="G9" s="46">
        <f>G8/F8-1</f>
        <v>0.32208732220660941</v>
      </c>
      <c r="K9" s="46">
        <f>K8/(I8+J8)-1</f>
        <v>8.9745147249514767E-2</v>
      </c>
      <c r="L9" s="46">
        <f>L8/K8-1</f>
        <v>6.951083122169055E-2</v>
      </c>
      <c r="M9" s="46">
        <f>M8/L8-1</f>
        <v>5.6605154701537597E-2</v>
      </c>
      <c r="N9" s="46">
        <f>N8/M8-1</f>
        <v>4.2968048905609457E-2</v>
      </c>
      <c r="O9" s="46">
        <f>O8/N8-1</f>
        <v>3.9063850425890223E-2</v>
      </c>
      <c r="P9" s="36" t="s">
        <v>596</v>
      </c>
    </row>
    <row r="10" spans="1:16" ht="15" customHeight="1" x14ac:dyDescent="0.25">
      <c r="A10" s="2" t="s">
        <v>597</v>
      </c>
      <c r="B10" s="2" t="s">
        <v>598</v>
      </c>
      <c r="C10" s="36" t="s">
        <v>599</v>
      </c>
      <c r="D10" s="44">
        <v>363621</v>
      </c>
      <c r="E10" s="44">
        <v>513768</v>
      </c>
      <c r="F10" s="47">
        <f>F15-F11+F13-F14</f>
        <v>535873</v>
      </c>
      <c r="G10" s="47">
        <f>G15-G11+G13-G14</f>
        <v>1968050</v>
      </c>
      <c r="H10" s="47">
        <f>G10-720093+I10</f>
        <v>1730612</v>
      </c>
      <c r="I10" s="44">
        <v>482655</v>
      </c>
      <c r="P10" s="36" t="s">
        <v>600</v>
      </c>
    </row>
    <row r="11" spans="1:16" ht="15" customHeight="1" x14ac:dyDescent="0.25">
      <c r="A11" s="2" t="s">
        <v>601</v>
      </c>
      <c r="B11" s="2" t="s">
        <v>602</v>
      </c>
      <c r="C11" s="36" t="s">
        <v>603</v>
      </c>
      <c r="D11" s="47">
        <f>Inputs!C77-(324954-44420)</f>
        <v>2165</v>
      </c>
      <c r="E11" s="44">
        <v>2154</v>
      </c>
      <c r="F11" s="44">
        <v>2112</v>
      </c>
      <c r="G11" s="20">
        <f>Inputs!C17</f>
        <v>3610</v>
      </c>
      <c r="H11" s="47">
        <f>G11-1837+I11</f>
        <v>4766</v>
      </c>
      <c r="I11" s="44">
        <v>2993</v>
      </c>
      <c r="J11" s="47">
        <f t="shared" ref="J11:O11" si="0">$H$18*J8</f>
        <v>2564.5567901634195</v>
      </c>
      <c r="K11" s="47">
        <f t="shared" si="0"/>
        <v>5398.1972391393256</v>
      </c>
      <c r="L11" s="47">
        <f t="shared" si="0"/>
        <v>5773.4304163305351</v>
      </c>
      <c r="M11" s="47">
        <f t="shared" si="0"/>
        <v>6100.2363382054873</v>
      </c>
      <c r="N11" s="47">
        <f t="shared" si="0"/>
        <v>6362.3515915212765</v>
      </c>
      <c r="O11" s="47">
        <f t="shared" si="0"/>
        <v>6610.8895424493876</v>
      </c>
      <c r="P11" s="36" t="s">
        <v>604</v>
      </c>
    </row>
    <row r="12" spans="1:16" ht="15" customHeight="1" x14ac:dyDescent="0.25">
      <c r="A12" s="2" t="s">
        <v>605</v>
      </c>
      <c r="B12" s="2" t="s">
        <v>606</v>
      </c>
      <c r="C12" s="36" t="s">
        <v>114</v>
      </c>
      <c r="D12" s="47">
        <f t="shared" ref="D12:I12" si="1">D10+D11</f>
        <v>365786</v>
      </c>
      <c r="E12" s="47">
        <f t="shared" si="1"/>
        <v>515922</v>
      </c>
      <c r="F12" s="47">
        <f t="shared" si="1"/>
        <v>537985</v>
      </c>
      <c r="G12" s="47">
        <f t="shared" si="1"/>
        <v>1971660</v>
      </c>
      <c r="H12" s="47">
        <f t="shared" si="1"/>
        <v>1735378</v>
      </c>
      <c r="I12" s="47">
        <f t="shared" si="1"/>
        <v>485648</v>
      </c>
      <c r="J12" s="47">
        <f t="shared" ref="J12:O12" si="2">J15+J13-J14</f>
        <v>433146.13352749543</v>
      </c>
      <c r="K12" s="47">
        <f t="shared" si="2"/>
        <v>857222.86182375439</v>
      </c>
      <c r="L12" s="47">
        <f t="shared" si="2"/>
        <v>893101.93823864579</v>
      </c>
      <c r="M12" s="47">
        <f t="shared" si="2"/>
        <v>932108.94746556995</v>
      </c>
      <c r="N12" s="47">
        <f t="shared" si="2"/>
        <v>966650.31408784608</v>
      </c>
      <c r="O12" s="47">
        <f t="shared" si="2"/>
        <v>1003071.5472240935</v>
      </c>
      <c r="P12" s="36" t="s">
        <v>607</v>
      </c>
    </row>
    <row r="13" spans="1:16" ht="15" customHeight="1" x14ac:dyDescent="0.25">
      <c r="A13" s="2" t="s">
        <v>608</v>
      </c>
      <c r="B13" s="2" t="s">
        <v>609</v>
      </c>
      <c r="C13" s="36" t="s">
        <v>592</v>
      </c>
      <c r="D13" s="44">
        <v>85361</v>
      </c>
      <c r="E13" s="44">
        <v>195562</v>
      </c>
      <c r="F13" s="44">
        <v>162507</v>
      </c>
      <c r="G13" s="20">
        <f>Inputs!C15</f>
        <v>1448943</v>
      </c>
      <c r="H13" s="47">
        <f>G13-471020+I13</f>
        <v>1194529</v>
      </c>
      <c r="I13" s="44">
        <v>216606</v>
      </c>
      <c r="J13" s="45">
        <f>Forecast!D148-I13</f>
        <v>142404.72849999997</v>
      </c>
      <c r="K13" s="45">
        <f>Forecast!E148</f>
        <v>245862.50157703567</v>
      </c>
      <c r="L13" s="45">
        <f>Forecast!F148</f>
        <v>238865.71265500903</v>
      </c>
      <c r="M13" s="45">
        <f>Forecast!G148</f>
        <v>240649.1047966879</v>
      </c>
      <c r="N13" s="45">
        <f>Forecast!H148</f>
        <v>245525.94219222228</v>
      </c>
      <c r="O13" s="45">
        <f>Forecast!I148</f>
        <v>253862.96802196107</v>
      </c>
      <c r="P13" s="36" t="s">
        <v>610</v>
      </c>
    </row>
    <row r="14" spans="1:16" ht="15" customHeight="1" x14ac:dyDescent="0.25">
      <c r="A14" s="2" t="s">
        <v>611</v>
      </c>
      <c r="B14" s="2" t="s">
        <v>612</v>
      </c>
      <c r="C14" s="36" t="s">
        <v>385</v>
      </c>
      <c r="D14" s="44">
        <v>2274</v>
      </c>
      <c r="E14" s="44">
        <v>1825</v>
      </c>
      <c r="F14" s="44">
        <v>5159</v>
      </c>
      <c r="G14" s="20">
        <f>Inputs!C16</f>
        <v>3511</v>
      </c>
      <c r="H14" s="47">
        <f>G14-957+I14</f>
        <v>4086</v>
      </c>
      <c r="I14" s="44">
        <v>1532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36" t="s">
        <v>613</v>
      </c>
    </row>
    <row r="15" spans="1:16" ht="15" customHeight="1" x14ac:dyDescent="0.25">
      <c r="A15" s="27" t="s">
        <v>614</v>
      </c>
      <c r="B15" s="27" t="s">
        <v>615</v>
      </c>
      <c r="C15" s="36" t="s">
        <v>616</v>
      </c>
      <c r="D15" s="48">
        <f>D12-D13+D14</f>
        <v>282699</v>
      </c>
      <c r="E15" s="48">
        <f>E12-E13+E14</f>
        <v>322185</v>
      </c>
      <c r="F15" s="49">
        <f>Inputs!C9</f>
        <v>380637</v>
      </c>
      <c r="G15" s="49">
        <f>Inputs!C10</f>
        <v>526228</v>
      </c>
      <c r="H15" s="48">
        <f>H12-H13+H14</f>
        <v>544935</v>
      </c>
      <c r="I15" s="48">
        <f>I12-I13+I14</f>
        <v>270574</v>
      </c>
      <c r="J15" s="50">
        <f>Forecast!D104-I15</f>
        <v>290741.40502749546</v>
      </c>
      <c r="K15" s="50">
        <f>Forecast!E104</f>
        <v>611360.36024671874</v>
      </c>
      <c r="L15" s="50">
        <f>Forecast!F104</f>
        <v>654236.22558363678</v>
      </c>
      <c r="M15" s="50">
        <f>Forecast!G104</f>
        <v>691459.84266888211</v>
      </c>
      <c r="N15" s="50">
        <f>Forecast!H104</f>
        <v>721124.37189562374</v>
      </c>
      <c r="O15" s="50">
        <f>Forecast!I104</f>
        <v>749208.57920213242</v>
      </c>
      <c r="P15" s="36" t="s">
        <v>617</v>
      </c>
    </row>
    <row r="16" spans="1:16" ht="15" customHeight="1" x14ac:dyDescent="0.25">
      <c r="A16" s="2" t="s">
        <v>618</v>
      </c>
      <c r="B16" s="2" t="s">
        <v>619</v>
      </c>
      <c r="C16" s="36" t="s">
        <v>114</v>
      </c>
      <c r="D16" s="47">
        <f>D15-Inputs!C77</f>
        <v>0</v>
      </c>
      <c r="E16" s="47">
        <f>E15-Inputs!C78</f>
        <v>0</v>
      </c>
      <c r="F16" s="47">
        <f>F12-F13+F14-Inputs!C9</f>
        <v>0</v>
      </c>
      <c r="G16" s="47">
        <f>G12-G13+G14-Inputs!C10</f>
        <v>0</v>
      </c>
      <c r="H16" s="47">
        <f>H15-Inputs!C79</f>
        <v>0</v>
      </c>
      <c r="I16" s="47">
        <f>I15-270573</f>
        <v>1</v>
      </c>
      <c r="P16" s="36" t="s">
        <v>620</v>
      </c>
    </row>
    <row r="17" spans="1:16" ht="15" customHeight="1" x14ac:dyDescent="0.25">
      <c r="A17" s="2" t="s">
        <v>621</v>
      </c>
      <c r="B17" s="2" t="s">
        <v>622</v>
      </c>
      <c r="C17" s="36" t="s">
        <v>114</v>
      </c>
      <c r="D17" s="46">
        <f t="shared" ref="D17:O17" si="3">D15/D8</f>
        <v>0.76219941277814174</v>
      </c>
      <c r="E17" s="46">
        <f t="shared" si="3"/>
        <v>0.76728252171925015</v>
      </c>
      <c r="F17" s="46">
        <f t="shared" si="3"/>
        <v>0.76957774385620847</v>
      </c>
      <c r="G17" s="46">
        <f t="shared" si="3"/>
        <v>0.8047394828959904</v>
      </c>
      <c r="H17" s="46">
        <f t="shared" si="3"/>
        <v>0.80453041561536198</v>
      </c>
      <c r="I17" s="46">
        <f t="shared" si="3"/>
        <v>0.79690748976526371</v>
      </c>
      <c r="J17" s="46">
        <f t="shared" si="3"/>
        <v>0.79771244428216725</v>
      </c>
      <c r="K17" s="46">
        <f t="shared" si="3"/>
        <v>0.79689358424449275</v>
      </c>
      <c r="L17" s="46">
        <f t="shared" si="3"/>
        <v>0.7973563452664475</v>
      </c>
      <c r="M17" s="46">
        <f t="shared" si="3"/>
        <v>0.79757605109805474</v>
      </c>
      <c r="N17" s="46">
        <f t="shared" si="3"/>
        <v>0.79752501043797364</v>
      </c>
      <c r="O17" s="46">
        <f t="shared" si="3"/>
        <v>0.79743380760293026</v>
      </c>
    </row>
    <row r="18" spans="1:16" ht="15" customHeight="1" x14ac:dyDescent="0.25">
      <c r="A18" s="2" t="s">
        <v>623</v>
      </c>
      <c r="B18" s="2" t="s">
        <v>624</v>
      </c>
      <c r="C18" s="36" t="s">
        <v>114</v>
      </c>
      <c r="H18" s="51">
        <f>H11/H8</f>
        <v>7.03642078564015E-3</v>
      </c>
      <c r="P18" s="36" t="s">
        <v>625</v>
      </c>
    </row>
    <row r="19" spans="1:16" ht="15" customHeight="1" x14ac:dyDescent="0.25">
      <c r="A19" s="27" t="s">
        <v>626</v>
      </c>
      <c r="B19" s="27" t="s">
        <v>627</v>
      </c>
      <c r="C19" s="36" t="s">
        <v>114</v>
      </c>
      <c r="D19" s="48">
        <f t="shared" ref="D19:O19" si="4">D15-D11</f>
        <v>280534</v>
      </c>
      <c r="E19" s="48">
        <f t="shared" si="4"/>
        <v>320031</v>
      </c>
      <c r="F19" s="48">
        <f t="shared" si="4"/>
        <v>378525</v>
      </c>
      <c r="G19" s="48">
        <f t="shared" si="4"/>
        <v>522618</v>
      </c>
      <c r="H19" s="48">
        <f t="shared" si="4"/>
        <v>540169</v>
      </c>
      <c r="I19" s="48">
        <f t="shared" si="4"/>
        <v>267581</v>
      </c>
      <c r="J19" s="48">
        <f t="shared" si="4"/>
        <v>288176.84823733207</v>
      </c>
      <c r="K19" s="48">
        <f t="shared" si="4"/>
        <v>605962.16300757939</v>
      </c>
      <c r="L19" s="48">
        <f t="shared" si="4"/>
        <v>648462.79516730621</v>
      </c>
      <c r="M19" s="48">
        <f t="shared" si="4"/>
        <v>685359.60633067659</v>
      </c>
      <c r="N19" s="48">
        <f t="shared" si="4"/>
        <v>714762.02030410245</v>
      </c>
      <c r="O19" s="48">
        <f t="shared" si="4"/>
        <v>742597.68965968303</v>
      </c>
    </row>
    <row r="21" spans="1:16" ht="15" customHeight="1" x14ac:dyDescent="0.25">
      <c r="B21" s="3" t="s">
        <v>628</v>
      </c>
    </row>
    <row r="22" spans="1:16" ht="15" customHeight="1" x14ac:dyDescent="0.25">
      <c r="A22" s="2" t="s">
        <v>629</v>
      </c>
      <c r="B22" s="2" t="s">
        <v>630</v>
      </c>
      <c r="C22" s="36" t="s">
        <v>631</v>
      </c>
      <c r="J22" s="52">
        <f>Forecast!D110</f>
        <v>0.16800000000000001</v>
      </c>
      <c r="K22" s="52">
        <f>Forecast!E110</f>
        <v>0.19</v>
      </c>
      <c r="L22" s="52">
        <f>Forecast!F110</f>
        <v>0.215</v>
      </c>
      <c r="M22" s="52">
        <f>Forecast!G110</f>
        <v>0.24</v>
      </c>
      <c r="N22" s="52">
        <f>Forecast!H110</f>
        <v>0.27</v>
      </c>
      <c r="O22" s="52">
        <f>Forecast!I110</f>
        <v>0.27</v>
      </c>
      <c r="P22" s="36" t="s">
        <v>632</v>
      </c>
    </row>
    <row r="23" spans="1:16" ht="15" customHeight="1" x14ac:dyDescent="0.25">
      <c r="A23" s="2" t="s">
        <v>633</v>
      </c>
      <c r="B23" s="2" t="s">
        <v>634</v>
      </c>
      <c r="C23" s="36" t="s">
        <v>114</v>
      </c>
      <c r="J23" s="47">
        <f t="shared" ref="J23:O23" si="5">-J22*J19</f>
        <v>-48413.710503871793</v>
      </c>
      <c r="K23" s="47">
        <f t="shared" si="5"/>
        <v>-115132.81097144009</v>
      </c>
      <c r="L23" s="47">
        <f t="shared" si="5"/>
        <v>-139419.50096097082</v>
      </c>
      <c r="M23" s="47">
        <f t="shared" si="5"/>
        <v>-164486.30551936239</v>
      </c>
      <c r="N23" s="47">
        <f t="shared" si="5"/>
        <v>-192985.74548210768</v>
      </c>
      <c r="O23" s="47">
        <f t="shared" si="5"/>
        <v>-200501.37620811444</v>
      </c>
      <c r="P23" s="36" t="s">
        <v>635</v>
      </c>
    </row>
    <row r="24" spans="1:16" ht="15" customHeight="1" x14ac:dyDescent="0.25">
      <c r="A24" s="27" t="s">
        <v>636</v>
      </c>
      <c r="B24" s="27" t="s">
        <v>637</v>
      </c>
      <c r="C24" s="36" t="s">
        <v>114</v>
      </c>
      <c r="J24" s="48">
        <f t="shared" ref="J24:O24" si="6">J19+J23</f>
        <v>239763.13773346029</v>
      </c>
      <c r="K24" s="48">
        <f t="shared" si="6"/>
        <v>490829.35203613929</v>
      </c>
      <c r="L24" s="48">
        <f t="shared" si="6"/>
        <v>509043.29420633538</v>
      </c>
      <c r="M24" s="48">
        <f t="shared" si="6"/>
        <v>520873.3008113142</v>
      </c>
      <c r="N24" s="48">
        <f t="shared" si="6"/>
        <v>521776.27482199477</v>
      </c>
      <c r="O24" s="48">
        <f t="shared" si="6"/>
        <v>542096.3134515686</v>
      </c>
    </row>
    <row r="25" spans="1:16" ht="15" customHeight="1" x14ac:dyDescent="0.25">
      <c r="A25" s="2" t="s">
        <v>638</v>
      </c>
      <c r="B25" s="2" t="s">
        <v>639</v>
      </c>
      <c r="C25" s="36" t="s">
        <v>114</v>
      </c>
      <c r="J25" s="47">
        <f t="shared" ref="J25:O25" si="7">J11</f>
        <v>2564.5567901634195</v>
      </c>
      <c r="K25" s="47">
        <f t="shared" si="7"/>
        <v>5398.1972391393256</v>
      </c>
      <c r="L25" s="47">
        <f t="shared" si="7"/>
        <v>5773.4304163305351</v>
      </c>
      <c r="M25" s="47">
        <f t="shared" si="7"/>
        <v>6100.2363382054873</v>
      </c>
      <c r="N25" s="47">
        <f t="shared" si="7"/>
        <v>6362.3515915212765</v>
      </c>
      <c r="O25" s="47">
        <f t="shared" si="7"/>
        <v>6610.8895424493876</v>
      </c>
    </row>
    <row r="26" spans="1:16" ht="15" customHeight="1" x14ac:dyDescent="0.25">
      <c r="A26" s="2" t="s">
        <v>640</v>
      </c>
      <c r="B26" s="2" t="s">
        <v>641</v>
      </c>
      <c r="C26" s="36" t="s">
        <v>214</v>
      </c>
      <c r="J26" s="45">
        <f>-(Forecast!D137+Forecast!D139)</f>
        <v>-124994.03271331795</v>
      </c>
      <c r="K26" s="45">
        <f>-Forecast!E142</f>
        <v>-240659.93827146196</v>
      </c>
      <c r="L26" s="45">
        <f>-Forecast!F142</f>
        <v>-151494.99863830104</v>
      </c>
      <c r="M26" s="45">
        <f>-Forecast!G142</f>
        <v>-47682.338623922697</v>
      </c>
      <c r="N26" s="45">
        <f>-Forecast!H142</f>
        <v>-49731.155681849239</v>
      </c>
      <c r="O26" s="45">
        <f>-Forecast!I142</f>
        <v>-51673.846108911654</v>
      </c>
      <c r="P26" s="36" t="s">
        <v>642</v>
      </c>
    </row>
    <row r="27" spans="1:16" ht="15" customHeight="1" x14ac:dyDescent="0.25">
      <c r="A27" s="2" t="s">
        <v>643</v>
      </c>
      <c r="B27" s="2" t="s">
        <v>644</v>
      </c>
      <c r="C27" s="36" t="s">
        <v>351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36" t="s">
        <v>645</v>
      </c>
    </row>
    <row r="28" spans="1:16" ht="15" customHeight="1" x14ac:dyDescent="0.25">
      <c r="A28" s="27" t="s">
        <v>646</v>
      </c>
      <c r="B28" s="27" t="s">
        <v>547</v>
      </c>
      <c r="C28" s="36" t="s">
        <v>114</v>
      </c>
      <c r="J28" s="48">
        <f t="shared" ref="J28:O28" si="8">J24+J25+J26-J27</f>
        <v>117333.66181030576</v>
      </c>
      <c r="K28" s="48">
        <f t="shared" si="8"/>
        <v>255567.61100381668</v>
      </c>
      <c r="L28" s="48">
        <f t="shared" si="8"/>
        <v>363321.72598436486</v>
      </c>
      <c r="M28" s="48">
        <f t="shared" si="8"/>
        <v>479291.19852559699</v>
      </c>
      <c r="N28" s="48">
        <f t="shared" si="8"/>
        <v>478407.47073166678</v>
      </c>
      <c r="O28" s="48">
        <f t="shared" si="8"/>
        <v>497033.3568851063</v>
      </c>
      <c r="P28" s="36" t="s">
        <v>647</v>
      </c>
    </row>
    <row r="30" spans="1:16" ht="15" customHeight="1" x14ac:dyDescent="0.25">
      <c r="B30" s="3" t="s">
        <v>648</v>
      </c>
    </row>
    <row r="31" spans="1:16" ht="15" customHeight="1" x14ac:dyDescent="0.25">
      <c r="A31" s="2" t="s">
        <v>649</v>
      </c>
      <c r="B31" s="2" t="s">
        <v>650</v>
      </c>
      <c r="C31" s="36" t="s">
        <v>351</v>
      </c>
      <c r="J31" s="37">
        <v>0.1003</v>
      </c>
      <c r="P31" s="36" t="s">
        <v>651</v>
      </c>
    </row>
    <row r="32" spans="1:16" ht="15" customHeight="1" x14ac:dyDescent="0.25">
      <c r="A32" s="2" t="s">
        <v>652</v>
      </c>
      <c r="B32" s="2" t="s">
        <v>653</v>
      </c>
      <c r="C32" s="36" t="s">
        <v>351</v>
      </c>
      <c r="J32" s="53">
        <v>0.25</v>
      </c>
      <c r="K32" s="53">
        <v>1</v>
      </c>
      <c r="L32" s="53">
        <v>2</v>
      </c>
      <c r="M32" s="53">
        <v>3</v>
      </c>
      <c r="N32" s="53">
        <v>4</v>
      </c>
      <c r="O32" s="53">
        <v>5</v>
      </c>
      <c r="P32" s="36" t="s">
        <v>654</v>
      </c>
    </row>
    <row r="33" spans="1:16" ht="15" customHeight="1" x14ac:dyDescent="0.25">
      <c r="A33" s="2" t="s">
        <v>655</v>
      </c>
      <c r="B33" s="2" t="s">
        <v>550</v>
      </c>
      <c r="C33" s="36" t="s">
        <v>114</v>
      </c>
      <c r="J33" s="54">
        <f t="shared" ref="J33:O33" si="9">1/(1+$J$31)^J32</f>
        <v>0.97638752460703715</v>
      </c>
      <c r="K33" s="54">
        <f t="shared" si="9"/>
        <v>0.9088430428065073</v>
      </c>
      <c r="L33" s="54">
        <f t="shared" si="9"/>
        <v>0.82599567645779071</v>
      </c>
      <c r="M33" s="54">
        <f t="shared" si="9"/>
        <v>0.75070042393691794</v>
      </c>
      <c r="N33" s="54">
        <f t="shared" si="9"/>
        <v>0.68226885752696331</v>
      </c>
      <c r="O33" s="54">
        <f t="shared" si="9"/>
        <v>0.62007530448692483</v>
      </c>
      <c r="P33" s="36" t="s">
        <v>656</v>
      </c>
    </row>
    <row r="34" spans="1:16" ht="15" customHeight="1" x14ac:dyDescent="0.25">
      <c r="A34" s="2" t="s">
        <v>657</v>
      </c>
      <c r="B34" s="2" t="s">
        <v>551</v>
      </c>
      <c r="C34" s="36" t="s">
        <v>114</v>
      </c>
      <c r="J34" s="47">
        <f t="shared" ref="J34:O34" si="10">J28*J33</f>
        <v>114563.12360804368</v>
      </c>
      <c r="K34" s="47">
        <f t="shared" si="10"/>
        <v>232270.84522749856</v>
      </c>
      <c r="L34" s="47">
        <f t="shared" si="10"/>
        <v>300102.17482626752</v>
      </c>
      <c r="M34" s="47">
        <f t="shared" si="10"/>
        <v>359804.10592239915</v>
      </c>
      <c r="N34" s="47">
        <f t="shared" si="10"/>
        <v>326402.51848845842</v>
      </c>
      <c r="O34" s="47">
        <f t="shared" si="10"/>
        <v>308198.11011069064</v>
      </c>
    </row>
    <row r="36" spans="1:16" ht="15" customHeight="1" x14ac:dyDescent="0.25">
      <c r="B36" s="3" t="s">
        <v>658</v>
      </c>
    </row>
    <row r="37" spans="1:16" ht="15" customHeight="1" x14ac:dyDescent="0.25">
      <c r="A37" s="2" t="s">
        <v>659</v>
      </c>
      <c r="B37" s="2" t="s">
        <v>660</v>
      </c>
      <c r="C37" s="36" t="s">
        <v>351</v>
      </c>
      <c r="J37" s="37">
        <v>0.03</v>
      </c>
      <c r="P37" s="36" t="s">
        <v>661</v>
      </c>
    </row>
    <row r="38" spans="1:16" ht="15" customHeight="1" x14ac:dyDescent="0.25">
      <c r="A38" s="2" t="s">
        <v>662</v>
      </c>
      <c r="B38" s="2" t="s">
        <v>663</v>
      </c>
      <c r="C38" s="36" t="s">
        <v>114</v>
      </c>
      <c r="J38" s="47">
        <f>O28*(1+J37)</f>
        <v>511944.35759165953</v>
      </c>
    </row>
    <row r="39" spans="1:16" ht="15" customHeight="1" x14ac:dyDescent="0.25">
      <c r="A39" s="2" t="s">
        <v>664</v>
      </c>
      <c r="B39" s="2" t="s">
        <v>665</v>
      </c>
      <c r="C39" s="36" t="s">
        <v>114</v>
      </c>
      <c r="J39" s="47">
        <f>J38/(J31-J37)</f>
        <v>7282281.0468230369</v>
      </c>
    </row>
    <row r="40" spans="1:16" ht="15" customHeight="1" x14ac:dyDescent="0.25">
      <c r="A40" s="2" t="s">
        <v>666</v>
      </c>
      <c r="B40" s="2" t="s">
        <v>667</v>
      </c>
      <c r="C40" s="36" t="s">
        <v>114</v>
      </c>
      <c r="J40" s="47">
        <f>J39/(1+J31)^5.5</f>
        <v>4304833.0615496505</v>
      </c>
    </row>
    <row r="42" spans="1:16" ht="15" customHeight="1" x14ac:dyDescent="0.25">
      <c r="B42" s="3" t="s">
        <v>668</v>
      </c>
    </row>
    <row r="43" spans="1:16" ht="15" customHeight="1" x14ac:dyDescent="0.25">
      <c r="A43" s="2" t="s">
        <v>669</v>
      </c>
      <c r="B43" s="2" t="s">
        <v>670</v>
      </c>
      <c r="C43" s="36" t="s">
        <v>114</v>
      </c>
      <c r="J43" s="47">
        <f>SUM(J34:O34)</f>
        <v>1641340.8781833579</v>
      </c>
    </row>
    <row r="44" spans="1:16" ht="15" customHeight="1" x14ac:dyDescent="0.25">
      <c r="A44" s="27" t="s">
        <v>671</v>
      </c>
      <c r="B44" s="27" t="s">
        <v>672</v>
      </c>
      <c r="C44" s="36" t="s">
        <v>114</v>
      </c>
      <c r="J44" s="48">
        <f>J43+J40</f>
        <v>5946173.9397330079</v>
      </c>
    </row>
    <row r="45" spans="1:16" ht="15" customHeight="1" x14ac:dyDescent="0.25">
      <c r="A45" s="2" t="s">
        <v>673</v>
      </c>
      <c r="B45" s="2" t="s">
        <v>674</v>
      </c>
      <c r="C45" s="36" t="s">
        <v>20</v>
      </c>
      <c r="J45" s="20">
        <f>-Inputs!C64</f>
        <v>-1285740</v>
      </c>
      <c r="P45" s="36" t="s">
        <v>675</v>
      </c>
    </row>
    <row r="46" spans="1:16" ht="15" customHeight="1" x14ac:dyDescent="0.25">
      <c r="A46" s="2" t="s">
        <v>676</v>
      </c>
      <c r="B46" s="2" t="s">
        <v>677</v>
      </c>
      <c r="C46" s="36" t="s">
        <v>20</v>
      </c>
      <c r="J46" s="44">
        <v>-50841</v>
      </c>
      <c r="P46" s="36" t="s">
        <v>678</v>
      </c>
    </row>
    <row r="47" spans="1:16" ht="15" customHeight="1" x14ac:dyDescent="0.25">
      <c r="A47" s="27" t="s">
        <v>679</v>
      </c>
      <c r="B47" s="27" t="s">
        <v>680</v>
      </c>
      <c r="C47" s="36" t="s">
        <v>114</v>
      </c>
      <c r="J47" s="48">
        <f>J44+J45+J46</f>
        <v>4609592.9397330079</v>
      </c>
    </row>
    <row r="48" spans="1:16" ht="15" customHeight="1" x14ac:dyDescent="0.25">
      <c r="A48" s="2" t="s">
        <v>681</v>
      </c>
      <c r="B48" s="2" t="s">
        <v>534</v>
      </c>
      <c r="C48" s="36" t="s">
        <v>20</v>
      </c>
      <c r="J48" s="20">
        <f>Inputs!C125</f>
        <v>2190</v>
      </c>
    </row>
    <row r="49" spans="1:16" ht="15" customHeight="1" x14ac:dyDescent="0.25">
      <c r="A49" s="27" t="s">
        <v>682</v>
      </c>
      <c r="B49" s="27" t="s">
        <v>567</v>
      </c>
      <c r="C49" s="36" t="s">
        <v>114</v>
      </c>
      <c r="J49" s="48">
        <f>J47/J48</f>
        <v>2104.8369587821953</v>
      </c>
    </row>
    <row r="50" spans="1:16" ht="15" customHeight="1" x14ac:dyDescent="0.25">
      <c r="A50" s="2" t="s">
        <v>683</v>
      </c>
      <c r="B50" s="2" t="s">
        <v>684</v>
      </c>
      <c r="C50" s="36" t="s">
        <v>20</v>
      </c>
      <c r="J50" s="47">
        <f>7905900/2190</f>
        <v>3610</v>
      </c>
      <c r="P50" s="36" t="s">
        <v>685</v>
      </c>
    </row>
    <row r="51" spans="1:16" ht="15" customHeight="1" x14ac:dyDescent="0.25">
      <c r="A51" s="2" t="s">
        <v>686</v>
      </c>
      <c r="B51" s="2" t="s">
        <v>687</v>
      </c>
      <c r="C51" s="36" t="s">
        <v>114</v>
      </c>
      <c r="J51" s="46">
        <f>J49/J50-1</f>
        <v>-0.41694267069745283</v>
      </c>
    </row>
    <row r="53" spans="1:16" ht="15" customHeight="1" x14ac:dyDescent="0.25">
      <c r="B53" s="3" t="s">
        <v>688</v>
      </c>
    </row>
    <row r="54" spans="1:16" ht="15" customHeight="1" x14ac:dyDescent="0.25">
      <c r="A54" s="2" t="s">
        <v>689</v>
      </c>
      <c r="B54" s="2" t="s">
        <v>690</v>
      </c>
      <c r="C54" s="36" t="s">
        <v>114</v>
      </c>
      <c r="J54" s="46">
        <f>J40/J44</f>
        <v>0.72396689117758029</v>
      </c>
    </row>
    <row r="55" spans="1:16" ht="15" customHeight="1" x14ac:dyDescent="0.25">
      <c r="A55" s="2" t="s">
        <v>691</v>
      </c>
      <c r="B55" s="2" t="s">
        <v>692</v>
      </c>
      <c r="C55" s="36" t="s">
        <v>114</v>
      </c>
      <c r="J55" s="55">
        <f>J44/H15</f>
        <v>10.911712295471952</v>
      </c>
    </row>
    <row r="56" spans="1:16" ht="15" customHeight="1" x14ac:dyDescent="0.25">
      <c r="A56" s="2" t="s">
        <v>693</v>
      </c>
      <c r="B56" s="2" t="s">
        <v>694</v>
      </c>
      <c r="C56" s="36" t="s">
        <v>114</v>
      </c>
      <c r="J56" s="51">
        <f>O15*(1+J37)/J39</f>
        <v>0.10596746151603845</v>
      </c>
      <c r="P56" s="36" t="s">
        <v>695</v>
      </c>
    </row>
    <row r="57" spans="1:16" ht="15" customHeight="1" x14ac:dyDescent="0.25">
      <c r="A57" s="2" t="s">
        <v>696</v>
      </c>
      <c r="B57" s="2" t="s">
        <v>697</v>
      </c>
      <c r="C57" s="36" t="s">
        <v>114</v>
      </c>
      <c r="J57" s="55">
        <f>J44/Inputs!C67</f>
        <v>0.81345123057001589</v>
      </c>
      <c r="P57" s="36" t="s">
        <v>698</v>
      </c>
    </row>
    <row r="58" spans="1:16" ht="15" customHeight="1" x14ac:dyDescent="0.25">
      <c r="A58" s="2" t="s">
        <v>699</v>
      </c>
      <c r="B58" s="2" t="s">
        <v>700</v>
      </c>
      <c r="C58" s="36" t="s">
        <v>114</v>
      </c>
      <c r="J58" s="55">
        <f>(7905900+Inputs!C64+50841)/Inputs!C67</f>
        <v>1.2643941497795428</v>
      </c>
    </row>
    <row r="60" spans="1:16" ht="15" customHeight="1" x14ac:dyDescent="0.25">
      <c r="B60" s="3" t="s">
        <v>701</v>
      </c>
    </row>
    <row r="61" spans="1:16" ht="15" customHeight="1" x14ac:dyDescent="0.25">
      <c r="D61" s="37">
        <v>2.5000000000000001E-2</v>
      </c>
      <c r="E61" s="37">
        <v>0.03</v>
      </c>
      <c r="F61" s="37">
        <v>3.5000000000000003E-2</v>
      </c>
    </row>
    <row r="62" spans="1:16" ht="15" customHeight="1" x14ac:dyDescent="0.25">
      <c r="C62" s="37">
        <v>0.09</v>
      </c>
      <c r="D62" s="47">
        <f t="shared" ref="D62:F66" si="11">(SUMPRODUCT($J$28:$O$28,1/(1+$C62)^$J$32:$O$32)+$O$28*(1+D$61)/($C62-D$61)/(1+$C62)^5.5+$J$45+$J$46)/$J$48</f>
        <v>2388.0325641073109</v>
      </c>
      <c r="E62" s="47">
        <f t="shared" si="11"/>
        <v>2585.4691251237437</v>
      </c>
      <c r="F62" s="47">
        <f t="shared" si="11"/>
        <v>2818.8032426886184</v>
      </c>
    </row>
    <row r="63" spans="1:16" ht="15" customHeight="1" x14ac:dyDescent="0.25">
      <c r="C63" s="37">
        <v>9.5000000000000001E-2</v>
      </c>
      <c r="D63" s="47">
        <f t="shared" si="11"/>
        <v>2167.197476401227</v>
      </c>
      <c r="E63" s="47">
        <f t="shared" si="11"/>
        <v>2332.979139694371</v>
      </c>
      <c r="F63" s="47">
        <f t="shared" si="11"/>
        <v>2526.3910802030382</v>
      </c>
    </row>
    <row r="64" spans="1:16" ht="15" customHeight="1" x14ac:dyDescent="0.25">
      <c r="C64" s="37">
        <v>0.1003</v>
      </c>
      <c r="D64" s="47">
        <f t="shared" si="11"/>
        <v>1965.4053892725824</v>
      </c>
      <c r="E64" s="47">
        <f t="shared" si="11"/>
        <v>2104.8369587821953</v>
      </c>
      <c r="F64" s="47">
        <f t="shared" si="11"/>
        <v>2265.6209891661747</v>
      </c>
    </row>
    <row r="65" spans="2:6" ht="15" customHeight="1" x14ac:dyDescent="0.25">
      <c r="C65" s="37">
        <v>0.105</v>
      </c>
      <c r="D65" s="47">
        <f t="shared" si="11"/>
        <v>1809.039037262266</v>
      </c>
      <c r="E65" s="47">
        <f t="shared" si="11"/>
        <v>1929.7175430161615</v>
      </c>
      <c r="F65" s="47">
        <f t="shared" si="11"/>
        <v>2067.6358353063279</v>
      </c>
    </row>
    <row r="66" spans="2:6" ht="15" customHeight="1" x14ac:dyDescent="0.25">
      <c r="C66" s="37">
        <v>0.11</v>
      </c>
      <c r="D66" s="47">
        <f t="shared" si="11"/>
        <v>1661.8736461989054</v>
      </c>
      <c r="E66" s="47">
        <f t="shared" si="11"/>
        <v>1766.2132319890984</v>
      </c>
      <c r="F66" s="47">
        <f t="shared" si="11"/>
        <v>1884.4647625513171</v>
      </c>
    </row>
    <row r="68" spans="2:6" ht="15" customHeight="1" x14ac:dyDescent="0.25">
      <c r="B68" s="3" t="s">
        <v>702</v>
      </c>
    </row>
    <row r="69" spans="2:6" ht="15" customHeight="1" x14ac:dyDescent="0.25">
      <c r="D69" s="24">
        <v>0.16800000000000001</v>
      </c>
      <c r="E69" s="24">
        <v>0.22</v>
      </c>
      <c r="F69" s="24">
        <v>0.27</v>
      </c>
    </row>
    <row r="70" spans="2:6" ht="15" customHeight="1" x14ac:dyDescent="0.25">
      <c r="C70" s="37">
        <v>0.09</v>
      </c>
      <c r="D70" s="47">
        <f>(SUMPRODUCT($J$28:$O$28,1/(1+$C70)^$J$32:$O$32)+((O$19*(1-D$69)+O$11+O$26)*(1+$J$37))/($C70-$J$37)/(1+$C70)^5.5+$J$45+$J$46)/$J$48</f>
        <v>2955.0843791889129</v>
      </c>
      <c r="E70" s="47">
        <f>(SUMPRODUCT($J$28:$O$28,1/(1+$C70)^$J$32:$O$32)+((O$19*(1-E$69)+O$11+O$26)*(1+$J$37))/($C70-$J$37)/(1+$C70)^5.5+$J$45+$J$46)/$J$48</f>
        <v>2766.6530731949056</v>
      </c>
      <c r="F70" s="47">
        <f>(SUMPRODUCT($J$28:$O$28,1/(1+$C70)^$J$32:$O$32)+((O$19*(1-F$69)+O$11+O$26)*(1+$J$37))/($C70-$J$37)/(1+$C70)^5.5+$J$45+$J$46)/$J$48</f>
        <v>2585.4691251237437</v>
      </c>
    </row>
    <row r="71" spans="2:6" ht="15" customHeight="1" x14ac:dyDescent="0.25">
      <c r="C71" s="37">
        <v>9.5000000000000001E-2</v>
      </c>
      <c r="D71" s="47">
        <f>(SUMPRODUCT($J$28:$O$28,1/(1+$C71)^$J$32:$O$32)+((O$19*(1-D$69)+O$11+O$26)*(1+$J$37))/($C71-$J$37)/(1+$C71)^5.5+$J$45+$J$46)/$J$48</f>
        <v>2665.6814856995916</v>
      </c>
      <c r="E71" s="47">
        <f>(SUMPRODUCT($J$28:$O$28,1/(1+$C71)^$J$32:$O$32)+((O$19*(1-E$69)+O$11+O$26)*(1+$J$37))/($C71-$J$37)/(1+$C71)^5.5+$J$45+$J$46)/$J$48</f>
        <v>2496.0685249910475</v>
      </c>
      <c r="F71" s="47">
        <f>(SUMPRODUCT($J$28:$O$28,1/(1+$C71)^$J$32:$O$32)+((O$19*(1-F$69)+O$11+O$26)*(1+$J$37))/($C71-$J$37)/(1+$C71)^5.5+$J$45+$J$46)/$J$48</f>
        <v>2332.979139694371</v>
      </c>
    </row>
    <row r="72" spans="2:6" ht="15" customHeight="1" x14ac:dyDescent="0.25">
      <c r="C72" s="37">
        <v>0.1003</v>
      </c>
      <c r="D72" s="47">
        <f>(SUMPRODUCT($J$28:$O$28,1/(1+$C72)^$J$32:$O$32)+((O$19*(1-D$69)+O$11+O$26)*(1+$J$37))/($C72-$J$37)/(1+$C72)^5.5+$J$45+$J$46)/$J$48</f>
        <v>2404.3946185303025</v>
      </c>
      <c r="E72" s="47">
        <f>(SUMPRODUCT($J$28:$O$28,1/(1+$C72)^$J$32:$O$32)+((O$19*(1-E$69)+O$11+O$26)*(1+$J$37))/($C72-$J$37)/(1+$C72)^5.5+$J$45+$J$46)/$J$48</f>
        <v>2251.678948854797</v>
      </c>
      <c r="F72" s="47">
        <f>(SUMPRODUCT($J$28:$O$28,1/(1+$C72)^$J$32:$O$32)+((O$19*(1-F$69)+O$11+O$26)*(1+$J$37))/($C72-$J$37)/(1+$C72)^5.5+$J$45+$J$46)/$J$48</f>
        <v>2104.8369587821953</v>
      </c>
    </row>
    <row r="73" spans="2:6" ht="15" customHeight="1" x14ac:dyDescent="0.25">
      <c r="C73" s="37">
        <v>0.105</v>
      </c>
      <c r="D73" s="47">
        <f>(SUMPRODUCT($J$28:$O$28,1/(1+$C73)^$J$32:$O$32)+((O$19*(1-D$69)+O$11+O$26)*(1+$J$37))/($C73-$J$37)/(1+$C73)^5.5+$J$45+$J$46)/$J$48</f>
        <v>2203.9968748706742</v>
      </c>
      <c r="E73" s="47">
        <f>(SUMPRODUCT($J$28:$O$28,1/(1+$C73)^$J$32:$O$32)+((O$19*(1-E$69)+O$11+O$26)*(1+$J$37))/($C73-$J$37)/(1+$C73)^5.5+$J$45+$J$46)/$J$48</f>
        <v>2064.1681958860208</v>
      </c>
      <c r="F73" s="47">
        <f>(SUMPRODUCT($J$28:$O$28,1/(1+$C73)^$J$32:$O$32)+((O$19*(1-F$69)+O$11+O$26)*(1+$J$37))/($C73-$J$37)/(1+$C73)^5.5+$J$45+$J$46)/$J$48</f>
        <v>1929.7175430161615</v>
      </c>
    </row>
    <row r="74" spans="2:6" ht="15" customHeight="1" x14ac:dyDescent="0.25">
      <c r="C74" s="37">
        <v>0.11</v>
      </c>
      <c r="D74" s="47">
        <f>(SUMPRODUCT($J$28:$O$28,1/(1+$C74)^$J$32:$O$32)+((O$19*(1-D$69)+O$11+O$26)*(1+$J$37))/($C74-$J$37)/(1+$C74)^5.5+$J$45+$J$46)/$J$48</f>
        <v>2017.0438250767859</v>
      </c>
      <c r="E74" s="47">
        <f>(SUMPRODUCT($J$28:$O$28,1/(1+$C74)^$J$32:$O$32)+((O$19*(1-E$69)+O$11+O$26)*(1+$J$37))/($C74-$J$37)/(1+$C74)^5.5+$J$45+$J$46)/$J$48</f>
        <v>1889.1694050712983</v>
      </c>
      <c r="F74" s="47">
        <f>(SUMPRODUCT($J$28:$O$28,1/(1+$C74)^$J$32:$O$32)+((O$19*(1-F$69)+O$11+O$26)*(1+$J$37))/($C74-$J$37)/(1+$C74)^5.5+$J$45+$J$46)/$J$48</f>
        <v>1766.2132319890984</v>
      </c>
    </row>
    <row r="76" spans="2:6" ht="15" customHeight="1" x14ac:dyDescent="0.25">
      <c r="B76" s="3" t="s">
        <v>703</v>
      </c>
    </row>
    <row r="77" spans="2:6" ht="15" customHeight="1" x14ac:dyDescent="0.25">
      <c r="B77" s="27" t="s">
        <v>704</v>
      </c>
      <c r="D77" s="2" t="s">
        <v>705</v>
      </c>
    </row>
    <row r="78" spans="2:6" ht="15" customHeight="1" x14ac:dyDescent="0.25">
      <c r="B78" s="27" t="s">
        <v>706</v>
      </c>
      <c r="D78" s="2" t="s">
        <v>707</v>
      </c>
    </row>
    <row r="79" spans="2:6" ht="15" customHeight="1" x14ac:dyDescent="0.25">
      <c r="B79" s="27" t="s">
        <v>708</v>
      </c>
      <c r="D79" s="2" t="s">
        <v>709</v>
      </c>
    </row>
    <row r="80" spans="2:6" ht="15" customHeight="1" x14ac:dyDescent="0.25">
      <c r="B80" s="27" t="s">
        <v>710</v>
      </c>
      <c r="D80" s="2" t="s">
        <v>711</v>
      </c>
    </row>
    <row r="81" spans="2:4" ht="15" customHeight="1" x14ac:dyDescent="0.25">
      <c r="B81" s="27" t="s">
        <v>712</v>
      </c>
      <c r="D81" s="2" t="s">
        <v>713</v>
      </c>
    </row>
    <row r="82" spans="2:4" ht="15" customHeight="1" x14ac:dyDescent="0.25">
      <c r="B82" s="27" t="s">
        <v>714</v>
      </c>
      <c r="D82" s="2" t="s">
        <v>715</v>
      </c>
    </row>
    <row r="83" spans="2:4" ht="15" customHeight="1" x14ac:dyDescent="0.25">
      <c r="B83" s="27" t="s">
        <v>716</v>
      </c>
      <c r="D83" s="2" t="s">
        <v>717</v>
      </c>
    </row>
    <row r="84" spans="2:4" ht="15" customHeight="1" x14ac:dyDescent="0.25">
      <c r="B84" s="27" t="s">
        <v>718</v>
      </c>
      <c r="D84" s="2" t="s">
        <v>719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62" customWidth="1"/>
    <col min="2" max="6" width="13" customWidth="1"/>
    <col min="7" max="7" width="58" customWidth="1"/>
  </cols>
  <sheetData>
    <row r="1" spans="1:7" ht="15" customHeight="1" x14ac:dyDescent="0.25">
      <c r="A1" s="1" t="s">
        <v>720</v>
      </c>
    </row>
    <row r="2" spans="1:7" ht="15" customHeight="1" x14ac:dyDescent="0.25">
      <c r="A2" s="12" t="s">
        <v>721</v>
      </c>
    </row>
    <row r="4" spans="1:7" ht="15" customHeight="1" x14ac:dyDescent="0.25">
      <c r="A4" s="3" t="s">
        <v>722</v>
      </c>
      <c r="B4" s="3" t="s">
        <v>723</v>
      </c>
      <c r="C4" s="3" t="s">
        <v>724</v>
      </c>
      <c r="D4" s="3" t="s">
        <v>725</v>
      </c>
      <c r="E4" s="3" t="s">
        <v>726</v>
      </c>
      <c r="F4" s="3" t="s">
        <v>727</v>
      </c>
      <c r="G4" s="3" t="s">
        <v>728</v>
      </c>
    </row>
    <row r="5" spans="1:7" ht="15" customHeight="1" x14ac:dyDescent="0.25">
      <c r="A5" s="2" t="s">
        <v>729</v>
      </c>
      <c r="C5" s="4">
        <v>243119.54300000001</v>
      </c>
      <c r="D5" s="4">
        <v>264312.60700000002</v>
      </c>
      <c r="E5" s="4">
        <v>316775.71100000001</v>
      </c>
      <c r="F5" s="4">
        <v>383792.58199999999</v>
      </c>
      <c r="G5" s="2" t="s">
        <v>730</v>
      </c>
    </row>
    <row r="6" spans="1:7" ht="15" customHeight="1" x14ac:dyDescent="0.25">
      <c r="A6" s="2" t="s">
        <v>35</v>
      </c>
      <c r="C6" s="4">
        <v>170697</v>
      </c>
      <c r="D6" s="4">
        <v>188159</v>
      </c>
      <c r="E6" s="4">
        <v>227727</v>
      </c>
      <c r="F6" s="4">
        <v>272233</v>
      </c>
      <c r="G6" s="2" t="s">
        <v>731</v>
      </c>
    </row>
    <row r="7" spans="1:7" ht="15" customHeight="1" x14ac:dyDescent="0.25">
      <c r="A7" s="2" t="s">
        <v>732</v>
      </c>
      <c r="C7" s="4">
        <v>271632.10800000001</v>
      </c>
      <c r="D7" s="4">
        <v>228661.95600000001</v>
      </c>
      <c r="E7" s="4">
        <v>271106.28700000001</v>
      </c>
      <c r="F7" s="4">
        <v>328348.13099999999</v>
      </c>
      <c r="G7" s="2" t="s">
        <v>733</v>
      </c>
    </row>
    <row r="8" spans="1:7" ht="15" customHeight="1" x14ac:dyDescent="0.25">
      <c r="A8" s="2" t="s">
        <v>734</v>
      </c>
      <c r="C8" s="4">
        <v>5128.3770000000004</v>
      </c>
      <c r="D8" s="4">
        <v>5280.9369999999999</v>
      </c>
      <c r="E8" s="4">
        <v>6518.9059999999999</v>
      </c>
      <c r="F8" s="4">
        <v>4739.59</v>
      </c>
      <c r="G8" s="2" t="s">
        <v>735</v>
      </c>
    </row>
    <row r="9" spans="1:7" ht="15" customHeight="1" x14ac:dyDescent="0.25">
      <c r="A9" s="2" t="s">
        <v>736</v>
      </c>
      <c r="C9" s="4">
        <v>101031.63499999999</v>
      </c>
      <c r="D9" s="4">
        <v>112345.334</v>
      </c>
      <c r="E9" s="4">
        <v>120571.308</v>
      </c>
      <c r="F9" s="4">
        <v>149972.70300000001</v>
      </c>
      <c r="G9" s="2" t="s">
        <v>737</v>
      </c>
    </row>
    <row r="10" spans="1:7" ht="15" customHeight="1" x14ac:dyDescent="0.25">
      <c r="A10" s="2" t="s">
        <v>738</v>
      </c>
      <c r="C10" s="4">
        <v>137551.973</v>
      </c>
      <c r="D10" s="4">
        <v>129114.886</v>
      </c>
      <c r="E10" s="4">
        <v>149541.579</v>
      </c>
      <c r="F10" s="4">
        <v>213796.304</v>
      </c>
      <c r="G10" s="2" t="s">
        <v>739</v>
      </c>
    </row>
    <row r="11" spans="1:7" ht="15" customHeight="1" x14ac:dyDescent="0.25">
      <c r="A11" s="2" t="s">
        <v>161</v>
      </c>
      <c r="B11" s="4">
        <v>2183835.773</v>
      </c>
      <c r="C11" s="4">
        <v>2341871.5460000001</v>
      </c>
      <c r="D11" s="4">
        <v>2750846.2540000002</v>
      </c>
      <c r="E11" s="4">
        <v>3042457.0129999998</v>
      </c>
      <c r="F11" s="4">
        <v>3606680.82</v>
      </c>
      <c r="G11" s="2" t="s">
        <v>740</v>
      </c>
    </row>
    <row r="12" spans="1:7" ht="15" customHeight="1" x14ac:dyDescent="0.25">
      <c r="A12" s="2" t="s">
        <v>230</v>
      </c>
      <c r="B12" s="4">
        <v>1077424.5379999999</v>
      </c>
      <c r="C12" s="4">
        <v>1144928.8540000001</v>
      </c>
      <c r="D12" s="4">
        <v>1298911.3030000001</v>
      </c>
      <c r="E12" s="4">
        <v>1464457.7420000001</v>
      </c>
      <c r="F12" s="4">
        <v>1594521.872</v>
      </c>
      <c r="G12" s="2" t="s">
        <v>741</v>
      </c>
    </row>
    <row r="13" spans="1:7" ht="15" customHeight="1" x14ac:dyDescent="0.25">
      <c r="A13" s="2" t="s">
        <v>742</v>
      </c>
      <c r="C13" s="4">
        <v>116991.745</v>
      </c>
      <c r="D13" s="4">
        <v>167120.266</v>
      </c>
      <c r="E13" s="4">
        <v>187477.07699999999</v>
      </c>
      <c r="F13" s="4">
        <v>153323.02799999999</v>
      </c>
      <c r="G13" s="2" t="s">
        <v>743</v>
      </c>
    </row>
    <row r="14" spans="1:7" ht="15" customHeight="1" x14ac:dyDescent="0.25">
      <c r="A14" s="2" t="s">
        <v>744</v>
      </c>
      <c r="C14" s="4">
        <v>1034638.264</v>
      </c>
      <c r="D14" s="4">
        <v>1183607.719</v>
      </c>
      <c r="E14" s="4">
        <v>1394282.9580000001</v>
      </c>
      <c r="F14" s="4">
        <v>1547183.8959999999</v>
      </c>
      <c r="G14" s="2" t="s">
        <v>745</v>
      </c>
    </row>
    <row r="15" spans="1:7" ht="15" customHeight="1" x14ac:dyDescent="0.25">
      <c r="A15" s="2" t="s">
        <v>746</v>
      </c>
      <c r="C15" s="4">
        <v>243042.95</v>
      </c>
      <c r="D15" s="4">
        <v>319187.00300000003</v>
      </c>
      <c r="E15" s="4">
        <v>387091.46399999998</v>
      </c>
      <c r="F15" s="4">
        <v>153099.71400000001</v>
      </c>
      <c r="G15" s="2" t="s">
        <v>747</v>
      </c>
    </row>
    <row r="16" spans="1:7" ht="15" customHeight="1" x14ac:dyDescent="0.25">
      <c r="A16" s="2" t="s">
        <v>748</v>
      </c>
      <c r="C16" s="4">
        <v>2938210.602</v>
      </c>
      <c r="D16" s="4">
        <v>3482971.1469999999</v>
      </c>
      <c r="E16" s="4">
        <v>3930479.5260000001</v>
      </c>
      <c r="F16" s="4">
        <v>4284682.5949999997</v>
      </c>
      <c r="G16" s="2" t="s">
        <v>749</v>
      </c>
    </row>
    <row r="18" spans="1:7" ht="15" customHeight="1" x14ac:dyDescent="0.25">
      <c r="A18" s="3" t="s">
        <v>750</v>
      </c>
      <c r="B18" s="3" t="s">
        <v>723</v>
      </c>
      <c r="C18" s="3" t="s">
        <v>724</v>
      </c>
      <c r="D18" s="3" t="s">
        <v>725</v>
      </c>
      <c r="E18" s="3" t="s">
        <v>726</v>
      </c>
      <c r="F18" s="3" t="s">
        <v>727</v>
      </c>
      <c r="G18" s="3" t="s">
        <v>728</v>
      </c>
    </row>
    <row r="19" spans="1:7" ht="15" customHeight="1" x14ac:dyDescent="0.25">
      <c r="A19" s="2" t="s">
        <v>729</v>
      </c>
      <c r="C19" s="4">
        <v>286949.85499999998</v>
      </c>
      <c r="D19" s="4">
        <v>314784.929</v>
      </c>
      <c r="E19" s="4">
        <v>353183.70400000003</v>
      </c>
      <c r="F19" s="4">
        <v>377940.60499999998</v>
      </c>
      <c r="G19" s="2" t="s">
        <v>730</v>
      </c>
    </row>
    <row r="20" spans="1:7" ht="15" customHeight="1" x14ac:dyDescent="0.25">
      <c r="A20" s="2" t="s">
        <v>622</v>
      </c>
      <c r="C20" s="14">
        <v>0.9</v>
      </c>
      <c r="D20" s="14">
        <v>0.9</v>
      </c>
      <c r="E20" s="14">
        <v>0.90800000000000003</v>
      </c>
      <c r="F20" s="14">
        <v>0.90100000000000002</v>
      </c>
      <c r="G20" s="2" t="s">
        <v>751</v>
      </c>
    </row>
    <row r="21" spans="1:7" ht="15" customHeight="1" x14ac:dyDescent="0.25">
      <c r="A21" s="2" t="s">
        <v>752</v>
      </c>
      <c r="C21" s="4">
        <v>-29523.564999999999</v>
      </c>
      <c r="D21" s="4">
        <v>10515.477000000001</v>
      </c>
      <c r="E21" s="4">
        <v>-66670.134999999995</v>
      </c>
      <c r="F21" s="4">
        <v>-96648.525999999998</v>
      </c>
      <c r="G21" s="2" t="s">
        <v>753</v>
      </c>
    </row>
    <row r="22" spans="1:7" ht="15" customHeight="1" x14ac:dyDescent="0.25">
      <c r="A22" s="2" t="s">
        <v>736</v>
      </c>
      <c r="C22" s="4">
        <v>181875.546</v>
      </c>
      <c r="D22" s="4">
        <v>187329.71100000001</v>
      </c>
      <c r="E22" s="4">
        <v>266953.08299999998</v>
      </c>
      <c r="F22" s="4">
        <v>303966.19199999998</v>
      </c>
      <c r="G22" s="2" t="s">
        <v>737</v>
      </c>
    </row>
    <row r="23" spans="1:7" ht="15" customHeight="1" x14ac:dyDescent="0.25">
      <c r="A23" s="2" t="s">
        <v>161</v>
      </c>
      <c r="B23" s="4">
        <v>3794629.247</v>
      </c>
      <c r="C23" s="4">
        <v>3871649.1230000001</v>
      </c>
      <c r="D23" s="4">
        <v>3955476.2609999999</v>
      </c>
      <c r="E23" s="4">
        <v>4122201.7960000001</v>
      </c>
      <c r="F23" s="4">
        <v>4395015.5259999996</v>
      </c>
      <c r="G23" s="2" t="s">
        <v>754</v>
      </c>
    </row>
    <row r="24" spans="1:7" ht="15" customHeight="1" x14ac:dyDescent="0.25">
      <c r="A24" s="2" t="s">
        <v>230</v>
      </c>
      <c r="B24" s="4">
        <v>2663057.7039999999</v>
      </c>
      <c r="C24" s="4">
        <v>2679608.628</v>
      </c>
      <c r="D24" s="4">
        <v>2744754.8620000002</v>
      </c>
      <c r="E24" s="4">
        <v>2828031.7170000002</v>
      </c>
      <c r="F24" s="4">
        <v>2989170.608</v>
      </c>
      <c r="G24" s="2" t="s">
        <v>741</v>
      </c>
    </row>
    <row r="25" spans="1:7" ht="15" customHeight="1" x14ac:dyDescent="0.25">
      <c r="A25" s="2" t="s">
        <v>742</v>
      </c>
      <c r="C25" s="4">
        <v>3415.0140000000001</v>
      </c>
      <c r="D25" s="4">
        <v>3704.413</v>
      </c>
      <c r="E25" s="4">
        <v>2545.2649999999999</v>
      </c>
      <c r="F25" s="4">
        <v>2632.1419999999998</v>
      </c>
      <c r="G25" s="2" t="s">
        <v>743</v>
      </c>
    </row>
    <row r="26" spans="1:7" ht="15" customHeight="1" x14ac:dyDescent="0.25">
      <c r="A26" s="2" t="s">
        <v>744</v>
      </c>
      <c r="C26" s="4">
        <v>671134.62300000002</v>
      </c>
      <c r="D26" s="4">
        <v>702753.14399999997</v>
      </c>
      <c r="E26" s="4">
        <v>734811.853</v>
      </c>
      <c r="F26" s="4">
        <v>759521.58900000004</v>
      </c>
      <c r="G26" s="2" t="s">
        <v>745</v>
      </c>
    </row>
    <row r="27" spans="1:7" ht="15" customHeight="1" x14ac:dyDescent="0.25">
      <c r="A27" s="2" t="s">
        <v>746</v>
      </c>
      <c r="C27" s="4">
        <v>46100.451000000001</v>
      </c>
      <c r="D27" s="4">
        <v>52508.911</v>
      </c>
      <c r="E27" s="4">
        <v>115011.66</v>
      </c>
      <c r="F27" s="4">
        <v>44347.593000000001</v>
      </c>
      <c r="G27" s="2" t="s">
        <v>747</v>
      </c>
    </row>
    <row r="28" spans="1:7" ht="15" customHeight="1" x14ac:dyDescent="0.25">
      <c r="A28" s="2" t="s">
        <v>748</v>
      </c>
      <c r="C28" s="4">
        <v>4059976.2119999998</v>
      </c>
      <c r="D28" s="4">
        <v>4147695.594</v>
      </c>
      <c r="E28" s="4">
        <v>4291155.6789999995</v>
      </c>
      <c r="F28" s="4">
        <v>4501457.0769999996</v>
      </c>
      <c r="G28" s="2" t="s">
        <v>749</v>
      </c>
    </row>
    <row r="30" spans="1:7" ht="15" customHeight="1" x14ac:dyDescent="0.25">
      <c r="A30" s="2" t="s">
        <v>755</v>
      </c>
      <c r="B30" s="14">
        <v>0.27</v>
      </c>
    </row>
    <row r="32" spans="1:7" ht="15" customHeight="1" x14ac:dyDescent="0.25">
      <c r="A32" s="3" t="s">
        <v>756</v>
      </c>
      <c r="C32" s="3" t="s">
        <v>724</v>
      </c>
      <c r="D32" s="3" t="s">
        <v>725</v>
      </c>
      <c r="E32" s="3" t="s">
        <v>726</v>
      </c>
      <c r="F32" s="3" t="s">
        <v>727</v>
      </c>
    </row>
    <row r="33" spans="1:6" ht="15" customHeight="1" x14ac:dyDescent="0.25">
      <c r="A33" s="2" t="s">
        <v>757</v>
      </c>
      <c r="C33" s="46">
        <f>C6/C5</f>
        <v>0.7021113888816416</v>
      </c>
      <c r="D33" s="46">
        <f>D6/D5</f>
        <v>0.71188053470336354</v>
      </c>
      <c r="E33" s="46">
        <f>E6/E5</f>
        <v>0.71889034446836109</v>
      </c>
      <c r="F33" s="46">
        <f>F6/F5</f>
        <v>0.70932324585679463</v>
      </c>
    </row>
    <row r="34" spans="1:6" ht="15" customHeight="1" x14ac:dyDescent="0.25">
      <c r="A34" s="2" t="s">
        <v>758</v>
      </c>
      <c r="C34" s="47">
        <f>C7-(C6-C8)</f>
        <v>106063.48500000002</v>
      </c>
      <c r="D34" s="47">
        <f>D7-(D6-D8)</f>
        <v>45783.893000000011</v>
      </c>
      <c r="E34" s="47">
        <f>E7-(E6-E8)</f>
        <v>49898.192999999999</v>
      </c>
      <c r="F34" s="47">
        <f>F7-(F6-F8)</f>
        <v>60854.72100000002</v>
      </c>
    </row>
    <row r="35" spans="1:6" ht="15" customHeight="1" x14ac:dyDescent="0.25">
      <c r="A35" s="2" t="s">
        <v>759</v>
      </c>
      <c r="C35" s="46">
        <f>C9/C10</f>
        <v>0.73449789775098318</v>
      </c>
      <c r="D35" s="46">
        <f>D9/D10</f>
        <v>0.87011914334959028</v>
      </c>
      <c r="E35" s="46">
        <f>E9/E10</f>
        <v>0.80627280256282441</v>
      </c>
      <c r="F35" s="46">
        <f>F9/F10</f>
        <v>0.70147472240680087</v>
      </c>
    </row>
    <row r="36" spans="1:6" ht="15" customHeight="1" x14ac:dyDescent="0.25">
      <c r="A36" s="2" t="s">
        <v>760</v>
      </c>
      <c r="C36" s="47">
        <f>C9-C34*(1-$B$30)*C35</f>
        <v>44162.148064730638</v>
      </c>
      <c r="D36" s="47">
        <f>D9-D34*(1-$B$30)*D35</f>
        <v>83264.001517850411</v>
      </c>
      <c r="E36" s="47">
        <f>E9-E34*(1-$B$30)*E35</f>
        <v>91202.272183560592</v>
      </c>
      <c r="F36" s="47">
        <f>F9-F34*(1-$B$30)*F35</f>
        <v>118810.42757994862</v>
      </c>
    </row>
    <row r="37" spans="1:6" ht="15" customHeight="1" x14ac:dyDescent="0.25">
      <c r="A37" s="2" t="s">
        <v>761</v>
      </c>
      <c r="C37" s="47">
        <f>(B12+C12)/2</f>
        <v>1111176.696</v>
      </c>
      <c r="D37" s="47">
        <f>(C12+D12)/2</f>
        <v>1221920.0785000001</v>
      </c>
      <c r="E37" s="47">
        <f>(D12+E12)/2</f>
        <v>1381684.5225</v>
      </c>
      <c r="F37" s="47">
        <f>(E12+F12)/2</f>
        <v>1529489.807</v>
      </c>
    </row>
    <row r="38" spans="1:6" ht="15" customHeight="1" x14ac:dyDescent="0.25">
      <c r="A38" s="2" t="s">
        <v>762</v>
      </c>
      <c r="C38" s="46">
        <f>C9/C37</f>
        <v>9.0923104636456475E-2</v>
      </c>
      <c r="D38" s="46">
        <f>D9/D37</f>
        <v>9.1941638390877781E-2</v>
      </c>
      <c r="E38" s="46">
        <f>E9/E37</f>
        <v>8.7263992638377405E-2</v>
      </c>
      <c r="F38" s="46">
        <f>F9/F37</f>
        <v>9.8054071569239301E-2</v>
      </c>
    </row>
    <row r="39" spans="1:6" ht="15" customHeight="1" x14ac:dyDescent="0.25">
      <c r="A39" s="2" t="s">
        <v>763</v>
      </c>
      <c r="C39" s="46">
        <f>C36/C37</f>
        <v>3.9743587337373966E-2</v>
      </c>
      <c r="D39" s="46">
        <f>D36/D37</f>
        <v>6.8141937417104489E-2</v>
      </c>
      <c r="E39" s="46">
        <f>E36/E37</f>
        <v>6.6008029111117583E-2</v>
      </c>
      <c r="F39" s="46">
        <f>F36/F37</f>
        <v>7.7679777293179847E-2</v>
      </c>
    </row>
    <row r="40" spans="1:6" ht="15" customHeight="1" x14ac:dyDescent="0.25">
      <c r="A40" s="2" t="s">
        <v>764</v>
      </c>
      <c r="C40" s="46">
        <f>C34/B11</f>
        <v>4.8567518817725683E-2</v>
      </c>
      <c r="D40" s="46">
        <f>D34/C11</f>
        <v>1.9550129928432892E-2</v>
      </c>
      <c r="E40" s="46">
        <f>E34/D11</f>
        <v>1.8139215496846883E-2</v>
      </c>
      <c r="F40" s="46">
        <f>F34/E11</f>
        <v>2.0001834287214634E-2</v>
      </c>
    </row>
    <row r="41" spans="1:6" ht="15" customHeight="1" x14ac:dyDescent="0.25">
      <c r="A41" s="2" t="s">
        <v>765</v>
      </c>
      <c r="C41" s="51">
        <f>C6/C11</f>
        <v>7.2889138728192221E-2</v>
      </c>
      <c r="D41" s="51">
        <f>D6/D11</f>
        <v>6.8400405775640272E-2</v>
      </c>
      <c r="E41" s="51">
        <f>E6/E11</f>
        <v>7.4849701746632372E-2</v>
      </c>
      <c r="F41" s="51">
        <f>F6/F11</f>
        <v>7.5480202875285202E-2</v>
      </c>
    </row>
    <row r="42" spans="1:6" ht="15" customHeight="1" x14ac:dyDescent="0.25">
      <c r="A42" s="2" t="s">
        <v>766</v>
      </c>
      <c r="C42" s="46">
        <f>(C13+C14-C15)/C11</f>
        <v>0.38797476341172477</v>
      </c>
      <c r="D42" s="46">
        <f>(D13+D14-D15)/D11</f>
        <v>0.37499041631281221</v>
      </c>
      <c r="E42" s="46">
        <f>(E13+E14-E15)/E11</f>
        <v>0.39266571915243043</v>
      </c>
      <c r="F42" s="46">
        <f>(F13+F14-F15)/F11</f>
        <v>0.42903913243978159</v>
      </c>
    </row>
    <row r="43" spans="1:6" ht="15" customHeight="1" x14ac:dyDescent="0.25">
      <c r="A43" s="2" t="s">
        <v>767</v>
      </c>
      <c r="C43" s="56">
        <f>(C13+C14-C15)/C6</f>
        <v>5.3228062531854698</v>
      </c>
      <c r="D43" s="56">
        <f>(D13+D14-D15)/D6</f>
        <v>5.4822835049080831</v>
      </c>
      <c r="E43" s="56">
        <f>(E13+E14-E15)/E6</f>
        <v>5.2460558958753252</v>
      </c>
      <c r="F43" s="56">
        <f>(F13+F14-F15)/F6</f>
        <v>5.6841279712599135</v>
      </c>
    </row>
    <row r="44" spans="1:6" ht="15" customHeight="1" x14ac:dyDescent="0.25">
      <c r="A44" s="2" t="s">
        <v>768</v>
      </c>
      <c r="C44" s="56">
        <f>C16/C12</f>
        <v>2.5662822556483493</v>
      </c>
      <c r="D44" s="56">
        <f>D16/D12</f>
        <v>2.6814541831729675</v>
      </c>
      <c r="E44" s="56">
        <f>E16/E12</f>
        <v>2.6839146076227305</v>
      </c>
      <c r="F44" s="56">
        <f>F16/F12</f>
        <v>2.6871268875263192</v>
      </c>
    </row>
    <row r="46" spans="1:6" ht="15" customHeight="1" x14ac:dyDescent="0.25">
      <c r="A46" s="2" t="s">
        <v>769</v>
      </c>
      <c r="C46" s="47">
        <f>C19*C20</f>
        <v>258254.8695</v>
      </c>
      <c r="D46" s="47">
        <f>D19*D20</f>
        <v>283306.43609999999</v>
      </c>
      <c r="E46" s="47">
        <f>E19*E20</f>
        <v>320690.80323200003</v>
      </c>
      <c r="F46" s="47">
        <f>F19*F20</f>
        <v>340524.48510499997</v>
      </c>
    </row>
    <row r="47" spans="1:6" ht="15" customHeight="1" x14ac:dyDescent="0.25">
      <c r="A47" s="2" t="s">
        <v>770</v>
      </c>
      <c r="C47" s="47">
        <f>-C21</f>
        <v>29523.564999999999</v>
      </c>
      <c r="D47" s="47">
        <f>-D21</f>
        <v>-10515.477000000001</v>
      </c>
      <c r="E47" s="47">
        <f>-E21</f>
        <v>66670.134999999995</v>
      </c>
      <c r="F47" s="47">
        <f>-F21</f>
        <v>96648.525999999998</v>
      </c>
    </row>
    <row r="48" spans="1:6" ht="15" customHeight="1" x14ac:dyDescent="0.25">
      <c r="A48" s="2" t="s">
        <v>771</v>
      </c>
      <c r="C48" s="47">
        <f>C22-C47*(1-$B$30)</f>
        <v>160323.34354999999</v>
      </c>
      <c r="D48" s="47">
        <f>D22-D47*(1-$B$30)</f>
        <v>195006.00921000002</v>
      </c>
      <c r="E48" s="47">
        <f>E22-E47*(1-$B$30)</f>
        <v>218283.88444999998</v>
      </c>
      <c r="F48" s="47">
        <f>F22-F47*(1-$B$30)</f>
        <v>233412.76801999999</v>
      </c>
    </row>
    <row r="49" spans="1:6" ht="15" customHeight="1" x14ac:dyDescent="0.25">
      <c r="A49" s="2" t="s">
        <v>772</v>
      </c>
      <c r="C49" s="47">
        <f>(B24+C24)/2</f>
        <v>2671333.1660000002</v>
      </c>
      <c r="D49" s="47">
        <f>(C24+D24)/2</f>
        <v>2712181.7450000001</v>
      </c>
      <c r="E49" s="47">
        <f>(D24+E24)/2</f>
        <v>2786393.2895</v>
      </c>
      <c r="F49" s="47">
        <f>(E24+F24)/2</f>
        <v>2908601.1625000001</v>
      </c>
    </row>
    <row r="50" spans="1:6" ht="15" customHeight="1" x14ac:dyDescent="0.25">
      <c r="A50" s="2" t="s">
        <v>773</v>
      </c>
      <c r="C50" s="46">
        <f>C22/C49</f>
        <v>6.8084186695565471E-2</v>
      </c>
      <c r="D50" s="46">
        <f>D22/D49</f>
        <v>6.9069748495044159E-2</v>
      </c>
      <c r="E50" s="46">
        <f>E22/E49</f>
        <v>9.5805959627437584E-2</v>
      </c>
      <c r="F50" s="46">
        <f>F22/F49</f>
        <v>0.10450597212122924</v>
      </c>
    </row>
    <row r="51" spans="1:6" ht="15" customHeight="1" x14ac:dyDescent="0.25">
      <c r="A51" s="2" t="s">
        <v>774</v>
      </c>
      <c r="C51" s="46">
        <f>C48/C49</f>
        <v>6.0016229196175067E-2</v>
      </c>
      <c r="D51" s="46">
        <f>D48/D49</f>
        <v>7.1900052262168737E-2</v>
      </c>
      <c r="E51" s="46">
        <f>E48/E49</f>
        <v>7.8339222705050948E-2</v>
      </c>
      <c r="F51" s="46">
        <f>F48/F49</f>
        <v>8.0249148982453514E-2</v>
      </c>
    </row>
    <row r="52" spans="1:6" ht="15" customHeight="1" x14ac:dyDescent="0.25">
      <c r="A52" s="2" t="s">
        <v>775</v>
      </c>
      <c r="C52" s="46">
        <f>C47/B23</f>
        <v>7.7803556232380455E-3</v>
      </c>
      <c r="D52" s="46">
        <f>D47/C23</f>
        <v>-2.7160201417870066E-3</v>
      </c>
      <c r="E52" s="46">
        <f>E47/D23</f>
        <v>1.6855147294739383E-2</v>
      </c>
      <c r="F52" s="46">
        <f>F47/E23</f>
        <v>2.3445850247744638E-2</v>
      </c>
    </row>
    <row r="53" spans="1:6" ht="15" customHeight="1" x14ac:dyDescent="0.25">
      <c r="A53" s="2" t="s">
        <v>776</v>
      </c>
      <c r="C53" s="51">
        <f>C46/C23</f>
        <v>6.6704099802279523E-2</v>
      </c>
      <c r="D53" s="51">
        <f>D46/D23</f>
        <v>7.1623849419431521E-2</v>
      </c>
      <c r="E53" s="51">
        <f>E46/E23</f>
        <v>7.7795998134585265E-2</v>
      </c>
      <c r="F53" s="51">
        <f>F46/F23</f>
        <v>7.7479700149072919E-2</v>
      </c>
    </row>
    <row r="54" spans="1:6" ht="15" customHeight="1" x14ac:dyDescent="0.25">
      <c r="A54" s="2" t="s">
        <v>777</v>
      </c>
      <c r="C54" s="46">
        <f>(C25+C26-C27)/C23</f>
        <v>0.16232080078399191</v>
      </c>
      <c r="D54" s="46">
        <f>(D25+D26-D27)/D23</f>
        <v>0.16532741011436952</v>
      </c>
      <c r="E54" s="46">
        <f>(E25+E26-E27)/E23</f>
        <v>0.150974039796862</v>
      </c>
      <c r="F54" s="46">
        <f>(F25+F26-F27)/F23</f>
        <v>0.16332277639375969</v>
      </c>
    </row>
    <row r="55" spans="1:6" ht="15" customHeight="1" x14ac:dyDescent="0.25">
      <c r="A55" s="2" t="s">
        <v>778</v>
      </c>
      <c r="C55" s="56">
        <f>(C25+C26-C27)/C46</f>
        <v>2.4334456392505697</v>
      </c>
      <c r="D55" s="56">
        <f>(D25+D26-D27)/D46</f>
        <v>2.3082731723368708</v>
      </c>
      <c r="E55" s="56">
        <f>(E25+E26-E27)/E46</f>
        <v>1.9406401796616892</v>
      </c>
      <c r="F55" s="56">
        <f>(F25+F26-F27)/F46</f>
        <v>2.1079428041089794</v>
      </c>
    </row>
    <row r="56" spans="1:6" ht="15" customHeight="1" x14ac:dyDescent="0.25">
      <c r="A56" s="2" t="s">
        <v>779</v>
      </c>
      <c r="C56" s="56">
        <f>C28/C24</f>
        <v>1.5151377591399515</v>
      </c>
      <c r="D56" s="56">
        <f>D28/D24</f>
        <v>1.5111351659935597</v>
      </c>
      <c r="E56" s="56">
        <f>E28/E24</f>
        <v>1.5173647640529624</v>
      </c>
      <c r="F56" s="56">
        <f>F28/F24</f>
        <v>1.5059217647037695</v>
      </c>
    </row>
    <row r="58" spans="1:6" ht="15" customHeight="1" x14ac:dyDescent="0.25">
      <c r="A58" s="12" t="s">
        <v>780</v>
      </c>
    </row>
    <row r="59" spans="1:6" ht="15" customHeight="1" x14ac:dyDescent="0.25">
      <c r="A59" s="12" t="s">
        <v>781</v>
      </c>
    </row>
    <row r="60" spans="1:6" ht="15" customHeight="1" x14ac:dyDescent="0.25">
      <c r="A60" s="12" t="s">
        <v>782</v>
      </c>
    </row>
    <row r="61" spans="1:6" ht="15" customHeight="1" x14ac:dyDescent="0.25">
      <c r="A61" s="12" t="s">
        <v>783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46" customWidth="1"/>
    <col min="2" max="15" width="11" customWidth="1"/>
  </cols>
  <sheetData>
    <row r="1" spans="1:15" ht="15" customHeight="1" x14ac:dyDescent="0.25">
      <c r="A1" s="1" t="s">
        <v>784</v>
      </c>
    </row>
    <row r="2" spans="1:15" ht="15" customHeight="1" x14ac:dyDescent="0.25">
      <c r="A2" s="12" t="s">
        <v>785</v>
      </c>
    </row>
    <row r="4" spans="1:15" ht="15" customHeight="1" x14ac:dyDescent="0.25">
      <c r="A4" s="3" t="s">
        <v>786</v>
      </c>
      <c r="B4" s="57" t="s">
        <v>787</v>
      </c>
      <c r="C4" s="57" t="s">
        <v>788</v>
      </c>
      <c r="D4" s="57" t="s">
        <v>789</v>
      </c>
      <c r="E4" s="57" t="s">
        <v>585</v>
      </c>
      <c r="F4" s="57" t="s">
        <v>586</v>
      </c>
      <c r="G4" s="57" t="s">
        <v>587</v>
      </c>
      <c r="H4" s="57" t="s">
        <v>303</v>
      </c>
      <c r="I4" s="57" t="s">
        <v>191</v>
      </c>
      <c r="J4" s="57" t="s">
        <v>304</v>
      </c>
      <c r="K4" s="57" t="s">
        <v>305</v>
      </c>
      <c r="L4" s="57" t="s">
        <v>306</v>
      </c>
      <c r="M4" s="57" t="s">
        <v>307</v>
      </c>
      <c r="N4" s="57" t="s">
        <v>308</v>
      </c>
      <c r="O4" s="57" t="s">
        <v>309</v>
      </c>
    </row>
    <row r="5" spans="1:15" ht="15" customHeight="1" x14ac:dyDescent="0.25">
      <c r="A5" s="2" t="s">
        <v>729</v>
      </c>
      <c r="B5" s="20" t="str">
        <f>IF(Inputs!$C$90="","",Inputs!$C$90)</f>
        <v/>
      </c>
      <c r="C5" s="20" t="str">
        <f>IF(Inputs!$C$91="","",Inputs!$C$91)</f>
        <v/>
      </c>
      <c r="D5" s="20">
        <f>IF(Inputs!$C$80="","",Inputs!$C$80)</f>
        <v>276695</v>
      </c>
      <c r="E5" s="20">
        <f>IF(Inputs!$C$81="","",Inputs!$C$81)</f>
        <v>370899</v>
      </c>
      <c r="F5" s="20">
        <f>IF(Inputs!$C$4="","",Inputs!$C$4)</f>
        <v>419904</v>
      </c>
      <c r="G5" s="20">
        <f>IF(Inputs!$C$5="","",Inputs!$C$5)</f>
        <v>494605</v>
      </c>
      <c r="H5" s="20">
        <f>IF(Inputs!$C$6="","",Inputs!$C$6)</f>
        <v>653911</v>
      </c>
      <c r="I5" s="20">
        <f>IF(Inputs!$C$82="","",Inputs!$C$82)</f>
        <v>677333</v>
      </c>
      <c r="J5" s="20">
        <f>IF(Forecast_link!B5="","",Forecast_link!B5)</f>
        <v>703998.93502974394</v>
      </c>
      <c r="K5" s="20">
        <f>IF(Forecast_link!C5="","",Forecast_link!C5)</f>
        <v>767179.4231174899</v>
      </c>
      <c r="L5" s="20">
        <f>IF(Forecast_link!D5="","",Forecast_link!D5)</f>
        <v>820506.70251456369</v>
      </c>
      <c r="M5" s="20">
        <f>IF(Forecast_link!E5="","",Forecast_link!E5)</f>
        <v>866951.61134404899</v>
      </c>
      <c r="N5" s="20">
        <f>IF(Forecast_link!F5="","",Forecast_link!F5)</f>
        <v>904202.83057907701</v>
      </c>
      <c r="O5" s="20">
        <f>IF(Forecast_link!G5="","",Forecast_link!G5)</f>
        <v>939524.47470748459</v>
      </c>
    </row>
    <row r="6" spans="1:15" ht="15" customHeight="1" x14ac:dyDescent="0.25">
      <c r="A6" s="2" t="s">
        <v>540</v>
      </c>
      <c r="B6" s="20" t="str">
        <f>IF(Inputs!$C$92="","",Inputs!$C$92)</f>
        <v/>
      </c>
      <c r="C6" s="20">
        <f>IF(Inputs!$C$75="","",Inputs!$C$75)</f>
        <v>116114</v>
      </c>
      <c r="D6" s="20">
        <f>IF(Inputs!$C$76="","",Inputs!$C$76)</f>
        <v>208621</v>
      </c>
      <c r="E6" s="20">
        <f>IF(Inputs!$C$77="","",Inputs!$C$77)</f>
        <v>282699</v>
      </c>
      <c r="F6" s="20">
        <f>IF(Inputs!$C$78="","",Inputs!$C$78)</f>
        <v>322185</v>
      </c>
      <c r="G6" s="20">
        <f>IF(Inputs!$C$9="","",Inputs!$C$9)</f>
        <v>380637</v>
      </c>
      <c r="H6" s="20">
        <f>IF(Inputs!$C$10="","",Inputs!$C$10)</f>
        <v>526228</v>
      </c>
      <c r="I6" s="20">
        <f>IF(Inputs!$C$79="","",Inputs!$C$79)</f>
        <v>544935</v>
      </c>
      <c r="J6" s="20">
        <f>IF(Forecast_link!B6="","",Forecast_link!B6)</f>
        <v>561315.40502749546</v>
      </c>
      <c r="K6" s="20">
        <f>IF(Forecast_link!C6="","",Forecast_link!C6)</f>
        <v>611360.36024671874</v>
      </c>
      <c r="L6" s="20">
        <f>IF(Forecast_link!D6="","",Forecast_link!D6)</f>
        <v>654236.22558363678</v>
      </c>
      <c r="M6" s="20">
        <f>IF(Forecast_link!E6="","",Forecast_link!E6)</f>
        <v>691459.84266888211</v>
      </c>
      <c r="N6" s="20">
        <f>IF(Forecast_link!F6="","",Forecast_link!F6)</f>
        <v>721124.37189562374</v>
      </c>
      <c r="O6" s="20">
        <f>IF(Forecast_link!G6="","",Forecast_link!G6)</f>
        <v>749208.57920213242</v>
      </c>
    </row>
    <row r="7" spans="1:15" ht="15" customHeight="1" x14ac:dyDescent="0.25">
      <c r="A7" s="2" t="s">
        <v>595</v>
      </c>
      <c r="C7" s="46" t="str">
        <f t="shared" ref="C7:H7" si="0">IF(OR(C5="",B5=""),"",C5/B5-1)</f>
        <v/>
      </c>
      <c r="D7" s="46" t="str">
        <f t="shared" si="0"/>
        <v/>
      </c>
      <c r="E7" s="46">
        <f t="shared" si="0"/>
        <v>0.34046151900106625</v>
      </c>
      <c r="F7" s="46">
        <f t="shared" si="0"/>
        <v>0.13212491810438953</v>
      </c>
      <c r="G7" s="46">
        <f t="shared" si="0"/>
        <v>0.17790018670934304</v>
      </c>
      <c r="H7" s="46">
        <f t="shared" si="0"/>
        <v>0.32208732220660941</v>
      </c>
      <c r="J7" s="46">
        <f>IF(OR(J5="",H5=""),"",J5/H5-1)</f>
        <v>7.6597480436548571E-2</v>
      </c>
      <c r="K7" s="46">
        <f>IF(OR(K5="",J5=""),"",K5/J5-1)</f>
        <v>8.9745147249514767E-2</v>
      </c>
      <c r="L7" s="46">
        <f>IF(OR(L5="",K5=""),"",L5/K5-1)</f>
        <v>6.951083122169055E-2</v>
      </c>
      <c r="M7" s="46">
        <f>IF(OR(M5="",L5=""),"",M5/L5-1)</f>
        <v>5.6605154701537597E-2</v>
      </c>
      <c r="N7" s="46">
        <f>IF(OR(N5="",M5=""),"",N5/M5-1)</f>
        <v>4.2968048905609457E-2</v>
      </c>
      <c r="O7" s="46">
        <f>IF(OR(O5="",N5=""),"",O5/N5-1)</f>
        <v>3.9063850425890223E-2</v>
      </c>
    </row>
    <row r="8" spans="1:15" ht="15" customHeight="1" x14ac:dyDescent="0.25">
      <c r="A8" s="27" t="s">
        <v>790</v>
      </c>
      <c r="B8" s="58" t="str">
        <f t="shared" ref="B8:O8" si="1">IF(OR(B5="",B6=""),"",B6/B5)</f>
        <v/>
      </c>
      <c r="C8" s="58" t="str">
        <f t="shared" si="1"/>
        <v/>
      </c>
      <c r="D8" s="58">
        <f t="shared" si="1"/>
        <v>0.75397459296337122</v>
      </c>
      <c r="E8" s="58">
        <f t="shared" si="1"/>
        <v>0.76219941277814174</v>
      </c>
      <c r="F8" s="58">
        <f t="shared" si="1"/>
        <v>0.76728252171925015</v>
      </c>
      <c r="G8" s="58">
        <f t="shared" si="1"/>
        <v>0.76957774385620847</v>
      </c>
      <c r="H8" s="58">
        <f t="shared" si="1"/>
        <v>0.8047394828959904</v>
      </c>
      <c r="I8" s="58">
        <f t="shared" si="1"/>
        <v>0.80453041561536198</v>
      </c>
      <c r="J8" s="58">
        <f t="shared" si="1"/>
        <v>0.79732422465068065</v>
      </c>
      <c r="K8" s="58">
        <f t="shared" si="1"/>
        <v>0.79689358424449275</v>
      </c>
      <c r="L8" s="58">
        <f t="shared" si="1"/>
        <v>0.7973563452664475</v>
      </c>
      <c r="M8" s="58">
        <f t="shared" si="1"/>
        <v>0.79757605109805474</v>
      </c>
      <c r="N8" s="58">
        <f t="shared" si="1"/>
        <v>0.79752501043797364</v>
      </c>
      <c r="O8" s="58">
        <f t="shared" si="1"/>
        <v>0.79743380760293026</v>
      </c>
    </row>
    <row r="9" spans="1:15" ht="15" customHeight="1" x14ac:dyDescent="0.25">
      <c r="A9" s="2" t="s">
        <v>511</v>
      </c>
      <c r="E9" s="20">
        <f>IF(Inputs!$C$83="","",Inputs!$C$83)</f>
        <v>218931</v>
      </c>
      <c r="F9" s="20">
        <f>IF(Inputs!$C$84="","",Inputs!$C$84)</f>
        <v>257227</v>
      </c>
      <c r="G9" s="20">
        <f>IF(Inputs!$C$85="","",Inputs!$C$85)</f>
        <v>303195</v>
      </c>
      <c r="H9" s="20">
        <f>IF(Inputs!$C$20="","",Inputs!$C$20)</f>
        <v>405300</v>
      </c>
      <c r="I9" s="20">
        <f>IF(Inputs!$C$86="","",Inputs!$C$86)</f>
        <v>419907</v>
      </c>
      <c r="J9" s="20">
        <f>IF(Forecast_link!B7="","",Forecast_link!B7)</f>
        <v>428521.00973231246</v>
      </c>
      <c r="K9" s="20">
        <f>IF(Forecast_link!C7="","",Forecast_link!C7)</f>
        <v>457958.35121200403</v>
      </c>
      <c r="L9" s="20">
        <f>IF(Forecast_link!D7="","",Forecast_link!D7)</f>
        <v>477801.31697069871</v>
      </c>
      <c r="M9" s="20">
        <f>IF(Forecast_link!E7="","",Forecast_link!E7)</f>
        <v>493497.00086224347</v>
      </c>
      <c r="N9" s="20">
        <f>IF(Forecast_link!F7="","",Forecast_link!F7)</f>
        <v>500775.23856673006</v>
      </c>
      <c r="O9" s="20">
        <f>IF(Forecast_link!G7="","",Forecast_link!G7)</f>
        <v>526471.51310468384</v>
      </c>
    </row>
    <row r="10" spans="1:15" ht="15" customHeight="1" x14ac:dyDescent="0.25">
      <c r="A10" s="2" t="s">
        <v>791</v>
      </c>
      <c r="E10" s="46">
        <f t="shared" ref="E10:O10" si="2">IF(OR(E5="",E9=""),"",E9/E5)</f>
        <v>0.59027120590780779</v>
      </c>
      <c r="F10" s="46">
        <f t="shared" si="2"/>
        <v>0.61258525758268556</v>
      </c>
      <c r="G10" s="46">
        <f t="shared" si="2"/>
        <v>0.61300431657585341</v>
      </c>
      <c r="H10" s="46">
        <f t="shared" si="2"/>
        <v>0.61980911775455683</v>
      </c>
      <c r="I10" s="46">
        <f t="shared" si="2"/>
        <v>0.61994174209731401</v>
      </c>
      <c r="J10" s="46">
        <f t="shared" si="2"/>
        <v>0.6086955368962419</v>
      </c>
      <c r="K10" s="46">
        <f t="shared" si="2"/>
        <v>0.59693774026297086</v>
      </c>
      <c r="L10" s="46">
        <f t="shared" si="2"/>
        <v>0.58232469705171963</v>
      </c>
      <c r="M10" s="46">
        <f t="shared" si="2"/>
        <v>0.5692324628097376</v>
      </c>
      <c r="N10" s="46">
        <f t="shared" si="2"/>
        <v>0.55383064687601058</v>
      </c>
      <c r="O10" s="46">
        <f t="shared" si="2"/>
        <v>0.56035955132366044</v>
      </c>
    </row>
    <row r="11" spans="1:15" ht="15" customHeight="1" x14ac:dyDescent="0.25">
      <c r="A11" s="59" t="s">
        <v>792</v>
      </c>
    </row>
    <row r="13" spans="1:15" ht="15" customHeight="1" x14ac:dyDescent="0.25">
      <c r="A13" s="3" t="s">
        <v>793</v>
      </c>
      <c r="B13" s="57" t="s">
        <v>787</v>
      </c>
      <c r="C13" s="57" t="s">
        <v>788</v>
      </c>
      <c r="D13" s="57" t="s">
        <v>789</v>
      </c>
      <c r="E13" s="57" t="s">
        <v>585</v>
      </c>
      <c r="F13" s="57" t="s">
        <v>586</v>
      </c>
      <c r="G13" s="57" t="s">
        <v>587</v>
      </c>
      <c r="H13" s="57" t="s">
        <v>303</v>
      </c>
      <c r="I13" s="57" t="s">
        <v>191</v>
      </c>
      <c r="J13" s="57" t="s">
        <v>304</v>
      </c>
      <c r="K13" s="57" t="s">
        <v>305</v>
      </c>
      <c r="L13" s="57" t="s">
        <v>306</v>
      </c>
      <c r="M13" s="57" t="s">
        <v>307</v>
      </c>
      <c r="N13" s="57" t="s">
        <v>308</v>
      </c>
      <c r="O13" s="57" t="s">
        <v>309</v>
      </c>
    </row>
    <row r="14" spans="1:15" ht="15" customHeight="1" x14ac:dyDescent="0.25">
      <c r="A14" s="2" t="s">
        <v>794</v>
      </c>
      <c r="E14" s="20">
        <f>IF(Inputs!$C$87="","",Inputs!$C$87)</f>
        <v>157667</v>
      </c>
      <c r="F14" s="20">
        <f>IF(Inputs!$C$88="","",Inputs!$C$88)</f>
        <v>349759</v>
      </c>
      <c r="G14" s="20">
        <f>IF(Inputs!$C$12="","",Inputs!$C$12)</f>
        <v>335934</v>
      </c>
      <c r="H14" s="20">
        <f>IF(Inputs!$C$13="","",Inputs!$C$13)</f>
        <v>1431012</v>
      </c>
      <c r="J14" s="20">
        <f>IF(OR(J15="",Forecast_link!B9=""),"",J15+Forecast_link!B9)</f>
        <v>639155.1686879159</v>
      </c>
      <c r="K14" s="20">
        <f>IF(OR(K15="",Forecast_link!C9=""),"",K15+Forecast_link!C9)</f>
        <v>594186.5607973655</v>
      </c>
      <c r="L14" s="20">
        <f>IF(OR(L15="",Forecast_link!D9=""),"",L15+Forecast_link!D9)</f>
        <v>612250.30304115696</v>
      </c>
      <c r="M14" s="20">
        <f>IF(OR(M15="",Forecast_link!E9=""),"",M15+Forecast_link!E9)</f>
        <v>632245.90969980496</v>
      </c>
      <c r="N14" s="20">
        <f>IF(OR(N15="",Forecast_link!F9=""),"",N15+Forecast_link!F9)</f>
        <v>648745.65128609282</v>
      </c>
      <c r="O14" s="20">
        <f>IF(OR(O15="",Forecast_link!G9=""),"",O15+Forecast_link!G9)</f>
        <v>686244.50578004075</v>
      </c>
    </row>
    <row r="15" spans="1:15" ht="15" customHeight="1" x14ac:dyDescent="0.25">
      <c r="A15" s="2" t="s">
        <v>795</v>
      </c>
      <c r="E15" s="20">
        <f>IF(Inputs!$C$97="","",Inputs!$C$97)</f>
        <v>95856</v>
      </c>
      <c r="F15" s="20">
        <f>IF(Inputs!$C$89="","",Inputs!$C$89)</f>
        <v>197540</v>
      </c>
      <c r="G15" s="20">
        <f>IF(Inputs!$C$21="","",Inputs!$C$21)</f>
        <v>238305</v>
      </c>
      <c r="H15" s="20">
        <f>IF(Inputs!$C$22="","",Inputs!$C$22)</f>
        <v>369312</v>
      </c>
      <c r="J15" s="20">
        <f>IF(Forecast_link!B8="","",Forecast_link!B8)</f>
        <v>380038.81638231245</v>
      </c>
      <c r="K15" s="20">
        <f>IF(Forecast_link!C8="","",Forecast_link!C8)</f>
        <v>416735.05442163843</v>
      </c>
      <c r="L15" s="20">
        <f>IF(Forecast_link!D8="","",Forecast_link!D8)</f>
        <v>439848.73606669152</v>
      </c>
      <c r="M15" s="20">
        <f>IF(Forecast_link!E8="","",Forecast_link!E8)</f>
        <v>458557.1776636907</v>
      </c>
      <c r="N15" s="20">
        <f>IF(Forecast_link!F8="","",Forecast_link!F8)</f>
        <v>471537.05698291416</v>
      </c>
      <c r="O15" s="20">
        <f>IF(Forecast_link!G8="","",Forecast_link!G8)</f>
        <v>503018.65474722238</v>
      </c>
    </row>
    <row r="16" spans="1:15" ht="15" customHeight="1" x14ac:dyDescent="0.25">
      <c r="A16" s="2" t="s">
        <v>503</v>
      </c>
      <c r="E16" s="20">
        <f>IF(Inputs!$C$94="","",Inputs!$C$94)</f>
        <v>4513943</v>
      </c>
      <c r="F16" s="20">
        <f>IF(Inputs!$C$23="","",Inputs!$C$23)</f>
        <v>4796336</v>
      </c>
      <c r="G16" s="20">
        <f>IF(Inputs!$C$24="","",Inputs!$C$24)</f>
        <v>5915073</v>
      </c>
      <c r="H16" s="20">
        <f>IF(Inputs!$C$25="","",Inputs!$C$25)</f>
        <v>7583643</v>
      </c>
      <c r="J16" s="20">
        <f>IF(Forecast_link!B10="","",Forecast_link!B10)</f>
        <v>8206016.7612133184</v>
      </c>
      <c r="K16" s="20">
        <f>IF(Forecast_link!C10="","",Forecast_link!C10)</f>
        <v>8692539.201061815</v>
      </c>
      <c r="L16" s="20">
        <f>IF(Forecast_link!D10="","",Forecast_link!D10)</f>
        <v>9082899.912355125</v>
      </c>
      <c r="M16" s="20">
        <f>IF(Forecast_link!E10="","",Forecast_link!E10)</f>
        <v>9371231.3557757344</v>
      </c>
      <c r="N16" s="20">
        <f>IF(Forecast_link!F10="","",Forecast_link!F10)</f>
        <v>9666488.4536498059</v>
      </c>
      <c r="O16" s="20">
        <f>IF(Forecast_link!G10="","",Forecast_link!G10)</f>
        <v>9972025.2677806783</v>
      </c>
    </row>
    <row r="17" spans="1:15" ht="15" customHeight="1" x14ac:dyDescent="0.25">
      <c r="A17" s="2" t="s">
        <v>796</v>
      </c>
      <c r="E17" s="20">
        <f>IF(Inputs!$C$96="","",Inputs!$C$96)</f>
        <v>2263298</v>
      </c>
      <c r="F17" s="20">
        <f>IF(Inputs!$C$26="","",Inputs!$C$26)</f>
        <v>2601053</v>
      </c>
      <c r="G17" s="20">
        <f>IF(Inputs!$C$27="","",Inputs!$C$27)</f>
        <v>3157863</v>
      </c>
      <c r="H17" s="20">
        <f>IF(Inputs!$C$28="","",Inputs!$C$28)</f>
        <v>4482905</v>
      </c>
      <c r="J17" s="20">
        <f>IF(OR(H17="",J14=""),"",H17+J14-Inputs!$C$98*J15+N(Forecast_link!B11))</f>
        <v>4970044.6421349905</v>
      </c>
      <c r="K17" s="20">
        <f>IF(OR(J17="",K14=""),"",J17+K14-Inputs!$C$98*K15+N(Forecast_link!C11))</f>
        <v>5397537.1811637003</v>
      </c>
      <c r="L17" s="20">
        <f>IF(OR(K17="",L14=""),"",K17+L14-Inputs!$C$98*L15+N(Forecast_link!D11))</f>
        <v>5833847.9897781806</v>
      </c>
      <c r="M17" s="20">
        <f>IF(OR(L17="",M14=""),"",L17+M14-Inputs!$C$98*M15+N(Forecast_link!E11))</f>
        <v>6282671.0284125097</v>
      </c>
      <c r="N17" s="20">
        <f>IF(OR(M17="",N14=""),"",M17+N14-Inputs!$C$98*N15+N(Forecast_link!F11))</f>
        <v>6742801.8569054361</v>
      </c>
      <c r="O17" s="20">
        <f>IF(OR(N17="",O14=""),"",N17+O14-Inputs!$C$98*O15+N(Forecast_link!G11))</f>
        <v>7227838.900786588</v>
      </c>
    </row>
    <row r="18" spans="1:15" ht="15" customHeight="1" x14ac:dyDescent="0.25">
      <c r="A18" s="12" t="s">
        <v>797</v>
      </c>
      <c r="E18" s="20">
        <f>IF(Inputs!$C$93="","",Inputs!$C$93)</f>
        <v>4094996</v>
      </c>
    </row>
    <row r="19" spans="1:15" ht="15" customHeight="1" x14ac:dyDescent="0.25">
      <c r="A19" s="12" t="s">
        <v>798</v>
      </c>
      <c r="E19" s="20">
        <f>IF(Inputs!$C$95="","",Inputs!$C$95)</f>
        <v>2167172</v>
      </c>
    </row>
    <row r="20" spans="1:15" ht="15" customHeight="1" x14ac:dyDescent="0.25">
      <c r="A20" s="2" t="s">
        <v>799</v>
      </c>
      <c r="E20" s="47">
        <f>IF(OR(E16="",E18=""),"",(E16+E18)/2)</f>
        <v>4304469.5</v>
      </c>
      <c r="F20" s="47">
        <f t="shared" ref="F20:H21" si="3">IF(OR(F16="",E16=""),"",(F16+E16)/2)</f>
        <v>4655139.5</v>
      </c>
      <c r="G20" s="47">
        <f t="shared" si="3"/>
        <v>5355704.5</v>
      </c>
      <c r="H20" s="47">
        <f t="shared" si="3"/>
        <v>6749358</v>
      </c>
      <c r="J20" s="47">
        <f>IF(OR(J16="",H16=""),"",(J16+H16)/2)</f>
        <v>7894829.8806066588</v>
      </c>
      <c r="K20" s="47">
        <f t="shared" ref="K20:O21" si="4">IF(OR(K16="",J16=""),"",(K16+J16)/2)</f>
        <v>8449277.9811375663</v>
      </c>
      <c r="L20" s="47">
        <f t="shared" si="4"/>
        <v>8887719.55670847</v>
      </c>
      <c r="M20" s="47">
        <f t="shared" si="4"/>
        <v>9227065.6340654306</v>
      </c>
      <c r="N20" s="47">
        <f t="shared" si="4"/>
        <v>9518859.9047127701</v>
      </c>
      <c r="O20" s="47">
        <f t="shared" si="4"/>
        <v>9819256.8607152421</v>
      </c>
    </row>
    <row r="21" spans="1:15" ht="15" customHeight="1" x14ac:dyDescent="0.25">
      <c r="A21" s="2" t="s">
        <v>800</v>
      </c>
      <c r="E21" s="47">
        <f>IF(OR(E17="",E19=""),"",(E17+E19)/2)</f>
        <v>2215235</v>
      </c>
      <c r="F21" s="47">
        <f t="shared" si="3"/>
        <v>2432175.5</v>
      </c>
      <c r="G21" s="47">
        <f t="shared" si="3"/>
        <v>2879458</v>
      </c>
      <c r="H21" s="47">
        <f t="shared" si="3"/>
        <v>3820384</v>
      </c>
      <c r="J21" s="47">
        <f>IF(OR(J17="",H17=""),"",(J17+H17)/2)</f>
        <v>4726474.8210674953</v>
      </c>
      <c r="K21" s="47">
        <f t="shared" si="4"/>
        <v>5183790.9116493454</v>
      </c>
      <c r="L21" s="47">
        <f t="shared" si="4"/>
        <v>5615692.5854709409</v>
      </c>
      <c r="M21" s="47">
        <f t="shared" si="4"/>
        <v>6058259.5090953447</v>
      </c>
      <c r="N21" s="47">
        <f t="shared" si="4"/>
        <v>6512736.4426589729</v>
      </c>
      <c r="O21" s="47">
        <f t="shared" si="4"/>
        <v>6985320.3788460121</v>
      </c>
    </row>
    <row r="23" spans="1:15" ht="15" customHeight="1" x14ac:dyDescent="0.25">
      <c r="A23" s="2" t="s">
        <v>801</v>
      </c>
      <c r="B23" s="60" t="s">
        <v>802</v>
      </c>
      <c r="C23" s="60" t="s">
        <v>802</v>
      </c>
      <c r="D23" s="60" t="s">
        <v>802</v>
      </c>
      <c r="E23" s="46">
        <f>IF(OR(E14="",E5="",N(E5)=0),"",E14/E5)</f>
        <v>0.42509416310100595</v>
      </c>
      <c r="F23" s="46">
        <f>IF(OR(F14="",F5="",N(F5)=0),"",F14/F5)</f>
        <v>0.83294991236092064</v>
      </c>
      <c r="G23" s="46">
        <f>IF(OR(G14="",G5="",N(G5)=0),"",G14/G5)</f>
        <v>0.67919653056479412</v>
      </c>
      <c r="H23" s="46">
        <f>IF(OR(H14="",H5="",N(H5)=0),"",H14/H5)</f>
        <v>2.1883895514833061</v>
      </c>
      <c r="J23" s="46">
        <f t="shared" ref="J23:O23" si="5">IF(OR(J14="",J5="",N(J5)=0),"",J14/J5)</f>
        <v>0.90789223802009245</v>
      </c>
      <c r="K23" s="46">
        <f t="shared" si="5"/>
        <v>0.77450794806623569</v>
      </c>
      <c r="L23" s="46">
        <f t="shared" si="5"/>
        <v>0.7461856206229952</v>
      </c>
      <c r="M23" s="46">
        <f t="shared" si="5"/>
        <v>0.72927473855158309</v>
      </c>
      <c r="N23" s="46">
        <f t="shared" si="5"/>
        <v>0.71747801416482826</v>
      </c>
      <c r="O23" s="46">
        <f t="shared" si="5"/>
        <v>0.73041684836757337</v>
      </c>
    </row>
    <row r="24" spans="1:15" ht="15" customHeight="1" x14ac:dyDescent="0.25">
      <c r="A24" s="2" t="s">
        <v>803</v>
      </c>
      <c r="B24" s="60" t="s">
        <v>802</v>
      </c>
      <c r="C24" s="60" t="s">
        <v>802</v>
      </c>
      <c r="D24" s="60" t="s">
        <v>802</v>
      </c>
      <c r="E24" s="46">
        <f>IF(OR(E15="",E5="",N(E5)=0),"",E15/E5)</f>
        <v>0.25844232526914335</v>
      </c>
      <c r="F24" s="46">
        <f>IF(OR(F15="",F5="",N(F5)=0),"",F15/F5)</f>
        <v>0.47044086267337298</v>
      </c>
      <c r="G24" s="46">
        <f>IF(OR(G15="",G5="",N(G5)=0),"",G15/G5)</f>
        <v>0.48180871604613784</v>
      </c>
      <c r="H24" s="46">
        <f>IF(OR(H15="",H5="",N(H5)=0),"",H15/H5)</f>
        <v>0.56477410534461114</v>
      </c>
      <c r="J24" s="46">
        <f t="shared" ref="J24:O24" si="6">IF(OR(J15="",J5="",N(J5)=0),"",J15/J5)</f>
        <v>0.53982868080085356</v>
      </c>
      <c r="K24" s="46">
        <f t="shared" si="6"/>
        <v>0.54320416041426778</v>
      </c>
      <c r="L24" s="46">
        <f t="shared" si="6"/>
        <v>0.53606964418293024</v>
      </c>
      <c r="M24" s="46">
        <f t="shared" si="6"/>
        <v>0.52893053275808799</v>
      </c>
      <c r="N24" s="46">
        <f t="shared" si="6"/>
        <v>0.52149478085677803</v>
      </c>
      <c r="O24" s="46">
        <f t="shared" si="6"/>
        <v>0.53539707403985859</v>
      </c>
    </row>
    <row r="25" spans="1:15" ht="15" customHeight="1" x14ac:dyDescent="0.25">
      <c r="A25" s="2" t="s">
        <v>804</v>
      </c>
      <c r="B25" s="61" t="s">
        <v>802</v>
      </c>
      <c r="C25" s="61" t="s">
        <v>802</v>
      </c>
      <c r="D25" s="61" t="s">
        <v>802</v>
      </c>
      <c r="E25" s="62">
        <f>IF(OR(E5="",E20="",N(E20)=0),"",E5/E20)</f>
        <v>8.6166018832285834E-2</v>
      </c>
      <c r="F25" s="62">
        <f>IF(OR(F5="",F20="",N(F20)=0),"",F5/F20)</f>
        <v>9.020223776322922E-2</v>
      </c>
      <c r="G25" s="62">
        <f>IF(OR(G5="",G20="",N(G20)=0),"",G5/G20)</f>
        <v>9.2351062311223475E-2</v>
      </c>
      <c r="H25" s="62">
        <f>IF(OR(H5="",H20="",N(H20)=0),"",H5/H20)</f>
        <v>9.6884918535955572E-2</v>
      </c>
      <c r="J25" s="62">
        <f t="shared" ref="J25:O25" si="7">IF(OR(J5="",J20="",N(J20)=0),"",J5/J20)</f>
        <v>8.9172147554324108E-2</v>
      </c>
      <c r="K25" s="62">
        <f t="shared" si="7"/>
        <v>9.0798222620934635E-2</v>
      </c>
      <c r="L25" s="62">
        <f t="shared" si="7"/>
        <v>9.2319148604913331E-2</v>
      </c>
      <c r="M25" s="62">
        <f t="shared" si="7"/>
        <v>9.3957455785656036E-2</v>
      </c>
      <c r="N25" s="62">
        <f t="shared" si="7"/>
        <v>9.4990664809701406E-2</v>
      </c>
      <c r="O25" s="62">
        <f t="shared" si="7"/>
        <v>9.5681830920048769E-2</v>
      </c>
    </row>
    <row r="26" spans="1:15" ht="15" customHeight="1" x14ac:dyDescent="0.25">
      <c r="A26" s="2" t="s">
        <v>805</v>
      </c>
      <c r="B26" s="63" t="s">
        <v>802</v>
      </c>
      <c r="C26" s="63" t="s">
        <v>802</v>
      </c>
      <c r="D26" s="63" t="s">
        <v>802</v>
      </c>
      <c r="E26" s="64">
        <f>IF(OR(E20="",E21="",N(E21)=0),"",E20/E21)</f>
        <v>1.943120932993565</v>
      </c>
      <c r="F26" s="64">
        <f>IF(OR(F20="",F21="",N(F21)=0),"",F20/F21)</f>
        <v>1.9139817418603222</v>
      </c>
      <c r="G26" s="64">
        <f>IF(OR(G20="",G21="",N(G21)=0),"",G20/G21)</f>
        <v>1.8599696540112758</v>
      </c>
      <c r="H26" s="64">
        <f>IF(OR(H20="",H21="",N(H21)=0),"",H20/H21)</f>
        <v>1.7666700520157137</v>
      </c>
      <c r="J26" s="64">
        <f t="shared" ref="J26:O26" si="8">IF(OR(J20="",J21="",N(J21)=0),"",J20/J21)</f>
        <v>1.670342100505166</v>
      </c>
      <c r="K26" s="64">
        <f t="shared" si="8"/>
        <v>1.6299418948688325</v>
      </c>
      <c r="L26" s="64">
        <f t="shared" si="8"/>
        <v>1.5826577793277001</v>
      </c>
      <c r="M26" s="64">
        <f t="shared" si="8"/>
        <v>1.5230555277819835</v>
      </c>
      <c r="N26" s="64">
        <f t="shared" si="8"/>
        <v>1.4615760960881874</v>
      </c>
      <c r="O26" s="64">
        <f t="shared" si="8"/>
        <v>1.4056988553383147</v>
      </c>
    </row>
    <row r="27" spans="1:15" ht="15" customHeight="1" x14ac:dyDescent="0.25">
      <c r="A27" s="27" t="s">
        <v>806</v>
      </c>
      <c r="B27" s="60" t="s">
        <v>802</v>
      </c>
      <c r="C27" s="60" t="s">
        <v>802</v>
      </c>
      <c r="D27" s="60" t="s">
        <v>802</v>
      </c>
      <c r="E27" s="58">
        <f>IF(OR(E14="",E21="",N(E21)=0),"",E14/E21)</f>
        <v>7.1173938656621083E-2</v>
      </c>
      <c r="F27" s="58">
        <f>IF(OR(F14="",F21="",N(F21)=0),"",F14/F21)</f>
        <v>0.14380500091379098</v>
      </c>
      <c r="G27" s="58">
        <f>IF(OR(G14="",G21="",N(G21)=0),"",G14/G21)</f>
        <v>0.11666570583769584</v>
      </c>
      <c r="H27" s="58">
        <f>IF(OR(H14="",H21="",N(H21)=0),"",H14/H21)</f>
        <v>0.37457281781098445</v>
      </c>
      <c r="J27" s="58">
        <f t="shared" ref="J27:O27" si="9">IF(OR(J14="",J21="",N(J21)=0),"",J14/J21)</f>
        <v>0.1352287260346729</v>
      </c>
      <c r="K27" s="58">
        <f t="shared" si="9"/>
        <v>0.11462394431497451</v>
      </c>
      <c r="L27" s="58">
        <f t="shared" si="9"/>
        <v>0.10902489652392763</v>
      </c>
      <c r="M27" s="58">
        <f t="shared" si="9"/>
        <v>0.10436098168964301</v>
      </c>
      <c r="N27" s="58">
        <f t="shared" si="9"/>
        <v>9.9611838587042173E-2</v>
      </c>
      <c r="O27" s="58">
        <f t="shared" si="9"/>
        <v>9.824094938554695E-2</v>
      </c>
    </row>
    <row r="28" spans="1:15" ht="15" customHeight="1" x14ac:dyDescent="0.25">
      <c r="A28" s="27" t="s">
        <v>807</v>
      </c>
      <c r="B28" s="60" t="s">
        <v>802</v>
      </c>
      <c r="C28" s="60" t="s">
        <v>802</v>
      </c>
      <c r="D28" s="60" t="s">
        <v>802</v>
      </c>
      <c r="E28" s="58">
        <f>IF(OR(E15="",E21="",N(E21)=0),"",E15/E21)</f>
        <v>4.3271255645563562E-2</v>
      </c>
      <c r="F28" s="58">
        <f>IF(OR(F15="",F21="",N(F21)=0),"",F15/F21)</f>
        <v>8.121946792079765E-2</v>
      </c>
      <c r="G28" s="58">
        <f>IF(OR(G15="",G21="",N(G21)=0),"",G15/G21)</f>
        <v>8.2760366707901281E-2</v>
      </c>
      <c r="H28" s="58">
        <f>IF(OR(H15="",H21="",N(H21)=0),"",H15/H21)</f>
        <v>9.6668816537814006E-2</v>
      </c>
      <c r="J28" s="58">
        <f t="shared" ref="J28:O28" si="10">IF(OR(J15="",J21="",N(J21)=0),"",J15/J21)</f>
        <v>8.040639816557385E-2</v>
      </c>
      <c r="K28" s="58">
        <f t="shared" si="10"/>
        <v>8.0391948966368393E-2</v>
      </c>
      <c r="L28" s="58">
        <f t="shared" si="10"/>
        <v>7.8324931319189203E-2</v>
      </c>
      <c r="M28" s="58">
        <f t="shared" si="10"/>
        <v>7.5691240524651149E-2</v>
      </c>
      <c r="N28" s="58">
        <f t="shared" si="10"/>
        <v>7.2402293741584051E-2</v>
      </c>
      <c r="O28" s="58">
        <f t="shared" si="10"/>
        <v>7.2010820902436837E-2</v>
      </c>
    </row>
    <row r="29" spans="1:15" ht="15" customHeight="1" x14ac:dyDescent="0.25">
      <c r="A29" s="2" t="s">
        <v>808</v>
      </c>
      <c r="B29" s="60" t="s">
        <v>802</v>
      </c>
      <c r="C29" s="60" t="s">
        <v>802</v>
      </c>
      <c r="D29" s="60" t="s">
        <v>802</v>
      </c>
      <c r="E29" s="46">
        <f>IF(OR(E14="",E20="",N(E20)=0),"",E14/E20)</f>
        <v>3.6628671663256063E-2</v>
      </c>
      <c r="F29" s="46">
        <f>IF(OR(F14="",F20="",N(F20)=0),"",F14/F20)</f>
        <v>7.5133946039640701E-2</v>
      </c>
      <c r="G29" s="46">
        <f>IF(OR(G14="",G20="",N(G20)=0),"",G14/G20)</f>
        <v>6.2724521115756104E-2</v>
      </c>
      <c r="H29" s="46">
        <f>IF(OR(H14="",H20="",N(H20)=0),"",H14/H20)</f>
        <v>0.21202194342039643</v>
      </c>
      <c r="J29" s="46">
        <f t="shared" ref="J29:O29" si="11">IF(OR(J14="",J20="",N(J20)=0),"",J14/J20)</f>
        <v>8.0958700612153225E-2</v>
      </c>
      <c r="K29" s="46">
        <f t="shared" si="11"/>
        <v>7.0323945090201345E-2</v>
      </c>
      <c r="L29" s="46">
        <f t="shared" si="11"/>
        <v>6.8887221197143772E-2</v>
      </c>
      <c r="M29" s="46">
        <f t="shared" si="11"/>
        <v>6.8520799003056229E-2</v>
      </c>
      <c r="N29" s="46">
        <f t="shared" si="11"/>
        <v>6.8153713551861395E-2</v>
      </c>
      <c r="O29" s="46">
        <f t="shared" si="11"/>
        <v>6.9887621386661047E-2</v>
      </c>
    </row>
    <row r="30" spans="1:15" ht="15" customHeight="1" x14ac:dyDescent="0.25">
      <c r="A30" s="2" t="s">
        <v>809</v>
      </c>
      <c r="B30" s="60" t="s">
        <v>802</v>
      </c>
      <c r="C30" s="60" t="s">
        <v>802</v>
      </c>
      <c r="D30" s="60" t="s">
        <v>802</v>
      </c>
      <c r="E30" s="46">
        <f>IF(OR(E15="",E20="",N(E20)=0),"",E15/E20)</f>
        <v>2.2268946266200747E-2</v>
      </c>
      <c r="F30" s="46">
        <f>IF(OR(F15="",F20="",N(F20)=0),"",F15/F20)</f>
        <v>4.2434818548402253E-2</v>
      </c>
      <c r="G30" s="46">
        <f>IF(OR(G15="",G20="",N(G20)=0),"",G15/G20)</f>
        <v>4.4495546757667453E-2</v>
      </c>
      <c r="H30" s="46">
        <f>IF(OR(H15="",H20="",N(H20)=0),"",H15/H20)</f>
        <v>5.4718093187529834E-2</v>
      </c>
      <c r="J30" s="46">
        <f t="shared" ref="J30:O30" si="12">IF(OR(J15="",J20="",N(J20)=0),"",J15/J20)</f>
        <v>4.8137682778429836E-2</v>
      </c>
      <c r="K30" s="46">
        <f t="shared" si="12"/>
        <v>4.9321972285912577E-2</v>
      </c>
      <c r="L30" s="46">
        <f t="shared" si="12"/>
        <v>4.9489493143906944E-2</v>
      </c>
      <c r="M30" s="46">
        <f t="shared" si="12"/>
        <v>4.969696714530155E-2</v>
      </c>
      <c r="N30" s="46">
        <f t="shared" si="12"/>
        <v>4.9537135928374894E-2</v>
      </c>
      <c r="O30" s="46">
        <f t="shared" si="12"/>
        <v>5.1227772313370577E-2</v>
      </c>
    </row>
    <row r="32" spans="1:15" ht="15" customHeight="1" x14ac:dyDescent="0.25">
      <c r="A32" s="59" t="s">
        <v>810</v>
      </c>
    </row>
    <row r="33" spans="1:8" ht="15" customHeight="1" x14ac:dyDescent="0.25">
      <c r="A33" s="59" t="s">
        <v>811</v>
      </c>
    </row>
    <row r="34" spans="1:8" ht="15" customHeight="1" x14ac:dyDescent="0.25">
      <c r="A34" s="59" t="s">
        <v>812</v>
      </c>
    </row>
    <row r="35" spans="1:8" ht="15" customHeight="1" x14ac:dyDescent="0.25">
      <c r="A35" s="59" t="s">
        <v>813</v>
      </c>
    </row>
    <row r="37" spans="1:8" ht="15" customHeight="1" x14ac:dyDescent="0.25">
      <c r="A37" s="3" t="s">
        <v>814</v>
      </c>
      <c r="E37" s="3" t="s">
        <v>585</v>
      </c>
      <c r="F37" s="3" t="s">
        <v>586</v>
      </c>
      <c r="G37" s="3" t="s">
        <v>587</v>
      </c>
      <c r="H37" s="3" t="s">
        <v>303</v>
      </c>
    </row>
    <row r="38" spans="1:8" ht="15" customHeight="1" x14ac:dyDescent="0.25">
      <c r="A38" s="2" t="s">
        <v>815</v>
      </c>
      <c r="E38" s="46">
        <f>E28</f>
        <v>4.3271255645563562E-2</v>
      </c>
      <c r="F38" s="46">
        <f>F28</f>
        <v>8.121946792079765E-2</v>
      </c>
      <c r="G38" s="46">
        <f>G28</f>
        <v>8.2760366707901281E-2</v>
      </c>
      <c r="H38" s="46">
        <f>H28</f>
        <v>9.6668816537814006E-2</v>
      </c>
    </row>
    <row r="39" spans="1:8" ht="15" customHeight="1" x14ac:dyDescent="0.25">
      <c r="A39" s="2" t="s">
        <v>816</v>
      </c>
      <c r="E39" s="32">
        <f>Peers_inputs!$C$39</f>
        <v>3.9743587337373966E-2</v>
      </c>
      <c r="F39" s="32">
        <f>Peers_inputs!$D$39</f>
        <v>6.8141937417104489E-2</v>
      </c>
      <c r="G39" s="32">
        <f>Peers_inputs!$E$39</f>
        <v>6.6008029111117583E-2</v>
      </c>
      <c r="H39" s="32">
        <f>Peers_inputs!$F$39</f>
        <v>7.7679777293179847E-2</v>
      </c>
    </row>
    <row r="40" spans="1:8" ht="15" customHeight="1" x14ac:dyDescent="0.25">
      <c r="A40" s="2" t="s">
        <v>817</v>
      </c>
      <c r="E40" s="32">
        <f>Peers_inputs!$C$51</f>
        <v>6.0016229196175067E-2</v>
      </c>
      <c r="F40" s="32">
        <f>Peers_inputs!$D$51</f>
        <v>7.1900052262168737E-2</v>
      </c>
      <c r="G40" s="32">
        <f>Peers_inputs!$E$51</f>
        <v>7.8339222705050948E-2</v>
      </c>
      <c r="H40" s="32">
        <f>Peers_inputs!$F$51</f>
        <v>8.0249148982453514E-2</v>
      </c>
    </row>
    <row r="41" spans="1:8" ht="15" customHeight="1" x14ac:dyDescent="0.25">
      <c r="A41" s="2" t="s">
        <v>818</v>
      </c>
      <c r="E41" s="46">
        <f>E27</f>
        <v>7.1173938656621083E-2</v>
      </c>
      <c r="F41" s="46">
        <f>F27</f>
        <v>0.14380500091379098</v>
      </c>
      <c r="G41" s="46">
        <f>G27</f>
        <v>0.11666570583769584</v>
      </c>
      <c r="H41" s="46">
        <f>H27</f>
        <v>0.37457281781098445</v>
      </c>
    </row>
    <row r="42" spans="1:8" ht="15" customHeight="1" x14ac:dyDescent="0.25">
      <c r="A42" s="2" t="s">
        <v>819</v>
      </c>
      <c r="E42" s="32">
        <f>Peers_inputs!$C$38</f>
        <v>9.0923104636456475E-2</v>
      </c>
      <c r="F42" s="32">
        <f>Peers_inputs!$D$38</f>
        <v>9.1941638390877781E-2</v>
      </c>
      <c r="G42" s="32">
        <f>Peers_inputs!$E$38</f>
        <v>8.7263992638377405E-2</v>
      </c>
      <c r="H42" s="32">
        <f>Peers_inputs!$F$38</f>
        <v>9.8054071569239301E-2</v>
      </c>
    </row>
    <row r="43" spans="1:8" ht="15" customHeight="1" x14ac:dyDescent="0.25">
      <c r="A43" s="2" t="s">
        <v>820</v>
      </c>
      <c r="E43" s="32">
        <f>Peers_inputs!$C$50</f>
        <v>6.8084186695565471E-2</v>
      </c>
      <c r="F43" s="32">
        <f>Peers_inputs!$D$50</f>
        <v>6.9069748495044159E-2</v>
      </c>
      <c r="G43" s="32">
        <f>Peers_inputs!$E$50</f>
        <v>9.5805959627437584E-2</v>
      </c>
      <c r="H43" s="32">
        <f>Peers_inputs!$F$50</f>
        <v>0.10450597212122924</v>
      </c>
    </row>
    <row r="44" spans="1:8" ht="15" customHeight="1" x14ac:dyDescent="0.25">
      <c r="A44" s="2" t="s">
        <v>821</v>
      </c>
      <c r="E44" s="2" t="s">
        <v>822</v>
      </c>
      <c r="F44" s="2" t="s">
        <v>822</v>
      </c>
      <c r="G44" s="32">
        <f>Inputs!$C$116/Inputs!$C$117</f>
        <v>3.7403105100949262E-2</v>
      </c>
      <c r="H44" s="32">
        <f>Inputs!$C$68/Inputs!$C$65</f>
        <v>0.27016245561500518</v>
      </c>
    </row>
    <row r="45" spans="1:8" ht="15" customHeight="1" x14ac:dyDescent="0.25">
      <c r="A45" s="2" t="s">
        <v>823</v>
      </c>
      <c r="E45" s="32">
        <f>Peers_inputs!$C$40</f>
        <v>4.8567518817725683E-2</v>
      </c>
      <c r="F45" s="32">
        <f>Peers_inputs!$D$40</f>
        <v>1.9550129928432892E-2</v>
      </c>
      <c r="G45" s="32">
        <f>Peers_inputs!$E$40</f>
        <v>1.8139215496846883E-2</v>
      </c>
      <c r="H45" s="32">
        <f>Peers_inputs!$F$40</f>
        <v>2.0001834287214634E-2</v>
      </c>
    </row>
    <row r="46" spans="1:8" ht="15" customHeight="1" x14ac:dyDescent="0.25">
      <c r="A46" s="2" t="s">
        <v>824</v>
      </c>
      <c r="E46" s="32">
        <f>Peers_inputs!$C$52</f>
        <v>7.7803556232380455E-3</v>
      </c>
      <c r="F46" s="32">
        <f>Peers_inputs!$D$52</f>
        <v>-2.7160201417870066E-3</v>
      </c>
      <c r="G46" s="32">
        <f>Peers_inputs!$E$52</f>
        <v>1.6855147294739383E-2</v>
      </c>
      <c r="H46" s="32">
        <f>Peers_inputs!$F$52</f>
        <v>2.3445850247744638E-2</v>
      </c>
    </row>
    <row r="47" spans="1:8" ht="15" customHeight="1" x14ac:dyDescent="0.25">
      <c r="A47" s="2" t="s">
        <v>825</v>
      </c>
      <c r="E47" s="2" t="s">
        <v>822</v>
      </c>
      <c r="F47" s="2" t="s">
        <v>822</v>
      </c>
      <c r="G47" s="41">
        <f>Inputs!$C$118/Inputs!$C$120</f>
        <v>8.4473813079806379E-2</v>
      </c>
      <c r="H47" s="41">
        <f>Inputs!$C$119/Inputs!$C$121</f>
        <v>7.2629523867841453E-2</v>
      </c>
    </row>
    <row r="48" spans="1:8" ht="15" customHeight="1" x14ac:dyDescent="0.25">
      <c r="A48" s="2" t="s">
        <v>826</v>
      </c>
      <c r="E48" s="41">
        <f>Peers_inputs!$C$41</f>
        <v>7.2889138728192221E-2</v>
      </c>
      <c r="F48" s="41">
        <f>Peers_inputs!$D$41</f>
        <v>6.8400405775640272E-2</v>
      </c>
      <c r="G48" s="41">
        <f>Peers_inputs!$E$41</f>
        <v>7.4849701746632372E-2</v>
      </c>
      <c r="H48" s="41">
        <f>Peers_inputs!$F$41</f>
        <v>7.5480202875285202E-2</v>
      </c>
    </row>
    <row r="49" spans="1:8" ht="15" customHeight="1" x14ac:dyDescent="0.25">
      <c r="A49" s="2" t="s">
        <v>827</v>
      </c>
      <c r="E49" s="41">
        <f>Peers_inputs!$C$53</f>
        <v>6.6704099802279523E-2</v>
      </c>
      <c r="F49" s="41">
        <f>Peers_inputs!$D$53</f>
        <v>7.1623849419431521E-2</v>
      </c>
      <c r="G49" s="41">
        <f>Peers_inputs!$E$53</f>
        <v>7.7795998134585265E-2</v>
      </c>
      <c r="H49" s="41">
        <f>Peers_inputs!$F$53</f>
        <v>7.7479700149072919E-2</v>
      </c>
    </row>
    <row r="50" spans="1:8" ht="15" customHeight="1" x14ac:dyDescent="0.25">
      <c r="A50" s="2" t="s">
        <v>828</v>
      </c>
      <c r="E50" s="56">
        <f>E26</f>
        <v>1.943120932993565</v>
      </c>
      <c r="F50" s="56">
        <f>F26</f>
        <v>1.9139817418603222</v>
      </c>
      <c r="G50" s="56">
        <f>G26</f>
        <v>1.8599696540112758</v>
      </c>
      <c r="H50" s="56">
        <f>H26</f>
        <v>1.7666700520157137</v>
      </c>
    </row>
    <row r="51" spans="1:8" ht="15" customHeight="1" x14ac:dyDescent="0.25">
      <c r="A51" s="2" t="s">
        <v>829</v>
      </c>
      <c r="E51" s="65">
        <f>Peers_inputs!$C$44</f>
        <v>2.5662822556483493</v>
      </c>
      <c r="F51" s="65">
        <f>Peers_inputs!$D$44</f>
        <v>2.6814541831729675</v>
      </c>
      <c r="G51" s="65">
        <f>Peers_inputs!$E$44</f>
        <v>2.6839146076227305</v>
      </c>
      <c r="H51" s="65">
        <f>Peers_inputs!$F$44</f>
        <v>2.6871268875263192</v>
      </c>
    </row>
    <row r="52" spans="1:8" ht="15" customHeight="1" x14ac:dyDescent="0.25">
      <c r="A52" s="2" t="s">
        <v>830</v>
      </c>
      <c r="E52" s="65">
        <f>Peers_inputs!$C$56</f>
        <v>1.5151377591399515</v>
      </c>
      <c r="F52" s="65">
        <f>Peers_inputs!$D$56</f>
        <v>1.5111351659935597</v>
      </c>
      <c r="G52" s="65">
        <f>Peers_inputs!$E$56</f>
        <v>1.5173647640529624</v>
      </c>
      <c r="H52" s="65">
        <f>Peers_inputs!$F$56</f>
        <v>1.5059217647037695</v>
      </c>
    </row>
    <row r="53" spans="1:8" ht="15" customHeight="1" x14ac:dyDescent="0.25">
      <c r="A53" s="12" t="s">
        <v>831</v>
      </c>
    </row>
    <row r="54" spans="1:8" ht="15" customHeight="1" x14ac:dyDescent="0.25">
      <c r="A54" s="12" t="s">
        <v>832</v>
      </c>
    </row>
    <row r="55" spans="1:8" ht="15" customHeight="1" x14ac:dyDescent="0.25">
      <c r="A55" s="12" t="s">
        <v>833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"/>
  <sheetViews>
    <sheetView zoomScaleNormal="100" workbookViewId="0"/>
  </sheetViews>
  <sheetFormatPr baseColWidth="10" defaultColWidth="8.7109375" defaultRowHeight="15" x14ac:dyDescent="0.25"/>
  <cols>
    <col min="1" max="1" width="58" customWidth="1"/>
    <col min="2" max="8" width="14" customWidth="1"/>
  </cols>
  <sheetData>
    <row r="1" spans="1:4" ht="15" customHeight="1" x14ac:dyDescent="0.25">
      <c r="A1" s="1" t="s">
        <v>834</v>
      </c>
    </row>
    <row r="2" spans="1:4" ht="15" customHeight="1" x14ac:dyDescent="0.25">
      <c r="A2" s="12" t="s">
        <v>835</v>
      </c>
    </row>
    <row r="4" spans="1:4" ht="15" customHeight="1" x14ac:dyDescent="0.25">
      <c r="A4" s="66" t="s">
        <v>836</v>
      </c>
      <c r="B4" s="57" t="s">
        <v>837</v>
      </c>
      <c r="C4" s="57" t="s">
        <v>838</v>
      </c>
      <c r="D4" s="57" t="s">
        <v>839</v>
      </c>
    </row>
    <row r="5" spans="1:4" ht="15" customHeight="1" x14ac:dyDescent="0.25">
      <c r="A5" s="2" t="s">
        <v>40</v>
      </c>
      <c r="B5" s="20">
        <f>Inputs!$C$11</f>
        <v>1440978</v>
      </c>
      <c r="C5" s="22">
        <v>0</v>
      </c>
      <c r="D5" s="22">
        <f>B5</f>
        <v>1440978</v>
      </c>
    </row>
    <row r="6" spans="1:4" ht="15" customHeight="1" x14ac:dyDescent="0.25">
      <c r="A6" s="2" t="s">
        <v>840</v>
      </c>
      <c r="B6" s="20">
        <f>-Inputs!$C$15</f>
        <v>-1448943</v>
      </c>
      <c r="C6" s="22">
        <f>B5+B6</f>
        <v>-7965</v>
      </c>
      <c r="D6" s="22">
        <f>-B6</f>
        <v>1448943</v>
      </c>
    </row>
    <row r="7" spans="1:4" ht="15" customHeight="1" x14ac:dyDescent="0.25">
      <c r="A7" s="2" t="s">
        <v>841</v>
      </c>
      <c r="B7" s="20">
        <f>Inputs!$C$16</f>
        <v>3511</v>
      </c>
      <c r="C7" s="22">
        <f>C6+IF(B6&lt;0,0,D6)</f>
        <v>-7965</v>
      </c>
      <c r="D7" s="22">
        <f>B7</f>
        <v>3511</v>
      </c>
    </row>
    <row r="8" spans="1:4" ht="15" customHeight="1" x14ac:dyDescent="0.25">
      <c r="A8" s="2" t="s">
        <v>639</v>
      </c>
      <c r="B8" s="20">
        <f>Inputs!$C$17</f>
        <v>3610</v>
      </c>
      <c r="C8" s="22">
        <f>C7+D7</f>
        <v>-4454</v>
      </c>
      <c r="D8" s="22">
        <f>B8</f>
        <v>3610</v>
      </c>
    </row>
    <row r="9" spans="1:4" ht="15" customHeight="1" x14ac:dyDescent="0.25">
      <c r="A9" s="2" t="s">
        <v>842</v>
      </c>
      <c r="B9" s="20">
        <f>Inputs!$C$18</f>
        <v>43825</v>
      </c>
      <c r="C9" s="22">
        <f>C8+D8</f>
        <v>-844</v>
      </c>
      <c r="D9" s="22">
        <f>B9</f>
        <v>43825</v>
      </c>
    </row>
    <row r="10" spans="1:4" ht="15" customHeight="1" x14ac:dyDescent="0.25">
      <c r="A10" s="2" t="s">
        <v>843</v>
      </c>
      <c r="B10" s="20">
        <f>Inputs!$C$19</f>
        <v>365071</v>
      </c>
      <c r="C10" s="22">
        <f>C9+D9</f>
        <v>42981</v>
      </c>
      <c r="D10" s="22">
        <f>B10</f>
        <v>365071</v>
      </c>
    </row>
    <row r="11" spans="1:4" ht="15" customHeight="1" x14ac:dyDescent="0.25">
      <c r="A11" s="27" t="s">
        <v>445</v>
      </c>
      <c r="B11" s="48">
        <f>SUM(B5:B10)</f>
        <v>408052</v>
      </c>
      <c r="C11" s="22">
        <v>0</v>
      </c>
      <c r="D11" s="22">
        <f>B11</f>
        <v>408052</v>
      </c>
    </row>
    <row r="12" spans="1:4" ht="15" customHeight="1" x14ac:dyDescent="0.25">
      <c r="A12" s="2" t="s">
        <v>844</v>
      </c>
      <c r="B12" s="47">
        <f>-B11*Inputs!$C$14/Inputs!$C$11</f>
        <v>-2822.4263548784229</v>
      </c>
    </row>
    <row r="13" spans="1:4" ht="15" customHeight="1" x14ac:dyDescent="0.25">
      <c r="A13" s="27" t="s">
        <v>845</v>
      </c>
      <c r="B13" s="48">
        <f>B11+B12</f>
        <v>405229.57364512159</v>
      </c>
    </row>
    <row r="14" spans="1:4" ht="15" customHeight="1" x14ac:dyDescent="0.25">
      <c r="A14" s="2" t="s">
        <v>846</v>
      </c>
      <c r="B14" s="20">
        <f>Inputs!$C$20</f>
        <v>405300</v>
      </c>
    </row>
    <row r="15" spans="1:4" ht="15" customHeight="1" x14ac:dyDescent="0.25">
      <c r="A15" s="2" t="s">
        <v>847</v>
      </c>
      <c r="B15" s="51">
        <f>B13/B14-1</f>
        <v>-1.7376352054876421E-4</v>
      </c>
    </row>
    <row r="16" spans="1:4" ht="15" customHeight="1" x14ac:dyDescent="0.25">
      <c r="A16" s="2" t="s">
        <v>848</v>
      </c>
      <c r="B16" s="46">
        <f>B9/B13</f>
        <v>0.10814857268630546</v>
      </c>
    </row>
    <row r="18" spans="1:1" ht="15" customHeight="1" x14ac:dyDescent="0.25">
      <c r="A18" s="12" t="s">
        <v>849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5"/>
  <sheetViews>
    <sheetView zoomScaleNormal="100" workbookViewId="0"/>
  </sheetViews>
  <sheetFormatPr baseColWidth="10" defaultColWidth="8.7109375" defaultRowHeight="15" x14ac:dyDescent="0.25"/>
  <cols>
    <col min="1" max="1" width="58" customWidth="1"/>
    <col min="2" max="8" width="14" customWidth="1"/>
    <col min="11" max="11" width="14" customWidth="1"/>
    <col min="12" max="12" width="15" customWidth="1"/>
    <col min="13" max="13" width="10" customWidth="1"/>
  </cols>
  <sheetData>
    <row r="1" spans="1:13" ht="15" customHeight="1" x14ac:dyDescent="0.25">
      <c r="A1" s="1" t="s">
        <v>850</v>
      </c>
    </row>
    <row r="2" spans="1:13" ht="15" customHeight="1" x14ac:dyDescent="0.25">
      <c r="A2" s="12" t="s">
        <v>851</v>
      </c>
    </row>
    <row r="4" spans="1:13" ht="15" customHeight="1" x14ac:dyDescent="0.25">
      <c r="A4" s="66"/>
      <c r="B4" s="57" t="s">
        <v>23</v>
      </c>
      <c r="C4" s="57" t="s">
        <v>26</v>
      </c>
      <c r="D4" s="57" t="s">
        <v>29</v>
      </c>
      <c r="E4" s="57" t="s">
        <v>32</v>
      </c>
      <c r="K4" s="3" t="s">
        <v>32</v>
      </c>
      <c r="L4" s="3" t="s">
        <v>852</v>
      </c>
      <c r="M4" s="3" t="s">
        <v>853</v>
      </c>
    </row>
    <row r="5" spans="1:13" ht="15" customHeight="1" x14ac:dyDescent="0.25">
      <c r="A5" s="2" t="s">
        <v>854</v>
      </c>
      <c r="B5" s="20">
        <f>Inputs!$C$5</f>
        <v>494605</v>
      </c>
      <c r="C5" s="20">
        <f>Inputs!$C$6</f>
        <v>653911</v>
      </c>
      <c r="D5" s="20">
        <f>Inputs!$C$7</f>
        <v>316108</v>
      </c>
      <c r="E5" s="20">
        <f>Inputs!$C$8</f>
        <v>339530</v>
      </c>
      <c r="K5" s="2" t="s">
        <v>855</v>
      </c>
      <c r="L5" s="46">
        <f>B27</f>
        <v>6.0539574896152137E-2</v>
      </c>
      <c r="M5" s="46">
        <f>F27</f>
        <v>2.8266988872739596E-2</v>
      </c>
    </row>
    <row r="6" spans="1:13" ht="15" customHeight="1" x14ac:dyDescent="0.25">
      <c r="A6" s="2" t="s">
        <v>418</v>
      </c>
      <c r="B6" s="20">
        <f>Inputs!$C$35</f>
        <v>428322</v>
      </c>
      <c r="C6" s="20">
        <f>Inputs!$C$36</f>
        <v>469964</v>
      </c>
      <c r="D6" s="20">
        <f>Inputs!$C$29</f>
        <v>230626</v>
      </c>
      <c r="E6" s="20">
        <f>Inputs!$C$30</f>
        <v>244588</v>
      </c>
      <c r="K6" s="2" t="s">
        <v>856</v>
      </c>
      <c r="L6" s="46">
        <f>B28</f>
        <v>8.9139054092325143E-2</v>
      </c>
      <c r="M6" s="46">
        <f>F28</f>
        <v>4.492101771569823E-2</v>
      </c>
    </row>
    <row r="7" spans="1:13" ht="15" customHeight="1" x14ac:dyDescent="0.25">
      <c r="A7" s="2" t="s">
        <v>857</v>
      </c>
      <c r="B7" s="20">
        <f>Inputs!$C$37</f>
        <v>52671</v>
      </c>
      <c r="C7" s="20">
        <f>Inputs!$C$38</f>
        <v>62627</v>
      </c>
      <c r="D7" s="20">
        <f>Inputs!$C$31</f>
        <v>29393</v>
      </c>
      <c r="E7" s="20">
        <f>Inputs!$C$32</f>
        <v>33899</v>
      </c>
      <c r="K7" s="2" t="s">
        <v>858</v>
      </c>
      <c r="L7" s="46">
        <f>B31</f>
        <v>0.15330180655258063</v>
      </c>
      <c r="M7" s="46">
        <f>F31</f>
        <v>1.1081496908856847E-2</v>
      </c>
    </row>
    <row r="8" spans="1:13" ht="15" customHeight="1" x14ac:dyDescent="0.25">
      <c r="A8" s="2" t="s">
        <v>419</v>
      </c>
      <c r="B8" s="20">
        <f>Inputs!$C$39</f>
        <v>13612</v>
      </c>
      <c r="C8" s="20">
        <f>Inputs!$C$40</f>
        <v>121320</v>
      </c>
      <c r="D8" s="20">
        <f>Inputs!$C$33</f>
        <v>56496</v>
      </c>
      <c r="E8" s="20">
        <f>Inputs!$C$34</f>
        <v>61532</v>
      </c>
      <c r="K8" s="2" t="s">
        <v>859</v>
      </c>
      <c r="L8" s="46">
        <f>B32</f>
        <v>7.4094929581029367E-2</v>
      </c>
      <c r="M8" s="46">
        <f>F32</f>
        <v>2.9710902454260103E-2</v>
      </c>
    </row>
    <row r="9" spans="1:13" ht="15" customHeight="1" x14ac:dyDescent="0.25">
      <c r="A9" s="2" t="s">
        <v>103</v>
      </c>
      <c r="B9" s="20">
        <f>Inputs!$C$42</f>
        <v>24833</v>
      </c>
      <c r="C9" s="20">
        <f>Inputs!$C$43</f>
        <v>38936</v>
      </c>
      <c r="D9" s="20">
        <f>Inputs!$C$44</f>
        <v>17521</v>
      </c>
      <c r="E9" s="20">
        <f>Inputs!$C$45</f>
        <v>17332</v>
      </c>
      <c r="K9" s="12" t="s">
        <v>860</v>
      </c>
    </row>
    <row r="10" spans="1:13" ht="15" customHeight="1" x14ac:dyDescent="0.25">
      <c r="A10" s="2" t="s">
        <v>861</v>
      </c>
      <c r="B10" s="67">
        <f>Inputs!$C$46</f>
        <v>37569.64</v>
      </c>
      <c r="C10" s="67">
        <f>Inputs!$C$47</f>
        <v>39206.28</v>
      </c>
      <c r="D10" s="67">
        <f>Inputs!$C$48</f>
        <v>38841.29</v>
      </c>
      <c r="E10" s="67">
        <f>Inputs!$C$49</f>
        <v>40060.339999999997</v>
      </c>
    </row>
    <row r="12" spans="1:13" ht="15" customHeight="1" x14ac:dyDescent="0.25">
      <c r="A12" s="66" t="s">
        <v>862</v>
      </c>
      <c r="B12" s="57"/>
      <c r="C12" s="57" t="s">
        <v>26</v>
      </c>
      <c r="D12" s="57"/>
      <c r="E12" s="57" t="s">
        <v>32</v>
      </c>
    </row>
    <row r="13" spans="1:13" ht="15" customHeight="1" x14ac:dyDescent="0.25">
      <c r="A13" s="2" t="s">
        <v>863</v>
      </c>
      <c r="B13" s="46"/>
      <c r="C13" s="46">
        <f>C5/B5-1</f>
        <v>0.32208732220660941</v>
      </c>
      <c r="D13" s="46"/>
      <c r="E13" s="46">
        <f>E5/D5-1</f>
        <v>7.4094929581029367E-2</v>
      </c>
      <c r="G13" t="s">
        <v>864</v>
      </c>
      <c r="H13" t="s">
        <v>26</v>
      </c>
      <c r="I13" t="s">
        <v>32</v>
      </c>
    </row>
    <row r="14" spans="1:13" ht="15" customHeight="1" x14ac:dyDescent="0.25">
      <c r="A14" s="2" t="s">
        <v>865</v>
      </c>
      <c r="B14" s="46"/>
      <c r="C14" s="46">
        <f>(C8-B8)/B5</f>
        <v>0.21776569181468039</v>
      </c>
      <c r="D14" s="46"/>
      <c r="E14" s="46"/>
      <c r="G14" t="s">
        <v>866</v>
      </c>
      <c r="H14" s="68">
        <f>C16</f>
        <v>9.7221249433837142E-2</v>
      </c>
      <c r="I14" s="68">
        <f>E16</f>
        <v>6.0539574896152137E-2</v>
      </c>
    </row>
    <row r="15" spans="1:13" ht="15" customHeight="1" x14ac:dyDescent="0.25">
      <c r="A15" s="2" t="s">
        <v>867</v>
      </c>
      <c r="B15" s="46"/>
      <c r="C15" s="46">
        <f>(C6+C7)/(B6+B7)-1</f>
        <v>0.10727391043112888</v>
      </c>
      <c r="D15" s="46"/>
      <c r="E15" s="46">
        <f>(E6+E7)/(D6+D7)-1</f>
        <v>7.1025578900003383E-2</v>
      </c>
      <c r="G15" t="s">
        <v>868</v>
      </c>
      <c r="H15" s="68">
        <f>C17</f>
        <v>4.3562834245949533E-2</v>
      </c>
      <c r="I15" s="68">
        <f>E17</f>
        <v>3.1385414851051507E-2</v>
      </c>
    </row>
    <row r="16" spans="1:13" ht="15" customHeight="1" x14ac:dyDescent="0.25">
      <c r="A16" s="2" t="s">
        <v>869</v>
      </c>
      <c r="B16" s="46"/>
      <c r="C16" s="46">
        <f>C6/B6-1</f>
        <v>9.7221249433837142E-2</v>
      </c>
      <c r="D16" s="46"/>
      <c r="E16" s="46">
        <f>E6/D6-1</f>
        <v>6.0539574896152137E-2</v>
      </c>
      <c r="G16" t="s">
        <v>853</v>
      </c>
      <c r="H16" s="68">
        <f>C18</f>
        <v>5.1418480446996595E-2</v>
      </c>
      <c r="I16" s="68">
        <f>E18</f>
        <v>2.8266988872739596E-2</v>
      </c>
    </row>
    <row r="17" spans="1:6" ht="15" customHeight="1" x14ac:dyDescent="0.25">
      <c r="A17" s="2" t="s">
        <v>870</v>
      </c>
      <c r="B17" s="46"/>
      <c r="C17" s="46">
        <f>C10/B10-1</f>
        <v>4.3562834245949533E-2</v>
      </c>
      <c r="D17" s="46"/>
      <c r="E17" s="46">
        <f>E10/D10-1</f>
        <v>3.1385414851051507E-2</v>
      </c>
    </row>
    <row r="18" spans="1:6" ht="15" customHeight="1" x14ac:dyDescent="0.25">
      <c r="A18" s="27" t="s">
        <v>871</v>
      </c>
      <c r="B18" s="58"/>
      <c r="C18" s="58">
        <f>(1+C16)/(1+C17)-1</f>
        <v>5.1418480446996595E-2</v>
      </c>
      <c r="D18" s="58"/>
      <c r="E18" s="58">
        <f>(1+E16)/(1+E17)-1</f>
        <v>2.8266988872739596E-2</v>
      </c>
    </row>
    <row r="19" spans="1:6" ht="15" customHeight="1" x14ac:dyDescent="0.25">
      <c r="A19" s="2" t="s">
        <v>872</v>
      </c>
      <c r="B19" s="46"/>
      <c r="C19" s="46">
        <f>C7/B7-1</f>
        <v>0.18902242220576793</v>
      </c>
      <c r="D19" s="46"/>
      <c r="E19" s="46">
        <f>E7/D7-1</f>
        <v>0.15330180655258063</v>
      </c>
    </row>
    <row r="20" spans="1:6" ht="15" customHeight="1" x14ac:dyDescent="0.25">
      <c r="A20" s="2" t="s">
        <v>873</v>
      </c>
      <c r="B20" s="46"/>
      <c r="C20" s="46" t="s">
        <v>874</v>
      </c>
      <c r="D20" s="46"/>
      <c r="E20" s="46">
        <f>E8/D8-1</f>
        <v>8.9139054092325143E-2</v>
      </c>
    </row>
    <row r="21" spans="1:6" ht="15" customHeight="1" x14ac:dyDescent="0.25">
      <c r="A21" s="2" t="s">
        <v>875</v>
      </c>
      <c r="B21" s="46">
        <f>B9/B5</f>
        <v>5.0207741531120793E-2</v>
      </c>
      <c r="C21" s="46">
        <f>C9/C5</f>
        <v>5.9543271179105413E-2</v>
      </c>
      <c r="D21" s="46">
        <f>D9/D5</f>
        <v>5.5427259038050285E-2</v>
      </c>
      <c r="E21" s="46">
        <f>E9/E5</f>
        <v>5.1047035608046416E-2</v>
      </c>
    </row>
    <row r="22" spans="1:6" ht="15" customHeight="1" x14ac:dyDescent="0.25">
      <c r="A22" s="2" t="s">
        <v>876</v>
      </c>
      <c r="B22" s="46"/>
      <c r="C22" s="46">
        <f>C9/B9-1</f>
        <v>0.56791366327064785</v>
      </c>
      <c r="D22" s="46"/>
      <c r="E22" s="46">
        <f>E9/D9-1</f>
        <v>-1.0787055533360013E-2</v>
      </c>
    </row>
    <row r="23" spans="1:6" ht="15" customHeight="1" x14ac:dyDescent="0.25">
      <c r="A23" s="2" t="s">
        <v>877</v>
      </c>
      <c r="B23" s="46"/>
      <c r="C23" s="46">
        <f>(C5-C9)/(B5-B9)-1</f>
        <v>0.30909249593419785</v>
      </c>
      <c r="D23" s="46"/>
      <c r="E23" s="46">
        <f>(E5-E9)/(D5-D9)-1</f>
        <v>7.9075780258350159E-2</v>
      </c>
    </row>
    <row r="25" spans="1:6" ht="15" customHeight="1" x14ac:dyDescent="0.25">
      <c r="A25" s="3" t="s">
        <v>878</v>
      </c>
      <c r="B25" s="3" t="s">
        <v>879</v>
      </c>
      <c r="C25" s="3" t="s">
        <v>880</v>
      </c>
      <c r="D25" s="3" t="s">
        <v>881</v>
      </c>
      <c r="E25" s="3" t="s">
        <v>882</v>
      </c>
      <c r="F25" s="3" t="s">
        <v>853</v>
      </c>
    </row>
    <row r="26" spans="1:6" ht="15" customHeight="1" x14ac:dyDescent="0.25">
      <c r="A26" s="2" t="s">
        <v>883</v>
      </c>
      <c r="B26" s="46">
        <f>C16</f>
        <v>9.7221249433837142E-2</v>
      </c>
      <c r="C26" s="46">
        <v>0</v>
      </c>
      <c r="D26" s="46">
        <f t="shared" ref="D26:D31" si="0">(1+B26)/(1+C26)-1</f>
        <v>9.7221249433837142E-2</v>
      </c>
      <c r="E26" s="46">
        <f>C17</f>
        <v>4.3562834245949533E-2</v>
      </c>
      <c r="F26" s="46">
        <f t="shared" ref="F26:F31" si="1">(1+D26)/(1+E26)-1</f>
        <v>5.1418480446996595E-2</v>
      </c>
    </row>
    <row r="27" spans="1:6" ht="15" customHeight="1" x14ac:dyDescent="0.25">
      <c r="A27" s="2" t="s">
        <v>884</v>
      </c>
      <c r="B27" s="46">
        <f>E16</f>
        <v>6.0539574896152137E-2</v>
      </c>
      <c r="C27" s="46">
        <v>0</v>
      </c>
      <c r="D27" s="46">
        <f t="shared" si="0"/>
        <v>6.0539574896152137E-2</v>
      </c>
      <c r="E27" s="46">
        <f>E17</f>
        <v>3.1385414851051507E-2</v>
      </c>
      <c r="F27" s="46">
        <f t="shared" si="1"/>
        <v>2.8266988872739596E-2</v>
      </c>
    </row>
    <row r="28" spans="1:6" ht="15" customHeight="1" x14ac:dyDescent="0.25">
      <c r="A28" s="2" t="s">
        <v>885</v>
      </c>
      <c r="B28" s="46">
        <f>E20</f>
        <v>8.9139054092325143E-2</v>
      </c>
      <c r="C28" s="32">
        <f>Inputs!$C$109/Inputs!$C$108-1</f>
        <v>9.2168156631744491E-3</v>
      </c>
      <c r="D28" s="46">
        <f t="shared" si="0"/>
        <v>7.9192337254737843E-2</v>
      </c>
      <c r="E28" s="32">
        <f>Inputs!$C$112</f>
        <v>3.2798000000000001E-2</v>
      </c>
      <c r="F28" s="46">
        <f t="shared" si="1"/>
        <v>4.492101771569823E-2</v>
      </c>
    </row>
    <row r="29" spans="1:6" ht="15" customHeight="1" x14ac:dyDescent="0.25">
      <c r="A29" s="2" t="s">
        <v>886</v>
      </c>
      <c r="B29" s="32">
        <f>Inputs!$C$37/Inputs!$C$100-1</f>
        <v>0.44859735973597359</v>
      </c>
      <c r="C29" s="32">
        <f>Inputs!$C$102/Inputs!$C$101-1</f>
        <v>0.17218696952550316</v>
      </c>
      <c r="D29" s="46">
        <f t="shared" si="0"/>
        <v>0.23580742440974278</v>
      </c>
      <c r="E29" s="32">
        <f>Inputs!$C$113</f>
        <v>5.1999999999999998E-2</v>
      </c>
      <c r="F29" s="46">
        <f t="shared" si="1"/>
        <v>0.17472188632104824</v>
      </c>
    </row>
    <row r="30" spans="1:6" ht="15" customHeight="1" x14ac:dyDescent="0.25">
      <c r="A30" s="2" t="s">
        <v>887</v>
      </c>
      <c r="B30" s="46">
        <f>C19</f>
        <v>0.18902242220576793</v>
      </c>
      <c r="C30" s="32">
        <f>Inputs!$C$103/Inputs!$C$102-1</f>
        <v>1.3395512417140099E-2</v>
      </c>
      <c r="D30" s="46">
        <f t="shared" si="0"/>
        <v>0.17330539521506694</v>
      </c>
      <c r="E30" s="32">
        <f>Inputs!$C$114</f>
        <v>5.0999999999999997E-2</v>
      </c>
      <c r="F30" s="46">
        <f t="shared" si="1"/>
        <v>0.11637049972889346</v>
      </c>
    </row>
    <row r="31" spans="1:6" ht="15" customHeight="1" x14ac:dyDescent="0.25">
      <c r="A31" s="2" t="s">
        <v>888</v>
      </c>
      <c r="B31" s="46">
        <f>E19</f>
        <v>0.15330180655258063</v>
      </c>
      <c r="C31" s="32">
        <f>Inputs!$C$105/Inputs!$C$104-1</f>
        <v>7.4676435747817349E-2</v>
      </c>
      <c r="D31" s="46">
        <f t="shared" si="0"/>
        <v>7.3161900819060488E-2</v>
      </c>
      <c r="E31" s="32">
        <f>Inputs!$C$115</f>
        <v>6.1400000000000003E-2</v>
      </c>
      <c r="F31" s="46">
        <f t="shared" si="1"/>
        <v>1.1081496908856847E-2</v>
      </c>
    </row>
    <row r="32" spans="1:6" ht="15" customHeight="1" x14ac:dyDescent="0.25">
      <c r="A32" s="27" t="s">
        <v>889</v>
      </c>
      <c r="B32" s="46">
        <f>E13</f>
        <v>7.4094929581029367E-2</v>
      </c>
      <c r="F32" s="69">
        <f>(F27*Inputs!$C$36+F28*Inputs!$C$40+F31*Inputs!$C$38)/Inputs!$C$6</f>
        <v>2.9710902454260103E-2</v>
      </c>
    </row>
    <row r="33" spans="1:1" ht="15" customHeight="1" x14ac:dyDescent="0.25">
      <c r="A33" s="12" t="s">
        <v>890</v>
      </c>
    </row>
    <row r="34" spans="1:1" ht="15" customHeight="1" x14ac:dyDescent="0.25">
      <c r="A34" s="12" t="s">
        <v>891</v>
      </c>
    </row>
    <row r="35" spans="1:1" ht="15" customHeight="1" x14ac:dyDescent="0.25">
      <c r="A35" s="12" t="s">
        <v>892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zoomScaleNormal="100" workbookViewId="0"/>
  </sheetViews>
  <sheetFormatPr baseColWidth="10" defaultColWidth="8.7109375" defaultRowHeight="15" x14ac:dyDescent="0.25"/>
  <cols>
    <col min="1" max="1" width="58" customWidth="1"/>
    <col min="2" max="8" width="14" customWidth="1"/>
  </cols>
  <sheetData>
    <row r="1" spans="1:4" ht="15" customHeight="1" x14ac:dyDescent="0.25">
      <c r="A1" s="1" t="s">
        <v>893</v>
      </c>
    </row>
    <row r="2" spans="1:4" ht="15" customHeight="1" x14ac:dyDescent="0.25">
      <c r="A2" s="12" t="s">
        <v>894</v>
      </c>
    </row>
    <row r="4" spans="1:4" ht="15" customHeight="1" x14ac:dyDescent="0.25">
      <c r="A4" s="66"/>
      <c r="B4" s="57" t="s">
        <v>23</v>
      </c>
      <c r="C4" s="57" t="s">
        <v>26</v>
      </c>
      <c r="D4" s="57" t="s">
        <v>32</v>
      </c>
    </row>
    <row r="5" spans="1:4" ht="15" customHeight="1" x14ac:dyDescent="0.25">
      <c r="A5" s="2" t="s">
        <v>540</v>
      </c>
      <c r="B5" s="20">
        <f>Inputs!$C$9</f>
        <v>380637</v>
      </c>
      <c r="C5" s="20">
        <f>Inputs!$C$10</f>
        <v>526228</v>
      </c>
      <c r="D5" s="4">
        <f>270574</f>
        <v>270574</v>
      </c>
    </row>
    <row r="6" spans="1:4" ht="15" customHeight="1" x14ac:dyDescent="0.25">
      <c r="A6" s="2" t="s">
        <v>895</v>
      </c>
      <c r="B6" s="20">
        <f>Inputs!$C$50</f>
        <v>300822</v>
      </c>
      <c r="C6" s="20">
        <f>Inputs!$C$51</f>
        <v>441135</v>
      </c>
      <c r="D6" s="20">
        <f>Inputs!$C$52</f>
        <v>258193</v>
      </c>
    </row>
    <row r="7" spans="1:4" ht="15" customHeight="1" x14ac:dyDescent="0.25">
      <c r="A7" s="2" t="s">
        <v>896</v>
      </c>
      <c r="B7" s="20">
        <f>-Inputs!$C$53</f>
        <v>-76321</v>
      </c>
      <c r="C7" s="20">
        <f>-Inputs!$C$54</f>
        <v>-103642</v>
      </c>
      <c r="D7" s="20">
        <f>-Inputs!$C$55</f>
        <v>-84241</v>
      </c>
    </row>
    <row r="8" spans="1:4" ht="15" customHeight="1" x14ac:dyDescent="0.25">
      <c r="A8" s="2" t="s">
        <v>897</v>
      </c>
      <c r="B8" s="20">
        <f>-Inputs!$C$56</f>
        <v>-33436</v>
      </c>
      <c r="C8" s="20">
        <f>-Inputs!$C$57</f>
        <v>-57423</v>
      </c>
      <c r="D8" s="20">
        <f>-Inputs!$C$58</f>
        <v>-21601</v>
      </c>
    </row>
    <row r="9" spans="1:4" ht="15" customHeight="1" x14ac:dyDescent="0.25">
      <c r="A9" s="27" t="s">
        <v>898</v>
      </c>
      <c r="B9" s="48">
        <f>SUM(B6:B8)</f>
        <v>191065</v>
      </c>
      <c r="C9" s="48">
        <f>SUM(C6:C8)</f>
        <v>280070</v>
      </c>
      <c r="D9" s="48">
        <f>SUM(D6:D8)</f>
        <v>152351</v>
      </c>
    </row>
    <row r="10" spans="1:4" ht="15" customHeight="1" x14ac:dyDescent="0.25">
      <c r="A10" s="2" t="s">
        <v>146</v>
      </c>
      <c r="B10" s="20">
        <f>Inputs!$C$59</f>
        <v>125751</v>
      </c>
      <c r="C10" s="20">
        <f>Inputs!$C$60</f>
        <v>108499</v>
      </c>
      <c r="D10" s="20">
        <f>Inputs!$C$61</f>
        <v>87617</v>
      </c>
    </row>
    <row r="11" spans="1:4" ht="15" customHeight="1" x14ac:dyDescent="0.25">
      <c r="A11" s="27" t="s">
        <v>899</v>
      </c>
      <c r="B11" s="70">
        <f>B9/B10</f>
        <v>1.5193914958926769</v>
      </c>
      <c r="C11" s="70">
        <f>C9/C10</f>
        <v>2.5813141134941335</v>
      </c>
      <c r="D11" s="70">
        <f>D9/D10</f>
        <v>1.7388292226394422</v>
      </c>
    </row>
    <row r="12" spans="1:4" ht="15" customHeight="1" x14ac:dyDescent="0.25">
      <c r="A12" s="2" t="s">
        <v>900</v>
      </c>
      <c r="B12" s="46">
        <f>-B7/Inputs!$C$5</f>
        <v>0.15430697223036566</v>
      </c>
      <c r="C12" s="46">
        <f>-C7/Inputs!$C$6</f>
        <v>0.1584955750859062</v>
      </c>
      <c r="D12" s="46">
        <f>-D7/Inputs!$C$8</f>
        <v>0.24811062350896829</v>
      </c>
    </row>
    <row r="13" spans="1:4" ht="15" customHeight="1" x14ac:dyDescent="0.25">
      <c r="A13" s="2" t="s">
        <v>901</v>
      </c>
      <c r="B13" s="46">
        <f>B6/B5</f>
        <v>0.7903120295714815</v>
      </c>
      <c r="C13" s="46">
        <f>C6/C5</f>
        <v>0.83829632782748165</v>
      </c>
      <c r="D13" s="46">
        <f>D6/D5</f>
        <v>0.95424172315152234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zoomScaleNormal="100" workbookViewId="0"/>
  </sheetViews>
  <sheetFormatPr baseColWidth="10" defaultColWidth="8.7109375" defaultRowHeight="15" x14ac:dyDescent="0.25"/>
  <cols>
    <col min="1" max="1" width="58" customWidth="1"/>
    <col min="2" max="8" width="14" customWidth="1"/>
  </cols>
  <sheetData>
    <row r="1" spans="1:4" ht="15" customHeight="1" x14ac:dyDescent="0.25">
      <c r="A1" s="1" t="s">
        <v>902</v>
      </c>
    </row>
    <row r="2" spans="1:4" ht="15" customHeight="1" x14ac:dyDescent="0.25">
      <c r="A2" s="12" t="s">
        <v>903</v>
      </c>
    </row>
    <row r="4" spans="1:4" ht="15" customHeight="1" x14ac:dyDescent="0.25">
      <c r="A4" s="66"/>
      <c r="B4" s="57" t="s">
        <v>73</v>
      </c>
      <c r="C4" s="57" t="s">
        <v>76</v>
      </c>
      <c r="D4" s="57" t="s">
        <v>158</v>
      </c>
    </row>
    <row r="5" spans="1:4" ht="15" customHeight="1" x14ac:dyDescent="0.25">
      <c r="A5" s="2" t="s">
        <v>904</v>
      </c>
      <c r="B5" s="20">
        <f>Inputs!$C$62</f>
        <v>1438401</v>
      </c>
      <c r="C5" s="20">
        <f>Inputs!$C$63</f>
        <v>1311024</v>
      </c>
      <c r="D5" s="20">
        <f>Inputs!$C$64</f>
        <v>1285740</v>
      </c>
    </row>
    <row r="6" spans="1:4" ht="15" customHeight="1" x14ac:dyDescent="0.25">
      <c r="A6" s="2" t="s">
        <v>161</v>
      </c>
      <c r="B6" s="20">
        <f>Inputs!$C$65</f>
        <v>5356540</v>
      </c>
      <c r="C6" s="20">
        <f>Inputs!$C$66</f>
        <v>6961880</v>
      </c>
      <c r="D6" s="20">
        <f>Inputs!$C$67</f>
        <v>7309810</v>
      </c>
    </row>
    <row r="7" spans="1:4" ht="15" customHeight="1" x14ac:dyDescent="0.25">
      <c r="A7" s="27" t="s">
        <v>905</v>
      </c>
      <c r="B7" s="58">
        <f>B5/B6</f>
        <v>0.26853173877166975</v>
      </c>
      <c r="C7" s="58">
        <f>C5/C6</f>
        <v>0.18831465064034428</v>
      </c>
      <c r="D7" s="58">
        <f>D5/D6</f>
        <v>0.17589239665600062</v>
      </c>
    </row>
    <row r="8" spans="1:4" ht="15" customHeight="1" x14ac:dyDescent="0.25">
      <c r="A8" s="2" t="s">
        <v>169</v>
      </c>
      <c r="B8" s="71">
        <f>Inputs!$C$69</f>
        <v>3.78</v>
      </c>
      <c r="C8" s="71">
        <f>Inputs!$C$70</f>
        <v>2.4900000000000002</v>
      </c>
      <c r="D8" s="71">
        <f>Inputs!$C$71</f>
        <v>2.36</v>
      </c>
    </row>
    <row r="9" spans="1:4" ht="15" customHeight="1" x14ac:dyDescent="0.25">
      <c r="A9" s="2" t="s">
        <v>176</v>
      </c>
      <c r="B9" s="71">
        <f>Inputs!$C$72</f>
        <v>0.45</v>
      </c>
      <c r="C9" s="71">
        <f>Inputs!$C$73</f>
        <v>0.28999999999999998</v>
      </c>
      <c r="D9" s="71">
        <f>Inputs!$C$74</f>
        <v>0.26</v>
      </c>
    </row>
    <row r="11" spans="1:4" ht="15" customHeight="1" x14ac:dyDescent="0.25">
      <c r="A11" s="66" t="s">
        <v>906</v>
      </c>
      <c r="B11" s="57" t="s">
        <v>907</v>
      </c>
    </row>
    <row r="12" spans="1:4" ht="15" customHeight="1" x14ac:dyDescent="0.25">
      <c r="A12" s="2" t="s">
        <v>908</v>
      </c>
      <c r="B12" s="46">
        <f>B7</f>
        <v>0.26853173877166975</v>
      </c>
    </row>
    <row r="13" spans="1:4" ht="15" customHeight="1" x14ac:dyDescent="0.25">
      <c r="A13" s="2" t="s">
        <v>909</v>
      </c>
      <c r="B13" s="46">
        <f>C5/(C6-Inputs!$C$68)</f>
        <v>0.23773070880534075</v>
      </c>
    </row>
    <row r="14" spans="1:4" ht="15" customHeight="1" x14ac:dyDescent="0.25">
      <c r="A14" s="2" t="s">
        <v>910</v>
      </c>
      <c r="B14" s="46">
        <f>B13-B12</f>
        <v>-3.0801029966328997E-2</v>
      </c>
    </row>
    <row r="15" spans="1:4" ht="15" customHeight="1" x14ac:dyDescent="0.25">
      <c r="A15" s="2" t="s">
        <v>911</v>
      </c>
      <c r="B15" s="46">
        <f>C7-B13</f>
        <v>-4.9416058164996474E-2</v>
      </c>
    </row>
    <row r="16" spans="1:4" ht="15" customHeight="1" x14ac:dyDescent="0.25">
      <c r="A16" s="27" t="s">
        <v>912</v>
      </c>
      <c r="B16" s="58">
        <f>C7</f>
        <v>0.18831465064034428</v>
      </c>
    </row>
    <row r="17" spans="1:4" ht="15" customHeight="1" x14ac:dyDescent="0.25">
      <c r="A17" s="2" t="s">
        <v>913</v>
      </c>
      <c r="B17" s="46">
        <f>B15/(B16-B12)</f>
        <v>0.61602906956802228</v>
      </c>
    </row>
    <row r="19" spans="1:4" ht="15" customHeight="1" x14ac:dyDescent="0.25">
      <c r="A19" s="72" t="s">
        <v>914</v>
      </c>
    </row>
    <row r="21" spans="1:4" ht="15" customHeight="1" x14ac:dyDescent="0.25">
      <c r="A21" s="3" t="s">
        <v>915</v>
      </c>
      <c r="B21" s="3" t="s">
        <v>916</v>
      </c>
      <c r="C21" s="3" t="s">
        <v>917</v>
      </c>
      <c r="D21" s="3" t="s">
        <v>918</v>
      </c>
    </row>
    <row r="22" spans="1:4" ht="15" customHeight="1" x14ac:dyDescent="0.25">
      <c r="A22" s="2" t="s">
        <v>919</v>
      </c>
      <c r="B22" s="46">
        <f>C7</f>
        <v>0.18831465064034428</v>
      </c>
      <c r="C22" s="32">
        <f>Peers_inputs!$F$42</f>
        <v>0.42903913243978159</v>
      </c>
      <c r="D22" s="32">
        <f>Peers_inputs!$F$54</f>
        <v>0.16332277639375969</v>
      </c>
    </row>
    <row r="23" spans="1:4" ht="15" customHeight="1" x14ac:dyDescent="0.25">
      <c r="A23" s="2" t="s">
        <v>920</v>
      </c>
      <c r="B23" s="56">
        <f>C8</f>
        <v>2.4900000000000002</v>
      </c>
      <c r="C23" s="65">
        <f>Peers_inputs!$F$43</f>
        <v>5.6841279712599135</v>
      </c>
      <c r="D23" s="65">
        <f>Peers_inputs!$F$55</f>
        <v>2.1079428041089794</v>
      </c>
    </row>
    <row r="24" spans="1:4" ht="15" customHeight="1" x14ac:dyDescent="0.25">
      <c r="A24" s="2" t="s">
        <v>921</v>
      </c>
      <c r="B24" s="65">
        <f>Inputs!$C$25/Inputs!$C$28</f>
        <v>1.6916805062788527</v>
      </c>
      <c r="C24" s="65">
        <f>Peers_inputs!$F$44</f>
        <v>2.6871268875263192</v>
      </c>
      <c r="D24" s="65">
        <f>Peers_inputs!$F$56</f>
        <v>1.5059217647037695</v>
      </c>
    </row>
    <row r="25" spans="1:4" ht="15" customHeight="1" x14ac:dyDescent="0.25">
      <c r="A25" s="12" t="s">
        <v>922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zoomScaleNormal="100" workbookViewId="0"/>
  </sheetViews>
  <sheetFormatPr baseColWidth="10" defaultColWidth="8.7109375" defaultRowHeight="15" x14ac:dyDescent="0.25"/>
  <cols>
    <col min="1" max="1" width="58" customWidth="1"/>
    <col min="2" max="7" width="14" customWidth="1"/>
    <col min="8" max="8" width="18" customWidth="1"/>
  </cols>
  <sheetData>
    <row r="1" spans="1:8" ht="15" customHeight="1" x14ac:dyDescent="0.25">
      <c r="A1" s="1" t="s">
        <v>923</v>
      </c>
    </row>
    <row r="2" spans="1:8" ht="15" customHeight="1" x14ac:dyDescent="0.25">
      <c r="A2" s="12" t="s">
        <v>924</v>
      </c>
    </row>
    <row r="4" spans="1:8" ht="15" customHeight="1" x14ac:dyDescent="0.25">
      <c r="A4" s="66" t="s">
        <v>864</v>
      </c>
      <c r="B4" s="57" t="s">
        <v>925</v>
      </c>
      <c r="C4" s="57" t="s">
        <v>926</v>
      </c>
      <c r="D4" s="57" t="s">
        <v>927</v>
      </c>
      <c r="E4" s="57" t="s">
        <v>928</v>
      </c>
      <c r="G4" s="3" t="s">
        <v>929</v>
      </c>
      <c r="H4" s="3" t="s">
        <v>930</v>
      </c>
    </row>
    <row r="5" spans="1:8" ht="15" customHeight="1" x14ac:dyDescent="0.25">
      <c r="A5" s="2" t="s">
        <v>931</v>
      </c>
      <c r="B5" s="31">
        <v>2027</v>
      </c>
      <c r="C5" s="4">
        <v>39887</v>
      </c>
      <c r="D5" s="10">
        <v>2.8000000000000001E-2</v>
      </c>
      <c r="E5" s="10">
        <v>3.32E-2</v>
      </c>
      <c r="G5" t="s">
        <v>932</v>
      </c>
      <c r="H5" s="73">
        <f>SUMIFS($C$5:$C$18,$B$5:$B$18,2027)</f>
        <v>39887</v>
      </c>
    </row>
    <row r="6" spans="1:8" ht="15" customHeight="1" x14ac:dyDescent="0.25">
      <c r="A6" s="2" t="s">
        <v>933</v>
      </c>
      <c r="B6" s="31">
        <v>2028</v>
      </c>
      <c r="C6" s="4">
        <v>59226</v>
      </c>
      <c r="D6" s="10">
        <v>3.5999999999999997E-2</v>
      </c>
      <c r="E6" s="10">
        <v>4.2099999999999999E-2</v>
      </c>
      <c r="G6" t="s">
        <v>934</v>
      </c>
      <c r="H6" s="73">
        <f>SUMIFS($C$5:$C$18,$B$5:$B$18,2028)</f>
        <v>59226</v>
      </c>
    </row>
    <row r="7" spans="1:8" ht="15" customHeight="1" x14ac:dyDescent="0.25">
      <c r="A7" s="2" t="s">
        <v>351</v>
      </c>
      <c r="B7" s="31">
        <v>2029</v>
      </c>
      <c r="C7" s="4">
        <v>161405</v>
      </c>
      <c r="D7" s="10">
        <v>1.7000000000000001E-2</v>
      </c>
      <c r="E7" s="10">
        <v>1.32E-2</v>
      </c>
      <c r="G7" t="s">
        <v>935</v>
      </c>
      <c r="H7" s="73">
        <f>SUMIFS($C$5:$C$18,$B$5:$B$18,2029)</f>
        <v>161405</v>
      </c>
    </row>
    <row r="8" spans="1:8" ht="15" customHeight="1" x14ac:dyDescent="0.25">
      <c r="A8" s="2" t="s">
        <v>114</v>
      </c>
      <c r="B8" s="31">
        <v>2030</v>
      </c>
      <c r="C8" s="4">
        <v>6063</v>
      </c>
      <c r="D8" s="10">
        <v>4.4999999999999998E-2</v>
      </c>
      <c r="E8" s="10">
        <v>4.7199999999999999E-2</v>
      </c>
      <c r="G8" t="s">
        <v>936</v>
      </c>
      <c r="H8" s="73">
        <f>SUMIFS($C$5:$C$18,$B$5:$B$18,2030)</f>
        <v>6063</v>
      </c>
    </row>
    <row r="9" spans="1:8" ht="15" customHeight="1" x14ac:dyDescent="0.25">
      <c r="A9" s="2" t="s">
        <v>937</v>
      </c>
      <c r="B9" s="31">
        <v>2031</v>
      </c>
      <c r="C9" s="4">
        <v>118970</v>
      </c>
      <c r="D9" s="10">
        <v>3.85E-2</v>
      </c>
      <c r="E9" s="10">
        <v>0.04</v>
      </c>
      <c r="G9" t="s">
        <v>938</v>
      </c>
      <c r="H9" s="73">
        <f>SUMIFS($C$5:$C$18,$B$5:$B$18,2031)</f>
        <v>198317</v>
      </c>
    </row>
    <row r="10" spans="1:8" ht="15" customHeight="1" x14ac:dyDescent="0.25">
      <c r="A10" s="2" t="s">
        <v>939</v>
      </c>
      <c r="B10" s="31">
        <v>2031</v>
      </c>
      <c r="C10" s="4">
        <v>79347</v>
      </c>
      <c r="D10" s="10">
        <v>3.85E-2</v>
      </c>
      <c r="E10" s="10">
        <v>3.9899999999999998E-2</v>
      </c>
      <c r="G10" t="s">
        <v>940</v>
      </c>
      <c r="H10" s="73">
        <f>SUMIFS($C$5:$C$18,$B$5:$B$18,2032)</f>
        <v>89214</v>
      </c>
    </row>
    <row r="11" spans="1:8" ht="15" customHeight="1" x14ac:dyDescent="0.25">
      <c r="A11" s="2" t="s">
        <v>941</v>
      </c>
      <c r="B11" s="31">
        <v>2032</v>
      </c>
      <c r="C11" s="4">
        <v>89214</v>
      </c>
      <c r="D11" s="10">
        <v>3.5999999999999997E-2</v>
      </c>
      <c r="E11" s="10">
        <v>4.7600000000000003E-2</v>
      </c>
      <c r="G11" t="s">
        <v>942</v>
      </c>
      <c r="H11" s="73">
        <f>SUMIFS($C$5:$C$18,$B$5:$B$18,2033)</f>
        <v>154709</v>
      </c>
    </row>
    <row r="12" spans="1:8" ht="15" customHeight="1" x14ac:dyDescent="0.25">
      <c r="A12" s="2" t="s">
        <v>943</v>
      </c>
      <c r="B12" s="31">
        <v>2033</v>
      </c>
      <c r="C12" s="4">
        <v>97208</v>
      </c>
      <c r="D12" s="10">
        <v>3.5000000000000003E-2</v>
      </c>
      <c r="E12" s="10">
        <v>3.9E-2</v>
      </c>
      <c r="G12" t="s">
        <v>944</v>
      </c>
      <c r="H12" s="73">
        <f>SUMIFS($C$5:$C$18,$B$5:$B$18,2034)</f>
        <v>119065</v>
      </c>
    </row>
    <row r="13" spans="1:8" ht="15" customHeight="1" x14ac:dyDescent="0.25">
      <c r="A13" s="2" t="s">
        <v>945</v>
      </c>
      <c r="B13" s="31">
        <v>2033</v>
      </c>
      <c r="C13" s="4">
        <v>57501</v>
      </c>
      <c r="D13" s="10">
        <v>3.5999999999999997E-2</v>
      </c>
      <c r="E13" s="10">
        <v>4.3299999999999998E-2</v>
      </c>
      <c r="G13" t="s">
        <v>946</v>
      </c>
      <c r="H13" s="73">
        <f>SUMIFS($C$5:$C$18,$B$5:$B$18,2035)</f>
        <v>120963</v>
      </c>
    </row>
    <row r="14" spans="1:8" ht="15" customHeight="1" x14ac:dyDescent="0.25">
      <c r="A14" s="2" t="s">
        <v>947</v>
      </c>
      <c r="B14" s="31">
        <v>2034</v>
      </c>
      <c r="C14" s="4">
        <v>119065</v>
      </c>
      <c r="D14" s="10">
        <v>3.9E-2</v>
      </c>
      <c r="E14" s="10">
        <v>3.9199999999999999E-2</v>
      </c>
      <c r="G14" t="s">
        <v>948</v>
      </c>
      <c r="H14" s="73">
        <f>SUMIFS($C$5:$C$18,$B$5:$B$18,2043)</f>
        <v>128521</v>
      </c>
    </row>
    <row r="15" spans="1:8" ht="15" customHeight="1" x14ac:dyDescent="0.25">
      <c r="A15" s="2" t="s">
        <v>949</v>
      </c>
      <c r="B15" s="31">
        <v>2035</v>
      </c>
      <c r="C15" s="4">
        <v>120963</v>
      </c>
      <c r="D15" s="10">
        <v>3.7999999999999999E-2</v>
      </c>
      <c r="E15" s="10">
        <v>3.7600000000000001E-2</v>
      </c>
      <c r="G15" t="s">
        <v>950</v>
      </c>
      <c r="H15" s="73">
        <f>SUMIFS($C$5:$C$18,$B$5:$B$18,2045)</f>
        <v>80219</v>
      </c>
    </row>
    <row r="16" spans="1:8" ht="15" customHeight="1" x14ac:dyDescent="0.25">
      <c r="A16" s="2" t="s">
        <v>951</v>
      </c>
      <c r="B16" s="31">
        <v>2043</v>
      </c>
      <c r="C16" s="4">
        <v>128521</v>
      </c>
      <c r="D16" s="10">
        <v>4.2000000000000003E-2</v>
      </c>
      <c r="E16" s="10">
        <v>3.6600000000000001E-2</v>
      </c>
      <c r="G16" t="s">
        <v>952</v>
      </c>
      <c r="H16" s="73">
        <f>SUMIFS($C$5:$C$18,$B$5:$B$18,2047)</f>
        <v>120126</v>
      </c>
    </row>
    <row r="17" spans="1:5" ht="15" customHeight="1" x14ac:dyDescent="0.25">
      <c r="A17" s="2" t="s">
        <v>214</v>
      </c>
      <c r="B17" s="31">
        <v>2045</v>
      </c>
      <c r="C17" s="4">
        <v>80219</v>
      </c>
      <c r="D17" s="10">
        <v>2.1000000000000001E-2</v>
      </c>
      <c r="E17" s="10">
        <v>2.0899999999999998E-2</v>
      </c>
    </row>
    <row r="18" spans="1:5" ht="15" customHeight="1" x14ac:dyDescent="0.25">
      <c r="A18" s="2" t="s">
        <v>953</v>
      </c>
      <c r="B18" s="31">
        <v>2047</v>
      </c>
      <c r="C18" s="4">
        <v>120126</v>
      </c>
      <c r="D18" s="10">
        <v>3.4000000000000002E-2</v>
      </c>
      <c r="E18" s="10">
        <v>3.44E-2</v>
      </c>
    </row>
    <row r="19" spans="1:5" ht="15" customHeight="1" x14ac:dyDescent="0.25">
      <c r="A19" s="27" t="s">
        <v>954</v>
      </c>
      <c r="C19" s="73">
        <f>SUM(C5:C18)</f>
        <v>1277715</v>
      </c>
      <c r="D19" s="74">
        <f>SUMPRODUCT(C5:C18,D5:D18)/C19</f>
        <v>3.3647417851398784E-2</v>
      </c>
      <c r="E19" s="74">
        <f>SUMPRODUCT(C5:C18,E5:E18)/C19</f>
        <v>3.4761239008699131E-2</v>
      </c>
    </row>
    <row r="20" spans="1:5" ht="15" customHeight="1" x14ac:dyDescent="0.25">
      <c r="A20" t="s">
        <v>955</v>
      </c>
      <c r="C20" s="20">
        <f>Inputs!$C$99</f>
        <v>301600</v>
      </c>
    </row>
    <row r="21" spans="1:5" ht="15" customHeight="1" x14ac:dyDescent="0.25">
      <c r="A21" s="27" t="s">
        <v>956</v>
      </c>
      <c r="C21" s="73">
        <f>C19+C20</f>
        <v>1579315</v>
      </c>
    </row>
    <row r="22" spans="1:5" ht="15" customHeight="1" x14ac:dyDescent="0.25">
      <c r="A22" t="s">
        <v>957</v>
      </c>
      <c r="C22" s="73">
        <f>C21-1579315</f>
        <v>0</v>
      </c>
    </row>
    <row r="24" spans="1:5" ht="15" customHeight="1" x14ac:dyDescent="0.25">
      <c r="A24" s="2" t="s">
        <v>958</v>
      </c>
      <c r="C24" s="73">
        <f>C7*(E13-E7)</f>
        <v>4858.2905000000001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1"/>
  <sheetViews>
    <sheetView zoomScaleNormal="100" workbookViewId="0"/>
  </sheetViews>
  <sheetFormatPr baseColWidth="10" defaultColWidth="8.7109375" defaultRowHeight="15" x14ac:dyDescent="0.25"/>
  <cols>
    <col min="1" max="1" width="58" customWidth="1"/>
    <col min="2" max="7" width="12" customWidth="1"/>
    <col min="8" max="8" width="46" customWidth="1"/>
    <col min="10" max="10" width="10" customWidth="1"/>
    <col min="11" max="12" width="16" customWidth="1"/>
  </cols>
  <sheetData>
    <row r="1" spans="1:12" ht="15" customHeight="1" x14ac:dyDescent="0.25">
      <c r="A1" s="1" t="s">
        <v>959</v>
      </c>
    </row>
    <row r="2" spans="1:12" ht="15" customHeight="1" x14ac:dyDescent="0.25">
      <c r="A2" s="12" t="s">
        <v>960</v>
      </c>
    </row>
    <row r="3" spans="1:12" ht="15" customHeight="1" x14ac:dyDescent="0.25">
      <c r="A3" s="12" t="s">
        <v>961</v>
      </c>
    </row>
    <row r="5" spans="1:12" ht="15" customHeight="1" x14ac:dyDescent="0.25">
      <c r="A5" s="3" t="s">
        <v>962</v>
      </c>
      <c r="B5" s="3" t="s">
        <v>70</v>
      </c>
      <c r="C5" s="3" t="s">
        <v>963</v>
      </c>
      <c r="D5" s="3" t="s">
        <v>73</v>
      </c>
      <c r="E5" s="3" t="s">
        <v>964</v>
      </c>
      <c r="F5" s="3" t="s">
        <v>76</v>
      </c>
      <c r="G5" s="3" t="s">
        <v>158</v>
      </c>
      <c r="H5" s="3" t="s">
        <v>965</v>
      </c>
      <c r="J5" s="3" t="s">
        <v>714</v>
      </c>
      <c r="K5" s="3" t="s">
        <v>966</v>
      </c>
      <c r="L5" s="3" t="s">
        <v>967</v>
      </c>
    </row>
    <row r="6" spans="1:12" ht="15" customHeight="1" x14ac:dyDescent="0.25">
      <c r="A6" s="2" t="s">
        <v>968</v>
      </c>
      <c r="B6" s="10">
        <v>3.8790999999999999E-2</v>
      </c>
      <c r="C6" s="10">
        <v>4.3961E-2</v>
      </c>
      <c r="D6" s="10">
        <v>4.5690000000000001E-2</v>
      </c>
      <c r="E6" s="10">
        <v>4.2279999999999998E-2</v>
      </c>
      <c r="F6" s="10">
        <v>4.1669999999999999E-2</v>
      </c>
      <c r="G6" s="10">
        <v>4.4651999999999997E-2</v>
      </c>
      <c r="H6" s="2" t="s">
        <v>969</v>
      </c>
      <c r="J6" s="2" t="s">
        <v>70</v>
      </c>
      <c r="K6" s="47">
        <f>(B24-$B$24)*10000</f>
        <v>0</v>
      </c>
      <c r="L6" s="47">
        <f>(B8-$B$8)*10000</f>
        <v>0</v>
      </c>
    </row>
    <row r="7" spans="1:12" ht="15" customHeight="1" x14ac:dyDescent="0.25">
      <c r="A7" s="2" t="s">
        <v>970</v>
      </c>
      <c r="B7" s="10">
        <v>1.7056000000000002E-2</v>
      </c>
      <c r="C7" s="10">
        <v>2.1069999999999998E-2</v>
      </c>
      <c r="D7" s="10">
        <v>2.2277000000000002E-2</v>
      </c>
      <c r="E7" s="10">
        <v>1.9286000000000001E-2</v>
      </c>
      <c r="F7" s="10">
        <v>1.8984000000000001E-2</v>
      </c>
      <c r="G7" s="10">
        <v>2.2221000000000001E-2</v>
      </c>
      <c r="H7" s="2" t="s">
        <v>971</v>
      </c>
      <c r="J7" s="2" t="s">
        <v>963</v>
      </c>
      <c r="K7" s="47">
        <f>(C24-$B$24)*10000</f>
        <v>-2.5000000000000022</v>
      </c>
      <c r="L7" s="47">
        <f>(C8-$B$8)*10000</f>
        <v>38.999999999999936</v>
      </c>
    </row>
    <row r="8" spans="1:12" ht="15" customHeight="1" x14ac:dyDescent="0.25">
      <c r="A8" s="2" t="s">
        <v>972</v>
      </c>
      <c r="B8" s="10">
        <v>4.8890000000000003E-2</v>
      </c>
      <c r="C8" s="10">
        <v>5.2789999999999997E-2</v>
      </c>
      <c r="D8" s="10">
        <v>5.4480000000000001E-2</v>
      </c>
      <c r="E8" s="10">
        <v>5.1999999999999998E-2</v>
      </c>
      <c r="F8" s="10">
        <v>4.8520000000000001E-2</v>
      </c>
      <c r="G8" s="10">
        <v>5.1159999999999997E-2</v>
      </c>
      <c r="H8" s="2" t="s">
        <v>973</v>
      </c>
      <c r="J8" s="2" t="s">
        <v>73</v>
      </c>
      <c r="K8" s="47">
        <f>(D24-$B$24)*10000</f>
        <v>13.000000000000094</v>
      </c>
      <c r="L8" s="47">
        <f>(D8-$B$8)*10000</f>
        <v>55.899999999999977</v>
      </c>
    </row>
    <row r="9" spans="1:12" ht="15" customHeight="1" x14ac:dyDescent="0.25">
      <c r="A9" s="2" t="s">
        <v>974</v>
      </c>
      <c r="B9" s="10">
        <v>5.0189999999999999E-2</v>
      </c>
      <c r="C9" s="10">
        <v>5.5530000000000003E-2</v>
      </c>
      <c r="D9" s="10">
        <v>5.8259999999999999E-2</v>
      </c>
      <c r="E9" s="10">
        <v>5.4210000000000001E-2</v>
      </c>
      <c r="F9" s="10">
        <v>5.2440000000000001E-2</v>
      </c>
      <c r="G9" s="10">
        <v>5.3789999999999998E-2</v>
      </c>
      <c r="H9" s="2" t="s">
        <v>975</v>
      </c>
      <c r="J9" s="2" t="s">
        <v>76</v>
      </c>
      <c r="K9" s="47">
        <f>(F24-$B$24)*10000</f>
        <v>-84.999999999999943</v>
      </c>
      <c r="L9" s="47">
        <f>(F8-$B$8)*10000</f>
        <v>-3.7000000000000228</v>
      </c>
    </row>
    <row r="10" spans="1:12" ht="15" customHeight="1" x14ac:dyDescent="0.25">
      <c r="A10" s="2" t="s">
        <v>976</v>
      </c>
      <c r="B10" s="10">
        <v>6.7460000000000006E-2</v>
      </c>
      <c r="C10" s="10">
        <v>7.5130000000000002E-2</v>
      </c>
      <c r="D10" s="10">
        <v>7.7039999999999997E-2</v>
      </c>
      <c r="E10" s="10">
        <v>7.9329999999999998E-2</v>
      </c>
      <c r="F10" s="10">
        <v>7.0559999999999998E-2</v>
      </c>
      <c r="G10" s="10">
        <v>6.5409999999999996E-2</v>
      </c>
      <c r="H10" s="2" t="s">
        <v>977</v>
      </c>
      <c r="J10" s="2" t="s">
        <v>158</v>
      </c>
      <c r="K10" s="47">
        <f>(G24-$B$24)*10000</f>
        <v>-93.499999999999901</v>
      </c>
      <c r="L10" s="47">
        <f>(G8-$B$8)*10000</f>
        <v>22.699999999999942</v>
      </c>
    </row>
    <row r="11" spans="1:12" ht="15" customHeight="1" x14ac:dyDescent="0.25">
      <c r="A11" s="2" t="s">
        <v>978</v>
      </c>
      <c r="B11" s="10">
        <v>6.1600000000000002E-2</v>
      </c>
      <c r="C11" s="10">
        <v>6.2E-2</v>
      </c>
      <c r="D11" s="10">
        <v>6.5600000000000006E-2</v>
      </c>
      <c r="E11" s="10">
        <v>6.0199999999999997E-2</v>
      </c>
      <c r="F11" s="10">
        <v>5.4600000000000003E-2</v>
      </c>
      <c r="G11" s="10">
        <v>5.4699999999999999E-2</v>
      </c>
      <c r="H11" s="2" t="s">
        <v>979</v>
      </c>
      <c r="J11" s="12" t="s">
        <v>980</v>
      </c>
    </row>
    <row r="12" spans="1:12" ht="15" customHeight="1" x14ac:dyDescent="0.25">
      <c r="A12" s="2" t="s">
        <v>981</v>
      </c>
      <c r="B12" s="10">
        <v>6.8099999999999994E-2</v>
      </c>
      <c r="C12" s="10">
        <v>6.7199999999999996E-2</v>
      </c>
      <c r="D12" s="10">
        <v>6.6699999999999995E-2</v>
      </c>
      <c r="E12" s="10">
        <v>6.1499999999999999E-2</v>
      </c>
      <c r="F12" s="10">
        <v>5.8099999999999999E-2</v>
      </c>
      <c r="G12" s="10">
        <v>5.6300000000000003E-2</v>
      </c>
      <c r="H12" s="2" t="s">
        <v>979</v>
      </c>
    </row>
    <row r="13" spans="1:12" ht="15" customHeight="1" x14ac:dyDescent="0.25">
      <c r="A13" s="2" t="s">
        <v>982</v>
      </c>
      <c r="B13" s="10">
        <v>6.2600000000000003E-2</v>
      </c>
      <c r="C13" s="10">
        <v>6.3200000000000006E-2</v>
      </c>
      <c r="D13" s="10">
        <v>6.7199999999999996E-2</v>
      </c>
      <c r="E13" s="10">
        <v>6.2700000000000006E-2</v>
      </c>
      <c r="F13" s="10">
        <v>5.62E-2</v>
      </c>
      <c r="G13" s="10">
        <v>5.7500000000000002E-2</v>
      </c>
      <c r="H13" s="2" t="s">
        <v>979</v>
      </c>
    </row>
    <row r="14" spans="1:12" ht="15" customHeight="1" x14ac:dyDescent="0.25">
      <c r="A14" s="2" t="s">
        <v>983</v>
      </c>
      <c r="B14" s="10">
        <v>6.9000000000000006E-2</v>
      </c>
      <c r="C14" s="10">
        <v>6.83E-2</v>
      </c>
      <c r="D14" s="10">
        <v>6.83E-2</v>
      </c>
      <c r="E14" s="10">
        <v>6.4000000000000001E-2</v>
      </c>
      <c r="F14" s="10">
        <v>5.9700000000000003E-2</v>
      </c>
      <c r="G14" s="10">
        <v>5.8999999999999997E-2</v>
      </c>
      <c r="H14" s="2" t="s">
        <v>979</v>
      </c>
    </row>
    <row r="15" spans="1:12" ht="15" customHeight="1" x14ac:dyDescent="0.25">
      <c r="A15" s="2" t="s">
        <v>984</v>
      </c>
      <c r="B15" s="10">
        <v>7.5600000000000001E-2</v>
      </c>
      <c r="C15" s="10">
        <v>7.6600000000000001E-2</v>
      </c>
      <c r="D15" s="10">
        <v>8.1600000000000006E-2</v>
      </c>
      <c r="E15" s="10">
        <v>8.0399999999999999E-2</v>
      </c>
      <c r="F15" s="10">
        <v>7.2300000000000003E-2</v>
      </c>
      <c r="G15" s="10">
        <v>7.1999999999999995E-2</v>
      </c>
      <c r="H15" s="2" t="s">
        <v>979</v>
      </c>
    </row>
    <row r="16" spans="1:12" ht="15" customHeight="1" x14ac:dyDescent="0.25">
      <c r="A16" s="2" t="s">
        <v>985</v>
      </c>
      <c r="B16" s="10">
        <v>8.1900000000000001E-2</v>
      </c>
      <c r="C16" s="10">
        <v>8.1600000000000006E-2</v>
      </c>
      <c r="D16" s="10">
        <v>8.2600000000000007E-2</v>
      </c>
      <c r="E16" s="10">
        <v>8.1699999999999995E-2</v>
      </c>
      <c r="F16" s="10">
        <v>7.5600000000000001E-2</v>
      </c>
      <c r="G16" s="10">
        <v>7.3499999999999996E-2</v>
      </c>
      <c r="H16" s="2" t="s">
        <v>979</v>
      </c>
    </row>
    <row r="17" spans="1:7" ht="15" customHeight="1" x14ac:dyDescent="0.25">
      <c r="A17" s="12" t="s">
        <v>986</v>
      </c>
    </row>
    <row r="19" spans="1:7" ht="15" customHeight="1" x14ac:dyDescent="0.25">
      <c r="A19" s="3" t="s">
        <v>756</v>
      </c>
      <c r="B19" s="3" t="s">
        <v>70</v>
      </c>
      <c r="C19" s="3" t="s">
        <v>963</v>
      </c>
      <c r="D19" s="3" t="s">
        <v>73</v>
      </c>
      <c r="E19" s="3" t="s">
        <v>964</v>
      </c>
      <c r="F19" s="3" t="s">
        <v>76</v>
      </c>
      <c r="G19" s="3" t="s">
        <v>158</v>
      </c>
    </row>
    <row r="20" spans="1:7" ht="15" customHeight="1" x14ac:dyDescent="0.25">
      <c r="A20" s="2" t="s">
        <v>987</v>
      </c>
      <c r="B20" s="51">
        <f t="shared" ref="B20:G20" si="0">B6-B7</f>
        <v>2.1734999999999997E-2</v>
      </c>
      <c r="C20" s="51">
        <f t="shared" si="0"/>
        <v>2.2891000000000002E-2</v>
      </c>
      <c r="D20" s="51">
        <f t="shared" si="0"/>
        <v>2.3413E-2</v>
      </c>
      <c r="E20" s="51">
        <f t="shared" si="0"/>
        <v>2.2993999999999997E-2</v>
      </c>
      <c r="F20" s="51">
        <f t="shared" si="0"/>
        <v>2.2685999999999998E-2</v>
      </c>
      <c r="G20" s="51">
        <f t="shared" si="0"/>
        <v>2.2430999999999996E-2</v>
      </c>
    </row>
    <row r="21" spans="1:7" ht="15" customHeight="1" x14ac:dyDescent="0.25">
      <c r="A21" s="2" t="s">
        <v>988</v>
      </c>
      <c r="B21" s="51">
        <f t="shared" ref="B21:G21" si="1">B8-B6</f>
        <v>1.0099000000000004E-2</v>
      </c>
      <c r="C21" s="51">
        <f t="shared" si="1"/>
        <v>8.8289999999999966E-3</v>
      </c>
      <c r="D21" s="51">
        <f t="shared" si="1"/>
        <v>8.7899999999999992E-3</v>
      </c>
      <c r="E21" s="51">
        <f t="shared" si="1"/>
        <v>9.7199999999999995E-3</v>
      </c>
      <c r="F21" s="51">
        <f t="shared" si="1"/>
        <v>6.8500000000000019E-3</v>
      </c>
      <c r="G21" s="51">
        <f t="shared" si="1"/>
        <v>6.5079999999999999E-3</v>
      </c>
    </row>
    <row r="22" spans="1:7" ht="15" customHeight="1" x14ac:dyDescent="0.25">
      <c r="A22" s="2" t="s">
        <v>989</v>
      </c>
      <c r="B22" s="51">
        <f t="shared" ref="B22:G22" si="2">B9-B6</f>
        <v>1.1398999999999999E-2</v>
      </c>
      <c r="C22" s="51">
        <f t="shared" si="2"/>
        <v>1.1569000000000003E-2</v>
      </c>
      <c r="D22" s="51">
        <f t="shared" si="2"/>
        <v>1.2569999999999998E-2</v>
      </c>
      <c r="E22" s="51">
        <f t="shared" si="2"/>
        <v>1.1930000000000003E-2</v>
      </c>
      <c r="F22" s="51">
        <f t="shared" si="2"/>
        <v>1.0770000000000002E-2</v>
      </c>
      <c r="G22" s="51">
        <f t="shared" si="2"/>
        <v>9.1380000000000003E-3</v>
      </c>
    </row>
    <row r="23" spans="1:7" ht="15" customHeight="1" x14ac:dyDescent="0.25">
      <c r="A23" s="2" t="s">
        <v>990</v>
      </c>
      <c r="B23" s="51">
        <f t="shared" ref="B23:G23" si="3">B10-B6</f>
        <v>2.8669000000000007E-2</v>
      </c>
      <c r="C23" s="51">
        <f t="shared" si="3"/>
        <v>3.1169000000000002E-2</v>
      </c>
      <c r="D23" s="51">
        <f t="shared" si="3"/>
        <v>3.1349999999999996E-2</v>
      </c>
      <c r="E23" s="51">
        <f t="shared" si="3"/>
        <v>3.705E-2</v>
      </c>
      <c r="F23" s="51">
        <f t="shared" si="3"/>
        <v>2.8889999999999999E-2</v>
      </c>
      <c r="G23" s="51">
        <f t="shared" si="3"/>
        <v>2.0757999999999999E-2</v>
      </c>
    </row>
    <row r="24" spans="1:7" ht="15" customHeight="1" x14ac:dyDescent="0.25">
      <c r="A24" s="2" t="s">
        <v>991</v>
      </c>
      <c r="B24" s="51">
        <f t="shared" ref="B24:G24" si="4">IF(OR(B11="",B12=""),"",(B11+B12)/2)</f>
        <v>6.4849999999999991E-2</v>
      </c>
      <c r="C24" s="51">
        <f t="shared" si="4"/>
        <v>6.4599999999999991E-2</v>
      </c>
      <c r="D24" s="51">
        <f t="shared" si="4"/>
        <v>6.615E-2</v>
      </c>
      <c r="E24" s="51">
        <f t="shared" si="4"/>
        <v>6.0850000000000001E-2</v>
      </c>
      <c r="F24" s="51">
        <f t="shared" si="4"/>
        <v>5.6349999999999997E-2</v>
      </c>
      <c r="G24" s="51">
        <f t="shared" si="4"/>
        <v>5.5500000000000001E-2</v>
      </c>
    </row>
    <row r="25" spans="1:7" ht="15" customHeight="1" x14ac:dyDescent="0.25">
      <c r="A25" s="2" t="s">
        <v>992</v>
      </c>
      <c r="B25" s="51">
        <f t="shared" ref="B25:G25" si="5">IF(OR(B13="",B14=""),"",(B13+B14)/2)</f>
        <v>6.5799999999999997E-2</v>
      </c>
      <c r="C25" s="51">
        <f t="shared" si="5"/>
        <v>6.5750000000000003E-2</v>
      </c>
      <c r="D25" s="51">
        <f t="shared" si="5"/>
        <v>6.7750000000000005E-2</v>
      </c>
      <c r="E25" s="51">
        <f t="shared" si="5"/>
        <v>6.3350000000000004E-2</v>
      </c>
      <c r="F25" s="51">
        <f t="shared" si="5"/>
        <v>5.7950000000000002E-2</v>
      </c>
      <c r="G25" s="51">
        <f t="shared" si="5"/>
        <v>5.8249999999999996E-2</v>
      </c>
    </row>
    <row r="26" spans="1:7" ht="15" customHeight="1" x14ac:dyDescent="0.25">
      <c r="A26" s="2" t="s">
        <v>993</v>
      </c>
      <c r="B26" s="51">
        <f t="shared" ref="B26:G26" si="6">IF(OR(B15="",B16=""),"",(B15+B16)/2)</f>
        <v>7.8750000000000001E-2</v>
      </c>
      <c r="C26" s="51">
        <f t="shared" si="6"/>
        <v>7.9100000000000004E-2</v>
      </c>
      <c r="D26" s="51">
        <f t="shared" si="6"/>
        <v>8.2100000000000006E-2</v>
      </c>
      <c r="E26" s="51">
        <f t="shared" si="6"/>
        <v>8.1049999999999997E-2</v>
      </c>
      <c r="F26" s="51">
        <f t="shared" si="6"/>
        <v>7.3950000000000002E-2</v>
      </c>
      <c r="G26" s="51">
        <f t="shared" si="6"/>
        <v>7.2749999999999995E-2</v>
      </c>
    </row>
    <row r="28" spans="1:7" ht="15" customHeight="1" x14ac:dyDescent="0.25">
      <c r="A28" s="3" t="s">
        <v>994</v>
      </c>
      <c r="B28" s="3" t="s">
        <v>855</v>
      </c>
      <c r="C28" s="3" t="s">
        <v>995</v>
      </c>
      <c r="D28" s="3" t="s">
        <v>858</v>
      </c>
    </row>
    <row r="29" spans="1:7" ht="15" customHeight="1" x14ac:dyDescent="0.25">
      <c r="A29" s="2" t="s">
        <v>996</v>
      </c>
      <c r="B29" s="22">
        <f>((D24-B24)-(D8-B8))*10000</f>
        <v>-42.899999999999885</v>
      </c>
      <c r="C29" s="22">
        <f>((D25-B25)-(D9-B9))*10000</f>
        <v>-61.199999999999932</v>
      </c>
      <c r="D29" s="22">
        <f>((D26-B26)-(D10-B10))*10000</f>
        <v>-62.299999999999855</v>
      </c>
    </row>
    <row r="30" spans="1:7" ht="15" customHeight="1" x14ac:dyDescent="0.25">
      <c r="A30" s="2" t="s">
        <v>997</v>
      </c>
      <c r="B30" s="22">
        <f>((F24-D24)-(F8-D8))*10000</f>
        <v>-38.400000000000034</v>
      </c>
      <c r="C30" s="22">
        <f>((F25-D25)-(F9-D9))*10000</f>
        <v>-39.800000000000047</v>
      </c>
      <c r="D30" s="22">
        <f>((F26-D26)-(F10-D10))*10000</f>
        <v>-16.700000000000049</v>
      </c>
    </row>
    <row r="31" spans="1:7" ht="15" customHeight="1" x14ac:dyDescent="0.25">
      <c r="A31" s="2" t="s">
        <v>998</v>
      </c>
      <c r="B31" s="22">
        <f>((G24-F24)-(G8-F8))*10000</f>
        <v>-34.899999999999935</v>
      </c>
      <c r="C31" s="22">
        <f>((G25-F25)-(G9-F9))*10000</f>
        <v>-10.500000000000023</v>
      </c>
      <c r="D31" s="22">
        <f>((G26-F26)-(G10-F10))*10000</f>
        <v>39.49999999999995</v>
      </c>
    </row>
    <row r="32" spans="1:7" ht="15" customHeight="1" x14ac:dyDescent="0.25">
      <c r="A32" s="27" t="s">
        <v>999</v>
      </c>
      <c r="B32" s="28">
        <f>((G24-B24)-(G8-B8))*10000</f>
        <v>-116.19999999999985</v>
      </c>
      <c r="C32" s="28">
        <f>((G25-B25)-(G9-B9))*10000</f>
        <v>-111.5</v>
      </c>
      <c r="D32" s="28">
        <f>((G26-B26)-(G10-B10))*10000</f>
        <v>-39.49999999999995</v>
      </c>
    </row>
    <row r="33" spans="1:4" ht="15" customHeight="1" x14ac:dyDescent="0.25">
      <c r="A33" s="2" t="s">
        <v>1000</v>
      </c>
      <c r="B33" s="32">
        <f>Inputs!$C$122/(Inputs!$C$122+Inputs!$C$123+Inputs!$C$124)</f>
        <v>0.74598505296307294</v>
      </c>
      <c r="C33" s="32">
        <f>Inputs!$C$123/(Inputs!$C$122+Inputs!$C$123+Inputs!$C$124)</f>
        <v>0.17635041129660003</v>
      </c>
      <c r="D33" s="32">
        <f>Inputs!$C$124/(Inputs!$C$122+Inputs!$C$123+Inputs!$C$124)</f>
        <v>7.7664535740327043E-2</v>
      </c>
    </row>
    <row r="34" spans="1:4" ht="15" customHeight="1" x14ac:dyDescent="0.25">
      <c r="A34" s="27" t="s">
        <v>1001</v>
      </c>
      <c r="B34" s="28">
        <f>SUMPRODUCT(B32:D32,B33:D33)</f>
        <v>-109.41428317562278</v>
      </c>
    </row>
    <row r="36" spans="1:4" ht="15" customHeight="1" x14ac:dyDescent="0.25">
      <c r="A36" s="3" t="s">
        <v>1002</v>
      </c>
      <c r="B36" s="3" t="s">
        <v>855</v>
      </c>
      <c r="C36" s="3" t="s">
        <v>995</v>
      </c>
      <c r="D36" s="3" t="s">
        <v>858</v>
      </c>
    </row>
    <row r="37" spans="1:4" ht="15" customHeight="1" x14ac:dyDescent="0.25">
      <c r="A37" s="2" t="s">
        <v>1003</v>
      </c>
      <c r="B37" s="14">
        <v>0.5</v>
      </c>
    </row>
    <row r="38" spans="1:4" ht="15" customHeight="1" x14ac:dyDescent="0.25">
      <c r="A38" s="2" t="s">
        <v>1004</v>
      </c>
      <c r="B38" s="14">
        <v>0.8</v>
      </c>
    </row>
    <row r="39" spans="1:4" ht="15" customHeight="1" x14ac:dyDescent="0.25">
      <c r="A39" s="2" t="s">
        <v>1005</v>
      </c>
      <c r="B39" s="47">
        <f>(G8-D8)*10000</f>
        <v>-33.200000000000038</v>
      </c>
      <c r="C39" s="47">
        <f>(G9-D9)*10000</f>
        <v>-44.700000000000017</v>
      </c>
      <c r="D39" s="47">
        <f>(G10-D10)*10000</f>
        <v>-116.30000000000001</v>
      </c>
    </row>
    <row r="40" spans="1:4" ht="15" customHeight="1" x14ac:dyDescent="0.25">
      <c r="A40" s="2" t="s">
        <v>1006</v>
      </c>
      <c r="B40" s="47">
        <f>(G24-D24)*10000</f>
        <v>-106.5</v>
      </c>
      <c r="C40" s="47">
        <f>(G25-D25)*10000</f>
        <v>-95.000000000000085</v>
      </c>
      <c r="D40" s="47">
        <f>(G26-D26)*10000</f>
        <v>-93.500000000000114</v>
      </c>
    </row>
    <row r="41" spans="1:4" ht="15" customHeight="1" x14ac:dyDescent="0.25">
      <c r="A41" s="2" t="s">
        <v>1007</v>
      </c>
      <c r="B41" s="75">
        <f>IF(B40=0,"",B39/B40)</f>
        <v>0.31173708920187831</v>
      </c>
      <c r="C41" s="75">
        <f>IF(C40=0,"",C39/C40)</f>
        <v>0.47052631578947346</v>
      </c>
      <c r="D41" s="75">
        <f>IF(D40=0,"",D39/D40)</f>
        <v>1.2438502673796779</v>
      </c>
    </row>
    <row r="42" spans="1:4" ht="15" customHeight="1" x14ac:dyDescent="0.25">
      <c r="A42" s="27" t="s">
        <v>1008</v>
      </c>
      <c r="B42" s="27" t="str">
        <f>IF(B41="","",IF(B41&lt;$B$37,"Se mantiene",IF(B41&gt;$B$38,"No se mantiene","Zona intermedia")))</f>
        <v>Se mantiene</v>
      </c>
      <c r="C42" s="27" t="str">
        <f>IF(C41="","",IF(C41&lt;$B$37,"Se mantiene",IF(C41&gt;$B$38,"No se mantiene","Zona intermedia")))</f>
        <v>Se mantiene</v>
      </c>
      <c r="D42" s="27" t="str">
        <f>IF(D41="","",IF(D41&lt;$B$37,"Se mantiene",IF(D41&gt;$B$38,"No se mantiene","Zona intermedia")))</f>
        <v>No se mantiene</v>
      </c>
    </row>
    <row r="44" spans="1:4" ht="15" customHeight="1" x14ac:dyDescent="0.25">
      <c r="A44" s="3" t="s">
        <v>1009</v>
      </c>
      <c r="B44" s="3" t="s">
        <v>1010</v>
      </c>
      <c r="C44" s="3" t="s">
        <v>1011</v>
      </c>
      <c r="D44" s="3" t="s">
        <v>15</v>
      </c>
    </row>
    <row r="45" spans="1:4" ht="15" customHeight="1" x14ac:dyDescent="0.25">
      <c r="A45" s="2" t="s">
        <v>968</v>
      </c>
      <c r="B45" s="10">
        <v>5.2276999999999997E-2</v>
      </c>
      <c r="C45" s="47">
        <f>(B45-G6)*10000</f>
        <v>76.25</v>
      </c>
      <c r="D45" s="2" t="s">
        <v>1012</v>
      </c>
    </row>
    <row r="46" spans="1:4" ht="15" customHeight="1" x14ac:dyDescent="0.25">
      <c r="A46" s="2" t="s">
        <v>972</v>
      </c>
      <c r="B46" s="10">
        <v>5.9560000000000002E-2</v>
      </c>
      <c r="C46" s="47">
        <f>(B46-G8)*10000</f>
        <v>84.000000000000043</v>
      </c>
      <c r="D46" s="2" t="s">
        <v>1013</v>
      </c>
    </row>
    <row r="47" spans="1:4" ht="15" customHeight="1" x14ac:dyDescent="0.25">
      <c r="A47" s="2" t="s">
        <v>974</v>
      </c>
      <c r="B47" s="10">
        <v>6.1460000000000001E-2</v>
      </c>
      <c r="C47" s="47">
        <f>(B47-G9)*10000</f>
        <v>76.700000000000031</v>
      </c>
      <c r="D47" s="2" t="s">
        <v>1013</v>
      </c>
    </row>
    <row r="48" spans="1:4" ht="15" customHeight="1" x14ac:dyDescent="0.25">
      <c r="A48" s="2" t="s">
        <v>976</v>
      </c>
      <c r="B48" s="10">
        <v>7.5569999999999998E-2</v>
      </c>
      <c r="C48" s="47">
        <f>(B48-G10)*10000</f>
        <v>101.60000000000002</v>
      </c>
      <c r="D48" s="2" t="s">
        <v>1013</v>
      </c>
    </row>
    <row r="49" spans="1:6" ht="15" customHeight="1" x14ac:dyDescent="0.25">
      <c r="A49" s="12" t="s">
        <v>1014</v>
      </c>
    </row>
    <row r="51" spans="1:6" ht="15" customHeight="1" x14ac:dyDescent="0.25">
      <c r="A51" s="3" t="s">
        <v>1015</v>
      </c>
      <c r="B51" s="27" t="s">
        <v>855</v>
      </c>
      <c r="C51" s="27" t="s">
        <v>995</v>
      </c>
      <c r="D51" s="27" t="s">
        <v>858</v>
      </c>
    </row>
    <row r="52" spans="1:6" ht="15" customHeight="1" x14ac:dyDescent="0.25">
      <c r="A52" s="2" t="s">
        <v>1016</v>
      </c>
      <c r="B52" s="23">
        <f>((E24-D24)-(E8-D8))*10000</f>
        <v>-28.19999999999996</v>
      </c>
      <c r="C52" s="23">
        <f>((E25-D25)-(E9-D9))*10000</f>
        <v>-3.5000000000000311</v>
      </c>
      <c r="D52" s="23">
        <f>((E26-D26)-(E10-D10))*10000</f>
        <v>-33.400000000000098</v>
      </c>
    </row>
    <row r="53" spans="1:6" ht="15" customHeight="1" x14ac:dyDescent="0.25">
      <c r="A53" s="2" t="s">
        <v>1017</v>
      </c>
      <c r="B53" s="23">
        <f>((F24-E24)-(F8-E8))*10000</f>
        <v>-10.20000000000007</v>
      </c>
      <c r="C53" s="23">
        <f>((F25-E25)-(F9-E9))*10000</f>
        <v>-36.300000000000011</v>
      </c>
      <c r="D53" s="23">
        <f>((F26-E26)-(F10-E10))*10000</f>
        <v>16.700000000000049</v>
      </c>
    </row>
    <row r="54" spans="1:6" ht="15" customHeight="1" x14ac:dyDescent="0.25">
      <c r="A54" s="2" t="s">
        <v>1018</v>
      </c>
      <c r="B54" s="14">
        <v>0.27</v>
      </c>
    </row>
    <row r="55" spans="1:6" ht="15" customHeight="1" x14ac:dyDescent="0.25">
      <c r="A55" s="2" t="s">
        <v>534</v>
      </c>
      <c r="B55" s="20">
        <f>Inputs!$C$125</f>
        <v>2190</v>
      </c>
    </row>
    <row r="56" spans="1:6" ht="15" customHeight="1" x14ac:dyDescent="0.25">
      <c r="A56" s="2" t="s">
        <v>1019</v>
      </c>
      <c r="B56" s="51">
        <f>G24</f>
        <v>5.5500000000000001E-2</v>
      </c>
    </row>
    <row r="58" spans="1:6" ht="15" customHeight="1" x14ac:dyDescent="0.25">
      <c r="A58" s="3" t="s">
        <v>1020</v>
      </c>
      <c r="B58" s="3" t="s">
        <v>1021</v>
      </c>
      <c r="C58" s="3" t="s">
        <v>1022</v>
      </c>
      <c r="D58" s="3" t="s">
        <v>1023</v>
      </c>
      <c r="E58" s="3" t="s">
        <v>1024</v>
      </c>
      <c r="F58" s="3" t="s">
        <v>1025</v>
      </c>
    </row>
    <row r="59" spans="1:6" ht="15" customHeight="1" x14ac:dyDescent="0.25">
      <c r="A59" s="2" t="s">
        <v>1026</v>
      </c>
      <c r="B59" s="51">
        <f>B24+(G8-B8)</f>
        <v>6.7119999999999985E-2</v>
      </c>
      <c r="C59" s="46">
        <f>($B$56-$B$53)/(B59-$B$53)-1</f>
        <v>-1.1317682076374957E-3</v>
      </c>
      <c r="D59" s="47">
        <f>C59*$B$52</f>
        <v>3.1915863455377336E-2</v>
      </c>
      <c r="E59" s="47">
        <f>D59*(1-$B$54)</f>
        <v>2.3298580322425454E-2</v>
      </c>
      <c r="F59" s="47">
        <f>E59/$B$55</f>
        <v>1.0638621151792445E-5</v>
      </c>
    </row>
    <row r="60" spans="1:6" ht="15" customHeight="1" x14ac:dyDescent="0.25">
      <c r="A60" s="2" t="s">
        <v>1027</v>
      </c>
      <c r="B60" s="51">
        <f>B56+(B46-G8)</f>
        <v>6.3900000000000012E-2</v>
      </c>
      <c r="C60" s="46">
        <f>($B$56-$B$53)/(B60-$B$53)-1</f>
        <v>-8.184023616754077E-4</v>
      </c>
      <c r="D60" s="47">
        <f>C60*$B$52</f>
        <v>2.3078946599246464E-2</v>
      </c>
      <c r="E60" s="47">
        <f>D60*(1-$B$54)</f>
        <v>1.6847631017449918E-2</v>
      </c>
      <c r="F60" s="47">
        <f>E60/$B$55</f>
        <v>7.6929821997488205E-6</v>
      </c>
    </row>
    <row r="61" spans="1:6" ht="15" customHeight="1" x14ac:dyDescent="0.25">
      <c r="A61" s="12" t="s">
        <v>1028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README</vt:lpstr>
      <vt:lpstr>Inputs</vt:lpstr>
      <vt:lpstr>Forecast</vt:lpstr>
      <vt:lpstr>Forecast_link</vt:lpstr>
      <vt:lpstr>FCFF_DCF</vt:lpstr>
      <vt:lpstr>DCF_Valuation</vt:lpstr>
      <vt:lpstr>Peers_inputs</vt:lpstr>
      <vt:lpstr>E1_DuPont</vt:lpstr>
      <vt:lpstr>E2_FFO_bridge</vt:lpstr>
      <vt:lpstr>E3_Growth</vt:lpstr>
      <vt:lpstr>E4_Cash</vt:lpstr>
      <vt:lpstr>E5_Leverage</vt:lpstr>
      <vt:lpstr>E6_Debt</vt:lpstr>
      <vt:lpstr>E7_WACC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 Marcelo Pavez Gutiérrez</cp:lastModifiedBy>
  <cp:revision>7</cp:revision>
  <dcterms:created xsi:type="dcterms:W3CDTF">2026-09-27T23:06:53Z</dcterms:created>
  <dcterms:modified xsi:type="dcterms:W3CDTF">2026-10-06T02:03:36Z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