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10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1.vml" ContentType="application/vnd.openxmlformats-officedocument.vmlDrawing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omments11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README" sheetId="1" state="visible" r:id="rId3"/>
    <sheet name="Inputs" sheetId="2" state="visible" r:id="rId4"/>
    <sheet name="Forecast" sheetId="3" state="visible" r:id="rId5"/>
    <sheet name="Forecast_link" sheetId="4" state="visible" r:id="rId6"/>
    <sheet name="FCFF_DCF" sheetId="5" state="visible" r:id="rId7"/>
    <sheet name="DCF_Valuation" sheetId="6" state="visible" r:id="rId8"/>
    <sheet name="Peers_inputs" sheetId="7" state="visible" r:id="rId9"/>
    <sheet name="E1_DuPont" sheetId="8" state="visible" r:id="rId10"/>
    <sheet name="E2_FFO_bridge" sheetId="9" state="visible" r:id="rId11"/>
    <sheet name="E3_Growth" sheetId="10" state="visible" r:id="rId12"/>
    <sheet name="E4_Cash" sheetId="11" state="visible" r:id="rId13"/>
    <sheet name="E5_Leverage" sheetId="12" state="visible" r:id="rId14"/>
    <sheet name="E6_Debt" sheetId="13" state="visible" r:id="rId15"/>
    <sheet name="E7_WACC" sheetId="14" state="visible" r:id="rId16"/>
    <sheet name="E8_ROIC_RONIC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EBITDA 1S26 [C] = 267.581 + D&amp;A 2.993; WP §52</t>
        </r>
      </text>
    </comment>
  </commentList>
</comments>
</file>

<file path=xl/sharedStrings.xml><?xml version="1.0" encoding="utf-8"?>
<sst xmlns="http://schemas.openxmlformats.org/spreadsheetml/2006/main" count="1955" uniqueCount="1066">
  <si>
    <t xml:space="preserve">Mallplaza (Plaza S.A.) — Financial Analysis exhibits v5 · 05-10-2026 (v4 + hoja FCFF_DCF: interfaz forecast ↔ valuation)</t>
  </si>
  <si>
    <t xml:space="preserve">Borrador de trabajo del equipo. Todo número debe verificarse contra la fuente citada en Inputs antes de entrar al informe.</t>
  </si>
  <si>
    <t xml:space="preserve">Convención de colores: azul = dato ingresado [R]/[C]; negro = fórmula; verde = vínculo a la hoja Inputs; amarillo = alerta.</t>
  </si>
  <si>
    <t xml:space="preserve">Hojas: Inputs · Forecast · Forecast_link · FCFF_DCF · Peers_inputs · E1_DuPont · E2_FFO_bridge · E3_Growth · E4_Cash · E5_Leverage · E6_Debt · E7_WACC</t>
  </si>
  <si>
    <t xml:space="preserve">Para actualizar: cambiar solo valores azules en Inputs, Peers_inputs, E6 (tabla de bonos) o E7 (tabla de tasas).</t>
  </si>
  <si>
    <t xml:space="preserve">Pendientes: covenant (E5); tasas de descuento de los pares (CMF); GLA de Colombia por año (E3); IPC mensual Colombia (E3); ticker Colombia USD 10Y (E7); ingresos 2019–2020 y EBITDA 2019 (E1); fecha de cierre de Gran Plaza (Forecast); dueño del motor operativo con valuation.</t>
  </si>
  <si>
    <t xml:space="preserve">v3 (28-09): Inputs +26 filas (tipo de cambio, inflación, PI por país, Chile segmento); nueva hoja Peers_inputs; E1 bloque C (pares); E3 bloque B (moneda local y real) + gráfico; E5 bloque de pares; nueva hoja E7_WACC con gráfico. E2, E4 y E6 sin cambios.</t>
  </si>
  <si>
    <t xml:space="preserve">v4 (05-10): nueva hoja Forecast (motor operativo); Forecast_link vinculado; Inputs: utilidad 2022 reformulada 157.667, distribuible 2023 = 197.540 [R] y 2022 [C], balances 2022; E7: WACC jun-25 y residuos semestrales 2025.</t>
  </si>
  <si>
    <t xml:space="preserve">v6+ (16-10): nueva hoja E8_ROIC_RONIC (ROIC 2025 = NOPAT / capital promedio a valor razonable; RONIC de la expansión).</t>
  </si>
  <si>
    <t xml:space="preserve">Inputs — datos reportados [R] y supuestos [S] (MM CLP salvo indicación)</t>
  </si>
  <si>
    <t xml:space="preserve">Clave</t>
  </si>
  <si>
    <t xml:space="preserve">Concepto</t>
  </si>
  <si>
    <t xml:space="preserve">Valor</t>
  </si>
  <si>
    <t xml:space="preserve">Unidad</t>
  </si>
  <si>
    <t xml:space="preserve">Período</t>
  </si>
  <si>
    <t xml:space="preserve">Tag</t>
  </si>
  <si>
    <t xml:space="preserve">Fuente</t>
  </si>
  <si>
    <t xml:space="preserve">rev23</t>
  </si>
  <si>
    <t xml:space="preserve">Ingresos ordinarios</t>
  </si>
  <si>
    <t xml:space="preserve">MM CLP</t>
  </si>
  <si>
    <t xml:space="preserve">FY2023</t>
  </si>
  <si>
    <t xml:space="preserve">R</t>
  </si>
  <si>
    <t xml:space="preserve">EEFF dic-24, EERR (comparativo)</t>
  </si>
  <si>
    <t xml:space="preserve">rev24</t>
  </si>
  <si>
    <t xml:space="preserve">FY2024</t>
  </si>
  <si>
    <t xml:space="preserve">EEFF dic-25, EERR (reformulado)</t>
  </si>
  <si>
    <t xml:space="preserve">rev25</t>
  </si>
  <si>
    <t xml:space="preserve">FY2025</t>
  </si>
  <si>
    <t xml:space="preserve">EEFF dic-25, EERR</t>
  </si>
  <si>
    <t xml:space="preserve">rev1s25</t>
  </si>
  <si>
    <t xml:space="preserve">1S25</t>
  </si>
  <si>
    <t xml:space="preserve">EEFF jun-26, EERR (comparativo)</t>
  </si>
  <si>
    <t xml:space="preserve">rev1s26</t>
  </si>
  <si>
    <t xml:space="preserve">1S26</t>
  </si>
  <si>
    <t xml:space="preserve">EEFF jun-26, EERR</t>
  </si>
  <si>
    <t xml:space="preserve">ebitda24</t>
  </si>
  <si>
    <t xml:space="preserve">EBITDA (definición compañía)</t>
  </si>
  <si>
    <t xml:space="preserve">Análisis Razonado 2025</t>
  </si>
  <si>
    <t xml:space="preserve">ebitda25</t>
  </si>
  <si>
    <t xml:space="preserve">Análisis Razonado 2025; reconciliado WP §2.1</t>
  </si>
  <si>
    <t xml:space="preserve">ni_cons25</t>
  </si>
  <si>
    <t xml:space="preserve">Ganancia consolidada</t>
  </si>
  <si>
    <t xml:space="preserve">ni24</t>
  </si>
  <si>
    <t xml:space="preserve">Utilidad atribuible a la controladora</t>
  </si>
  <si>
    <t xml:space="preserve">ni25</t>
  </si>
  <si>
    <t xml:space="preserve">nci25</t>
  </si>
  <si>
    <t xml:space="preserve">Utilidad atribuible a no controladores</t>
  </si>
  <si>
    <t xml:space="preserve">oif25</t>
  </si>
  <si>
    <t xml:space="preserve">Otros ingresos por función (incl. valor razonable 1.447.136)</t>
  </si>
  <si>
    <t xml:space="preserve">EEFF dic-25, Nota 23.2</t>
  </si>
  <si>
    <t xml:space="preserve">ogf25</t>
  </si>
  <si>
    <t xml:space="preserve">Otros gastos por función</t>
  </si>
  <si>
    <t xml:space="preserve">EEFF dic-25, Nota 23.3</t>
  </si>
  <si>
    <t xml:space="preserve">da25</t>
  </si>
  <si>
    <t xml:space="preserve">Depreciación y amortización</t>
  </si>
  <si>
    <t xml:space="preserve">EEFF dic-25, Nota 23.1 (2.439 + 1.171)</t>
  </si>
  <si>
    <t xml:space="preserve">reaj25</t>
  </si>
  <si>
    <t xml:space="preserve">Resultados por unidades de reajuste (pérdida)</t>
  </si>
  <si>
    <t xml:space="preserve">EEFF dic-25, Nota 23.5</t>
  </si>
  <si>
    <t xml:space="preserve">dtax25</t>
  </si>
  <si>
    <t xml:space="preserve">Impuesto diferido (351.567 + 13.504)</t>
  </si>
  <si>
    <t xml:space="preserve">EEFF dic-25, Nota 13.1</t>
  </si>
  <si>
    <t xml:space="preserve">ffo25_rep</t>
  </si>
  <si>
    <t xml:space="preserve">FFO ajustado atribuible (compañía)</t>
  </si>
  <si>
    <t xml:space="preserve">Presentación institucional 2T26</t>
  </si>
  <si>
    <t xml:space="preserve">dist24</t>
  </si>
  <si>
    <t xml:space="preserve">Utilidad líquida distribuible</t>
  </si>
  <si>
    <t xml:space="preserve">EEFF dic-25, Nota 20e</t>
  </si>
  <si>
    <t xml:space="preserve">dist25</t>
  </si>
  <si>
    <t xml:space="preserve">ta23</t>
  </si>
  <si>
    <t xml:space="preserve">Total activos</t>
  </si>
  <si>
    <t xml:space="preserve">dic-23</t>
  </si>
  <si>
    <t xml:space="preserve">EEFF dic-24, balance (435.127 + 4.361.209)</t>
  </si>
  <si>
    <t xml:space="preserve">ta24</t>
  </si>
  <si>
    <t xml:space="preserve">dic-24</t>
  </si>
  <si>
    <t xml:space="preserve">EEFF dic-25, balance (405.013 + 5.510.060)</t>
  </si>
  <si>
    <t xml:space="preserve">ta25</t>
  </si>
  <si>
    <t xml:space="preserve">dic-25</t>
  </si>
  <si>
    <t xml:space="preserve">EEFF dic-25, balance</t>
  </si>
  <si>
    <t xml:space="preserve">eq23</t>
  </si>
  <si>
    <t xml:space="preserve">Patrimonio atribuible a la controladora</t>
  </si>
  <si>
    <t xml:space="preserve">EEFF dic-24, balance</t>
  </si>
  <si>
    <t xml:space="preserve">eq24</t>
  </si>
  <si>
    <t xml:space="preserve">EEFF dic-24, Nota 26 (covenant)</t>
  </si>
  <si>
    <t xml:space="preserve">eq25</t>
  </si>
  <si>
    <t xml:space="preserve">EEFF dic-25 (4.524.553 − no controladores 41.648)</t>
  </si>
  <si>
    <t xml:space="preserve">cl_1s25</t>
  </si>
  <si>
    <t xml:space="preserve">Ingresos segmento Chile</t>
  </si>
  <si>
    <t xml:space="preserve">EEFF jun-26, Nota 24</t>
  </si>
  <si>
    <t xml:space="preserve">cl_1s26</t>
  </si>
  <si>
    <t xml:space="preserve">co_1s25</t>
  </si>
  <si>
    <t xml:space="preserve">Ingresos segmento Colombia</t>
  </si>
  <si>
    <t xml:space="preserve">co_1s26</t>
  </si>
  <si>
    <t xml:space="preserve">pe_1s25</t>
  </si>
  <si>
    <t xml:space="preserve">Ingresos segmento Perú</t>
  </si>
  <si>
    <t xml:space="preserve">pe_1s26</t>
  </si>
  <si>
    <t xml:space="preserve">cl24</t>
  </si>
  <si>
    <t xml:space="preserve">EEFF dic-25, Nota 25</t>
  </si>
  <si>
    <t xml:space="preserve">cl25</t>
  </si>
  <si>
    <t xml:space="preserve">co24</t>
  </si>
  <si>
    <t xml:space="preserve">co25</t>
  </si>
  <si>
    <t xml:space="preserve">pe24</t>
  </si>
  <si>
    <t xml:space="preserve">pe25</t>
  </si>
  <si>
    <t xml:space="preserve">var23</t>
  </si>
  <si>
    <t xml:space="preserve">Rentas variables</t>
  </si>
  <si>
    <t xml:space="preserve">EEFF dic-24, Nota 12</t>
  </si>
  <si>
    <t xml:space="preserve">var24</t>
  </si>
  <si>
    <t xml:space="preserve">EEFF dic-25, Nota 12</t>
  </si>
  <si>
    <t xml:space="preserve">var25</t>
  </si>
  <si>
    <t xml:space="preserve">var1s25</t>
  </si>
  <si>
    <t xml:space="preserve">EEFF jun-26, Nota 11</t>
  </si>
  <si>
    <t xml:space="preserve">var1s26</t>
  </si>
  <si>
    <t xml:space="preserve">uf_avg24</t>
  </si>
  <si>
    <t xml:space="preserve">UF promedio (proxy: promedio de 12 cierres de mes)</t>
  </si>
  <si>
    <t xml:space="preserve">CLP</t>
  </si>
  <si>
    <t xml:space="preserve">C</t>
  </si>
  <si>
    <t xml:space="preserve">valor-uf.cl, serie SII/BCCh, cierres de mes 2024</t>
  </si>
  <si>
    <t xml:space="preserve">uf_avg25</t>
  </si>
  <si>
    <t xml:space="preserve">sii.cl/valores_y_fechas/uf/uf2025.htm, cierres de mes</t>
  </si>
  <si>
    <t xml:space="preserve">uf_1s25</t>
  </si>
  <si>
    <t xml:space="preserve">UF promedio 1S (promedio de inicio y cierre de cada mes)</t>
  </si>
  <si>
    <t xml:space="preserve">sii.cl uf2025; ene–jun</t>
  </si>
  <si>
    <t xml:space="preserve">uf_1s26</t>
  </si>
  <si>
    <t xml:space="preserve">valor-uf.cl/uf-historico/2026; ene–jun</t>
  </si>
  <si>
    <t xml:space="preserve">cfo24</t>
  </si>
  <si>
    <t xml:space="preserve">Flujo operativo (método directo)</t>
  </si>
  <si>
    <t xml:space="preserve">EEFF dic-25, estado de flujos</t>
  </si>
  <si>
    <t xml:space="preserve">cfo25</t>
  </si>
  <si>
    <t xml:space="preserve">cfo1s26</t>
  </si>
  <si>
    <t xml:space="preserve">EEFF jun-26, estado de flujos</t>
  </si>
  <si>
    <t xml:space="preserve">capex24</t>
  </si>
  <si>
    <t xml:space="preserve">Capex total (PI + intangibles + PPE)</t>
  </si>
  <si>
    <t xml:space="preserve">EEFF dic-25, estado de flujos (73.493 + 2.322 + 506)</t>
  </si>
  <si>
    <t xml:space="preserve">capex25</t>
  </si>
  <si>
    <t xml:space="preserve">EEFF dic-25, estado de flujos (97.872 + 4.530 + 1.240)</t>
  </si>
  <si>
    <t xml:space="preserve">capex1s26</t>
  </si>
  <si>
    <t xml:space="preserve">Capex total</t>
  </si>
  <si>
    <t xml:space="preserve">EEFF jun-26, estado de flujos (WP §60)</t>
  </si>
  <si>
    <t xml:space="preserve">int24</t>
  </si>
  <si>
    <t xml:space="preserve">Intereses netos pagados (pagados − recibidos)</t>
  </si>
  <si>
    <t xml:space="preserve">EEFF dic-25, flujos (54.432 − 20.996)</t>
  </si>
  <si>
    <t xml:space="preserve">int25</t>
  </si>
  <si>
    <t xml:space="preserve">EEFF dic-25, flujos (68.174 − 10.751)</t>
  </si>
  <si>
    <t xml:space="preserve">int1s26</t>
  </si>
  <si>
    <t xml:space="preserve">Intereses netos pagados</t>
  </si>
  <si>
    <t xml:space="preserve">EEFF jun-26, flujos (WP §60)</t>
  </si>
  <si>
    <t xml:space="preserve">div24</t>
  </si>
  <si>
    <t xml:space="preserve">Dividendos pagados</t>
  </si>
  <si>
    <t xml:space="preserve">EEFF dic-25, flujos</t>
  </si>
  <si>
    <t xml:space="preserve">div25</t>
  </si>
  <si>
    <t xml:space="preserve">div1s26</t>
  </si>
  <si>
    <t xml:space="preserve">EEFF jun-26, flujos</t>
  </si>
  <si>
    <t xml:space="preserve">dfn24</t>
  </si>
  <si>
    <t xml:space="preserve">Deuda financiera neta (definición covenant)</t>
  </si>
  <si>
    <t xml:space="preserve">EEFF dic-24, Nota 26</t>
  </si>
  <si>
    <t xml:space="preserve">dfn25</t>
  </si>
  <si>
    <t xml:space="preserve">EEFF dic-25, Nota 26</t>
  </si>
  <si>
    <t xml:space="preserve">dfn2t26</t>
  </si>
  <si>
    <t xml:space="preserve">Deuda financiera neta (definición compañía)</t>
  </si>
  <si>
    <t xml:space="preserve">jun-26</t>
  </si>
  <si>
    <t xml:space="preserve">Presentación 2T26 / Análisis Razonado 1S26</t>
  </si>
  <si>
    <t xml:space="preserve">pi24</t>
  </si>
  <si>
    <t xml:space="preserve">Propiedades de inversión</t>
  </si>
  <si>
    <t xml:space="preserve">EEFF dic-25, Nota 11</t>
  </si>
  <si>
    <t xml:space="preserve">pi25</t>
  </si>
  <si>
    <t xml:space="preserve">pi2t26</t>
  </si>
  <si>
    <t xml:space="preserve">EEFF jun-26 / Análisis Razonado 1S26</t>
  </si>
  <si>
    <t xml:space="preserve">fv25</t>
  </si>
  <si>
    <t xml:space="preserve">Revalorización a valor razonable</t>
  </si>
  <si>
    <t xml:space="preserve">nde24</t>
  </si>
  <si>
    <t xml:space="preserve">DFN / EBITDA (compañía)</t>
  </si>
  <si>
    <t xml:space="preserve">x</t>
  </si>
  <si>
    <t xml:space="preserve">nde25</t>
  </si>
  <si>
    <t xml:space="preserve">nde2t26</t>
  </si>
  <si>
    <t xml:space="preserve">DFN / EBITDA LTM (compañía)</t>
  </si>
  <si>
    <t xml:space="preserve">Análisis Razonado 1S26</t>
  </si>
  <si>
    <t xml:space="preserve">dfe24</t>
  </si>
  <si>
    <t xml:space="preserve">DFN / Patrimonio (covenant)</t>
  </si>
  <si>
    <t xml:space="preserve">dfe25</t>
  </si>
  <si>
    <t xml:space="preserve">dfe2t26</t>
  </si>
  <si>
    <t xml:space="preserve">DFN / Patrimonio</t>
  </si>
  <si>
    <t xml:space="preserve">ebitda20</t>
  </si>
  <si>
    <t xml:space="preserve">FY2020</t>
  </si>
  <si>
    <t xml:space="preserve">Bloomberg ARD_REF_EBITDA_IS (WP §2)</t>
  </si>
  <si>
    <t xml:space="preserve">ebitda21</t>
  </si>
  <si>
    <t xml:space="preserve">FY2021</t>
  </si>
  <si>
    <t xml:space="preserve">ebitda22</t>
  </si>
  <si>
    <t xml:space="preserve">FY2022</t>
  </si>
  <si>
    <t xml:space="preserve">Bloomberg / presentación 2T26 (WP §2)</t>
  </si>
  <si>
    <t xml:space="preserve">ebitda23</t>
  </si>
  <si>
    <t xml:space="preserve">ebitdaltm</t>
  </si>
  <si>
    <t xml:space="preserve">EBITDA LTM</t>
  </si>
  <si>
    <t xml:space="preserve">LTM 2T26</t>
  </si>
  <si>
    <t xml:space="preserve">Presentación 2T26</t>
  </si>
  <si>
    <t xml:space="preserve">rev21</t>
  </si>
  <si>
    <t xml:space="preserve">Bloomberg FA (WP §8)</t>
  </si>
  <si>
    <t xml:space="preserve">rev22</t>
  </si>
  <si>
    <t xml:space="preserve">Ingresos ordinarios (EEFF reformulado)</t>
  </si>
  <si>
    <t xml:space="preserve">Bloomberg FA GEO / EEFF 2023 reformulado (WP §55)</t>
  </si>
  <si>
    <t xml:space="preserve">revltm</t>
  </si>
  <si>
    <t xml:space="preserve">Ingresos LTM</t>
  </si>
  <si>
    <t xml:space="preserve">ffo22</t>
  </si>
  <si>
    <t xml:space="preserve">FFO ajustado atribuible</t>
  </si>
  <si>
    <t xml:space="preserve">ffo23</t>
  </si>
  <si>
    <t xml:space="preserve">ffo24</t>
  </si>
  <si>
    <t xml:space="preserve">ffoltm</t>
  </si>
  <si>
    <t xml:space="preserve">FFO ajustado atribuible LTM</t>
  </si>
  <si>
    <t xml:space="preserve">ni22</t>
  </si>
  <si>
    <t xml:space="preserve">EEFF dic-23, EERR reformulado (Nota 3). Reemplaza 66.445 de Bloomberg (base costo, no comparable con el balance a valor razonable)</t>
  </si>
  <si>
    <t xml:space="preserve">ni23</t>
  </si>
  <si>
    <t xml:space="preserve">EEFF dic-23, EERR (349.759); coincide con Bloomberg</t>
  </si>
  <si>
    <t xml:space="preserve">dist23</t>
  </si>
  <si>
    <t xml:space="preserve">EEFF dic-23, Nota 21e (utilidad líquida y distribuible). Reemplaza la inferida 148.155</t>
  </si>
  <si>
    <t xml:space="preserve">rev19</t>
  </si>
  <si>
    <t xml:space="preserve">FY2019</t>
  </si>
  <si>
    <t xml:space="preserve">P</t>
  </si>
  <si>
    <t xml:space="preserve">PENDIENTE: Bloomberg FA (export existente)</t>
  </si>
  <si>
    <t xml:space="preserve">rev20</t>
  </si>
  <si>
    <t xml:space="preserve">ebitda19</t>
  </si>
  <si>
    <t xml:space="preserve">PENDIENTE: Bloomberg ARD_REF_EBITDA_IS</t>
  </si>
  <si>
    <t xml:space="preserve">ta21r</t>
  </si>
  <si>
    <t xml:space="preserve">Total activos REFORMULADO al 01-01-2022</t>
  </si>
  <si>
    <t xml:space="preserve">01-01-22</t>
  </si>
  <si>
    <t xml:space="preserve">EEFF dic-23, balance reformulado al 01-01-2022</t>
  </si>
  <si>
    <t xml:space="preserve">ta22</t>
  </si>
  <si>
    <t xml:space="preserve">dic-22</t>
  </si>
  <si>
    <t xml:space="preserve">EEFF dic-23, balance reformulado al 31-12-2022</t>
  </si>
  <si>
    <t xml:space="preserve">eq21r</t>
  </si>
  <si>
    <t xml:space="preserve">Patrimonio atribuible REFORMULADO al 01-01-2022</t>
  </si>
  <si>
    <t xml:space="preserve">EEFF dic-23, patrimonio atribuible reformulado al 01-01-2022</t>
  </si>
  <si>
    <t xml:space="preserve">eq22</t>
  </si>
  <si>
    <t xml:space="preserve">Patrimonio atribuible</t>
  </si>
  <si>
    <t xml:space="preserve">EEFF dic-23, patrimonio atribuible reformulado al 31-12-2022</t>
  </si>
  <si>
    <t xml:space="preserve">dist22</t>
  </si>
  <si>
    <t xml:space="preserve">Proxy: 157.667 − valor razonable 79.489 × (1 − 22,24%); 22,24% = impuesto diferido / valor razonable de la Nota 21e 2023 (43.537 / 195.756). EEFF dic-23, Notas 24.2 y 21e. La compañía no publica la cifra 2022 bajo NIC 40</t>
  </si>
  <si>
    <t xml:space="preserve">payout</t>
  </si>
  <si>
    <t xml:space="preserve">Payout sobre utilidad distribuible (política)</t>
  </si>
  <si>
    <t xml:space="preserve">%</t>
  </si>
  <si>
    <t xml:space="preserve">Política</t>
  </si>
  <si>
    <t xml:space="preserve">Acuerdo de directorio 25-01-2017; EEFF dic-25 Nota 20e</t>
  </si>
  <si>
    <t xml:space="preserve">bank25</t>
  </si>
  <si>
    <t xml:space="preserve">Obligaciones con bancos</t>
  </si>
  <si>
    <t xml:space="preserve">EEFF dic-25, Nota 14</t>
  </si>
  <si>
    <t xml:space="preserve">co23</t>
  </si>
  <si>
    <t xml:space="preserve">Bloomberg FA GEO (WP §55)</t>
  </si>
  <si>
    <t xml:space="preserve">fx_cop23</t>
  </si>
  <si>
    <t xml:space="preserve">CLP por COP, promedio del período</t>
  </si>
  <si>
    <t xml:space="preserve">CLP/COP</t>
  </si>
  <si>
    <t xml:space="preserve">FY2023 (feb–dic)</t>
  </si>
  <si>
    <t xml:space="preserve">Bloomberg USDCLP/USDCOP REGN Curncy, PX_LAST diario, cruces día a día y promediados; export 28-09-2026 (WP §82). USDCLP parte 31-01-2023</t>
  </si>
  <si>
    <t xml:space="preserve">fx_cop24</t>
  </si>
  <si>
    <t xml:space="preserve">Ídem (WP §82)</t>
  </si>
  <si>
    <t xml:space="preserve">fx_cop25</t>
  </si>
  <si>
    <t xml:space="preserve">fx_cop1s25</t>
  </si>
  <si>
    <t xml:space="preserve">fx_cop1s26</t>
  </si>
  <si>
    <t xml:space="preserve">fx_pen24</t>
  </si>
  <si>
    <t xml:space="preserve">CLP por PEN, promedio del período</t>
  </si>
  <si>
    <t xml:space="preserve">CLP/PEN</t>
  </si>
  <si>
    <t xml:space="preserve">Bloomberg USDCLP/USDPEN REGN Curncy (WP §82)</t>
  </si>
  <si>
    <t xml:space="preserve">fx_pen25</t>
  </si>
  <si>
    <t xml:space="preserve">fx_pen1s25</t>
  </si>
  <si>
    <t xml:space="preserve">fx_pen1s26</t>
  </si>
  <si>
    <t xml:space="preserve">cpi_pe24</t>
  </si>
  <si>
    <t xml:space="preserve">Inflación Perú (índice promedio vs promedio año anterior)</t>
  </si>
  <si>
    <t xml:space="preserve">INEI vía BCRPData, serie PN38705PM (IPC Lima Met., dic-2021=100) (WP §83)</t>
  </si>
  <si>
    <t xml:space="preserve">cpi_pe25</t>
  </si>
  <si>
    <t xml:space="preserve">Ídem (WP §83)</t>
  </si>
  <si>
    <t xml:space="preserve">cpi_pe1s26</t>
  </si>
  <si>
    <t xml:space="preserve">Inflación Perú (promedio 1S26 vs promedio 1S25)</t>
  </si>
  <si>
    <t xml:space="preserve">cpi_co24</t>
  </si>
  <si>
    <t xml:space="preserve">Inflación Colombia dic/dic (proxy)</t>
  </si>
  <si>
    <t xml:space="preserve">DANE (WP §71)</t>
  </si>
  <si>
    <t xml:space="preserve">cpi_co25</t>
  </si>
  <si>
    <t xml:space="preserve">cpi_co1s26</t>
  </si>
  <si>
    <t xml:space="preserve">Inflación Colombia, variación anual a jun-26 (PROXY del promedio 1S26/1S25)</t>
  </si>
  <si>
    <t xml:space="preserve">DANE, anexo IPC jun-2026, hoja 1 (WP §83). Reemplazar por promedio mensual cuando esté la serie de empalme</t>
  </si>
  <si>
    <t xml:space="preserve">fv24</t>
  </si>
  <si>
    <t xml:space="preserve">EEFF dic-25, Nota 11 (WP §18)</t>
  </si>
  <si>
    <t xml:space="preserve">pi23</t>
  </si>
  <si>
    <t xml:space="preserve">EEFF dic-25, Nota 11, saldo inicial 2024 (WP §18)</t>
  </si>
  <si>
    <t xml:space="preserve">cl_seg24</t>
  </si>
  <si>
    <t xml:space="preserve">Resultado operacional segmento Chile (antes de valor razonable)</t>
  </si>
  <si>
    <t xml:space="preserve">EEFF dic-25, Nota 25: ingresos − costo de ventas − GAV (WP §11.3)</t>
  </si>
  <si>
    <t xml:space="preserve">cl_seg25</t>
  </si>
  <si>
    <t xml:space="preserve">Ídem (WP §11.3)</t>
  </si>
  <si>
    <t xml:space="preserve">cl_pi24</t>
  </si>
  <si>
    <t xml:space="preserve">Propiedades de inversión Chile</t>
  </si>
  <si>
    <t xml:space="preserve">EEFF dic-25, Nota 25 (WP §11.4)</t>
  </si>
  <si>
    <t xml:space="preserve">cl_pi25</t>
  </si>
  <si>
    <t xml:space="preserve">cl_pi2t26</t>
  </si>
  <si>
    <t xml:space="preserve">EEFF jun-26 (WP §63)</t>
  </si>
  <si>
    <t xml:space="preserve">pe_pi2t26</t>
  </si>
  <si>
    <t xml:space="preserve">Propiedades de inversión Perú</t>
  </si>
  <si>
    <t xml:space="preserve">co_pi2t26</t>
  </si>
  <si>
    <t xml:space="preserve">Propiedades de inversión Colombia</t>
  </si>
  <si>
    <t xml:space="preserve">shares</t>
  </si>
  <si>
    <t xml:space="preserve">Acciones en circulación</t>
  </si>
  <si>
    <t xml:space="preserve">MM acciones</t>
  </si>
  <si>
    <t xml:space="preserve">sep-26</t>
  </si>
  <si>
    <t xml:space="preserve">Bloomberg DES 27-09-2026</t>
  </si>
  <si>
    <t xml:space="preserve">Forecast — motor operativo 2026E–2031E (CLP nominales; drivers en real por país, nominalizados con IPC y tipo de cambio de consenso)</t>
  </si>
  <si>
    <t xml:space="preserve">Borrador de trabajo [S] para el equipo. Azul = input; amarillo = supuesto clave a discutir; negro = fórmula; verde = vínculo a otra hoja. Alimenta Forecast_link → E1. Caso base: sin Gran Plaza y sin "Otros proyectos Chile" (46.500 m² sin fecha); ambos con interruptor.</t>
  </si>
  <si>
    <t xml:space="preserve">Tags: [R] reportado · [P] consenso de mercado (Bloomberg ECFC, composite de contribuidores, privado, 05-10-2026) · [C] cálculo · [S] supuesto propio.</t>
  </si>
  <si>
    <t xml:space="preserve">A. Macro (fin de año salvo IPC, que es promedio anual)</t>
  </si>
  <si>
    <t xml:space="preserve">2025A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</si>
  <si>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</si>
  <si>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</si>
  <si>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</si>
  <si>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</si>
  <si>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</si>
  <si>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2031E</t>
  </si>
  <si>
    <t xml:space="preserve">Fuente / supuesto</t>
  </si>
  <si>
    <t xml:space="preserve">IPC Chile (YoY%)</t>
  </si>
  <si>
    <t xml:space="preserve">P / S</t>
  </si>
  <si>
    <t xml:space="preserve">ECFC Chile 2025–2028 [P]; 2029–2031 = meta BCCh 3% [S]</t>
  </si>
  <si>
    <t xml:space="preserve">IPC Perú (YoY%)</t>
  </si>
  <si>
    <t xml:space="preserve">ECFC Perú 2025–2028 [P]; 2029–2031 = centro del rango meta BCRP (1%–3%) [S]</t>
  </si>
  <si>
    <t xml:space="preserve">IPC Colombia (promedio, YoY%)</t>
  </si>
  <si>
    <t xml:space="preserve">ECFC Colombia 2025–2028 [P]; 2029 convergencia; 2030–2031 = meta BanRep 3% [S]</t>
  </si>
  <si>
    <t xml:space="preserve">Tasa de política BCCh (fin de año)</t>
  </si>
  <si>
    <t xml:space="preserve">ECFC Chile [P]; 2029+ se mantiene [S]. Referencia, no se usa en fórmulas</t>
  </si>
  <si>
    <t xml:space="preserve">USDCLP (fin de año)</t>
  </si>
  <si>
    <t xml:space="preserve">ECFC [P]; 2029+ se mantiene [S] (solo afecta capex en USD de "Otros proyectos Chile" si se activa)</t>
  </si>
  <si>
    <t xml:space="preserve">USDPEN (fin de año)</t>
  </si>
  <si>
    <t xml:space="preserve">ECFC Perú [P]</t>
  </si>
  <si>
    <t xml:space="preserve">USDCOP (fin de año)</t>
  </si>
  <si>
    <t xml:space="preserve">ECFC Colombia [P]</t>
  </si>
  <si>
    <t xml:space="preserve">CLP por PEN (fin de año)</t>
  </si>
  <si>
    <t xml:space="preserve">Cruce de consenso 2025–2028; 2029+ paridad de poder de compra relativa con IPC de cada país [S]</t>
  </si>
  <si>
    <t xml:space="preserve">CLP por COP (fin de año)</t>
  </si>
  <si>
    <t xml:space="preserve">CLP por PEN (promedio)</t>
  </si>
  <si>
    <t xml:space="preserve">2025A promedio real (Inputs); 2026E desde el puente semestral (bloque B); 2027+ promedio de fin de año t−1 y t [S]</t>
  </si>
  <si>
    <t xml:space="preserve">CLP por COP (promedio)</t>
  </si>
  <si>
    <t xml:space="preserve">USDCLP (promedio)</t>
  </si>
  <si>
    <t xml:space="preserve">B. Puente 2026E = 1S26 real + 2S26E (moneda local)</t>
  </si>
  <si>
    <t xml:space="preserve">2S25</t>
  </si>
  <si>
    <t xml:space="preserve">2S26E</t>
  </si>
  <si>
    <t xml:space="preserve">Cierre jun-26: USDCLP</t>
  </si>
  <si>
    <t xml:space="preserve">Release 2T26, nota de tipo de cambio de la tabla de proyectos</t>
  </si>
  <si>
    <t xml:space="preserve">Cierre jun-26: USDPEN</t>
  </si>
  <si>
    <t xml:space="preserve">Ídem</t>
  </si>
  <si>
    <t xml:space="preserve">Cierre jun-26: USDCOP</t>
  </si>
  <si>
    <t xml:space="preserve">CLP por PEN (promedio del semestre)</t>
  </si>
  <si>
    <t xml:space="preserve">2S25 = 2 × promedio anual − 1S25 (aproxima pesos iguales por semestre); 2S26E = promedio entre cierre jun-26 y fin de 2026 de consenso [S]</t>
  </si>
  <si>
    <t xml:space="preserve">CLP por COP (promedio del semestre)</t>
  </si>
  <si>
    <t xml:space="preserve">USDCLP (promedio 2S26E)</t>
  </si>
  <si>
    <t xml:space="preserve">Para convertir el capex en USD del 2S26</t>
  </si>
  <si>
    <t xml:space="preserve">Ingresos segmento Chile (MM CLP)</t>
  </si>
  <si>
    <t xml:space="preserve">EEFF Notas de segmentos (Inputs)</t>
  </si>
  <si>
    <t xml:space="preserve">Ingresos segmento Perú (MM CLP)</t>
  </si>
  <si>
    <t xml:space="preserve">Ingresos segmento Colombia (MM CLP)</t>
  </si>
  <si>
    <t xml:space="preserve">Crecimiento local 1S26 vs 1S25 (Chile / Perú / Colombia) → se aplica al 2S26E</t>
  </si>
  <si>
    <t xml:space="preserve">S</t>
  </si>
  <si>
    <t xml:space="preserve">Columnas C/D/E de esta fila = Chile / Perú / Colombia (no semestres). Supuesto clave [S]: el 2S26 repite el crecimiento local del 1S26; las aperturas de 2026 (8.900 m²) quedan dentro</t>
  </si>
  <si>
    <t xml:space="preserve">Chile (MM CLP)</t>
  </si>
  <si>
    <t xml:space="preserve">Perú (MM PEN)</t>
  </si>
  <si>
    <t xml:space="preserve">Colombia (MM COP)</t>
  </si>
  <si>
    <t xml:space="preserve">2026E Chile en CLP</t>
  </si>
  <si>
    <t xml:space="preserve">2026E Perú en CLP</t>
  </si>
  <si>
    <t xml:space="preserve">2026E Colombia en CLP</t>
  </si>
  <si>
    <t xml:space="preserve">C. Pipeline de GLA (m² agregados por año de apertura) y maduración</t>
  </si>
  <si>
    <t xml:space="preserve">Factor de ingreso: año de apertura</t>
  </si>
  <si>
    <t xml:space="preserve">[S] apertura a mitad de año (50%) × 70% de productividad en el primer año</t>
  </si>
  <si>
    <t xml:space="preserve">Factor de ingreso: segundo año</t>
  </si>
  <si>
    <t xml:space="preserve">[S]</t>
  </si>
  <si>
    <t xml:space="preserve">Factor de ingreso: tercer año en adelante</t>
  </si>
  <si>
    <t xml:space="preserve">GLA nuevo Chile por año de apertura (m²)</t>
  </si>
  <si>
    <t xml:space="preserve">Release 2T26, "Proyectos de Expansión en Curso" (Trébol, Oeste, Norte, La Serena)</t>
  </si>
  <si>
    <t xml:space="preserve">GLA nuevo Perú por año de apertura (m²)</t>
  </si>
  <si>
    <t xml:space="preserve">Release 2T26 (Trujillo, Piura, Angamos, La Marina)</t>
  </si>
  <si>
    <t xml:space="preserve">"Otros proyectos Chile" incluidos (1 = sí)</t>
  </si>
  <si>
    <t xml:space="preserve">v7: activado — pipeline completo con fecha (170.200 m²); Memoria 2025, p. 45: apertura en 2028</t>
  </si>
  <si>
    <t xml:space="preserve">"Otros proyectos Chile": año de apertura si se incluyen</t>
  </si>
  <si>
    <t xml:space="preserve">v7: 2028 (en v6 estaba 2029 y el interruptor en 0)</t>
  </si>
  <si>
    <t xml:space="preserve">"Otros proyectos Chile": m²</t>
  </si>
  <si>
    <t xml:space="preserve">Release 2T26</t>
  </si>
  <si>
    <t xml:space="preserve">GLA base Chile jun-26 (m²)</t>
  </si>
  <si>
    <t xml:space="preserve">Release 2T26, indicadores por país</t>
  </si>
  <si>
    <t xml:space="preserve">GLA base Perú jun-26 (m²)</t>
  </si>
  <si>
    <t xml:space="preserve">GLA base Colombia jun-26 (m²)</t>
  </si>
  <si>
    <t xml:space="preserve">GLA nuevo equivalente Chile (m² × factor)</t>
  </si>
  <si>
    <t xml:space="preserve">Cohortes 2026–2028 (+ Otros si se activan). La cohorte 2026 entra con factor de segundo año en 2027; su aporte 2026 ya está en el puente</t>
  </si>
  <si>
    <t xml:space="preserve">GLA nuevo equivalente Perú (m² × factor)</t>
  </si>
  <si>
    <t xml:space="preserve">D. Ingresos por país (moneda local, salvo indicación)</t>
  </si>
  <si>
    <t xml:space="preserve">Crecimiento real de parking (todos los países)</t>
  </si>
  <si>
    <t xml:space="preserve">[S] Parking UDM +23,7% nominal (release 2T26); se asume convergencia rápida. Supuesto clave</t>
  </si>
  <si>
    <t xml:space="preserve">  Ocupación Chile</t>
  </si>
  <si>
    <t xml:space="preserve">R / S</t>
  </si>
  <si>
    <t xml:space="preserve">2026 = 2T26 [R]; se mantiene [S]</t>
  </si>
  <si>
    <t xml:space="preserve">  Crecimiento real same-store (sin parking)</t>
  </si>
  <si>
    <t xml:space="preserve">[S] desde ~SSR real reciente hacia 0,6%, punto medio del rango de crecimiento real que usa la compañía en su tasación (Nota 11 jun-25: 0,1%–1,1%)</t>
  </si>
  <si>
    <t xml:space="preserve">  Parking / ingresos 2026</t>
  </si>
  <si>
    <t xml:space="preserve">Release 2T26, contribución parking UDM por país</t>
  </si>
  <si>
    <t xml:space="preserve">  Parking</t>
  </si>
  <si>
    <t xml:space="preserve">  Arriendo y otros, mismo GLA</t>
  </si>
  <si>
    <t xml:space="preserve">  Ingreso anual por m² de GLA base (local)</t>
  </si>
  <si>
    <t xml:space="preserve">Unidades locales por m² (CLP, PEN, COP). Se aplica al GLA nuevo</t>
  </si>
  <si>
    <t xml:space="preserve">  Ingresos del GLA nuevo</t>
  </si>
  <si>
    <t xml:space="preserve">  Ingresos Chile (MM CLP)</t>
  </si>
  <si>
    <t xml:space="preserve">  Crecimiento en moneda local</t>
  </si>
  <si>
    <t xml:space="preserve">  Ocupación Perú</t>
  </si>
  <si>
    <t xml:space="preserve">2026 = 2T26 [R]; Perú recupera 94,6% (nivel 2025) hacia 2028 [S]</t>
  </si>
  <si>
    <t xml:space="preserve">[S] hacia 0,4%, punto medio Nota 11 (−0,4%–1,2%)</t>
  </si>
  <si>
    <t xml:space="preserve">  Ingresos Perú (MM PEN)</t>
  </si>
  <si>
    <t xml:space="preserve">  Ocupación Colombia</t>
  </si>
  <si>
    <t xml:space="preserve">[S] hacia 2,1%, punto medio Nota 11 (0,8%–3,4%)</t>
  </si>
  <si>
    <t xml:space="preserve">  Ingresos Colombia (MM COP)</t>
  </si>
  <si>
    <t xml:space="preserve">Gran Plaza (escenario, fuera del caso base)</t>
  </si>
  <si>
    <t xml:space="preserve">  Incluir Gran Plaza (1 = sí)</t>
  </si>
  <si>
    <t xml:space="preserve">Interruptor</t>
  </si>
  <si>
    <t xml:space="preserve">  Año de cierre (aporta medio año)</t>
  </si>
  <si>
    <t xml:space="preserve">[S] fecha de cierre no informada; verificar hecho esencial CMF</t>
  </si>
  <si>
    <t xml:space="preserve">  Valor empresa (MM COP)</t>
  </si>
  <si>
    <t xml:space="preserve">Release 2T26, carta y lámina "Adquisición Gran Plaza"</t>
  </si>
  <si>
    <t xml:space="preserve">  Cap rate de la transacción (sobre NOI UDM)</t>
  </si>
  <si>
    <t xml:space="preserve">  Margen NOI/ingresos supuesto</t>
  </si>
  <si>
    <t xml:space="preserve">[S] = margen EBITDA UDM de Colombia (release 2T26)</t>
  </si>
  <si>
    <t xml:space="preserve">  Ingresos Gran Plaza (MM COP)</t>
  </si>
  <si>
    <t xml:space="preserve">NOI implícito = VE × cap rate (≈110.700 MM COP), indexado a IPC Colombia</t>
  </si>
  <si>
    <t xml:space="preserve">Consolidado (MM CLP)</t>
  </si>
  <si>
    <t xml:space="preserve">  Chile</t>
  </si>
  <si>
    <t xml:space="preserve">  Perú</t>
  </si>
  <si>
    <t xml:space="preserve">  Colombia (incl. Gran Plaza si se activa)</t>
  </si>
  <si>
    <t xml:space="preserve">  Eliminaciones / ajuste a consolidado (% de la suma)</t>
  </si>
  <si>
    <t xml:space="preserve">C / S</t>
  </si>
  <si>
    <t xml:space="preserve">2026 = 1S26 (339.530 consolidado vs 340.019 suma de segmentos) [C]; luego 0 [S]</t>
  </si>
  <si>
    <t xml:space="preserve">Ingresos ordinarios consolidados</t>
  </si>
  <si>
    <t xml:space="preserve">Crecimiento ingresos consolidados (CLP)</t>
  </si>
  <si>
    <t xml:space="preserve">Consenso ingresos (Bloomberg DES, MM CLP)</t>
  </si>
  <si>
    <t xml:space="preserve">Bloomberg DES 27-09-2026 (699,79 y 770,37 mil MM CLP)</t>
  </si>
  <si>
    <t xml:space="preserve">Modelo vs consenso</t>
  </si>
  <si>
    <t xml:space="preserve">E. EBITDA</t>
  </si>
  <si>
    <t xml:space="preserve">Margen EBITDA Chile</t>
  </si>
  <si>
    <t xml:space="preserve">[S] ~promedio 2024 (79,5%) y UDM 2T26 (80,4%); no se extrapola el máximo</t>
  </si>
  <si>
    <t xml:space="preserve">Margen EBITDA Perú</t>
  </si>
  <si>
    <t xml:space="preserve">[S] UDM 2T26 83,5%; 2024 pro forma 78,9% (antes de integrar Open Plaza)</t>
  </si>
  <si>
    <t xml:space="preserve">Margen EBITDA Colombia</t>
  </si>
  <si>
    <t xml:space="preserve">[S] UDM 2T26 75,1%; 2024 67,7% (rampa de Cali)</t>
  </si>
  <si>
    <t xml:space="preserve">Gran Plaza, si se activa, entra con el margen de Colombia (la diferencia con el NOI es menor)</t>
  </si>
  <si>
    <t xml:space="preserve">Margen EBITDA consolidado</t>
  </si>
  <si>
    <t xml:space="preserve">F. FFO y utilidad distribuible</t>
  </si>
  <si>
    <t xml:space="preserve">Costo financiero neto / deuda financiera neta de apertura</t>
  </si>
  <si>
    <t xml:space="preserve">[C] 1S26 anualizado: (31.976 − 12.006) × 2 / DFN promedio dic-25–jun-26 = 3,08%; se mantiene [S]. Deuda nueva en UF a ~4,2% lo subiría marginalmente</t>
  </si>
  <si>
    <t xml:space="preserve">Costo financiero neto</t>
  </si>
  <si>
    <t xml:space="preserve">Impuesto corriente / (EBITDA − costo financiero neto)</t>
  </si>
  <si>
    <t xml:space="preserve">2026 = 1S26 (41.987 / 250.603) [C]; converge a 27% hacia 2030 a medida que se agotan beneficios tributarios [S] (WP §63.1; verificar Nota 13)</t>
  </si>
  <si>
    <t xml:space="preserve">Impuesto corriente</t>
  </si>
  <si>
    <t xml:space="preserve">FFO consolidado</t>
  </si>
  <si>
    <t xml:space="preserve">Participación de minoritarios en el FFO</t>
  </si>
  <si>
    <t xml:space="preserve">1S26: 2.350 / 208.616 (release 2T26)</t>
  </si>
  <si>
    <t xml:space="preserve">FFO atribuible (definición compañía)</t>
  </si>
  <si>
    <t xml:space="preserve">FFO atribuible por acción (CLP)</t>
  </si>
  <si>
    <t xml:space="preserve">Deuda en UF / deuda financiera bruta</t>
  </si>
  <si>
    <t xml:space="preserve">Release 2T26 (79% UF); se mantiene [S]</t>
  </si>
  <si>
    <t xml:space="preserve">Caja (se mantiene constante)</t>
  </si>
  <si>
    <t xml:space="preserve">jun-26 [R]; constante [S]: la deuda bruta = DFN + caja</t>
  </si>
  <si>
    <t xml:space="preserve">Reajuste UF de la deuda (costo devengado, no caja)</t>
  </si>
  <si>
    <t xml:space="preserve">Deuda UF de apertura × IPC Chile (proxy de la UF). 2025A real: 43.825</t>
  </si>
  <si>
    <t xml:space="preserve">Utilidad distribuible normalizada (proxy = FFO atribuible − reajuste UF)</t>
  </si>
  <si>
    <t xml:space="preserve">Calibración del proxy: 2025 → 405.300 − 43.825 = 361.475 vs 369.312 reportado (−2,1%); 2024 → 249.962 vs 238.305 (+4,9%)</t>
  </si>
  <si>
    <t xml:space="preserve">Consenso EPS (CLP) — referencia</t>
  </si>
  <si>
    <t xml:space="preserve">Bloomberg DES 27-09-2026. Incluye revalorización: comparar con la utilidad reportada (fila siguiente bloque G)</t>
  </si>
  <si>
    <t xml:space="preserve">G. Capex, revalorización y deuda neta</t>
  </si>
  <si>
    <t xml:space="preserve">Capex de proyectos (MMUSD, inversión remanente a jun-26 repartida linealmente hasta el año de apertura final)</t>
  </si>
  <si>
    <t xml:space="preserve">Release 2T26, láminas 12–14. Peso 2026 = medio año. Columna B = año de apertura final</t>
  </si>
  <si>
    <t xml:space="preserve">  Mallplaza Trébol — remanente 100.4 MMUSD</t>
  </si>
  <si>
    <t xml:space="preserve">  Mallplaza Oeste — remanente 37.6 MMUSD</t>
  </si>
  <si>
    <t xml:space="preserve">  Mallplaza Norte — remanente 27.8 MMUSD</t>
  </si>
  <si>
    <t xml:space="preserve">  Mallplaza Trujillo — remanente 43.1 MMUSD</t>
  </si>
  <si>
    <t xml:space="preserve">  Mallplaza La Serena — remanente 69.6 MMUSD</t>
  </si>
  <si>
    <t xml:space="preserve">  Mallplaza Piura — remanente 27.0 MMUSD</t>
  </si>
  <si>
    <t xml:space="preserve">  Open Plaza La Marina — remanente 55.3 MMUSD</t>
  </si>
  <si>
    <t xml:space="preserve">  Mallplaza Angamos — remanente 66.9 MMUSD</t>
  </si>
  <si>
    <t xml:space="preserve">  Transformación Los Dominicos — remanente 11.2 MMUSD</t>
  </si>
  <si>
    <t xml:space="preserve">  Transformación Atocongo — remanente 3.5 MMUSD</t>
  </si>
  <si>
    <t xml:space="preserve">  Proyectos ya abiertos (remanente) — remanente 2.6 MMUSD</t>
  </si>
  <si>
    <t xml:space="preserve">  Otros proyectos Chile — 134 MMUSD (solo si el interruptor = 1)</t>
  </si>
  <si>
    <t xml:space="preserve">Capex de proyectos (MMUSD)</t>
  </si>
  <si>
    <t xml:space="preserve">Capex de proyectos (MM CLP)</t>
  </si>
  <si>
    <t xml:space="preserve">2026: USDCLP promedio 2S26E</t>
  </si>
  <si>
    <t xml:space="preserve">Mantención + TI / ingresos</t>
  </si>
  <si>
    <t xml:space="preserve">[S] entre 2024 (~4,8%: 25,2 MMUSD) y UDM 2T26 (~6,6%: 50,2 MMUSD), release 2T26 lámina 30</t>
  </si>
  <si>
    <t xml:space="preserve">Capex de mantención + TI (MM CLP)</t>
  </si>
  <si>
    <t xml:space="preserve">2026: solo 2S26</t>
  </si>
  <si>
    <t xml:space="preserve">Capex real 1S26 (todas las categorías)</t>
  </si>
  <si>
    <t xml:space="preserve">Precio Gran Plaza (MM CLP, si se activa)</t>
  </si>
  <si>
    <t xml:space="preserve">Capex total + adquisiciones</t>
  </si>
  <si>
    <t xml:space="preserve">Payout sobre utilidad distribuible</t>
  </si>
  <si>
    <t xml:space="preserve">Política 40% (Inputs)</t>
  </si>
  <si>
    <t xml:space="preserve">Dividendos pagados (payout × distribuible del año anterior)</t>
  </si>
  <si>
    <t xml:space="preserve">[S] desfase de un año; 1S26 real pagado: 87.617</t>
  </si>
  <si>
    <t xml:space="preserve">Deuda financiera neta al cierre</t>
  </si>
  <si>
    <t xml:space="preserve">DFN(t) = DFN(t−1) − FFO consolidado + capex + dividendos + reajuste UF. Sin capital de trabajo ni dividendos a minoritarios [S]</t>
  </si>
  <si>
    <t xml:space="preserve">DFN / EBITDA</t>
  </si>
  <si>
    <t xml:space="preserve">Inflación ponderada por PI (Chile, Perú, Colombia)</t>
  </si>
  <si>
    <t xml:space="preserve">Pesos de PI jun-26 (E7)</t>
  </si>
  <si>
    <t xml:space="preserve">Revalorización de PI (bruta)</t>
  </si>
  <si>
    <t xml:space="preserve">Regla Forecast_link [S]: tasas de descuento constantes → PI × inflación. 2026 = 1S26 real (otros ingresos 216.606, proxy) + PI jun-26 × inflación / 2</t>
  </si>
  <si>
    <t xml:space="preserve">Impuesto diferido sobre revalorización</t>
  </si>
  <si>
    <t xml:space="preserve">[S] tasa Chile 27%</t>
  </si>
  <si>
    <t xml:space="preserve">Revalorización neta de impuesto diferido, atribuible</t>
  </si>
  <si>
    <t xml:space="preserve">Propiedades de inversión al cierre</t>
  </si>
  <si>
    <t xml:space="preserve">Todo el capex se capitaliza en PI [S]. Sin efecto de conversión de Perú/Colombia (ORI = 0) [S]</t>
  </si>
  <si>
    <t xml:space="preserve">Otros activos (constantes en el nivel de jun-26)</t>
  </si>
  <si>
    <t xml:space="preserve">Activos totales jun-26 7.985.701 − PI 7.309.810 [C]; constantes [S]</t>
  </si>
  <si>
    <t xml:space="preserve">Total activos al cierre</t>
  </si>
  <si>
    <t xml:space="preserve">LTV (DFN / PI)</t>
  </si>
  <si>
    <t xml:space="preserve">Utilidad atribuible reportada (distribuible + revalorización neta)</t>
  </si>
  <si>
    <t xml:space="preserve">EPS reportado implícito (CLP)</t>
  </si>
  <si>
    <t xml:space="preserve">EPS modelo vs consenso</t>
  </si>
  <si>
    <t xml:space="preserve">Forecast_link — insumos proyectados 2026E–2031E (vinculados a la hoja Forecast)</t>
  </si>
  <si>
    <t xml:space="preserve">Vinculado a la hoja Forecast (motor operativo). Si valuation mantiene un modelo propio, reemplazar estos vínculos por sus cifras: deben ser idénticas a las del DCF/NAV.</t>
  </si>
  <si>
    <t xml:space="preserve">Línea (MM CLP)</t>
  </si>
  <si>
    <t xml:space="preserve">FFO atribuible</t>
  </si>
  <si>
    <t xml:space="preserve">Utilidad líquida distribuible (normalizada)</t>
  </si>
  <si>
    <t xml:space="preserve">Revalorización de PI atribuible, neta de impuesto diferido</t>
  </si>
  <si>
    <t xml:space="preserve">Otros resultados integrales atribuibles (conversión, coberturas)</t>
  </si>
  <si>
    <t xml:space="preserve">Regla de proyección de la revalorización [S, a decidir con valuation]: con tasas de descuento constantes, la PI crece por indexación + capex; la revalorización = PI inicial × inflación de largo plazo, neta de impuesto diferido. Cualquier compresión de tasas debe ser explícita y consistente con el escenario del DCF.</t>
  </si>
  <si>
    <t xml:space="preserve">Patrimonio proyectado: E1 lo calcula por roll-forward = patrimonio previo + utilidad reportada − payout × utilidad distribuible + ORI.</t>
  </si>
  <si>
    <t xml:space="preserve">FCFF y DCF — interfaz forecast (supuestos de financial analysis) ↔ valuation (WACC, g, cap rate de salida)</t>
  </si>
  <si>
    <t xml:space="preserve">Fecha de valorización: 30-06-2026 (coincide con la última DFN y minoritarios reportados). Para llevar a la fecha de corte (D1), capitalizar el patrimonio al costo del patrimonio y restar dividendos pagados en el intermedio.</t>
  </si>
  <si>
    <t xml:space="preserve">Amarillo = inputs que entrega valuation. Flujos en CLP nominales → la WACC debe ser nominal en CLP. Celdas vacías dejan el bloque de resultado en blanco; la grilla de sensibilidad funciona sin inputs.</t>
  </si>
  <si>
    <t xml:space="preserve">A. Inputs de valuation</t>
  </si>
  <si>
    <t xml:space="preserve">WACC nominal CLP</t>
  </si>
  <si>
    <t xml:space="preserve">Valuation [S]. Debe ser nominal en CLP (BCP + ERP + riesgo país ponderado), consistente con flujos en CLP</t>
  </si>
  <si>
    <t xml:space="preserve">Crecimiento terminal nominal (g)</t>
  </si>
  <si>
    <t xml:space="preserve">Valuation [S]. Referencia: inflación LP Chile 3,0% + crecimiento real 0%–1% (Nota 11)</t>
  </si>
  <si>
    <t xml:space="preserve">Retorno sobre nueva inversión en perpetuidad (RONIC)</t>
  </si>
  <si>
    <t xml:space="preserve">[S] Si se deja vacío = WACC (el crecimiento terminal no crea valor; supuesto neutral)</t>
  </si>
  <si>
    <t xml:space="preserve">Cap rate de salida (sobre EBITDA 2032E)</t>
  </si>
  <si>
    <t xml:space="preserve">Valuation [S]. Referencias: Gran Plaza 9,4% (2026); WACC real Nota 11 Chile ~5,5%</t>
  </si>
  <si>
    <t xml:space="preserve">RONIC usado</t>
  </si>
  <si>
    <t xml:space="preserve">DFN 30-06-2026 (definición compañía)</t>
  </si>
  <si>
    <t xml:space="preserve">[R] Release 2T26 / Análisis Razonado 1S26</t>
  </si>
  <si>
    <t xml:space="preserve">Participaciones no controladoras (libro) 30-06-2026</t>
  </si>
  <si>
    <t xml:space="preserve">[R] Release 2T26, estado de situación. Libro como proxy del valor de mercado [S]</t>
  </si>
  <si>
    <t xml:space="preserve">Acciones (MM)</t>
  </si>
  <si>
    <t xml:space="preserve">Precio de referencia (CLP)</t>
  </si>
  <si>
    <t xml:space="preserve">[R] Bloomberg DES, impresión 27-09-2026. Reemplazar por el precio de la fecha de corte (D1)</t>
  </si>
  <si>
    <t xml:space="preserve">EBITDA 1S26 real (para aislar el 2S26)</t>
  </si>
  <si>
    <t xml:space="preserve">[R] Release 2T26</t>
  </si>
  <si>
    <t xml:space="preserve">B. Flujo de caja libre de la firma (MM CLP)</t>
  </si>
  <si>
    <t xml:space="preserve">EBITDA</t>
  </si>
  <si>
    <t xml:space="preserve">2S26E = EBITDA 2026E (Forecast) − 1S26 real</t>
  </si>
  <si>
    <t xml:space="preserve">Impuesto operativo en caja (tasa del forecast × EBITDA)</t>
  </si>
  <si>
    <t xml:space="preserve">Misma tasa de impuesto en caja del forecast, aplicada sin escudo de intereses (flujo desapalancado) [S]</t>
  </si>
  <si>
    <t xml:space="preserve">2S26E = capex de proyectos + mantención del 2S26 (Forecast). Sin greenfield ni capex de crecimiento post-2028 (ver anexo)</t>
  </si>
  <si>
    <t xml:space="preserve">Variación de capital de trabajo</t>
  </si>
  <si>
    <t xml:space="preserve">Δ capital de trabajo = 0 [S], declarado en el anexo</t>
  </si>
  <si>
    <t xml:space="preserve">FCFF</t>
  </si>
  <si>
    <t xml:space="preserve">Período de descuento (años, mitad de período)</t>
  </si>
  <si>
    <t xml:space="preserve">Mitad de período: 2S26 a 0,25 años; luego mitad de cada año desde el 30-06-2026</t>
  </si>
  <si>
    <t xml:space="preserve">Factor de descuento</t>
  </si>
  <si>
    <t xml:space="preserve">Valor presente del FCFF</t>
  </si>
  <si>
    <t xml:space="preserve">C. Valor terminal y valor por acción</t>
  </si>
  <si>
    <t xml:space="preserve">Gordon</t>
  </si>
  <si>
    <t xml:space="preserve">Cap rate salida</t>
  </si>
  <si>
    <t xml:space="preserve">NOPAT 2032E = EBITDA 2031E × (1+g) × (1 − tasa 2031E)</t>
  </si>
  <si>
    <t xml:space="preserve">EBITDA ≈ EBIT (D&amp;A 2025: 3.610) → NOPAT ≈ EBITDA × (1 − t). Tasa terminal = 27%</t>
  </si>
  <si>
    <t xml:space="preserve">Tasa de reinversión terminal = (g − IPC LP Chile) / RONIC</t>
  </si>
  <si>
    <t xml:space="preserve">Value driver: VT = NOPAT × (1 − reinversión) / (WACC − g). Solo el crecimiento REAL exige reinversión: la parte de inflación llega por la indexación de los contratos (UF/IPC) sin capex. Corrige que el forecast no tenga reinversión post-2028</t>
  </si>
  <si>
    <t xml:space="preserve">Valor terminal al 31-12-2031</t>
  </si>
  <si>
    <t xml:space="preserve">Gordon: perpetuidad con reinversión explícita. Cap rate: EBITDA 2032E / cap rate (EBITDA incluye gastos corporativos → conservador vs NOI)</t>
  </si>
  <si>
    <t xml:space="preserve">Valor presente del valor terminal (5,5 años)</t>
  </si>
  <si>
    <t xml:space="preserve">Valor presente FCFF explícito</t>
  </si>
  <si>
    <t xml:space="preserve">Valor empresa</t>
  </si>
  <si>
    <t xml:space="preserve">− DFN</t>
  </si>
  <si>
    <t xml:space="preserve">− Minoritarios</t>
  </si>
  <si>
    <t xml:space="preserve">Valor del patrimonio</t>
  </si>
  <si>
    <t xml:space="preserve">Valor por acción (CLP)</t>
  </si>
  <si>
    <t xml:space="preserve">Upside vs precio de referencia</t>
  </si>
  <si>
    <t xml:space="preserve">Chequeo: valor terminal / valor empresa</t>
  </si>
  <si>
    <t xml:space="preserve">Chequeo: EV / EBITDA 2027E implícito</t>
  </si>
  <si>
    <t xml:space="preserve">Chequeo: cap rate implícito del valor terminal (EBITDA 2032E / VT)</t>
  </si>
  <si>
    <t xml:space="preserve">Chequeo: WACC real implícita = (1+WACC)/(1+IPC LP Chile) − 1</t>
  </si>
  <si>
    <t xml:space="preserve">Debe estar cerca de la WACC real de la Nota 11 si valuation usa supuestos de mercado similares a la compañía; una diferencia grande debe explicarse</t>
  </si>
  <si>
    <t xml:space="preserve">Referencia: WACC real Nota 11 Chile jun-26 (punto medio)</t>
  </si>
  <si>
    <t xml:space="preserve">D. Sensibilidad: valor por acción (CLP), WACC nominal vs g (RONIC = WACC; reinversión solo sobre g real)</t>
  </si>
  <si>
    <t xml:space="preserve">WACC \ g</t>
  </si>
  <si>
    <t xml:space="preserve">E. Sensibilidad: valor por acción (CLP), WACC nominal vs cap rate de salida (g del EBITDA 2032E = 3%)</t>
  </si>
  <si>
    <t xml:space="preserve">WACC \ cap rate</t>
  </si>
  <si>
    <t xml:space="preserve">Grillas ilustrativas: no son el precio objetivo. El precio objetivo se calcula con la WACC y g de valuation en el bloque C.</t>
  </si>
  <si>
    <t xml:space="preserve">DCF de FCFF — Mallplaza (Plaza S.A.) · CLP nominales · fecha de valorización 30-06-2026 (2T26)</t>
  </si>
  <si>
    <t xml:space="preserve">Leyenda: azul con fondo celeste = dato observado [R] · negro = calculado [C] · fondo amarillo = supuesto [S] · fondo verde = proyección [P] (viene de la hoja Forecast) · verde = vínculo a otra hoja</t>
  </si>
  <si>
    <t xml:space="preserve">Unidad: MM CLP salvo indicación. Fuentes: EEFF dic-23 (reformulado), releases 4T24 y 2T26, Inputs, Forecast; WACC del modelo de valuation (Mall_plaza_Valuacion.xlsm, hoja FFCF).</t>
  </si>
  <si>
    <t xml:space="preserve">Ítem</t>
  </si>
  <si>
    <t xml:space="preserve">Tipo</t>
  </si>
  <si>
    <t xml:space="preserve">2022A</t>
  </si>
  <si>
    <t xml:space="preserve">2023A</t>
  </si>
  <si>
    <t xml:space="preserve">2024A</t>
  </si>
  <si>
    <t xml:space="preserve">1S26A</t>
  </si>
  <si>
    <t xml:space="preserve">Fuente / cálculo</t>
  </si>
  <si>
    <t xml:space="preserve">II–IV. Ingresos y construcción del EBITDA ajustado</t>
  </si>
  <si>
    <t xml:space="preserve">1</t>
  </si>
  <si>
    <t xml:space="preserve">R / P</t>
  </si>
  <si>
    <t xml:space="preserve">2022 reformulado (EEFF dic-23, EERR). 2023–1S26: EEFF y releases (Inputs). 2S26E = 2026E (Forecast) − 1S26 real</t>
  </si>
  <si>
    <t xml:space="preserve">2</t>
  </si>
  <si>
    <t xml:space="preserve">Crecimiento de ingresos</t>
  </si>
  <si>
    <t xml:space="preserve">2024: incluye 1 mes de Perú; 2025: 12 meses (perímetro). 2027E vs 2026E completo</t>
  </si>
  <si>
    <t xml:space="preserve">3a</t>
  </si>
  <si>
    <t xml:space="preserve">Resultado operacional (Ganancias de actividades operacionales)</t>
  </si>
  <si>
    <t xml:space="preserve">R / C</t>
  </si>
  <si>
    <t xml:space="preserve">2022–2023: EERR EEFF dic-23 (reformulado). 1S26 y 1S25 (720.093): release 2T26. 2024–2025 reconstruido desde EBITDA, D&amp;A y otros ingresos/gastos [C]</t>
  </si>
  <si>
    <t xml:space="preserve">3b</t>
  </si>
  <si>
    <t xml:space="preserve">(+) Depreciación y amortización</t>
  </si>
  <si>
    <t xml:space="preserve">R / C / S</t>
  </si>
  <si>
    <t xml:space="preserve">2022 implícita (EBITDA − ganancia bruta + GAV). 2023–2024: release 4T24. 1S26: release 2T26 (1.382 + 1.611). Proyección: D&amp;A/ingresos LTM [S]</t>
  </si>
  <si>
    <t xml:space="preserve">3</t>
  </si>
  <si>
    <t xml:space="preserve">EBITDA contable (incluye revalorización de PI)</t>
  </si>
  <si>
    <t xml:space="preserve">Resultado operacional + D&amp;A. Es el "EBITDA" que entregan algunas bases de datos (trampa 1 del WP: campo EBITDA de Bloomberg)</t>
  </si>
  <si>
    <t xml:space="preserve">4a</t>
  </si>
  <si>
    <t xml:space="preserve">(−) Otros ingresos por función (revalorización de PI a valor razonable)</t>
  </si>
  <si>
    <t xml:space="preserve">Valor razonable: 2022 79.489, 2025 1.447.136 (Inputs); el resto son ingresos menores no recurrentes. 1S25: 471.020 (release 2T26). Proyección: regla de Forecast</t>
  </si>
  <si>
    <t xml:space="preserve">4b</t>
  </si>
  <si>
    <t xml:space="preserve">(+) Otros gastos por función (no recurrentes)</t>
  </si>
  <si>
    <t xml:space="preserve">Release 4T24 / 2T26; proyección 0 [S]</t>
  </si>
  <si>
    <t xml:space="preserve">5</t>
  </si>
  <si>
    <t xml:space="preserve">EBITDA ajustado (= EBITDA definición compañía)</t>
  </si>
  <si>
    <t xml:space="preserve">C / P</t>
  </si>
  <si>
    <t xml:space="preserve">EBITDA que entra al DCF: excluye la revalorización (no caja). 2S26E = 2026E − 1S26</t>
  </si>
  <si>
    <t xml:space="preserve">5b</t>
  </si>
  <si>
    <t xml:space="preserve">Control: EBITDA ajustado − EBITDA reportado por la compañía</t>
  </si>
  <si>
    <t xml:space="preserve">Debe ser 0 (±1 por redondeo): el ajuste reproduce exactamente el EBITDA que publica la compañía</t>
  </si>
  <si>
    <t xml:space="preserve">5c</t>
  </si>
  <si>
    <t xml:space="preserve">Margen EBITDA ajustado</t>
  </si>
  <si>
    <t xml:space="preserve">6</t>
  </si>
  <si>
    <t xml:space="preserve">D&amp;A / ingresos</t>
  </si>
  <si>
    <t xml:space="preserve">Se usa para proyectar D&amp;A [S]</t>
  </si>
  <si>
    <t xml:space="preserve">7</t>
  </si>
  <si>
    <t xml:space="preserve">EBIT (EBITDA ajustado − D&amp;A)</t>
  </si>
  <si>
    <t xml:space="preserve">V. Construcción del FCFF (2S26E–2031E)</t>
  </si>
  <si>
    <t xml:space="preserve">8a</t>
  </si>
  <si>
    <t xml:space="preserve">Tasa de impuesto operacional</t>
  </si>
  <si>
    <t xml:space="preserve">S / P</t>
  </si>
  <si>
    <t xml:space="preserve">Trayectoria de impuesto en caja del forecast (16,8% → 27%) [S]. Alternativa: tasa legal ponderada 28,22% (FFCF!J37 del modelo de valuation)</t>
  </si>
  <si>
    <t xml:space="preserve">8</t>
  </si>
  <si>
    <t xml:space="preserve">(−) Impuestos operacionales sobre EBIT</t>
  </si>
  <si>
    <t xml:space="preserve">Sobre EBIT, sin escudo de intereses (flujo desapalancado)</t>
  </si>
  <si>
    <t xml:space="preserve">9</t>
  </si>
  <si>
    <t xml:space="preserve">NOPAT</t>
  </si>
  <si>
    <t xml:space="preserve">10</t>
  </si>
  <si>
    <t xml:space="preserve">(+) D&amp;A</t>
  </si>
  <si>
    <t xml:space="preserve">11</t>
  </si>
  <si>
    <t xml:space="preserve">(−) Capex</t>
  </si>
  <si>
    <t xml:space="preserve">Proyectos remanentes (release 2T26) + mantención/TI 5,5% de ingresos. 2S26E excluye el capex real del 1S26 (ya pagado antes de la fecha de valorización). Sin greenfield ni Gran Plaza</t>
  </si>
  <si>
    <t xml:space="preserve">12</t>
  </si>
  <si>
    <t xml:space="preserve">(−/+) Variación de capital de trabajo</t>
  </si>
  <si>
    <t xml:space="preserve">ΔNWC = 0 [S], declarado en el anexo</t>
  </si>
  <si>
    <t xml:space="preserve">13</t>
  </si>
  <si>
    <t xml:space="preserve">NOPAT + D&amp;A − capex − ΔNWC</t>
  </si>
  <si>
    <t xml:space="preserve">VI–VIII. Descuento</t>
  </si>
  <si>
    <t xml:space="preserve">14</t>
  </si>
  <si>
    <t xml:space="preserve">WACC nominal CLP (modelo de valuation)</t>
  </si>
  <si>
    <t xml:space="preserve">FFCF!B120 = 10,03% (Mall_plaza_Valuacion.xlsm). Se respeta; ver auditoría abajo antes de usarla como definitiva</t>
  </si>
  <si>
    <t xml:space="preserve">15a</t>
  </si>
  <si>
    <t xml:space="preserve">Período de descuento (años desde 30-06-2026, mitad de período)</t>
  </si>
  <si>
    <t xml:space="preserve">Convención de mitad de período</t>
  </si>
  <si>
    <t xml:space="preserve">15</t>
  </si>
  <si>
    <t xml:space="preserve">1 / (1 + WACC)^t</t>
  </si>
  <si>
    <t xml:space="preserve">16</t>
  </si>
  <si>
    <t xml:space="preserve">VII. Valor terminal (Gordon)</t>
  </si>
  <si>
    <t xml:space="preserve">17a</t>
  </si>
  <si>
    <t xml:space="preserve">Crecimiento perpetuo nominal (g)</t>
  </si>
  <si>
    <t xml:space="preserve">[S] = meta de inflación BCCh (3%): crecimiento real 0% a perpetuidad, coherente con un FCFF terminal sin capex de crecimiento. Rango Nota 11: 0,1%–1,1% real</t>
  </si>
  <si>
    <t xml:space="preserve">17b</t>
  </si>
  <si>
    <t xml:space="preserve">FCFF 2032E = FCFF 2031E × (1 + g)</t>
  </si>
  <si>
    <t xml:space="preserve">17</t>
  </si>
  <si>
    <t xml:space="preserve">Valor terminal al 31-12-2031 = FCFF 2032E / (WACC − g)</t>
  </si>
  <si>
    <t xml:space="preserve">18</t>
  </si>
  <si>
    <t xml:space="preserve">Valor presente del VT = VT / (1 + WACC)^5,5</t>
  </si>
  <si>
    <t xml:space="preserve">IX. Enterprise Value → Equity Value</t>
  </si>
  <si>
    <t xml:space="preserve">19a</t>
  </si>
  <si>
    <t xml:space="preserve">Suma VP FCFF explícito</t>
  </si>
  <si>
    <t xml:space="preserve">19</t>
  </si>
  <si>
    <t xml:space="preserve">Enterprise Value</t>
  </si>
  <si>
    <t xml:space="preserve">20a</t>
  </si>
  <si>
    <t xml:space="preserve">(−) Deuda financiera neta 30-06-2026</t>
  </si>
  <si>
    <t xml:space="preserve">Release 2T26 / Análisis Razonado 1S26 (1.285.740)</t>
  </si>
  <si>
    <t xml:space="preserve">20b</t>
  </si>
  <si>
    <t xml:space="preserve">(−) Participaciones no controladoras (libro) 30-06-2026</t>
  </si>
  <si>
    <t xml:space="preserve">Release 2T26, estado de situación. Libro como proxy [S]</t>
  </si>
  <si>
    <t xml:space="preserve">21</t>
  </si>
  <si>
    <t xml:space="preserve">Equity Value</t>
  </si>
  <si>
    <t xml:space="preserve">22a</t>
  </si>
  <si>
    <t xml:space="preserve">22</t>
  </si>
  <si>
    <t xml:space="preserve">22b</t>
  </si>
  <si>
    <t xml:space="preserve">Precio implícito en el modelo de valuation (CLP)</t>
  </si>
  <si>
    <t xml:space="preserve">FFCF!G26: market cap 7.905.900 MM CLP / 2.190 MM acciones</t>
  </si>
  <si>
    <t xml:space="preserve">22c</t>
  </si>
  <si>
    <t xml:space="preserve">Diferencia vs precio</t>
  </si>
  <si>
    <t xml:space="preserve">X. Chequeos</t>
  </si>
  <si>
    <t xml:space="preserve">X1</t>
  </si>
  <si>
    <t xml:space="preserve">VP del valor terminal / EV</t>
  </si>
  <si>
    <t xml:space="preserve">X2</t>
  </si>
  <si>
    <t xml:space="preserve">EV / EBITDA ajustado LTM</t>
  </si>
  <si>
    <t xml:space="preserve">X3</t>
  </si>
  <si>
    <t xml:space="preserve">Cap rate implícito del VT = EBITDA 2032E / VT</t>
  </si>
  <si>
    <t xml:space="preserve">Referencias: Gran Plaza 9,4% (2026); EBITDA LTM / PI jun-26 = 7,5%</t>
  </si>
  <si>
    <t xml:space="preserve">X4</t>
  </si>
  <si>
    <t xml:space="preserve">EV / Propiedades de inversión jun-26 (NAV contable)</t>
  </si>
  <si>
    <t xml:space="preserve">&lt; 1 = el DCF vale menos que la tasación de la propia compañía</t>
  </si>
  <si>
    <t xml:space="preserve">X5</t>
  </si>
  <si>
    <t xml:space="preserve">EV de mercado implícito / PI jun-26</t>
  </si>
  <si>
    <t xml:space="preserve">Sensibilidad: valor por acción (CLP) — WACC (filas) vs g (columnas)</t>
  </si>
  <si>
    <t xml:space="preserve">Sensibilidad: valor por acción (CLP) — WACC vs tasa de impuesto del año terminal (g = 3%)</t>
  </si>
  <si>
    <t xml:space="preserve">Auditoría de la WACC del modelo de valuation (FFCF) — no se reemplaza; observaciones para el equipo</t>
  </si>
  <si>
    <t xml:space="preserve">Rf</t>
  </si>
  <si>
    <t xml:space="preserve">5,43% "Chile" (FFCF!E11). Confirmar instrumento: si es el BCP 10Y nominal en CLP, ya incluye riesgo país Chile → no sumar CRP Chile (doble conteo)</t>
  </si>
  <si>
    <t xml:space="preserve">CRP</t>
  </si>
  <si>
    <t xml:space="preserve">1,41% = ponderación Chile/Perú/Colombia por ingresos. Si Rf es BCP, usar solo Perú y Colombia: 17,72%×1,55% + 10,52%×3,70% ≈ 0,66%</t>
  </si>
  <si>
    <t xml:space="preserve">Kd</t>
  </si>
  <si>
    <t xml:space="preserve">3,60% "última emisión": es tasa REAL en UF. En una WACC nominal CLP debe ser nominal: (1,036)(1+inflación LP 3%) − 1 ≈ 6,7%</t>
  </si>
  <si>
    <t xml:space="preserve">Escudo fiscal</t>
  </si>
  <si>
    <t xml:space="preserve">FFCF!B120 = E/V×Ke + D/V×Kd: falta (1 − t), aunque la fórmula de B7 lo incluye</t>
  </si>
  <si>
    <t xml:space="preserve">Betas</t>
  </si>
  <si>
    <t xml:space="preserve">Costa Verde (0,025) e IRSA (0,427) son atípicas; la mediana las neutraliza, pero conviene excluirlas y justificarlo</t>
  </si>
  <si>
    <t xml:space="preserve">Fecha</t>
  </si>
  <si>
    <t xml:space="preserve">FFCF dice "hasta 30 septiembre"; el DCF y la DFN están al 30-06-2026. Alinear (D1)</t>
  </si>
  <si>
    <t xml:space="preserve">Plantilla</t>
  </si>
  <si>
    <t xml:space="preserve">Las hojas de estados del .xlsm son la plantilla Bloomberg XFA sin datos (ticker FCX US, USD). Si se refrescan, cambiar a MALLPLAZ CI y CLP</t>
  </si>
  <si>
    <t xml:space="preserve">Ilustrativo</t>
  </si>
  <si>
    <t xml:space="preserve">Con Rf BCP 5,43%, CRP 0,66%, Kd nominal 6,7% y escudo 27%: Ke ≈ 10,56%, WACC ≈ 9,6%. Solo referencia; la WACC la define valuation</t>
  </si>
  <si>
    <t xml:space="preserve">Peers — Bloomberg FA, datos declarados (ARD), MM CLP. Export 28-09-2026 (WP §85)</t>
  </si>
  <si>
    <t xml:space="preserve">Azul = dato [R] de Bloomberg (verificar contra EEFF CMF 2025); negro = cálculo [C]. Método de revalorización distinto por par (ver notas). Validación: ROE reportado = §56 en los 8 años.</t>
  </si>
  <si>
    <t xml:space="preserve">Parque Arauco (PARAUCO CI)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</si>
  <si>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</si>
  <si>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</si>
  <si>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</si>
  <si>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</si>
  <si>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</si>
  <si>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Campo Bloomberg</t>
  </si>
  <si>
    <t xml:space="preserve">Ingresos</t>
  </si>
  <si>
    <t xml:space="preserve">ARD_REVENUES</t>
  </si>
  <si>
    <t xml:space="preserve">ARD_REF_EBITDA_IS</t>
  </si>
  <si>
    <t xml:space="preserve">Resultado operacional</t>
  </si>
  <si>
    <t xml:space="preserve">ARD_OPERATING_INCOME</t>
  </si>
  <si>
    <t xml:space="preserve">D&amp;A</t>
  </si>
  <si>
    <t xml:space="preserve">ARDR_DEPRECIATION_AMORTIZATION</t>
  </si>
  <si>
    <t xml:space="preserve">Utilidad atribuible</t>
  </si>
  <si>
    <t xml:space="preserve">ARD_NET_INC</t>
  </si>
  <si>
    <t xml:space="preserve">Utilidad antes de minoritarios</t>
  </si>
  <si>
    <t xml:space="preserve">ARD_PROF_AFTER_TAX_BEF_MINORITY</t>
  </si>
  <si>
    <t xml:space="preserve">ARD_TOTAL_PROPERTY_INVESTMENTS (excluye negocios conjuntos)</t>
  </si>
  <si>
    <t xml:space="preserve">ARD_TOT_SHARE_EQY_EXCL_MINORITY</t>
  </si>
  <si>
    <t xml:space="preserve">Préstamos corto plazo</t>
  </si>
  <si>
    <t xml:space="preserve">ARD_ST_BORROW</t>
  </si>
  <si>
    <t xml:space="preserve">Deuda largo plazo</t>
  </si>
  <si>
    <t xml:space="preserve">ARD_LT_DEBT</t>
  </si>
  <si>
    <t xml:space="preserve">Efectivo y equivalentes</t>
  </si>
  <si>
    <t xml:space="preserve">ARD_CASH_AND_EQUIVALENTS</t>
  </si>
  <si>
    <t xml:space="preserve">Activos totales</t>
  </si>
  <si>
    <t xml:space="preserve">ARD_TOT_ASSETS</t>
  </si>
  <si>
    <t xml:space="preserve">Cencosud Shopping (CENCOMAL CI)</t>
  </si>
  <si>
    <t xml:space="preserve">ARDR_ADJUSTED_EBITDA_MARGIN (no hay ARD_REF_EBITDA_IS en el export)</t>
  </si>
  <si>
    <t xml:space="preserve">Otro (ingreso)/gasto operacional neto (negativo = ganancia)</t>
  </si>
  <si>
    <t xml:space="preserve">ARD_OTH_OPERATING_INC_EXP_NET</t>
  </si>
  <si>
    <t xml:space="preserve">ARD_TOTAL_PROPERTY_INVESTMENTS</t>
  </si>
  <si>
    <t xml:space="preserve">Tasa de impuesto para normalizar [S] (legal Chile)</t>
  </si>
  <si>
    <t xml:space="preserve">Cálculos [C]</t>
  </si>
  <si>
    <t xml:space="preserve">PA — Margen EBITDA</t>
  </si>
  <si>
    <t xml:space="preserve">PA — Revalorización (residuo: res. operacional − (EBITDA − D&amp;A))</t>
  </si>
  <si>
    <t xml:space="preserve">PA — % atribuible a la controladora (utilidad)</t>
  </si>
  <si>
    <t xml:space="preserve">PA — Utilidad atribuible normalizada</t>
  </si>
  <si>
    <t xml:space="preserve">PA — Patrimonio atribuible promedio</t>
  </si>
  <si>
    <t xml:space="preserve">PA — ROE reportado</t>
  </si>
  <si>
    <t xml:space="preserve">PA — ROE normalizado</t>
  </si>
  <si>
    <t xml:space="preserve">PA — Revalorización / PI de apertura</t>
  </si>
  <si>
    <t xml:space="preserve">PA — EBITDA / PI de cierre</t>
  </si>
  <si>
    <t xml:space="preserve">PA — LTV (deuda neta / PI)</t>
  </si>
  <si>
    <t xml:space="preserve">PA — Deuda neta / EBITDA</t>
  </si>
  <si>
    <t xml:space="preserve">PA — Activos / patrimonio atribuible</t>
  </si>
  <si>
    <t xml:space="preserve">CS — EBITDA (ingresos × margen ajustado)</t>
  </si>
  <si>
    <t xml:space="preserve">CS — Revalorización (= −otro ingreso/gasto operacional neto)</t>
  </si>
  <si>
    <t xml:space="preserve">CS — Utilidad atribuible normalizada</t>
  </si>
  <si>
    <t xml:space="preserve">CS — Patrimonio atribuible promedio</t>
  </si>
  <si>
    <t xml:space="preserve">CS — ROE reportado</t>
  </si>
  <si>
    <t xml:space="preserve">CS — ROE normalizado</t>
  </si>
  <si>
    <t xml:space="preserve">CS — Revalorización / PI de apertura</t>
  </si>
  <si>
    <t xml:space="preserve">CS — EBITDA / PI de cierre</t>
  </si>
  <si>
    <t xml:space="preserve">CS — LTV (deuda neta / PI)</t>
  </si>
  <si>
    <t xml:space="preserve">CS — Deuda neta / EBITDA</t>
  </si>
  <si>
    <t xml:space="preserve">CS — Activos / patrimonio atribuible</t>
  </si>
  <si>
    <t xml:space="preserve">Control: ROE reportado debe ser PA 9,09% / 9,19% / 8,73% / 9,81% y CS 6,81% / 6,91% / 9,58% / 10,45% (Bloomberg FA Ratios, WP §56).</t>
  </si>
  <si>
    <t xml:space="preserve">PA: la revalorización es un residuo; puede incluir otras partidas operacionales menores. Atribución por proporción de la utilidad [S]. La PI excluye negocios conjuntos (inversión por método de participación 209.196 en 2025): sobrestima LTV y DN/EBITDA.</t>
  </si>
  <si>
    <t xml:space="preserve">Mallplaza se normaliza con su utilidad distribuible auditada (Nota 20e), no con la tasa legal: diferencia de método declarada (WP §85.1).</t>
  </si>
  <si>
    <t xml:space="preserve">Pendiente: validar contra EEFF 2025 de ambos pares (CMF) y extraer sus tasas de descuento de la nota de PI (WP §88, #2/#19).</t>
  </si>
  <si>
    <t xml:space="preserve">Exhibit 1 — Operating record and DuPont: 2019A–2031E</t>
  </si>
  <si>
    <t xml:space="preserve">Bloque A (indiferente al régimen contable): 2019A–2025A + LTM. Bloque B (balance a valor razonable): 2022A en adelante; 2019–2021 no comparables (modelo del costo, WP §3). Proyecciones: hoja Forecast_link.</t>
  </si>
  <si>
    <t xml:space="preserve">A. Operating record (MM CLP)</t>
  </si>
  <si>
    <t xml:space="preserve">2019A</t>
  </si>
  <si>
    <t xml:space="preserve">2020A</t>
  </si>
  <si>
    <t xml:space="preserve">2021A</t>
  </si>
  <si>
    <t xml:space="preserve">Margen EBITDA</t>
  </si>
  <si>
    <t xml:space="preserve">Margen FFO</t>
  </si>
  <si>
    <t xml:space="preserve">2022: ingresos EEFF reformulados (370.899); el FFO de la compañía usa 383.864 (base costo) → margen 59,0% vs 57,0% reportado (WP §28).</t>
  </si>
  <si>
    <t xml:space="preserve">B. DuPont (fair-value balance sheet)</t>
  </si>
  <si>
    <t xml:space="preserve">Utilidad atribuible reportada</t>
  </si>
  <si>
    <t xml:space="preserve">Utilidad distribuible (normalizada)</t>
  </si>
  <si>
    <t xml:space="preserve">Patrimonio atribuible al cierre</t>
  </si>
  <si>
    <t xml:space="preserve">Apertura 2022A (reformulada 01-01-2022)</t>
  </si>
  <si>
    <t xml:space="preserve">  patrimonio apertura 2022A</t>
  </si>
  <si>
    <t xml:space="preserve">Activos promedio</t>
  </si>
  <si>
    <t xml:space="preserve">Patrimonio atribuible promedio</t>
  </si>
  <si>
    <t xml:space="preserve">Margen neto reportado</t>
  </si>
  <si>
    <t xml:space="preserve">n.c.</t>
  </si>
  <si>
    <t xml:space="preserve">Margen neto normalizado</t>
  </si>
  <si>
    <t xml:space="preserve">Rotación de activos</t>
  </si>
  <si>
    <t xml:space="preserve">Apalancamiento (activos / patrimonio)</t>
  </si>
  <si>
    <t xml:space="preserve">ROE reportado</t>
  </si>
  <si>
    <t xml:space="preserve">ROE normalizado</t>
  </si>
  <si>
    <t xml:space="preserve">ROA reportado</t>
  </si>
  <si>
    <t xml:space="preserve">ROA normalizado</t>
  </si>
  <si>
    <t xml:space="preserve">Controles: ROE reportado 2024A = 11,67% y 2025A = 37,46% (Bloomberg). Identidad DuPont: margen × rotación × apalancamiento = ROE.</t>
  </si>
  <si>
    <t xml:space="preserve">n.c. = no comparable (modelo del costo hasta 2021; NIC 8 reformula solo desde 01-01-2022).</t>
  </si>
  <si>
    <t xml:space="preserve">2022A–2023A con EEFF dic-23 reformulado: utilidad 2022 = 157.667 (no 66.445 base costo); distribuible 2023 = 197.540 [R, Nota 21e]; distribuible 2022 = 95.856 [C, proxy]. Payout 2023 sobre distribuible = 40,0%, en línea con la política.</t>
  </si>
  <si>
    <t xml:space="preserve">LTM 2T26 no se calcula en el bloque B: exige balance de jun-25 (EEFF jun-25, pendiente). La compañía reporta ROE LTM 28,6% con otra definición (patrimonio total, promedio de 4 trimestres).</t>
  </si>
  <si>
    <t xml:space="preserve">C. Peers — same normalization (WP §85)</t>
  </si>
  <si>
    <t xml:space="preserve">ROE normalizado — Mallplaza</t>
  </si>
  <si>
    <t xml:space="preserve">ROE normalizado — Parque Arauco</t>
  </si>
  <si>
    <t xml:space="preserve">ROE normalizado — Cencosud Shopping</t>
  </si>
  <si>
    <t xml:space="preserve">ROE reportado — Mallplaza</t>
  </si>
  <si>
    <t xml:space="preserve">ROE reportado — Parque Arauco</t>
  </si>
  <si>
    <t xml:space="preserve">ROE reportado — Cencosud Shopping</t>
  </si>
  <si>
    <t xml:space="preserve">Revalorización / PI de apertura — Mallplaza</t>
  </si>
  <si>
    <t xml:space="preserve">n/d</t>
  </si>
  <si>
    <t xml:space="preserve">Revalorización / PI de apertura — Parque Arauco</t>
  </si>
  <si>
    <t xml:space="preserve">Revalorización / PI de apertura — Cencosud Shopping</t>
  </si>
  <si>
    <t xml:space="preserve">EBITDA / PI (yield sobre libro) — Mallplaza Chile</t>
  </si>
  <si>
    <t xml:space="preserve">EBITDA / PI (yield sobre libro) — Parque Arauco</t>
  </si>
  <si>
    <t xml:space="preserve">EBITDA / PI (yield sobre libro) — Cencosud Shopping</t>
  </si>
  <si>
    <t xml:space="preserve">Apalancamiento (activos / patrimonio) — Mallplaza</t>
  </si>
  <si>
    <t xml:space="preserve">Activos / patrimonio atribuible (cierre) — Parque Arauco</t>
  </si>
  <si>
    <t xml:space="preserve">Activos / patrimonio atribuible (cierre) — Cencosud Shopping</t>
  </si>
  <si>
    <t xml:space="preserve">Mallplaza normalizado = utilidad distribuible (Nota 20e); pares = utilidad − revalorización × (1 − 27%) [S]. Métodos distintos, declarados.</t>
  </si>
  <si>
    <t xml:space="preserve">Yield sobre libro aproximado: EBITDA consolidado / PI (incluye terrenos y proyectos); Mallplaza Chile usa resultado del segmento. Mallplaza Chile jun-26: 7,08% LTM (WP §64).</t>
  </si>
  <si>
    <t xml:space="preserve">Lectura (WP §85.3): en 2024 el libro de Mallplaza era el más conservador (yield 8,45% vs 7,5%–7,8%); la revalorización de 2025 cerró la brecha. Cierre definitivo: tasas de descuento de los pares (CMF).</t>
  </si>
  <si>
    <t xml:space="preserve">Exhibit 2 — From reported profit to FFO, FY2025 (MM CLP)</t>
  </si>
  <si>
    <t xml:space="preserve">Reconstrucción propia; reproduce el FFO de la compañía con Δ −0,02%. Participación no controladora prorrateada por utilidad [S].</t>
  </si>
  <si>
    <t xml:space="preserve">Paso</t>
  </si>
  <si>
    <t xml:space="preserve">Monto</t>
  </si>
  <si>
    <t xml:space="preserve">Base (gráfico)</t>
  </si>
  <si>
    <t xml:space="preserve">Barra (gráfico)</t>
  </si>
  <si>
    <t xml:space="preserve">(−) Otros ingresos por función (revalorización)</t>
  </si>
  <si>
    <t xml:space="preserve">(+) Otros gastos por función</t>
  </si>
  <si>
    <t xml:space="preserve">(+) Reajuste UF de la deuda</t>
  </si>
  <si>
    <t xml:space="preserve">(+) Impuesto diferido</t>
  </si>
  <si>
    <t xml:space="preserve">(−) Participación no controladora (% de la utilidad)</t>
  </si>
  <si>
    <t xml:space="preserve">FFO atribuible reconstruido</t>
  </si>
  <si>
    <t xml:space="preserve">FFO atribuible reportado (compañía)</t>
  </si>
  <si>
    <t xml:space="preserve">Diferencia</t>
  </si>
  <si>
    <t xml:space="preserve">Reajuste UF / FFO atribuible</t>
  </si>
  <si>
    <t xml:space="preserve">Nota: columnas C–D solo alimentan el gráfico de cascada (base invisible).</t>
  </si>
  <si>
    <t xml:space="preserve">Exhibit 3 — Growth: perimeter, indexation, real</t>
  </si>
  <si>
    <t xml:space="preserve">Deflactor Chile = UF promedio del período [C]. Colombia y Perú: tipo de cambio promedio (WP §82) e inflación local (WP §83). Bloque B = Exhibit 3 v1 (WP §84).</t>
  </si>
  <si>
    <t xml:space="preserve">Reported (CLP)</t>
  </si>
  <si>
    <t xml:space="preserve">Real</t>
  </si>
  <si>
    <t xml:space="preserve">Ingresos consolidados</t>
  </si>
  <si>
    <t xml:space="preserve">Chile</t>
  </si>
  <si>
    <t xml:space="preserve">Peru</t>
  </si>
  <si>
    <t xml:space="preserve">  Colombia</t>
  </si>
  <si>
    <t xml:space="preserve">Colombia</t>
  </si>
  <si>
    <t xml:space="preserve">Consolidated</t>
  </si>
  <si>
    <t xml:space="preserve">Rango auxiliar del gráfico "Reported vs real".</t>
  </si>
  <si>
    <t xml:space="preserve">UF promedio</t>
  </si>
  <si>
    <t xml:space="preserve">Crecimiento</t>
  </si>
  <si>
    <t xml:space="preserve">Consolidado nominal</t>
  </si>
  <si>
    <t xml:space="preserve">Serie</t>
  </si>
  <si>
    <t xml:space="preserve">  de lo cual: perímetro Perú (pp)</t>
  </si>
  <si>
    <t xml:space="preserve">Nominal</t>
  </si>
  <si>
    <t xml:space="preserve">Ex-Perú nominal (Chile + Colombia)</t>
  </si>
  <si>
    <t xml:space="preserve">UF</t>
  </si>
  <si>
    <t xml:space="preserve">Chile nominal</t>
  </si>
  <si>
    <t xml:space="preserve">Indexación UF (UF promedio)</t>
  </si>
  <si>
    <t xml:space="preserve">Chile real</t>
  </si>
  <si>
    <t xml:space="preserve">Colombia nominal en CLP (incluye FX)</t>
  </si>
  <si>
    <t xml:space="preserve">Perú nominal en CLP (incluye FX)</t>
  </si>
  <si>
    <t xml:space="preserve">n.m.</t>
  </si>
  <si>
    <t xml:space="preserve">Rentas variables / ingresos</t>
  </si>
  <si>
    <t xml:space="preserve">Crecimiento rentas variables</t>
  </si>
  <si>
    <t xml:space="preserve">Crecimiento ingresos no variables</t>
  </si>
  <si>
    <t xml:space="preserve">B. By country: CLP → local currency → real</t>
  </si>
  <si>
    <t xml:space="preserve">Nominal CLP</t>
  </si>
  <si>
    <t xml:space="preserve">Efecto FX</t>
  </si>
  <si>
    <t xml:space="preserve">Moneda local</t>
  </si>
  <si>
    <t xml:space="preserve">Inflación / UF</t>
  </si>
  <si>
    <t xml:space="preserve">Chile FY2025</t>
  </si>
  <si>
    <t xml:space="preserve">Chile 1S26</t>
  </si>
  <si>
    <t xml:space="preserve">Perú 1S26</t>
  </si>
  <si>
    <t xml:space="preserve">Colombia FY2024</t>
  </si>
  <si>
    <t xml:space="preserve">Colombia FY2025</t>
  </si>
  <si>
    <t xml:space="preserve">Colombia 1S26</t>
  </si>
  <si>
    <t xml:space="preserve">Consolidado 1S26 (real ponderado por ingresos FY2025)</t>
  </si>
  <si>
    <t xml:space="preserve">Perú FY2025 n.m. (perímetro: consolidado desde 04-12-2024). Chile: efecto FX = 0 por definición.</t>
  </si>
  <si>
    <t xml:space="preserve">Colombia 1S26: inflación = variación anual a jun-26 (DANE), PROXY del promedio 1S26/1S25; el real exacto quedaría ~+1% a +2%.</t>
  </si>
  <si>
    <t xml:space="preserve">Colombia FY2024–FY2025: un real de dos dígitos probablemente incluye GLA nuevo. No publicar como crecimiento same-store hasta verificar GLA por año (WP §84.2, pendiente #37).</t>
  </si>
  <si>
    <t xml:space="preserve">Exhibit 4 — Cash conversion and dividend cover (MM CLP)</t>
  </si>
  <si>
    <t xml:space="preserve">Flujo operativo según EEFF (intereses en financiación). 1S26 incluye capital de trabajo estacional (WP §61).</t>
  </si>
  <si>
    <t xml:space="preserve">Flujo operativo</t>
  </si>
  <si>
    <t xml:space="preserve">(−) Capex total</t>
  </si>
  <si>
    <t xml:space="preserve">(−) Intereses netos pagados</t>
  </si>
  <si>
    <t xml:space="preserve">Flujo libre antes de amortizar deuda</t>
  </si>
  <si>
    <t xml:space="preserve">Cobertura de dividendos (x)</t>
  </si>
  <si>
    <t xml:space="preserve">Capex / ingresos</t>
  </si>
  <si>
    <t xml:space="preserve">Flujo operativo / EBITDA</t>
  </si>
  <si>
    <t xml:space="preserve">Exhibit 5 — Leverage: three lenses and the revaluation effect</t>
  </si>
  <si>
    <t xml:space="preserve">LTV = DFN / propiedades de inversión. Contrafactual: PI dic-25 sin revalorización 2025.</t>
  </si>
  <si>
    <t xml:space="preserve">Deuda financiera neta</t>
  </si>
  <si>
    <t xml:space="preserve">LTV</t>
  </si>
  <si>
    <t xml:space="preserve">Descomposición de la caída del LTV 2024→2025</t>
  </si>
  <si>
    <t xml:space="preserve">pp</t>
  </si>
  <si>
    <t xml:space="preserve">LTV dic-24</t>
  </si>
  <si>
    <t xml:space="preserve">LTV dic-25 contrafactual (PI sin revalorización)</t>
  </si>
  <si>
    <t xml:space="preserve">Efecto menor deuda neta y adiciones</t>
  </si>
  <si>
    <t xml:space="preserve">Efecto revalorización</t>
  </si>
  <si>
    <t xml:space="preserve">LTV dic-25</t>
  </si>
  <si>
    <t xml:space="preserve">Revalorización / caída total</t>
  </si>
  <si>
    <t xml:space="preserve">ALERTA: umbral del covenant publicado inconsistente (0,4x jun-24; "0,5x" dic-24; 2,0x dic-25). No mostrar holgura hasta verificar escrituras (WP §72).</t>
  </si>
  <si>
    <t xml:space="preserve">Peers (dic-25 / FY2025)</t>
  </si>
  <si>
    <t xml:space="preserve">Mallplaza</t>
  </si>
  <si>
    <t xml:space="preserve">Parque Arauco</t>
  </si>
  <si>
    <t xml:space="preserve">Cencosud Shopping</t>
  </si>
  <si>
    <t xml:space="preserve">LTV (deuda neta / PI)</t>
  </si>
  <si>
    <t xml:space="preserve">Deuda neta / EBITDA</t>
  </si>
  <si>
    <t xml:space="preserve">Activos / patrimonio atribuible (cierre)</t>
  </si>
  <si>
    <t xml:space="preserve">Mallplaza: DFN definición covenant (Nota 26). Pares: préstamos CP + deuda LP − caja (Bloomberg). Parque Arauco excluye negocios conjuntos de la PI: LTV y DN/EBITDA sobrestimados. Para Industry más que para FA.</t>
  </si>
  <si>
    <t xml:space="preserve">Exhibit 6 — Bond maturities and coupon vs effective rate (dic-25)</t>
  </si>
  <si>
    <t xml:space="preserve">Bonos en UF, valor libro MM CLP (EEFF dic-25, Nota 14). Deuda bancaria (PEN/COP) aparte. Nunca usar DDIS (WP §54).</t>
  </si>
  <si>
    <t xml:space="preserve">Vencimiento</t>
  </si>
  <si>
    <t xml:space="preserve">Valor libro</t>
  </si>
  <si>
    <t xml:space="preserve">Cupón</t>
  </si>
  <si>
    <t xml:space="preserve">Tasa efectiva</t>
  </si>
  <si>
    <t xml:space="preserve">Año</t>
  </si>
  <si>
    <t xml:space="preserve">Vencimientos bonos</t>
  </si>
  <si>
    <t xml:space="preserve">AA</t>
  </si>
  <si>
    <t xml:space="preserve">2027</t>
  </si>
  <si>
    <t xml:space="preserve">AD</t>
  </si>
  <si>
    <t xml:space="preserve">2028</t>
  </si>
  <si>
    <t xml:space="preserve">2029</t>
  </si>
  <si>
    <t xml:space="preserve">2030</t>
  </si>
  <si>
    <t xml:space="preserve">D</t>
  </si>
  <si>
    <t xml:space="preserve">2031</t>
  </si>
  <si>
    <t xml:space="preserve">E</t>
  </si>
  <si>
    <t xml:space="preserve">2032</t>
  </si>
  <si>
    <t xml:space="preserve">U</t>
  </si>
  <si>
    <t xml:space="preserve">2033</t>
  </si>
  <si>
    <t xml:space="preserve">H</t>
  </si>
  <si>
    <t xml:space="preserve">2034</t>
  </si>
  <si>
    <t xml:space="preserve">AE</t>
  </si>
  <si>
    <t xml:space="preserve">2035</t>
  </si>
  <si>
    <t xml:space="preserve">K</t>
  </si>
  <si>
    <t xml:space="preserve">2043</t>
  </si>
  <si>
    <t xml:space="preserve">N</t>
  </si>
  <si>
    <t xml:space="preserve">2045</t>
  </si>
  <si>
    <t xml:space="preserve">Z</t>
  </si>
  <si>
    <t xml:space="preserve">2047</t>
  </si>
  <si>
    <t xml:space="preserve">AC</t>
  </si>
  <si>
    <t xml:space="preserve">Total bonos</t>
  </si>
  <si>
    <t xml:space="preserve">Deuda bancaria (PEN/COP)</t>
  </si>
  <si>
    <t xml:space="preserve">Deuda financiera total</t>
  </si>
  <si>
    <t xml:space="preserve">Control vs Nota 25 (1.579.315)</t>
  </si>
  <si>
    <t xml:space="preserve">Refinanciamiento serie S (2029) a la tasa efectiva de la AE: costo anual adicional</t>
  </si>
  <si>
    <t xml:space="preserve">Exhibit 7 — Discount rate vs the company's stated benchmark</t>
  </si>
  <si>
    <t xml:space="preserve">Benchmark = soberano USD 10Y = UST 10Y + spread país, el insumo que declara la Nota 11 (WP §15.2). WACC = punto medio del rango real después de impuestos de la Nota 11 (Nota 10 en intermedios). Fin de mes.</t>
  </si>
  <si>
    <t xml:space="preserve">Fuentes: Bloomberg HP 28-09-2026 (USGG10YR Index, USGGT10Y Index, GTUSDCL10YR, GTUSDPE10YR, Colombia USD 10Y genérico — confirmar ticker), fuente BGN para soberanos; Nota 11 EEFF dic-23 (vía dic-24), jun-24, dic-24, dic-25, jun-26 (WP §69, §81).</t>
  </si>
  <si>
    <t xml:space="preserve">Serie (fin de mes)</t>
  </si>
  <si>
    <t xml:space="preserve">jun-24</t>
  </si>
  <si>
    <t xml:space="preserve">jun-25</t>
  </si>
  <si>
    <t xml:space="preserve">Tag / fuente</t>
  </si>
  <si>
    <t xml:space="preserve">Nota 11 WACC Chile (real)</t>
  </si>
  <si>
    <t xml:space="preserve">Stated benchmark: Chile USD 10Y</t>
  </si>
  <si>
    <t xml:space="preserve">UST 10Y</t>
  </si>
  <si>
    <t xml:space="preserve">R — USGG10YR Index</t>
  </si>
  <si>
    <t xml:space="preserve">TIPS 10Y (real)</t>
  </si>
  <si>
    <t xml:space="preserve">R — USGGT10Y Index</t>
  </si>
  <si>
    <t xml:space="preserve">Chile USD 10Y</t>
  </si>
  <si>
    <t xml:space="preserve">R — GTUSDCL10YR, BGN</t>
  </si>
  <si>
    <t xml:space="preserve">Perú USD 10Y</t>
  </si>
  <si>
    <t xml:space="preserve">R — GTUSDPE10YR, BGN</t>
  </si>
  <si>
    <t xml:space="preserve">Colombia USD 10Y</t>
  </si>
  <si>
    <t xml:space="preserve">R — genérico Colombia USD 10Y, BGN [P: confirmar ticker]</t>
  </si>
  <si>
    <t xml:space="preserve">WACC Chile — mínimo</t>
  </si>
  <si>
    <t xml:space="preserve">R — Nota 11</t>
  </si>
  <si>
    <t xml:space="preserve">Rango auxiliar del gráfico: cambio acumulado desde dic-23 en pb (compara movimientos, no niveles: el WACC es real y el benchmark nominal en USD). Omite jun-25 (WACC pendiente).</t>
  </si>
  <si>
    <t xml:space="preserve">WACC Chile — máximo</t>
  </si>
  <si>
    <t xml:space="preserve">WACC Perú — mínimo</t>
  </si>
  <si>
    <t xml:space="preserve">WACC Perú — máximo</t>
  </si>
  <si>
    <t xml:space="preserve">WACC Colombia — mínimo</t>
  </si>
  <si>
    <t xml:space="preserve">WACC Colombia — máximo</t>
  </si>
  <si>
    <t xml:space="preserve">jun-25: EEFF intermedios jun-25, Nota 11 (tasas de descuento). Dic-22 (no graficado): Chile 5,97%–6,61%, Perú 5,91%–6,55%, Colombia 7,45%–8,07% (EEFF dic-23, Nota 12).</t>
  </si>
  <si>
    <t xml:space="preserve">Breakeven EE.UU. (UST − TIPS)</t>
  </si>
  <si>
    <t xml:space="preserve">Spread país Chile (Chile USD − UST)</t>
  </si>
  <si>
    <t xml:space="preserve">Spread país Perú</t>
  </si>
  <si>
    <t xml:space="preserve">Spread país Colombia</t>
  </si>
  <si>
    <t xml:space="preserve">WACC Chile — punto medio</t>
  </si>
  <si>
    <t xml:space="preserve">WACC Perú — punto medio</t>
  </si>
  <si>
    <t xml:space="preserve">WACC Colombia — punto medio</t>
  </si>
  <si>
    <t xml:space="preserve">Residuo = Δ WACC − Δ benchmark (pb)</t>
  </si>
  <si>
    <t xml:space="preserve">Perú</t>
  </si>
  <si>
    <t xml:space="preserve">2024 (dic-23 → dic-24)</t>
  </si>
  <si>
    <t xml:space="preserve">2025 (dic-24 → dic-25)</t>
  </si>
  <si>
    <t xml:space="preserve">1S26 (dic-25 → jun-26)</t>
  </si>
  <si>
    <t xml:space="preserve">Acumulado dic-23 → jun-26</t>
  </si>
  <si>
    <t xml:space="preserve">Peso en PI jun-26</t>
  </si>
  <si>
    <t xml:space="preserve">Residuo acumulado ponderado por PI (pb)</t>
  </si>
  <si>
    <t xml:space="preserve">Regla ex ante (ventana dic-24 → jun-26, WP §81.4)</t>
  </si>
  <si>
    <t xml:space="preserve">Umbral: se mantiene si el mercado explica menos de [S]</t>
  </si>
  <si>
    <t xml:space="preserve">Umbral: se reescribe si el mercado explica más de [S]</t>
  </si>
  <si>
    <t xml:space="preserve">Δ benchmark (pb)</t>
  </si>
  <si>
    <t xml:space="preserve">Δ WACC (pb)</t>
  </si>
  <si>
    <t xml:space="preserve">% explicado por el mercado</t>
  </si>
  <si>
    <t xml:space="preserve">Resultado</t>
  </si>
  <si>
    <t xml:space="preserve">Mercado al 28-09-2026 (post jun-26)</t>
  </si>
  <si>
    <t xml:space="preserve">Nivel</t>
  </si>
  <si>
    <t xml:space="preserve">Δ vs jun-26 (pb)</t>
  </si>
  <si>
    <t xml:space="preserve">R — HP USGG10YR, 28-09-2026 17:12</t>
  </si>
  <si>
    <t xml:space="preserve">R — WB, 28-09-2026</t>
  </si>
  <si>
    <t xml:space="preserve">WB muestra bonos benchmark específicos (Chile 4.95 36, Perú 6.55 37, Colombia 7¾ 36); nivel comparable con el genérico, no idéntico.</t>
  </si>
  <si>
    <t xml:space="preserve">Residuo por semestre 2025 (pb) = Δ WACC − Δ benchmark</t>
  </si>
  <si>
    <t xml:space="preserve">1S25 (dic-24 → jun-25)</t>
  </si>
  <si>
    <t xml:space="preserve">2S25 (jun-25 → dic-25)</t>
  </si>
  <si>
    <t xml:space="preserve">Tasa del impuesto diferido [S]</t>
  </si>
  <si>
    <t xml:space="preserve">WACC Chile base jun-26</t>
  </si>
  <si>
    <t xml:space="preserve">Escenario</t>
  </si>
  <si>
    <t xml:space="preserve">WACC Chile</t>
  </si>
  <si>
    <t xml:space="preserve">Δ valor PI</t>
  </si>
  <si>
    <t xml:space="preserve">Δ valor PI (MM CLP)</t>
  </si>
  <si>
    <t xml:space="preserve">Neto de impuesto diferido</t>
  </si>
  <si>
    <t xml:space="preserve">CLP por acción</t>
  </si>
  <si>
    <t xml:space="preserve">WACC sigue su benchmark desde dic-23</t>
  </si>
  <si>
    <t xml:space="preserve">Traspaso del alza post jun-26 (Chile USD)</t>
  </si>
  <si>
    <t xml:space="preserve">Orden de magnitud, no estimación: supone que todo el movimiento del benchmark se traspasa al WACC real y g constante. Insumo para valuation / Risks.</t>
  </si>
  <si>
    <t xml:space="preserve">Exhibit 8 — ROIC (capital invertido a valor razonable) y RONIC de la expansión</t>
  </si>
  <si>
    <t xml:space="preserve">ROIC = NOPAT / capital invertido promedio, con capital = patrimonio atribuible + DFN, a valor razonable (NIC 40). Reproduce el 7,3% del Anexo 3 de Análisis Financiero. RONIC = yield on cost × (1 − t), real.</t>
  </si>
  <si>
    <t xml:space="preserve">Convención del libro: azul = dato; verde = vínculo a otra hoja; negro = fórmula; amarillo = insumo que viene del modelo de valoración v2 (otro libro).</t>
  </si>
  <si>
    <t xml:space="preserve">A. ROIC (MM CLP)</t>
  </si>
  <si>
    <t xml:space="preserve">D&amp;A (2024: razón D&amp;A/ingresos de 2025, supuesto [S])</t>
  </si>
  <si>
    <t xml:space="preserve">EBIT = EBITDA − D&amp;A</t>
  </si>
  <si>
    <t xml:space="preserve">Tasa de impuesto operacional de largo plazo</t>
  </si>
  <si>
    <t xml:space="preserve">NOPAT = EBIT × (1 − t)</t>
  </si>
  <si>
    <t xml:space="preserve">Deuda financiera neta (covenant)</t>
  </si>
  <si>
    <t xml:space="preserve">Capital invertido al cierre = patrimonio + DFN</t>
  </si>
  <si>
    <t xml:space="preserve">Capital invertido promedio dic-24 / dic-25</t>
  </si>
  <si>
    <t xml:space="preserve">B. ROIC 2025 según la definición del capital</t>
  </si>
  <si>
    <t xml:space="preserve">ROIC</t>
  </si>
  <si>
    <t xml:space="preserve">Capital promedio (patrimonio + DFN) — definición usada</t>
  </si>
  <si>
    <t xml:space="preserve">Capital de cierre (patrimonio + DFN)</t>
  </si>
  <si>
    <t xml:space="preserve">Propiedades de inversión de cierre</t>
  </si>
  <si>
    <t xml:space="preserve">Valor publicado en el Anexo 3 de Análisis Financiero</t>
  </si>
  <si>
    <t xml:space="preserve">Tasa de impuesto operacional (insumo de la sección A y B)</t>
  </si>
  <si>
    <t xml:space="preserve">Diferencia vs Anexo 3 (pp)</t>
  </si>
  <si>
    <t xml:space="preserve">Nota: 2024 y 2023 no se reproducen de forma exacta (falta la D&amp;A de 2024 y la DFN de dic-22/dic-23 en Inputs); solo el 2025 queda con su fórmula completa.</t>
  </si>
  <si>
    <t xml:space="preserve">C. ROIC frente a la WACC (insumos de v2, hoja WACC)</t>
  </si>
  <si>
    <t xml:space="preserve">WACC nominal CLP, terminal</t>
  </si>
  <si>
    <t xml:space="preserve">WACC real, terminal</t>
  </si>
  <si>
    <t xml:space="preserve">ROIC 2025 − WACC nominal (pp)</t>
  </si>
  <si>
    <t xml:space="preserve">ROIC 2025 − WACC real (pp)</t>
  </si>
  <si>
    <t xml:space="preserve">Lectura: el ROIC es un retorno sobre capital tasado hoy (pesos actuales), comparable con la WACC real; contra la nominal mezcla bases. La conclusión de que crecer resta valor descansa en el RONIC (sección D).</t>
  </si>
  <si>
    <t xml:space="preserve">D. RONIC de la expansión (modelo v2, hoja Expansion)</t>
  </si>
  <si>
    <t xml:space="preserve">Yield on cost derivado = EBITDA maduro por m² / costo por m² (2026)</t>
  </si>
  <si>
    <t xml:space="preserve">RONIC real después de impuestos = yield × (1 − t)</t>
  </si>
  <si>
    <t xml:space="preserve">RONIC − WACC real (pp)</t>
  </si>
  <si>
    <t xml:space="preserve">¿Crecer crea valor? (RONIC &gt; WACC real)</t>
  </si>
  <si>
    <t xml:space="preserve">Inflación de largo plazo Chile</t>
  </si>
  <si>
    <t xml:space="preserve">g real = (1 + g) / (1 + π) − 1</t>
  </si>
  <si>
    <t xml:space="preserve">Tasa de reinversión terminal = g real / RONIC</t>
  </si>
  <si>
    <t xml:space="preserve">Fuente: Mallplaza_Valoracion_Consolidada_v2.xlsx — Expansion!C36:C38, WACC!I43:I44, Supuestos!B59, B34, B88. Los valores amarillos se pegan a mano desde v2; actualizarlos si cambia el modelo.</t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</si>
</sst>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#,##0;\(#,##0\);\-"/>
    <numFmt numFmtId="166" formatCode="#,##0.00"/>
    <numFmt numFmtId="167" formatCode="0.00\x"/>
    <numFmt numFmtId="168" formatCode="0%"/>
    <numFmt numFmtId="169" formatCode="0.000000"/>
    <numFmt numFmtId="170" formatCode="0.00%;\(0.00%\);\-"/>
    <numFmt numFmtId="171" formatCode="0.0%;\(0.0%\);\-"/>
    <numFmt numFmtId="172" formatCode="#,##0.00;\(#,##0.00\);\-"/>
    <numFmt numFmtId="173" formatCode="0.0000"/>
    <numFmt numFmtId="174" formatCode="#,##0.0;\(#,##0.0\);\-"/>
    <numFmt numFmtId="175" formatCode="0"/>
    <numFmt numFmtId="176" formatCode="0.00"/>
    <numFmt numFmtId="177" formatCode="0.0\x"/>
    <numFmt numFmtId="178" formatCode="0.00\x;\(0.00&quot;x)&quot;;\-"/>
    <numFmt numFmtId="179" formatCode="0.000\x"/>
    <numFmt numFmtId="180" formatCode="#,##0;\-#,##0;0"/>
    <numFmt numFmtId="181" formatCode="0.00%"/>
    <numFmt numFmtId="182" formatCode="0.00;\(0.00\);\-"/>
    <numFmt numFmtId="183" formatCode="0.0;\(0.0\);\-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8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name val="Arial"/>
      <family val="2"/>
    </font>
    <font>
      <b val="true"/>
      <sz val="9"/>
      <color rgb="FFC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D9E1F2"/>
      </patternFill>
    </fill>
    <fill>
      <patternFill patternType="solid">
        <fgColor rgb="FFE2EFDA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9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2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C0504D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FY2025: profit to FFO (MM CLP)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E2_FFO_bridge!$C$4</c:f>
              <c:strCache>
                <c:ptCount val="1"/>
                <c:pt idx="0">
                  <c:v>Base (gráfico)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E2_FFO_bridge!$A$5:$A$11</c:f>
              <c:strCache>
                <c:ptCount val="7"/>
                <c:pt idx="0">
                  <c:v>Ganancia consolidada</c:v>
                </c:pt>
                <c:pt idx="1">
                  <c:v>(−) Otros ingresos por función (revalorización)</c:v>
                </c:pt>
                <c:pt idx="2">
                  <c:v>(+) Otros gastos por función</c:v>
                </c:pt>
                <c:pt idx="3">
                  <c:v>(+) D&amp;A</c:v>
                </c:pt>
                <c:pt idx="4">
                  <c:v>(+) Reajuste UF de la deuda</c:v>
                </c:pt>
                <c:pt idx="5">
                  <c:v>(+) Impuesto diferido</c:v>
                </c:pt>
                <c:pt idx="6">
                  <c:v>FFO consolidado</c:v>
                </c:pt>
              </c:strCache>
            </c:strRef>
          </c:cat>
          <c:val>
            <c:numRef>
              <c:f>E2_FFO_bridge!$C$5:$C$11</c:f>
              <c:numCache>
                <c:formatCode>#,##0;\(#,##0\);\-</c:formatCode>
                <c:ptCount val="7"/>
                <c:pt idx="0">
                  <c:v>0</c:v>
                </c:pt>
                <c:pt idx="1">
                  <c:v>-7965</c:v>
                </c:pt>
                <c:pt idx="2">
                  <c:v>-7965</c:v>
                </c:pt>
                <c:pt idx="3">
                  <c:v>-4454</c:v>
                </c:pt>
                <c:pt idx="4">
                  <c:v>-844</c:v>
                </c:pt>
                <c:pt idx="5">
                  <c:v>42981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E2_FFO_bridge!$D$4</c:f>
              <c:strCache>
                <c:ptCount val="1"/>
                <c:pt idx="0">
                  <c:v>Barra (gráfico)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E2_FFO_bridge!$A$5:$A$11</c:f>
              <c:strCache>
                <c:ptCount val="7"/>
                <c:pt idx="0">
                  <c:v>Ganancia consolidada</c:v>
                </c:pt>
                <c:pt idx="1">
                  <c:v>(−) Otros ingresos por función (revalorización)</c:v>
                </c:pt>
                <c:pt idx="2">
                  <c:v>(+) Otros gastos por función</c:v>
                </c:pt>
                <c:pt idx="3">
                  <c:v>(+) D&amp;A</c:v>
                </c:pt>
                <c:pt idx="4">
                  <c:v>(+) Reajuste UF de la deuda</c:v>
                </c:pt>
                <c:pt idx="5">
                  <c:v>(+) Impuesto diferido</c:v>
                </c:pt>
                <c:pt idx="6">
                  <c:v>FFO consolidado</c:v>
                </c:pt>
              </c:strCache>
            </c:strRef>
          </c:cat>
          <c:val>
            <c:numRef>
              <c:f>E2_FFO_bridge!$D$5:$D$11</c:f>
              <c:numCache>
                <c:formatCode>#,##0;\(#,##0\);\-</c:formatCode>
                <c:ptCount val="7"/>
                <c:pt idx="0">
                  <c:v>1440978</c:v>
                </c:pt>
                <c:pt idx="1">
                  <c:v>1448943</c:v>
                </c:pt>
                <c:pt idx="2">
                  <c:v>3511</c:v>
                </c:pt>
                <c:pt idx="3">
                  <c:v>3610</c:v>
                </c:pt>
                <c:pt idx="4">
                  <c:v>43825</c:v>
                </c:pt>
                <c:pt idx="5">
                  <c:v>365071</c:v>
                </c:pt>
                <c:pt idx="6">
                  <c:v>408052</c:v>
                </c:pt>
              </c:numCache>
            </c:numRef>
          </c:val>
        </c:ser>
        <c:gapWidth val="150"/>
        <c:overlap val="100"/>
        <c:axId val="64444404"/>
        <c:axId val="61388440"/>
      </c:barChart>
      <c:catAx>
        <c:axId val="644444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388440"/>
        <c:crosses val="autoZero"/>
        <c:auto val="1"/>
        <c:lblAlgn val="ctr"/>
        <c:lblOffset val="100"/>
        <c:noMultiLvlLbl val="0"/>
      </c:catAx>
      <c:valAx>
        <c:axId val="613884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4444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Chile: nominal vs indexation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E3_Growth!$H$13</c:f>
              <c:strCache>
                <c:ptCount val="1"/>
                <c:pt idx="0">
                  <c:v>FY2025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E3_Growth!$G$14:$G$16</c:f>
              <c:strCache>
                <c:ptCount val="3"/>
                <c:pt idx="0">
                  <c:v>Nominal</c:v>
                </c:pt>
                <c:pt idx="1">
                  <c:v>UF</c:v>
                </c:pt>
                <c:pt idx="2">
                  <c:v>Real</c:v>
                </c:pt>
              </c:strCache>
            </c:strRef>
          </c:cat>
          <c:val>
            <c:numRef>
              <c:f>E3_Growth!$H$14:$H$16</c:f>
              <c:numCache>
                <c:formatCode>0.0%;\(0.0%\);\-</c:formatCode>
                <c:ptCount val="3"/>
                <c:pt idx="0">
                  <c:v>0.0972212494338371</c:v>
                </c:pt>
                <c:pt idx="1">
                  <c:v>0.0435628342459495</c:v>
                </c:pt>
                <c:pt idx="2">
                  <c:v>0.0514184804469966</c:v>
                </c:pt>
              </c:numCache>
            </c:numRef>
          </c:val>
        </c:ser>
        <c:ser>
          <c:idx val="1"/>
          <c:order val="1"/>
          <c:tx>
            <c:strRef>
              <c:f>E3_Growth!$I$13</c:f>
              <c:strCache>
                <c:ptCount val="1"/>
                <c:pt idx="0">
                  <c:v>1S26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E3_Growth!$G$14:$G$16</c:f>
              <c:strCache>
                <c:ptCount val="3"/>
                <c:pt idx="0">
                  <c:v>Nominal</c:v>
                </c:pt>
                <c:pt idx="1">
                  <c:v>UF</c:v>
                </c:pt>
                <c:pt idx="2">
                  <c:v>Real</c:v>
                </c:pt>
              </c:strCache>
            </c:strRef>
          </c:cat>
          <c:val>
            <c:numRef>
              <c:f>E3_Growth!$I$14:$I$16</c:f>
              <c:numCache>
                <c:formatCode>0.0%;\(0.0%\);\-</c:formatCode>
                <c:ptCount val="3"/>
                <c:pt idx="0">
                  <c:v>0.0605395748961521</c:v>
                </c:pt>
                <c:pt idx="1">
                  <c:v>0.0313854148510515</c:v>
                </c:pt>
                <c:pt idx="2">
                  <c:v>0.0282669888727396</c:v>
                </c:pt>
              </c:numCache>
            </c:numRef>
          </c:val>
        </c:ser>
        <c:gapWidth val="150"/>
        <c:overlap val="0"/>
        <c:axId val="99645655"/>
        <c:axId val="11101103"/>
      </c:barChart>
      <c:catAx>
        <c:axId val="996456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101103"/>
        <c:crosses val="autoZero"/>
        <c:auto val="1"/>
        <c:lblAlgn val="ctr"/>
        <c:lblOffset val="100"/>
        <c:noMultiLvlLbl val="0"/>
      </c:catAx>
      <c:valAx>
        <c:axId val="111011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6456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1S26 revenue growth: reported (CLP)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E3_Growth!$L$4</c:f>
              <c:strCache>
                <c:ptCount val="1"/>
                <c:pt idx="0">
                  <c:v>Reported (CLP)</c:v>
                </c:pt>
              </c:strCache>
            </c:strRef>
          </c:tx>
          <c:spPr>
            <a:solidFill>
              <a:srgbClr val="4f81bd"/>
            </a:solidFill>
            <a:ln w="936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E3_Growth!$K$5:$K$8</c:f>
              <c:strCache>
                <c:ptCount val="4"/>
                <c:pt idx="0">
                  <c:v>Chile</c:v>
                </c:pt>
                <c:pt idx="1">
                  <c:v>Peru</c:v>
                </c:pt>
                <c:pt idx="2">
                  <c:v>Colombia</c:v>
                </c:pt>
                <c:pt idx="3">
                  <c:v>Consolidated</c:v>
                </c:pt>
              </c:strCache>
            </c:strRef>
          </c:cat>
          <c:val>
            <c:numRef>
              <c:f>E3_Growth!$L$5:$L$8</c:f>
              <c:numCache>
                <c:formatCode>0.0%;\(0.0%\);\-</c:formatCode>
                <c:ptCount val="4"/>
                <c:pt idx="0">
                  <c:v>0.0605395748961521</c:v>
                </c:pt>
                <c:pt idx="1">
                  <c:v>0.0891390540923251</c:v>
                </c:pt>
                <c:pt idx="2">
                  <c:v>0.153301806552581</c:v>
                </c:pt>
                <c:pt idx="3">
                  <c:v>0.0740949295810294</c:v>
                </c:pt>
              </c:numCache>
            </c:numRef>
          </c:val>
        </c:ser>
        <c:ser>
          <c:idx val="1"/>
          <c:order val="1"/>
          <c:tx>
            <c:strRef>
              <c:f>E3_Growth!$M$4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c0504d"/>
            </a:solidFill>
            <a:ln w="936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E3_Growth!$K$5:$K$8</c:f>
              <c:strCache>
                <c:ptCount val="4"/>
                <c:pt idx="0">
                  <c:v>Chile</c:v>
                </c:pt>
                <c:pt idx="1">
                  <c:v>Peru</c:v>
                </c:pt>
                <c:pt idx="2">
                  <c:v>Colombia</c:v>
                </c:pt>
                <c:pt idx="3">
                  <c:v>Consolidated</c:v>
                </c:pt>
              </c:strCache>
            </c:strRef>
          </c:cat>
          <c:val>
            <c:numRef>
              <c:f>E3_Growth!$M$5:$M$8</c:f>
              <c:numCache>
                <c:formatCode>0.0%;\(0.0%\);\-</c:formatCode>
                <c:ptCount val="4"/>
                <c:pt idx="0">
                  <c:v>0.0282669888727396</c:v>
                </c:pt>
                <c:pt idx="1">
                  <c:v>0.0449210177156982</c:v>
                </c:pt>
                <c:pt idx="2">
                  <c:v>0.0110814969088568</c:v>
                </c:pt>
                <c:pt idx="3">
                  <c:v>0.0297109024542601</c:v>
                </c:pt>
              </c:numCache>
            </c:numRef>
          </c:val>
        </c:ser>
        <c:gapWidth val="150"/>
        <c:overlap val="0"/>
        <c:axId val="36872046"/>
        <c:axId val="52758888"/>
      </c:barChart>
      <c:catAx>
        <c:axId val="3687204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758888"/>
        <c:crosses val="autoZero"/>
        <c:auto val="1"/>
        <c:lblAlgn val="ctr"/>
        <c:lblOffset val="100"/>
        <c:noMultiLvlLbl val="0"/>
      </c:catAx>
      <c:valAx>
        <c:axId val="527588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87204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Free cash flow vs dividends paid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"FCF before debt amortization"</c:f>
              <c:strCache>
                <c:ptCount val="1"/>
                <c:pt idx="0">
                  <c:v>FCF before debt amortization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E4_Cash!$B$4:$D$4</c:f>
              <c:multiLvlStrCache>
                <c:ptCount val="1"/>
                <c:lvl>
                  <c:pt idx="0">
                    <c:v>1S26</c:v>
                  </c:pt>
                </c:lvl>
                <c:lvl>
                  <c:pt idx="0">
                    <c:v>FY2025</c:v>
                  </c:pt>
                </c:lvl>
                <c:lvl>
                  <c:pt idx="0">
                    <c:v>FY2024</c:v>
                  </c:pt>
                </c:lvl>
              </c:multiLvlStrCache>
            </c:multiLvlStrRef>
          </c:cat>
          <c:val>
            <c:numRef>
              <c:f>E4_Cash!$B$9:$D$9</c:f>
              <c:numCache>
                <c:formatCode>#,##0;\(#,##0\);\-</c:formatCode>
                <c:ptCount val="3"/>
                <c:pt idx="0">
                  <c:v>191065</c:v>
                </c:pt>
                <c:pt idx="1">
                  <c:v>280070</c:v>
                </c:pt>
                <c:pt idx="2">
                  <c:v>152351</c:v>
                </c:pt>
              </c:numCache>
            </c:numRef>
          </c:val>
        </c:ser>
        <c:ser>
          <c:idx val="1"/>
          <c:order val="1"/>
          <c:tx>
            <c:strRef>
              <c:f>"Dividends paid"</c:f>
              <c:strCache>
                <c:ptCount val="1"/>
                <c:pt idx="0">
                  <c:v>Dividends paid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E4_Cash!$B$4:$D$4</c:f>
              <c:multiLvlStrCache>
                <c:ptCount val="1"/>
                <c:lvl>
                  <c:pt idx="0">
                    <c:v>1S26</c:v>
                  </c:pt>
                </c:lvl>
                <c:lvl>
                  <c:pt idx="0">
                    <c:v>FY2025</c:v>
                  </c:pt>
                </c:lvl>
                <c:lvl>
                  <c:pt idx="0">
                    <c:v>FY2024</c:v>
                  </c:pt>
                </c:lvl>
              </c:multiLvlStrCache>
            </c:multiLvlStrRef>
          </c:cat>
          <c:val>
            <c:numRef>
              <c:f>E4_Cash!$B$10:$D$10</c:f>
              <c:numCache>
                <c:formatCode>#,##0;\(#,##0\);\-</c:formatCode>
                <c:ptCount val="3"/>
                <c:pt idx="0">
                  <c:v>125751</c:v>
                </c:pt>
                <c:pt idx="1">
                  <c:v>108499</c:v>
                </c:pt>
                <c:pt idx="2">
                  <c:v>87617</c:v>
                </c:pt>
              </c:numCache>
            </c:numRef>
          </c:val>
        </c:ser>
        <c:gapWidth val="150"/>
        <c:overlap val="0"/>
        <c:axId val="16083309"/>
        <c:axId val="85126318"/>
      </c:barChart>
      <c:catAx>
        <c:axId val="1608330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126318"/>
        <c:crosses val="autoZero"/>
        <c:auto val="1"/>
        <c:lblAlgn val="ctr"/>
        <c:lblOffset val="100"/>
        <c:noMultiLvlLbl val="0"/>
      </c:catAx>
      <c:valAx>
        <c:axId val="851263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0833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Bond maturities by year (MM CLP, UF-linked)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E6_Debt!$H$4</c:f>
              <c:strCache>
                <c:ptCount val="1"/>
                <c:pt idx="0">
                  <c:v>Vencimientos bonos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E6_Debt!$G$5:$G$16</c:f>
              <c:strCache>
                <c:ptCount val="12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2043</c:v>
                </c:pt>
                <c:pt idx="10">
                  <c:v>2045</c:v>
                </c:pt>
                <c:pt idx="11">
                  <c:v>2047</c:v>
                </c:pt>
              </c:strCache>
            </c:strRef>
          </c:cat>
          <c:val>
            <c:numRef>
              <c:f>E6_Debt!$H$5:$H$16</c:f>
              <c:numCache>
                <c:formatCode>#,##0;\(#,##0\);\-</c:formatCode>
                <c:ptCount val="12"/>
                <c:pt idx="0">
                  <c:v>39887</c:v>
                </c:pt>
                <c:pt idx="1">
                  <c:v>59226</c:v>
                </c:pt>
                <c:pt idx="2">
                  <c:v>161405</c:v>
                </c:pt>
                <c:pt idx="3">
                  <c:v>6063</c:v>
                </c:pt>
                <c:pt idx="4">
                  <c:v>198317</c:v>
                </c:pt>
                <c:pt idx="5">
                  <c:v>89214</c:v>
                </c:pt>
                <c:pt idx="6">
                  <c:v>154709</c:v>
                </c:pt>
                <c:pt idx="7">
                  <c:v>119065</c:v>
                </c:pt>
                <c:pt idx="8">
                  <c:v>120963</c:v>
                </c:pt>
                <c:pt idx="9">
                  <c:v>128521</c:v>
                </c:pt>
                <c:pt idx="10">
                  <c:v>80219</c:v>
                </c:pt>
                <c:pt idx="11">
                  <c:v>120126</c:v>
                </c:pt>
              </c:numCache>
            </c:numRef>
          </c:val>
        </c:ser>
        <c:gapWidth val="150"/>
        <c:overlap val="0"/>
        <c:axId val="62251779"/>
        <c:axId val="57590959"/>
      </c:barChart>
      <c:catAx>
        <c:axId val="622517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590959"/>
        <c:crosses val="autoZero"/>
        <c:auto val="1"/>
        <c:lblAlgn val="ctr"/>
        <c:lblOffset val="100"/>
        <c:noMultiLvlLbl val="0"/>
      </c:catAx>
      <c:valAx>
        <c:axId val="575909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2517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Chile: cumulative change since Dec-23 (bp)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E7_WACC!$K$5</c:f>
              <c:strCache>
                <c:ptCount val="1"/>
                <c:pt idx="0">
                  <c:v>Nota 11 WACC Chile (real)</c:v>
                </c:pt>
              </c:strCache>
            </c:strRef>
          </c:tx>
          <c:spPr>
            <a:solidFill>
              <a:srgbClr val="c0504d"/>
            </a:solidFill>
            <a:ln w="2844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E7_WACC!$J$6:$J$10</c:f>
              <c:strCache>
                <c:ptCount val="5"/>
                <c:pt idx="0">
                  <c:v>dic-23</c:v>
                </c:pt>
                <c:pt idx="1">
                  <c:v>jun-24</c:v>
                </c:pt>
                <c:pt idx="2">
                  <c:v>dic-24</c:v>
                </c:pt>
                <c:pt idx="3">
                  <c:v>dic-25</c:v>
                </c:pt>
                <c:pt idx="4">
                  <c:v>jun-26</c:v>
                </c:pt>
              </c:strCache>
            </c:strRef>
          </c:cat>
          <c:val>
            <c:numRef>
              <c:f>E7_WACC!$K$6:$K$10</c:f>
              <c:numCache>
                <c:formatCode>#,##0;\(#,##0\);\-</c:formatCode>
                <c:ptCount val="5"/>
                <c:pt idx="0">
                  <c:v>0</c:v>
                </c:pt>
                <c:pt idx="1">
                  <c:v>-2.5</c:v>
                </c:pt>
                <c:pt idx="2">
                  <c:v>13.0000000000001</c:v>
                </c:pt>
                <c:pt idx="3">
                  <c:v>-84.9999999999999</c:v>
                </c:pt>
                <c:pt idx="4">
                  <c:v>-93.4999999999999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E7_WACC!$L$5</c:f>
              <c:strCache>
                <c:ptCount val="1"/>
                <c:pt idx="0">
                  <c:v>Stated benchmark: Chile USD 10Y</c:v>
                </c:pt>
              </c:strCache>
            </c:strRef>
          </c:tx>
          <c:spPr>
            <a:solidFill>
              <a:srgbClr val="4f81bd"/>
            </a:solidFill>
            <a:ln w="2844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E7_WACC!$J$6:$J$10</c:f>
              <c:strCache>
                <c:ptCount val="5"/>
                <c:pt idx="0">
                  <c:v>dic-23</c:v>
                </c:pt>
                <c:pt idx="1">
                  <c:v>jun-24</c:v>
                </c:pt>
                <c:pt idx="2">
                  <c:v>dic-24</c:v>
                </c:pt>
                <c:pt idx="3">
                  <c:v>dic-25</c:v>
                </c:pt>
                <c:pt idx="4">
                  <c:v>jun-26</c:v>
                </c:pt>
              </c:strCache>
            </c:strRef>
          </c:cat>
          <c:val>
            <c:numRef>
              <c:f>E7_WACC!$L$6:$L$10</c:f>
              <c:numCache>
                <c:formatCode>#,##0;\(#,##0\);\-</c:formatCode>
                <c:ptCount val="5"/>
                <c:pt idx="0">
                  <c:v>0</c:v>
                </c:pt>
                <c:pt idx="1">
                  <c:v>38.9999999999999</c:v>
                </c:pt>
                <c:pt idx="2">
                  <c:v>55.9</c:v>
                </c:pt>
                <c:pt idx="3">
                  <c:v>-3.70000000000002</c:v>
                </c:pt>
                <c:pt idx="4">
                  <c:v>22.6999999999999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4068693"/>
        <c:axId val="71574658"/>
      </c:lineChart>
      <c:catAx>
        <c:axId val="4406869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574658"/>
        <c:crosses val="autoZero"/>
        <c:auto val="1"/>
        <c:lblAlgn val="ctr"/>
        <c:lblOffset val="100"/>
        <c:noMultiLvlLbl val="0"/>
      </c:catAx>
      <c:valAx>
        <c:axId val="7157465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;\-#,##0;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06869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14</xdr:col>
      <xdr:colOff>567360</xdr:colOff>
      <xdr:row>19</xdr:row>
      <xdr:rowOff>189000</xdr:rowOff>
    </xdr:to>
    <xdr:graphicFrame>
      <xdr:nvGraphicFramePr>
        <xdr:cNvPr id="0" name="Chart 1"/>
        <xdr:cNvGraphicFramePr/>
      </xdr:nvGraphicFramePr>
      <xdr:xfrm>
        <a:off x="8035200" y="571680"/>
        <a:ext cx="7212240" cy="3236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18</xdr:row>
      <xdr:rowOff>0</xdr:rowOff>
    </xdr:from>
    <xdr:to>
      <xdr:col>13</xdr:col>
      <xdr:colOff>5400</xdr:colOff>
      <xdr:row>33</xdr:row>
      <xdr:rowOff>19080</xdr:rowOff>
    </xdr:to>
    <xdr:graphicFrame>
      <xdr:nvGraphicFramePr>
        <xdr:cNvPr id="1" name="Chart 1"/>
        <xdr:cNvGraphicFramePr/>
      </xdr:nvGraphicFramePr>
      <xdr:xfrm>
        <a:off x="9021960" y="3429000"/>
        <a:ext cx="5956200" cy="2876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3</xdr:row>
      <xdr:rowOff>0</xdr:rowOff>
    </xdr:from>
    <xdr:to>
      <xdr:col>22</xdr:col>
      <xdr:colOff>145080</xdr:colOff>
      <xdr:row>18</xdr:row>
      <xdr:rowOff>19800</xdr:rowOff>
    </xdr:to>
    <xdr:graphicFrame>
      <xdr:nvGraphicFramePr>
        <xdr:cNvPr id="2" name="Chart 2"/>
        <xdr:cNvGraphicFramePr/>
      </xdr:nvGraphicFramePr>
      <xdr:xfrm>
        <a:off x="15586560" y="571680"/>
        <a:ext cx="5057640" cy="2877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11</xdr:col>
      <xdr:colOff>241920</xdr:colOff>
      <xdr:row>18</xdr:row>
      <xdr:rowOff>19440</xdr:rowOff>
    </xdr:to>
    <xdr:graphicFrame>
      <xdr:nvGraphicFramePr>
        <xdr:cNvPr id="3" name="Chart 1"/>
        <xdr:cNvGraphicFramePr/>
      </xdr:nvGraphicFramePr>
      <xdr:xfrm>
        <a:off x="8035200" y="571680"/>
        <a:ext cx="5044680" cy="2876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0</xdr:rowOff>
    </xdr:from>
    <xdr:to>
      <xdr:col>18</xdr:col>
      <xdr:colOff>253080</xdr:colOff>
      <xdr:row>18</xdr:row>
      <xdr:rowOff>19440</xdr:rowOff>
    </xdr:to>
    <xdr:graphicFrame>
      <xdr:nvGraphicFramePr>
        <xdr:cNvPr id="4" name="Chart 1"/>
        <xdr:cNvGraphicFramePr/>
      </xdr:nvGraphicFramePr>
      <xdr:xfrm>
        <a:off x="11891520" y="571680"/>
        <a:ext cx="5779440" cy="2876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12</xdr:row>
      <xdr:rowOff>0</xdr:rowOff>
    </xdr:from>
    <xdr:to>
      <xdr:col>16</xdr:col>
      <xdr:colOff>350640</xdr:colOff>
      <xdr:row>27</xdr:row>
      <xdr:rowOff>19440</xdr:rowOff>
    </xdr:to>
    <xdr:graphicFrame>
      <xdr:nvGraphicFramePr>
        <xdr:cNvPr id="5" name="Chart 1"/>
        <xdr:cNvGraphicFramePr/>
      </xdr:nvGraphicFramePr>
      <xdr:xfrm>
        <a:off x="13019400" y="2286000"/>
        <a:ext cx="5767200" cy="2877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2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/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 t="s">
        <v>6</v>
      </c>
    </row>
    <row r="9" customFormat="false" ht="15" hidden="false" customHeight="true" outlineLevel="0" collapsed="false">
      <c r="A9" s="3" t="s">
        <v>7</v>
      </c>
    </row>
    <row r="10" customFormat="false" ht="15" hidden="false" customHeight="true" outlineLevel="0" collapsed="false">
      <c r="A10" s="3"/>
    </row>
    <row r="11" customFormat="false" ht="15" hidden="false" customHeight="true" outlineLevel="0" collapsed="false">
      <c r="A11" s="4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52"/>
    <col collapsed="false" customWidth="true" hidden="false" outlineLevel="0" max="3" min="3" style="1" width="14"/>
    <col collapsed="false" customWidth="true" hidden="false" outlineLevel="0" max="5" min="4" style="1" width="9"/>
    <col collapsed="false" customWidth="true" hidden="false" outlineLevel="0" max="6" min="6" style="1" width="5"/>
    <col collapsed="false" customWidth="true" hidden="false" outlineLevel="0" max="7" min="7" style="1" width="60"/>
  </cols>
  <sheetData>
    <row r="1" customFormat="false" ht="15" hidden="false" customHeight="true" outlineLevel="0" collapsed="false">
      <c r="A1" s="2" t="s">
        <v>9</v>
      </c>
    </row>
    <row r="3" customFormat="false" ht="15" hidden="false" customHeight="true" outlineLevel="0" collapsed="false">
      <c r="A3" s="5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15</v>
      </c>
      <c r="G3" s="5" t="s">
        <v>16</v>
      </c>
    </row>
    <row r="4" customFormat="false" ht="15" hidden="false" customHeight="true" outlineLevel="0" collapsed="false">
      <c r="A4" s="3" t="s">
        <v>17</v>
      </c>
      <c r="B4" s="3" t="s">
        <v>18</v>
      </c>
      <c r="C4" s="6" t="n">
        <v>419904</v>
      </c>
      <c r="D4" s="3" t="s">
        <v>19</v>
      </c>
      <c r="E4" s="3" t="s">
        <v>20</v>
      </c>
      <c r="F4" s="3" t="s">
        <v>21</v>
      </c>
      <c r="G4" s="3" t="s">
        <v>22</v>
      </c>
    </row>
    <row r="5" customFormat="false" ht="15" hidden="false" customHeight="true" outlineLevel="0" collapsed="false">
      <c r="A5" s="3" t="s">
        <v>23</v>
      </c>
      <c r="B5" s="3" t="s">
        <v>18</v>
      </c>
      <c r="C5" s="6" t="n">
        <v>494605</v>
      </c>
      <c r="D5" s="3" t="s">
        <v>19</v>
      </c>
      <c r="E5" s="3" t="s">
        <v>24</v>
      </c>
      <c r="F5" s="3" t="s">
        <v>21</v>
      </c>
      <c r="G5" s="3" t="s">
        <v>25</v>
      </c>
    </row>
    <row r="6" customFormat="false" ht="15" hidden="false" customHeight="true" outlineLevel="0" collapsed="false">
      <c r="A6" s="3" t="s">
        <v>26</v>
      </c>
      <c r="B6" s="3" t="s">
        <v>18</v>
      </c>
      <c r="C6" s="6" t="n">
        <v>653911</v>
      </c>
      <c r="D6" s="3" t="s">
        <v>19</v>
      </c>
      <c r="E6" s="3" t="s">
        <v>27</v>
      </c>
      <c r="F6" s="3" t="s">
        <v>21</v>
      </c>
      <c r="G6" s="3" t="s">
        <v>28</v>
      </c>
    </row>
    <row r="7" customFormat="false" ht="15" hidden="false" customHeight="true" outlineLevel="0" collapsed="false">
      <c r="A7" s="3" t="s">
        <v>29</v>
      </c>
      <c r="B7" s="3" t="s">
        <v>18</v>
      </c>
      <c r="C7" s="6" t="n">
        <v>316108</v>
      </c>
      <c r="D7" s="3" t="s">
        <v>19</v>
      </c>
      <c r="E7" s="3" t="s">
        <v>30</v>
      </c>
      <c r="F7" s="3" t="s">
        <v>21</v>
      </c>
      <c r="G7" s="3" t="s">
        <v>31</v>
      </c>
    </row>
    <row r="8" customFormat="false" ht="15" hidden="false" customHeight="true" outlineLevel="0" collapsed="false">
      <c r="A8" s="3" t="s">
        <v>32</v>
      </c>
      <c r="B8" s="3" t="s">
        <v>18</v>
      </c>
      <c r="C8" s="6" t="n">
        <v>339530</v>
      </c>
      <c r="D8" s="3" t="s">
        <v>19</v>
      </c>
      <c r="E8" s="3" t="s">
        <v>33</v>
      </c>
      <c r="F8" s="3" t="s">
        <v>21</v>
      </c>
      <c r="G8" s="3" t="s">
        <v>34</v>
      </c>
    </row>
    <row r="9" customFormat="false" ht="15" hidden="false" customHeight="true" outlineLevel="0" collapsed="false">
      <c r="A9" s="3" t="s">
        <v>35</v>
      </c>
      <c r="B9" s="3" t="s">
        <v>36</v>
      </c>
      <c r="C9" s="6" t="n">
        <v>380637</v>
      </c>
      <c r="D9" s="3" t="s">
        <v>19</v>
      </c>
      <c r="E9" s="3" t="s">
        <v>24</v>
      </c>
      <c r="F9" s="3" t="s">
        <v>21</v>
      </c>
      <c r="G9" s="3" t="s">
        <v>37</v>
      </c>
    </row>
    <row r="10" customFormat="false" ht="15" hidden="false" customHeight="true" outlineLevel="0" collapsed="false">
      <c r="A10" s="3" t="s">
        <v>38</v>
      </c>
      <c r="B10" s="3" t="s">
        <v>36</v>
      </c>
      <c r="C10" s="6" t="n">
        <v>526228</v>
      </c>
      <c r="D10" s="3" t="s">
        <v>19</v>
      </c>
      <c r="E10" s="3" t="s">
        <v>27</v>
      </c>
      <c r="F10" s="3" t="s">
        <v>21</v>
      </c>
      <c r="G10" s="3" t="s">
        <v>39</v>
      </c>
    </row>
    <row r="11" customFormat="false" ht="15" hidden="false" customHeight="true" outlineLevel="0" collapsed="false">
      <c r="A11" s="3" t="s">
        <v>40</v>
      </c>
      <c r="B11" s="3" t="s">
        <v>41</v>
      </c>
      <c r="C11" s="6" t="n">
        <v>1440978</v>
      </c>
      <c r="D11" s="3" t="s">
        <v>19</v>
      </c>
      <c r="E11" s="3" t="s">
        <v>27</v>
      </c>
      <c r="F11" s="3" t="s">
        <v>21</v>
      </c>
      <c r="G11" s="3" t="s">
        <v>28</v>
      </c>
    </row>
    <row r="12" customFormat="false" ht="15" hidden="false" customHeight="true" outlineLevel="0" collapsed="false">
      <c r="A12" s="3" t="s">
        <v>42</v>
      </c>
      <c r="B12" s="3" t="s">
        <v>43</v>
      </c>
      <c r="C12" s="6" t="n">
        <v>335934</v>
      </c>
      <c r="D12" s="3" t="s">
        <v>19</v>
      </c>
      <c r="E12" s="3" t="s">
        <v>24</v>
      </c>
      <c r="F12" s="3" t="s">
        <v>21</v>
      </c>
      <c r="G12" s="3" t="s">
        <v>28</v>
      </c>
    </row>
    <row r="13" customFormat="false" ht="15" hidden="false" customHeight="true" outlineLevel="0" collapsed="false">
      <c r="A13" s="3" t="s">
        <v>44</v>
      </c>
      <c r="B13" s="3" t="s">
        <v>43</v>
      </c>
      <c r="C13" s="6" t="n">
        <v>1431012</v>
      </c>
      <c r="D13" s="3" t="s">
        <v>19</v>
      </c>
      <c r="E13" s="3" t="s">
        <v>27</v>
      </c>
      <c r="F13" s="3" t="s">
        <v>21</v>
      </c>
      <c r="G13" s="3" t="s">
        <v>28</v>
      </c>
    </row>
    <row r="14" customFormat="false" ht="15" hidden="false" customHeight="true" outlineLevel="0" collapsed="false">
      <c r="A14" s="3" t="s">
        <v>45</v>
      </c>
      <c r="B14" s="3" t="s">
        <v>46</v>
      </c>
      <c r="C14" s="6" t="n">
        <v>9967</v>
      </c>
      <c r="D14" s="3" t="s">
        <v>19</v>
      </c>
      <c r="E14" s="3" t="s">
        <v>27</v>
      </c>
      <c r="F14" s="3" t="s">
        <v>21</v>
      </c>
      <c r="G14" s="3" t="s">
        <v>28</v>
      </c>
    </row>
    <row r="15" customFormat="false" ht="15" hidden="false" customHeight="true" outlineLevel="0" collapsed="false">
      <c r="A15" s="3" t="s">
        <v>47</v>
      </c>
      <c r="B15" s="3" t="s">
        <v>48</v>
      </c>
      <c r="C15" s="6" t="n">
        <v>1448943</v>
      </c>
      <c r="D15" s="3" t="s">
        <v>19</v>
      </c>
      <c r="E15" s="3" t="s">
        <v>27</v>
      </c>
      <c r="F15" s="3" t="s">
        <v>21</v>
      </c>
      <c r="G15" s="3" t="s">
        <v>49</v>
      </c>
    </row>
    <row r="16" customFormat="false" ht="15" hidden="false" customHeight="true" outlineLevel="0" collapsed="false">
      <c r="A16" s="3" t="s">
        <v>50</v>
      </c>
      <c r="B16" s="3" t="s">
        <v>51</v>
      </c>
      <c r="C16" s="6" t="n">
        <v>3511</v>
      </c>
      <c r="D16" s="3" t="s">
        <v>19</v>
      </c>
      <c r="E16" s="3" t="s">
        <v>27</v>
      </c>
      <c r="F16" s="3" t="s">
        <v>21</v>
      </c>
      <c r="G16" s="3" t="s">
        <v>52</v>
      </c>
    </row>
    <row r="17" customFormat="false" ht="15" hidden="false" customHeight="true" outlineLevel="0" collapsed="false">
      <c r="A17" s="3" t="s">
        <v>53</v>
      </c>
      <c r="B17" s="3" t="s">
        <v>54</v>
      </c>
      <c r="C17" s="6" t="n">
        <v>3610</v>
      </c>
      <c r="D17" s="3" t="s">
        <v>19</v>
      </c>
      <c r="E17" s="3" t="s">
        <v>27</v>
      </c>
      <c r="F17" s="3" t="s">
        <v>21</v>
      </c>
      <c r="G17" s="3" t="s">
        <v>55</v>
      </c>
    </row>
    <row r="18" customFormat="false" ht="15" hidden="false" customHeight="true" outlineLevel="0" collapsed="false">
      <c r="A18" s="3" t="s">
        <v>56</v>
      </c>
      <c r="B18" s="3" t="s">
        <v>57</v>
      </c>
      <c r="C18" s="6" t="n">
        <v>43825</v>
      </c>
      <c r="D18" s="3" t="s">
        <v>19</v>
      </c>
      <c r="E18" s="3" t="s">
        <v>27</v>
      </c>
      <c r="F18" s="3" t="s">
        <v>21</v>
      </c>
      <c r="G18" s="3" t="s">
        <v>58</v>
      </c>
    </row>
    <row r="19" customFormat="false" ht="15" hidden="false" customHeight="true" outlineLevel="0" collapsed="false">
      <c r="A19" s="3" t="s">
        <v>59</v>
      </c>
      <c r="B19" s="3" t="s">
        <v>60</v>
      </c>
      <c r="C19" s="6" t="n">
        <v>365071</v>
      </c>
      <c r="D19" s="3" t="s">
        <v>19</v>
      </c>
      <c r="E19" s="3" t="s">
        <v>27</v>
      </c>
      <c r="F19" s="3" t="s">
        <v>21</v>
      </c>
      <c r="G19" s="3" t="s">
        <v>61</v>
      </c>
    </row>
    <row r="20" customFormat="false" ht="15" hidden="false" customHeight="true" outlineLevel="0" collapsed="false">
      <c r="A20" s="3" t="s">
        <v>62</v>
      </c>
      <c r="B20" s="3" t="s">
        <v>63</v>
      </c>
      <c r="C20" s="6" t="n">
        <v>405300</v>
      </c>
      <c r="D20" s="3" t="s">
        <v>19</v>
      </c>
      <c r="E20" s="3" t="s">
        <v>27</v>
      </c>
      <c r="F20" s="3" t="s">
        <v>21</v>
      </c>
      <c r="G20" s="3" t="s">
        <v>64</v>
      </c>
    </row>
    <row r="21" customFormat="false" ht="15" hidden="false" customHeight="true" outlineLevel="0" collapsed="false">
      <c r="A21" s="3" t="s">
        <v>65</v>
      </c>
      <c r="B21" s="3" t="s">
        <v>66</v>
      </c>
      <c r="C21" s="6" t="n">
        <v>238305</v>
      </c>
      <c r="D21" s="3" t="s">
        <v>19</v>
      </c>
      <c r="E21" s="3" t="s">
        <v>24</v>
      </c>
      <c r="F21" s="3" t="s">
        <v>21</v>
      </c>
      <c r="G21" s="3" t="s">
        <v>67</v>
      </c>
    </row>
    <row r="22" customFormat="false" ht="15" hidden="false" customHeight="true" outlineLevel="0" collapsed="false">
      <c r="A22" s="3" t="s">
        <v>68</v>
      </c>
      <c r="B22" s="3" t="s">
        <v>66</v>
      </c>
      <c r="C22" s="6" t="n">
        <v>369312</v>
      </c>
      <c r="D22" s="3" t="s">
        <v>19</v>
      </c>
      <c r="E22" s="3" t="s">
        <v>27</v>
      </c>
      <c r="F22" s="3" t="s">
        <v>21</v>
      </c>
      <c r="G22" s="3" t="s">
        <v>67</v>
      </c>
    </row>
    <row r="23" customFormat="false" ht="15" hidden="false" customHeight="true" outlineLevel="0" collapsed="false">
      <c r="A23" s="3" t="s">
        <v>69</v>
      </c>
      <c r="B23" s="3" t="s">
        <v>70</v>
      </c>
      <c r="C23" s="6" t="n">
        <v>4796336</v>
      </c>
      <c r="D23" s="3" t="s">
        <v>19</v>
      </c>
      <c r="E23" s="3" t="s">
        <v>71</v>
      </c>
      <c r="F23" s="3" t="s">
        <v>21</v>
      </c>
      <c r="G23" s="3" t="s">
        <v>72</v>
      </c>
    </row>
    <row r="24" customFormat="false" ht="15" hidden="false" customHeight="true" outlineLevel="0" collapsed="false">
      <c r="A24" s="3" t="s">
        <v>73</v>
      </c>
      <c r="B24" s="3" t="s">
        <v>70</v>
      </c>
      <c r="C24" s="6" t="n">
        <v>5915073</v>
      </c>
      <c r="D24" s="3" t="s">
        <v>19</v>
      </c>
      <c r="E24" s="3" t="s">
        <v>74</v>
      </c>
      <c r="F24" s="3" t="s">
        <v>21</v>
      </c>
      <c r="G24" s="3" t="s">
        <v>75</v>
      </c>
    </row>
    <row r="25" customFormat="false" ht="15" hidden="false" customHeight="true" outlineLevel="0" collapsed="false">
      <c r="A25" s="3" t="s">
        <v>76</v>
      </c>
      <c r="B25" s="3" t="s">
        <v>70</v>
      </c>
      <c r="C25" s="6" t="n">
        <v>7583643</v>
      </c>
      <c r="D25" s="3" t="s">
        <v>19</v>
      </c>
      <c r="E25" s="3" t="s">
        <v>77</v>
      </c>
      <c r="F25" s="3" t="s">
        <v>21</v>
      </c>
      <c r="G25" s="3" t="s">
        <v>78</v>
      </c>
    </row>
    <row r="26" customFormat="false" ht="15" hidden="false" customHeight="true" outlineLevel="0" collapsed="false">
      <c r="A26" s="3" t="s">
        <v>79</v>
      </c>
      <c r="B26" s="3" t="s">
        <v>80</v>
      </c>
      <c r="C26" s="6" t="n">
        <v>2601053</v>
      </c>
      <c r="D26" s="3" t="s">
        <v>19</v>
      </c>
      <c r="E26" s="3" t="s">
        <v>71</v>
      </c>
      <c r="F26" s="3" t="s">
        <v>21</v>
      </c>
      <c r="G26" s="3" t="s">
        <v>81</v>
      </c>
    </row>
    <row r="27" customFormat="false" ht="15" hidden="false" customHeight="true" outlineLevel="0" collapsed="false">
      <c r="A27" s="3" t="s">
        <v>82</v>
      </c>
      <c r="B27" s="3" t="s">
        <v>80</v>
      </c>
      <c r="C27" s="6" t="n">
        <v>3157863</v>
      </c>
      <c r="D27" s="3" t="s">
        <v>19</v>
      </c>
      <c r="E27" s="3" t="s">
        <v>74</v>
      </c>
      <c r="F27" s="3" t="s">
        <v>21</v>
      </c>
      <c r="G27" s="3" t="s">
        <v>83</v>
      </c>
    </row>
    <row r="28" customFormat="false" ht="15" hidden="false" customHeight="true" outlineLevel="0" collapsed="false">
      <c r="A28" s="3" t="s">
        <v>84</v>
      </c>
      <c r="B28" s="3" t="s">
        <v>80</v>
      </c>
      <c r="C28" s="6" t="n">
        <v>4482905</v>
      </c>
      <c r="D28" s="3" t="s">
        <v>19</v>
      </c>
      <c r="E28" s="3" t="s">
        <v>77</v>
      </c>
      <c r="F28" s="3" t="s">
        <v>21</v>
      </c>
      <c r="G28" s="3" t="s">
        <v>85</v>
      </c>
    </row>
    <row r="29" customFormat="false" ht="15" hidden="false" customHeight="true" outlineLevel="0" collapsed="false">
      <c r="A29" s="3" t="s">
        <v>86</v>
      </c>
      <c r="B29" s="3" t="s">
        <v>87</v>
      </c>
      <c r="C29" s="6" t="n">
        <v>230626</v>
      </c>
      <c r="D29" s="3" t="s">
        <v>19</v>
      </c>
      <c r="E29" s="3" t="s">
        <v>30</v>
      </c>
      <c r="F29" s="3" t="s">
        <v>21</v>
      </c>
      <c r="G29" s="3" t="s">
        <v>88</v>
      </c>
    </row>
    <row r="30" customFormat="false" ht="15" hidden="false" customHeight="true" outlineLevel="0" collapsed="false">
      <c r="A30" s="3" t="s">
        <v>89</v>
      </c>
      <c r="B30" s="3" t="s">
        <v>87</v>
      </c>
      <c r="C30" s="6" t="n">
        <v>244588</v>
      </c>
      <c r="D30" s="3" t="s">
        <v>19</v>
      </c>
      <c r="E30" s="3" t="s">
        <v>33</v>
      </c>
      <c r="F30" s="3" t="s">
        <v>21</v>
      </c>
      <c r="G30" s="3" t="s">
        <v>88</v>
      </c>
    </row>
    <row r="31" customFormat="false" ht="15" hidden="false" customHeight="true" outlineLevel="0" collapsed="false">
      <c r="A31" s="3" t="s">
        <v>90</v>
      </c>
      <c r="B31" s="3" t="s">
        <v>91</v>
      </c>
      <c r="C31" s="6" t="n">
        <v>29393</v>
      </c>
      <c r="D31" s="3" t="s">
        <v>19</v>
      </c>
      <c r="E31" s="3" t="s">
        <v>30</v>
      </c>
      <c r="F31" s="3" t="s">
        <v>21</v>
      </c>
      <c r="G31" s="3" t="s">
        <v>88</v>
      </c>
    </row>
    <row r="32" customFormat="false" ht="15" hidden="false" customHeight="true" outlineLevel="0" collapsed="false">
      <c r="A32" s="3" t="s">
        <v>92</v>
      </c>
      <c r="B32" s="3" t="s">
        <v>91</v>
      </c>
      <c r="C32" s="6" t="n">
        <v>33899</v>
      </c>
      <c r="D32" s="3" t="s">
        <v>19</v>
      </c>
      <c r="E32" s="3" t="s">
        <v>33</v>
      </c>
      <c r="F32" s="3" t="s">
        <v>21</v>
      </c>
      <c r="G32" s="3" t="s">
        <v>88</v>
      </c>
    </row>
    <row r="33" customFormat="false" ht="15" hidden="false" customHeight="true" outlineLevel="0" collapsed="false">
      <c r="A33" s="3" t="s">
        <v>93</v>
      </c>
      <c r="B33" s="3" t="s">
        <v>94</v>
      </c>
      <c r="C33" s="6" t="n">
        <v>56496</v>
      </c>
      <c r="D33" s="3" t="s">
        <v>19</v>
      </c>
      <c r="E33" s="3" t="s">
        <v>30</v>
      </c>
      <c r="F33" s="3" t="s">
        <v>21</v>
      </c>
      <c r="G33" s="3" t="s">
        <v>88</v>
      </c>
    </row>
    <row r="34" customFormat="false" ht="15" hidden="false" customHeight="true" outlineLevel="0" collapsed="false">
      <c r="A34" s="3" t="s">
        <v>95</v>
      </c>
      <c r="B34" s="3" t="s">
        <v>94</v>
      </c>
      <c r="C34" s="6" t="n">
        <v>61532</v>
      </c>
      <c r="D34" s="3" t="s">
        <v>19</v>
      </c>
      <c r="E34" s="3" t="s">
        <v>33</v>
      </c>
      <c r="F34" s="3" t="s">
        <v>21</v>
      </c>
      <c r="G34" s="3" t="s">
        <v>88</v>
      </c>
    </row>
    <row r="35" customFormat="false" ht="15" hidden="false" customHeight="true" outlineLevel="0" collapsed="false">
      <c r="A35" s="3" t="s">
        <v>96</v>
      </c>
      <c r="B35" s="3" t="s">
        <v>87</v>
      </c>
      <c r="C35" s="6" t="n">
        <v>428322</v>
      </c>
      <c r="D35" s="3" t="s">
        <v>19</v>
      </c>
      <c r="E35" s="3" t="s">
        <v>24</v>
      </c>
      <c r="F35" s="3" t="s">
        <v>21</v>
      </c>
      <c r="G35" s="3" t="s">
        <v>97</v>
      </c>
    </row>
    <row r="36" customFormat="false" ht="15" hidden="false" customHeight="true" outlineLevel="0" collapsed="false">
      <c r="A36" s="3" t="s">
        <v>98</v>
      </c>
      <c r="B36" s="3" t="s">
        <v>87</v>
      </c>
      <c r="C36" s="6" t="n">
        <v>469964</v>
      </c>
      <c r="D36" s="3" t="s">
        <v>19</v>
      </c>
      <c r="E36" s="3" t="s">
        <v>27</v>
      </c>
      <c r="F36" s="3" t="s">
        <v>21</v>
      </c>
      <c r="G36" s="3" t="s">
        <v>97</v>
      </c>
    </row>
    <row r="37" customFormat="false" ht="15" hidden="false" customHeight="true" outlineLevel="0" collapsed="false">
      <c r="A37" s="3" t="s">
        <v>99</v>
      </c>
      <c r="B37" s="3" t="s">
        <v>91</v>
      </c>
      <c r="C37" s="6" t="n">
        <v>52671</v>
      </c>
      <c r="D37" s="3" t="s">
        <v>19</v>
      </c>
      <c r="E37" s="3" t="s">
        <v>24</v>
      </c>
      <c r="F37" s="3" t="s">
        <v>21</v>
      </c>
      <c r="G37" s="3" t="s">
        <v>97</v>
      </c>
    </row>
    <row r="38" customFormat="false" ht="15" hidden="false" customHeight="true" outlineLevel="0" collapsed="false">
      <c r="A38" s="3" t="s">
        <v>100</v>
      </c>
      <c r="B38" s="3" t="s">
        <v>91</v>
      </c>
      <c r="C38" s="6" t="n">
        <v>62627</v>
      </c>
      <c r="D38" s="3" t="s">
        <v>19</v>
      </c>
      <c r="E38" s="3" t="s">
        <v>27</v>
      </c>
      <c r="F38" s="3" t="s">
        <v>21</v>
      </c>
      <c r="G38" s="3" t="s">
        <v>97</v>
      </c>
    </row>
    <row r="39" customFormat="false" ht="15" hidden="false" customHeight="true" outlineLevel="0" collapsed="false">
      <c r="A39" s="3" t="s">
        <v>101</v>
      </c>
      <c r="B39" s="3" t="s">
        <v>94</v>
      </c>
      <c r="C39" s="6" t="n">
        <v>13612</v>
      </c>
      <c r="D39" s="3" t="s">
        <v>19</v>
      </c>
      <c r="E39" s="3" t="s">
        <v>24</v>
      </c>
      <c r="F39" s="3" t="s">
        <v>21</v>
      </c>
      <c r="G39" s="3" t="s">
        <v>97</v>
      </c>
    </row>
    <row r="40" customFormat="false" ht="15" hidden="false" customHeight="true" outlineLevel="0" collapsed="false">
      <c r="A40" s="3" t="s">
        <v>102</v>
      </c>
      <c r="B40" s="3" t="s">
        <v>94</v>
      </c>
      <c r="C40" s="6" t="n">
        <v>121320</v>
      </c>
      <c r="D40" s="3" t="s">
        <v>19</v>
      </c>
      <c r="E40" s="3" t="s">
        <v>27</v>
      </c>
      <c r="F40" s="3" t="s">
        <v>21</v>
      </c>
      <c r="G40" s="3" t="s">
        <v>97</v>
      </c>
    </row>
    <row r="41" customFormat="false" ht="15" hidden="false" customHeight="true" outlineLevel="0" collapsed="false">
      <c r="A41" s="3" t="s">
        <v>103</v>
      </c>
      <c r="B41" s="3" t="s">
        <v>104</v>
      </c>
      <c r="C41" s="6" t="n">
        <v>20315</v>
      </c>
      <c r="D41" s="3" t="s">
        <v>19</v>
      </c>
      <c r="E41" s="3" t="s">
        <v>20</v>
      </c>
      <c r="F41" s="3" t="s">
        <v>21</v>
      </c>
      <c r="G41" s="3" t="s">
        <v>105</v>
      </c>
    </row>
    <row r="42" customFormat="false" ht="15" hidden="false" customHeight="true" outlineLevel="0" collapsed="false">
      <c r="A42" s="3" t="s">
        <v>106</v>
      </c>
      <c r="B42" s="3" t="s">
        <v>104</v>
      </c>
      <c r="C42" s="6" t="n">
        <v>24833</v>
      </c>
      <c r="D42" s="3" t="s">
        <v>19</v>
      </c>
      <c r="E42" s="3" t="s">
        <v>24</v>
      </c>
      <c r="F42" s="3" t="s">
        <v>21</v>
      </c>
      <c r="G42" s="3" t="s">
        <v>107</v>
      </c>
    </row>
    <row r="43" customFormat="false" ht="15" hidden="false" customHeight="true" outlineLevel="0" collapsed="false">
      <c r="A43" s="3" t="s">
        <v>108</v>
      </c>
      <c r="B43" s="3" t="s">
        <v>104</v>
      </c>
      <c r="C43" s="6" t="n">
        <v>38936</v>
      </c>
      <c r="D43" s="3" t="s">
        <v>19</v>
      </c>
      <c r="E43" s="3" t="s">
        <v>27</v>
      </c>
      <c r="F43" s="3" t="s">
        <v>21</v>
      </c>
      <c r="G43" s="3" t="s">
        <v>107</v>
      </c>
    </row>
    <row r="44" customFormat="false" ht="15" hidden="false" customHeight="true" outlineLevel="0" collapsed="false">
      <c r="A44" s="3" t="s">
        <v>109</v>
      </c>
      <c r="B44" s="3" t="s">
        <v>104</v>
      </c>
      <c r="C44" s="6" t="n">
        <v>17521</v>
      </c>
      <c r="D44" s="3" t="s">
        <v>19</v>
      </c>
      <c r="E44" s="3" t="s">
        <v>30</v>
      </c>
      <c r="F44" s="3" t="s">
        <v>21</v>
      </c>
      <c r="G44" s="3" t="s">
        <v>110</v>
      </c>
    </row>
    <row r="45" customFormat="false" ht="15" hidden="false" customHeight="true" outlineLevel="0" collapsed="false">
      <c r="A45" s="3" t="s">
        <v>111</v>
      </c>
      <c r="B45" s="3" t="s">
        <v>104</v>
      </c>
      <c r="C45" s="6" t="n">
        <v>17332</v>
      </c>
      <c r="D45" s="3" t="s">
        <v>19</v>
      </c>
      <c r="E45" s="3" t="s">
        <v>33</v>
      </c>
      <c r="F45" s="3" t="s">
        <v>21</v>
      </c>
      <c r="G45" s="3" t="s">
        <v>110</v>
      </c>
    </row>
    <row r="46" customFormat="false" ht="15" hidden="false" customHeight="true" outlineLevel="0" collapsed="false">
      <c r="A46" s="3" t="s">
        <v>112</v>
      </c>
      <c r="B46" s="3" t="s">
        <v>113</v>
      </c>
      <c r="C46" s="7" t="n">
        <v>37569.64</v>
      </c>
      <c r="D46" s="3" t="s">
        <v>114</v>
      </c>
      <c r="E46" s="3" t="s">
        <v>24</v>
      </c>
      <c r="F46" s="3" t="s">
        <v>115</v>
      </c>
      <c r="G46" s="3" t="s">
        <v>116</v>
      </c>
    </row>
    <row r="47" customFormat="false" ht="15" hidden="false" customHeight="true" outlineLevel="0" collapsed="false">
      <c r="A47" s="3" t="s">
        <v>117</v>
      </c>
      <c r="B47" s="3" t="s">
        <v>113</v>
      </c>
      <c r="C47" s="7" t="n">
        <v>39206.28</v>
      </c>
      <c r="D47" s="3" t="s">
        <v>114</v>
      </c>
      <c r="E47" s="3" t="s">
        <v>27</v>
      </c>
      <c r="F47" s="3" t="s">
        <v>115</v>
      </c>
      <c r="G47" s="3" t="s">
        <v>118</v>
      </c>
    </row>
    <row r="48" customFormat="false" ht="15" hidden="false" customHeight="true" outlineLevel="0" collapsed="false">
      <c r="A48" s="3" t="s">
        <v>119</v>
      </c>
      <c r="B48" s="3" t="s">
        <v>120</v>
      </c>
      <c r="C48" s="7" t="n">
        <v>38841.29</v>
      </c>
      <c r="D48" s="3" t="s">
        <v>114</v>
      </c>
      <c r="E48" s="3" t="s">
        <v>30</v>
      </c>
      <c r="F48" s="3" t="s">
        <v>115</v>
      </c>
      <c r="G48" s="3" t="s">
        <v>121</v>
      </c>
    </row>
    <row r="49" customFormat="false" ht="15" hidden="false" customHeight="true" outlineLevel="0" collapsed="false">
      <c r="A49" s="3" t="s">
        <v>122</v>
      </c>
      <c r="B49" s="3" t="s">
        <v>120</v>
      </c>
      <c r="C49" s="7" t="n">
        <v>40060.34</v>
      </c>
      <c r="D49" s="3" t="s">
        <v>114</v>
      </c>
      <c r="E49" s="3" t="s">
        <v>33</v>
      </c>
      <c r="F49" s="3" t="s">
        <v>115</v>
      </c>
      <c r="G49" s="3" t="s">
        <v>123</v>
      </c>
    </row>
    <row r="50" customFormat="false" ht="15" hidden="false" customHeight="true" outlineLevel="0" collapsed="false">
      <c r="A50" s="3" t="s">
        <v>124</v>
      </c>
      <c r="B50" s="3" t="s">
        <v>125</v>
      </c>
      <c r="C50" s="6" t="n">
        <v>300822</v>
      </c>
      <c r="D50" s="3" t="s">
        <v>19</v>
      </c>
      <c r="E50" s="3" t="s">
        <v>24</v>
      </c>
      <c r="F50" s="3" t="s">
        <v>21</v>
      </c>
      <c r="G50" s="3" t="s">
        <v>126</v>
      </c>
    </row>
    <row r="51" customFormat="false" ht="15" hidden="false" customHeight="true" outlineLevel="0" collapsed="false">
      <c r="A51" s="3" t="s">
        <v>127</v>
      </c>
      <c r="B51" s="3" t="s">
        <v>125</v>
      </c>
      <c r="C51" s="6" t="n">
        <v>441135</v>
      </c>
      <c r="D51" s="3" t="s">
        <v>19</v>
      </c>
      <c r="E51" s="3" t="s">
        <v>27</v>
      </c>
      <c r="F51" s="3" t="s">
        <v>21</v>
      </c>
      <c r="G51" s="3" t="s">
        <v>126</v>
      </c>
    </row>
    <row r="52" customFormat="false" ht="15" hidden="false" customHeight="true" outlineLevel="0" collapsed="false">
      <c r="A52" s="3" t="s">
        <v>128</v>
      </c>
      <c r="B52" s="3" t="s">
        <v>125</v>
      </c>
      <c r="C52" s="6" t="n">
        <v>258193</v>
      </c>
      <c r="D52" s="3" t="s">
        <v>19</v>
      </c>
      <c r="E52" s="3" t="s">
        <v>33</v>
      </c>
      <c r="F52" s="3" t="s">
        <v>21</v>
      </c>
      <c r="G52" s="3" t="s">
        <v>129</v>
      </c>
    </row>
    <row r="53" customFormat="false" ht="15" hidden="false" customHeight="true" outlineLevel="0" collapsed="false">
      <c r="A53" s="3" t="s">
        <v>130</v>
      </c>
      <c r="B53" s="3" t="s">
        <v>131</v>
      </c>
      <c r="C53" s="6" t="n">
        <v>76321</v>
      </c>
      <c r="D53" s="3" t="s">
        <v>19</v>
      </c>
      <c r="E53" s="3" t="s">
        <v>24</v>
      </c>
      <c r="F53" s="3" t="s">
        <v>21</v>
      </c>
      <c r="G53" s="3" t="s">
        <v>132</v>
      </c>
    </row>
    <row r="54" customFormat="false" ht="15" hidden="false" customHeight="true" outlineLevel="0" collapsed="false">
      <c r="A54" s="3" t="s">
        <v>133</v>
      </c>
      <c r="B54" s="3" t="s">
        <v>131</v>
      </c>
      <c r="C54" s="6" t="n">
        <v>103642</v>
      </c>
      <c r="D54" s="3" t="s">
        <v>19</v>
      </c>
      <c r="E54" s="3" t="s">
        <v>27</v>
      </c>
      <c r="F54" s="3" t="s">
        <v>21</v>
      </c>
      <c r="G54" s="3" t="s">
        <v>134</v>
      </c>
    </row>
    <row r="55" customFormat="false" ht="15" hidden="false" customHeight="true" outlineLevel="0" collapsed="false">
      <c r="A55" s="3" t="s">
        <v>135</v>
      </c>
      <c r="B55" s="3" t="s">
        <v>136</v>
      </c>
      <c r="C55" s="6" t="n">
        <v>84241</v>
      </c>
      <c r="D55" s="3" t="s">
        <v>19</v>
      </c>
      <c r="E55" s="3" t="s">
        <v>33</v>
      </c>
      <c r="F55" s="3" t="s">
        <v>21</v>
      </c>
      <c r="G55" s="3" t="s">
        <v>137</v>
      </c>
    </row>
    <row r="56" customFormat="false" ht="15" hidden="false" customHeight="true" outlineLevel="0" collapsed="false">
      <c r="A56" s="3" t="s">
        <v>138</v>
      </c>
      <c r="B56" s="3" t="s">
        <v>139</v>
      </c>
      <c r="C56" s="6" t="n">
        <v>33436</v>
      </c>
      <c r="D56" s="3" t="s">
        <v>19</v>
      </c>
      <c r="E56" s="3" t="s">
        <v>24</v>
      </c>
      <c r="F56" s="3" t="s">
        <v>21</v>
      </c>
      <c r="G56" s="3" t="s">
        <v>140</v>
      </c>
    </row>
    <row r="57" customFormat="false" ht="15" hidden="false" customHeight="true" outlineLevel="0" collapsed="false">
      <c r="A57" s="3" t="s">
        <v>141</v>
      </c>
      <c r="B57" s="3" t="s">
        <v>139</v>
      </c>
      <c r="C57" s="6" t="n">
        <v>57423</v>
      </c>
      <c r="D57" s="3" t="s">
        <v>19</v>
      </c>
      <c r="E57" s="3" t="s">
        <v>27</v>
      </c>
      <c r="F57" s="3" t="s">
        <v>21</v>
      </c>
      <c r="G57" s="3" t="s">
        <v>142</v>
      </c>
    </row>
    <row r="58" customFormat="false" ht="15" hidden="false" customHeight="true" outlineLevel="0" collapsed="false">
      <c r="A58" s="3" t="s">
        <v>143</v>
      </c>
      <c r="B58" s="3" t="s">
        <v>144</v>
      </c>
      <c r="C58" s="6" t="n">
        <v>21601</v>
      </c>
      <c r="D58" s="3" t="s">
        <v>19</v>
      </c>
      <c r="E58" s="3" t="s">
        <v>33</v>
      </c>
      <c r="F58" s="3" t="s">
        <v>21</v>
      </c>
      <c r="G58" s="3" t="s">
        <v>145</v>
      </c>
    </row>
    <row r="59" customFormat="false" ht="15" hidden="false" customHeight="true" outlineLevel="0" collapsed="false">
      <c r="A59" s="3" t="s">
        <v>146</v>
      </c>
      <c r="B59" s="3" t="s">
        <v>147</v>
      </c>
      <c r="C59" s="6" t="n">
        <v>125751</v>
      </c>
      <c r="D59" s="3" t="s">
        <v>19</v>
      </c>
      <c r="E59" s="3" t="s">
        <v>24</v>
      </c>
      <c r="F59" s="3" t="s">
        <v>21</v>
      </c>
      <c r="G59" s="3" t="s">
        <v>148</v>
      </c>
    </row>
    <row r="60" customFormat="false" ht="15" hidden="false" customHeight="true" outlineLevel="0" collapsed="false">
      <c r="A60" s="3" t="s">
        <v>149</v>
      </c>
      <c r="B60" s="3" t="s">
        <v>147</v>
      </c>
      <c r="C60" s="6" t="n">
        <v>108499</v>
      </c>
      <c r="D60" s="3" t="s">
        <v>19</v>
      </c>
      <c r="E60" s="3" t="s">
        <v>27</v>
      </c>
      <c r="F60" s="3" t="s">
        <v>21</v>
      </c>
      <c r="G60" s="3" t="s">
        <v>148</v>
      </c>
    </row>
    <row r="61" customFormat="false" ht="15" hidden="false" customHeight="true" outlineLevel="0" collapsed="false">
      <c r="A61" s="3" t="s">
        <v>150</v>
      </c>
      <c r="B61" s="3" t="s">
        <v>147</v>
      </c>
      <c r="C61" s="6" t="n">
        <v>87617</v>
      </c>
      <c r="D61" s="3" t="s">
        <v>19</v>
      </c>
      <c r="E61" s="3" t="s">
        <v>33</v>
      </c>
      <c r="F61" s="3" t="s">
        <v>21</v>
      </c>
      <c r="G61" s="3" t="s">
        <v>151</v>
      </c>
    </row>
    <row r="62" customFormat="false" ht="15" hidden="false" customHeight="true" outlineLevel="0" collapsed="false">
      <c r="A62" s="3" t="s">
        <v>152</v>
      </c>
      <c r="B62" s="3" t="s">
        <v>153</v>
      </c>
      <c r="C62" s="6" t="n">
        <v>1438401</v>
      </c>
      <c r="D62" s="3" t="s">
        <v>19</v>
      </c>
      <c r="E62" s="3" t="s">
        <v>74</v>
      </c>
      <c r="F62" s="3" t="s">
        <v>21</v>
      </c>
      <c r="G62" s="3" t="s">
        <v>154</v>
      </c>
    </row>
    <row r="63" customFormat="false" ht="15" hidden="false" customHeight="true" outlineLevel="0" collapsed="false">
      <c r="A63" s="3" t="s">
        <v>155</v>
      </c>
      <c r="B63" s="3" t="s">
        <v>153</v>
      </c>
      <c r="C63" s="6" t="n">
        <v>1311024</v>
      </c>
      <c r="D63" s="3" t="s">
        <v>19</v>
      </c>
      <c r="E63" s="3" t="s">
        <v>77</v>
      </c>
      <c r="F63" s="3" t="s">
        <v>21</v>
      </c>
      <c r="G63" s="3" t="s">
        <v>156</v>
      </c>
    </row>
    <row r="64" customFormat="false" ht="15" hidden="false" customHeight="true" outlineLevel="0" collapsed="false">
      <c r="A64" s="3" t="s">
        <v>157</v>
      </c>
      <c r="B64" s="3" t="s">
        <v>158</v>
      </c>
      <c r="C64" s="6" t="n">
        <v>1285740</v>
      </c>
      <c r="D64" s="3" t="s">
        <v>19</v>
      </c>
      <c r="E64" s="3" t="s">
        <v>159</v>
      </c>
      <c r="F64" s="3" t="s">
        <v>21</v>
      </c>
      <c r="G64" s="3" t="s">
        <v>160</v>
      </c>
    </row>
    <row r="65" customFormat="false" ht="15" hidden="false" customHeight="true" outlineLevel="0" collapsed="false">
      <c r="A65" s="3" t="s">
        <v>161</v>
      </c>
      <c r="B65" s="3" t="s">
        <v>162</v>
      </c>
      <c r="C65" s="6" t="n">
        <v>5356540</v>
      </c>
      <c r="D65" s="3" t="s">
        <v>19</v>
      </c>
      <c r="E65" s="3" t="s">
        <v>74</v>
      </c>
      <c r="F65" s="3" t="s">
        <v>21</v>
      </c>
      <c r="G65" s="3" t="s">
        <v>163</v>
      </c>
    </row>
    <row r="66" customFormat="false" ht="15" hidden="false" customHeight="true" outlineLevel="0" collapsed="false">
      <c r="A66" s="3" t="s">
        <v>164</v>
      </c>
      <c r="B66" s="3" t="s">
        <v>162</v>
      </c>
      <c r="C66" s="6" t="n">
        <v>6961880</v>
      </c>
      <c r="D66" s="3" t="s">
        <v>19</v>
      </c>
      <c r="E66" s="3" t="s">
        <v>77</v>
      </c>
      <c r="F66" s="3" t="s">
        <v>21</v>
      </c>
      <c r="G66" s="3" t="s">
        <v>163</v>
      </c>
    </row>
    <row r="67" customFormat="false" ht="15" hidden="false" customHeight="true" outlineLevel="0" collapsed="false">
      <c r="A67" s="3" t="s">
        <v>165</v>
      </c>
      <c r="B67" s="3" t="s">
        <v>162</v>
      </c>
      <c r="C67" s="6" t="n">
        <v>7309810</v>
      </c>
      <c r="D67" s="3" t="s">
        <v>19</v>
      </c>
      <c r="E67" s="3" t="s">
        <v>159</v>
      </c>
      <c r="F67" s="3" t="s">
        <v>21</v>
      </c>
      <c r="G67" s="3" t="s">
        <v>166</v>
      </c>
    </row>
    <row r="68" customFormat="false" ht="15" hidden="false" customHeight="true" outlineLevel="0" collapsed="false">
      <c r="A68" s="3" t="s">
        <v>167</v>
      </c>
      <c r="B68" s="3" t="s">
        <v>168</v>
      </c>
      <c r="C68" s="6" t="n">
        <v>1447136</v>
      </c>
      <c r="D68" s="3" t="s">
        <v>19</v>
      </c>
      <c r="E68" s="3" t="s">
        <v>27</v>
      </c>
      <c r="F68" s="3" t="s">
        <v>21</v>
      </c>
      <c r="G68" s="3" t="s">
        <v>163</v>
      </c>
    </row>
    <row r="69" customFormat="false" ht="15" hidden="false" customHeight="true" outlineLevel="0" collapsed="false">
      <c r="A69" s="3" t="s">
        <v>169</v>
      </c>
      <c r="B69" s="3" t="s">
        <v>170</v>
      </c>
      <c r="C69" s="8" t="n">
        <v>3.78</v>
      </c>
      <c r="D69" s="3" t="s">
        <v>171</v>
      </c>
      <c r="E69" s="3" t="s">
        <v>74</v>
      </c>
      <c r="F69" s="3" t="s">
        <v>21</v>
      </c>
      <c r="G69" s="3" t="s">
        <v>37</v>
      </c>
    </row>
    <row r="70" customFormat="false" ht="15" hidden="false" customHeight="true" outlineLevel="0" collapsed="false">
      <c r="A70" s="3" t="s">
        <v>172</v>
      </c>
      <c r="B70" s="3" t="s">
        <v>170</v>
      </c>
      <c r="C70" s="8" t="n">
        <v>2.49</v>
      </c>
      <c r="D70" s="3" t="s">
        <v>171</v>
      </c>
      <c r="E70" s="3" t="s">
        <v>77</v>
      </c>
      <c r="F70" s="3" t="s">
        <v>21</v>
      </c>
      <c r="G70" s="3" t="s">
        <v>37</v>
      </c>
    </row>
    <row r="71" customFormat="false" ht="15" hidden="false" customHeight="true" outlineLevel="0" collapsed="false">
      <c r="A71" s="3" t="s">
        <v>173</v>
      </c>
      <c r="B71" s="3" t="s">
        <v>174</v>
      </c>
      <c r="C71" s="8" t="n">
        <v>2.36</v>
      </c>
      <c r="D71" s="3" t="s">
        <v>171</v>
      </c>
      <c r="E71" s="3" t="s">
        <v>159</v>
      </c>
      <c r="F71" s="3" t="s">
        <v>21</v>
      </c>
      <c r="G71" s="3" t="s">
        <v>175</v>
      </c>
    </row>
    <row r="72" customFormat="false" ht="15" hidden="false" customHeight="true" outlineLevel="0" collapsed="false">
      <c r="A72" s="3" t="s">
        <v>176</v>
      </c>
      <c r="B72" s="3" t="s">
        <v>177</v>
      </c>
      <c r="C72" s="8" t="n">
        <v>0.45</v>
      </c>
      <c r="D72" s="3" t="s">
        <v>171</v>
      </c>
      <c r="E72" s="3" t="s">
        <v>74</v>
      </c>
      <c r="F72" s="3" t="s">
        <v>21</v>
      </c>
      <c r="G72" s="3" t="s">
        <v>154</v>
      </c>
    </row>
    <row r="73" customFormat="false" ht="15" hidden="false" customHeight="true" outlineLevel="0" collapsed="false">
      <c r="A73" s="3" t="s">
        <v>178</v>
      </c>
      <c r="B73" s="3" t="s">
        <v>177</v>
      </c>
      <c r="C73" s="8" t="n">
        <v>0.29</v>
      </c>
      <c r="D73" s="3" t="s">
        <v>171</v>
      </c>
      <c r="E73" s="3" t="s">
        <v>77</v>
      </c>
      <c r="F73" s="3" t="s">
        <v>21</v>
      </c>
      <c r="G73" s="3" t="s">
        <v>156</v>
      </c>
    </row>
    <row r="74" customFormat="false" ht="15" hidden="false" customHeight="true" outlineLevel="0" collapsed="false">
      <c r="A74" s="3" t="s">
        <v>179</v>
      </c>
      <c r="B74" s="3" t="s">
        <v>180</v>
      </c>
      <c r="C74" s="8" t="n">
        <v>0.26</v>
      </c>
      <c r="D74" s="3" t="s">
        <v>171</v>
      </c>
      <c r="E74" s="3" t="s">
        <v>159</v>
      </c>
      <c r="F74" s="3" t="s">
        <v>21</v>
      </c>
      <c r="G74" s="3" t="s">
        <v>175</v>
      </c>
    </row>
    <row r="75" customFormat="false" ht="15" hidden="false" customHeight="true" outlineLevel="0" collapsed="false">
      <c r="A75" s="3" t="s">
        <v>181</v>
      </c>
      <c r="B75" s="3" t="s">
        <v>36</v>
      </c>
      <c r="C75" s="6" t="n">
        <v>116114</v>
      </c>
      <c r="D75" s="3" t="s">
        <v>19</v>
      </c>
      <c r="E75" s="3" t="s">
        <v>182</v>
      </c>
      <c r="F75" s="3" t="s">
        <v>21</v>
      </c>
      <c r="G75" s="3" t="s">
        <v>183</v>
      </c>
    </row>
    <row r="76" customFormat="false" ht="15" hidden="false" customHeight="true" outlineLevel="0" collapsed="false">
      <c r="A76" s="3" t="s">
        <v>184</v>
      </c>
      <c r="B76" s="3" t="s">
        <v>36</v>
      </c>
      <c r="C76" s="6" t="n">
        <v>208621</v>
      </c>
      <c r="D76" s="3" t="s">
        <v>19</v>
      </c>
      <c r="E76" s="3" t="s">
        <v>185</v>
      </c>
      <c r="F76" s="3" t="s">
        <v>21</v>
      </c>
      <c r="G76" s="3" t="s">
        <v>183</v>
      </c>
    </row>
    <row r="77" customFormat="false" ht="15" hidden="false" customHeight="true" outlineLevel="0" collapsed="false">
      <c r="A77" s="3" t="s">
        <v>186</v>
      </c>
      <c r="B77" s="3" t="s">
        <v>36</v>
      </c>
      <c r="C77" s="6" t="n">
        <v>282699</v>
      </c>
      <c r="D77" s="3" t="s">
        <v>19</v>
      </c>
      <c r="E77" s="3" t="s">
        <v>187</v>
      </c>
      <c r="F77" s="3" t="s">
        <v>21</v>
      </c>
      <c r="G77" s="3" t="s">
        <v>188</v>
      </c>
    </row>
    <row r="78" customFormat="false" ht="15" hidden="false" customHeight="true" outlineLevel="0" collapsed="false">
      <c r="A78" s="3" t="s">
        <v>189</v>
      </c>
      <c r="B78" s="3" t="s">
        <v>36</v>
      </c>
      <c r="C78" s="6" t="n">
        <v>322185</v>
      </c>
      <c r="D78" s="3" t="s">
        <v>19</v>
      </c>
      <c r="E78" s="3" t="s">
        <v>20</v>
      </c>
      <c r="F78" s="3" t="s">
        <v>21</v>
      </c>
      <c r="G78" s="3" t="s">
        <v>188</v>
      </c>
    </row>
    <row r="79" customFormat="false" ht="15" hidden="false" customHeight="true" outlineLevel="0" collapsed="false">
      <c r="A79" s="3" t="s">
        <v>190</v>
      </c>
      <c r="B79" s="3" t="s">
        <v>191</v>
      </c>
      <c r="C79" s="6" t="n">
        <v>544935</v>
      </c>
      <c r="D79" s="3" t="s">
        <v>19</v>
      </c>
      <c r="E79" s="3" t="s">
        <v>192</v>
      </c>
      <c r="F79" s="3" t="s">
        <v>21</v>
      </c>
      <c r="G79" s="3" t="s">
        <v>193</v>
      </c>
    </row>
    <row r="80" customFormat="false" ht="15" hidden="false" customHeight="true" outlineLevel="0" collapsed="false">
      <c r="A80" s="3" t="s">
        <v>194</v>
      </c>
      <c r="B80" s="3" t="s">
        <v>18</v>
      </c>
      <c r="C80" s="6" t="n">
        <v>276695</v>
      </c>
      <c r="D80" s="3" t="s">
        <v>19</v>
      </c>
      <c r="E80" s="3" t="s">
        <v>185</v>
      </c>
      <c r="F80" s="3" t="s">
        <v>21</v>
      </c>
      <c r="G80" s="3" t="s">
        <v>195</v>
      </c>
    </row>
    <row r="81" customFormat="false" ht="15" hidden="false" customHeight="true" outlineLevel="0" collapsed="false">
      <c r="A81" s="3" t="s">
        <v>196</v>
      </c>
      <c r="B81" s="3" t="s">
        <v>197</v>
      </c>
      <c r="C81" s="6" t="n">
        <v>370899</v>
      </c>
      <c r="D81" s="3" t="s">
        <v>19</v>
      </c>
      <c r="E81" s="3" t="s">
        <v>187</v>
      </c>
      <c r="F81" s="3" t="s">
        <v>21</v>
      </c>
      <c r="G81" s="3" t="s">
        <v>198</v>
      </c>
    </row>
    <row r="82" customFormat="false" ht="15" hidden="false" customHeight="true" outlineLevel="0" collapsed="false">
      <c r="A82" s="3" t="s">
        <v>199</v>
      </c>
      <c r="B82" s="3" t="s">
        <v>200</v>
      </c>
      <c r="C82" s="6" t="n">
        <v>677333</v>
      </c>
      <c r="D82" s="3" t="s">
        <v>19</v>
      </c>
      <c r="E82" s="3" t="s">
        <v>192</v>
      </c>
      <c r="F82" s="3" t="s">
        <v>21</v>
      </c>
      <c r="G82" s="3" t="s">
        <v>193</v>
      </c>
    </row>
    <row r="83" customFormat="false" ht="15" hidden="false" customHeight="true" outlineLevel="0" collapsed="false">
      <c r="A83" s="3" t="s">
        <v>201</v>
      </c>
      <c r="B83" s="3" t="s">
        <v>202</v>
      </c>
      <c r="C83" s="6" t="n">
        <v>218931</v>
      </c>
      <c r="D83" s="3" t="s">
        <v>19</v>
      </c>
      <c r="E83" s="3" t="s">
        <v>187</v>
      </c>
      <c r="F83" s="3" t="s">
        <v>21</v>
      </c>
      <c r="G83" s="3" t="s">
        <v>193</v>
      </c>
    </row>
    <row r="84" customFormat="false" ht="15" hidden="false" customHeight="true" outlineLevel="0" collapsed="false">
      <c r="A84" s="3" t="s">
        <v>203</v>
      </c>
      <c r="B84" s="3" t="s">
        <v>202</v>
      </c>
      <c r="C84" s="6" t="n">
        <v>257227</v>
      </c>
      <c r="D84" s="3" t="s">
        <v>19</v>
      </c>
      <c r="E84" s="3" t="s">
        <v>20</v>
      </c>
      <c r="F84" s="3" t="s">
        <v>21</v>
      </c>
      <c r="G84" s="3" t="s">
        <v>193</v>
      </c>
    </row>
    <row r="85" customFormat="false" ht="15" hidden="false" customHeight="true" outlineLevel="0" collapsed="false">
      <c r="A85" s="3" t="s">
        <v>204</v>
      </c>
      <c r="B85" s="3" t="s">
        <v>202</v>
      </c>
      <c r="C85" s="6" t="n">
        <v>303195</v>
      </c>
      <c r="D85" s="3" t="s">
        <v>19</v>
      </c>
      <c r="E85" s="3" t="s">
        <v>24</v>
      </c>
      <c r="F85" s="3" t="s">
        <v>21</v>
      </c>
      <c r="G85" s="3" t="s">
        <v>193</v>
      </c>
    </row>
    <row r="86" customFormat="false" ht="15" hidden="false" customHeight="true" outlineLevel="0" collapsed="false">
      <c r="A86" s="3" t="s">
        <v>205</v>
      </c>
      <c r="B86" s="3" t="s">
        <v>206</v>
      </c>
      <c r="C86" s="6" t="n">
        <v>419907</v>
      </c>
      <c r="D86" s="3" t="s">
        <v>19</v>
      </c>
      <c r="E86" s="3" t="s">
        <v>192</v>
      </c>
      <c r="F86" s="3" t="s">
        <v>21</v>
      </c>
      <c r="G86" s="3" t="s">
        <v>193</v>
      </c>
    </row>
    <row r="87" customFormat="false" ht="15" hidden="false" customHeight="true" outlineLevel="0" collapsed="false">
      <c r="A87" s="3" t="s">
        <v>207</v>
      </c>
      <c r="B87" s="3" t="s">
        <v>43</v>
      </c>
      <c r="C87" s="6" t="n">
        <v>157667</v>
      </c>
      <c r="D87" s="3" t="s">
        <v>19</v>
      </c>
      <c r="E87" s="3" t="s">
        <v>187</v>
      </c>
      <c r="F87" s="3" t="s">
        <v>21</v>
      </c>
      <c r="G87" s="3" t="s">
        <v>208</v>
      </c>
    </row>
    <row r="88" customFormat="false" ht="15" hidden="false" customHeight="true" outlineLevel="0" collapsed="false">
      <c r="A88" s="3" t="s">
        <v>209</v>
      </c>
      <c r="B88" s="3" t="s">
        <v>43</v>
      </c>
      <c r="C88" s="6" t="n">
        <v>349759</v>
      </c>
      <c r="D88" s="3" t="s">
        <v>19</v>
      </c>
      <c r="E88" s="3" t="s">
        <v>20</v>
      </c>
      <c r="F88" s="3" t="s">
        <v>21</v>
      </c>
      <c r="G88" s="3" t="s">
        <v>210</v>
      </c>
    </row>
    <row r="89" customFormat="false" ht="15" hidden="false" customHeight="true" outlineLevel="0" collapsed="false">
      <c r="A89" s="3" t="s">
        <v>211</v>
      </c>
      <c r="B89" s="3" t="s">
        <v>66</v>
      </c>
      <c r="C89" s="6" t="n">
        <v>197540</v>
      </c>
      <c r="D89" s="3" t="s">
        <v>19</v>
      </c>
      <c r="E89" s="3" t="s">
        <v>20</v>
      </c>
      <c r="F89" s="3" t="s">
        <v>21</v>
      </c>
      <c r="G89" s="3" t="s">
        <v>212</v>
      </c>
    </row>
    <row r="90" customFormat="false" ht="15" hidden="false" customHeight="true" outlineLevel="0" collapsed="false">
      <c r="A90" s="3" t="s">
        <v>213</v>
      </c>
      <c r="B90" s="3" t="s">
        <v>18</v>
      </c>
      <c r="C90" s="9"/>
      <c r="D90" s="3" t="s">
        <v>19</v>
      </c>
      <c r="E90" s="3" t="s">
        <v>214</v>
      </c>
      <c r="F90" s="3" t="s">
        <v>215</v>
      </c>
      <c r="G90" s="3" t="s">
        <v>216</v>
      </c>
    </row>
    <row r="91" customFormat="false" ht="15" hidden="false" customHeight="true" outlineLevel="0" collapsed="false">
      <c r="A91" s="3" t="s">
        <v>217</v>
      </c>
      <c r="B91" s="3" t="s">
        <v>18</v>
      </c>
      <c r="C91" s="9"/>
      <c r="D91" s="3" t="s">
        <v>19</v>
      </c>
      <c r="E91" s="3" t="s">
        <v>182</v>
      </c>
      <c r="F91" s="3" t="s">
        <v>215</v>
      </c>
      <c r="G91" s="3" t="s">
        <v>216</v>
      </c>
    </row>
    <row r="92" customFormat="false" ht="15" hidden="false" customHeight="true" outlineLevel="0" collapsed="false">
      <c r="A92" s="3" t="s">
        <v>218</v>
      </c>
      <c r="B92" s="3" t="s">
        <v>36</v>
      </c>
      <c r="C92" s="9"/>
      <c r="D92" s="3" t="s">
        <v>19</v>
      </c>
      <c r="E92" s="3" t="s">
        <v>214</v>
      </c>
      <c r="F92" s="3" t="s">
        <v>215</v>
      </c>
      <c r="G92" s="3" t="s">
        <v>219</v>
      </c>
    </row>
    <row r="93" customFormat="false" ht="15" hidden="false" customHeight="true" outlineLevel="0" collapsed="false">
      <c r="A93" s="3" t="s">
        <v>220</v>
      </c>
      <c r="B93" s="3" t="s">
        <v>221</v>
      </c>
      <c r="C93" s="6" t="n">
        <v>4094996</v>
      </c>
      <c r="D93" s="3" t="s">
        <v>19</v>
      </c>
      <c r="E93" s="3" t="s">
        <v>222</v>
      </c>
      <c r="F93" s="3" t="s">
        <v>21</v>
      </c>
      <c r="G93" s="3" t="s">
        <v>223</v>
      </c>
    </row>
    <row r="94" customFormat="false" ht="15" hidden="false" customHeight="true" outlineLevel="0" collapsed="false">
      <c r="A94" s="3" t="s">
        <v>224</v>
      </c>
      <c r="B94" s="3" t="s">
        <v>70</v>
      </c>
      <c r="C94" s="6" t="n">
        <v>4513943</v>
      </c>
      <c r="D94" s="3" t="s">
        <v>19</v>
      </c>
      <c r="E94" s="3" t="s">
        <v>225</v>
      </c>
      <c r="F94" s="3" t="s">
        <v>21</v>
      </c>
      <c r="G94" s="3" t="s">
        <v>226</v>
      </c>
    </row>
    <row r="95" customFormat="false" ht="15" hidden="false" customHeight="true" outlineLevel="0" collapsed="false">
      <c r="A95" s="3" t="s">
        <v>227</v>
      </c>
      <c r="B95" s="3" t="s">
        <v>228</v>
      </c>
      <c r="C95" s="6" t="n">
        <v>2167172</v>
      </c>
      <c r="D95" s="3" t="s">
        <v>19</v>
      </c>
      <c r="E95" s="3" t="s">
        <v>222</v>
      </c>
      <c r="F95" s="3" t="s">
        <v>21</v>
      </c>
      <c r="G95" s="3" t="s">
        <v>229</v>
      </c>
    </row>
    <row r="96" customFormat="false" ht="15" hidden="false" customHeight="true" outlineLevel="0" collapsed="false">
      <c r="A96" s="3" t="s">
        <v>230</v>
      </c>
      <c r="B96" s="3" t="s">
        <v>231</v>
      </c>
      <c r="C96" s="6" t="n">
        <v>2263298</v>
      </c>
      <c r="D96" s="3" t="s">
        <v>19</v>
      </c>
      <c r="E96" s="3" t="s">
        <v>225</v>
      </c>
      <c r="F96" s="3" t="s">
        <v>21</v>
      </c>
      <c r="G96" s="3" t="s">
        <v>232</v>
      </c>
    </row>
    <row r="97" customFormat="false" ht="15" hidden="false" customHeight="true" outlineLevel="0" collapsed="false">
      <c r="A97" s="3" t="s">
        <v>233</v>
      </c>
      <c r="B97" s="3" t="s">
        <v>66</v>
      </c>
      <c r="C97" s="6" t="n">
        <v>95856</v>
      </c>
      <c r="D97" s="3" t="s">
        <v>19</v>
      </c>
      <c r="E97" s="3" t="s">
        <v>187</v>
      </c>
      <c r="F97" s="3" t="s">
        <v>115</v>
      </c>
      <c r="G97" s="3" t="s">
        <v>234</v>
      </c>
    </row>
    <row r="98" customFormat="false" ht="15" hidden="false" customHeight="true" outlineLevel="0" collapsed="false">
      <c r="A98" s="3" t="s">
        <v>235</v>
      </c>
      <c r="B98" s="3" t="s">
        <v>236</v>
      </c>
      <c r="C98" s="10" t="n">
        <v>0.4</v>
      </c>
      <c r="D98" s="3" t="s">
        <v>237</v>
      </c>
      <c r="E98" s="3" t="s">
        <v>238</v>
      </c>
      <c r="F98" s="3" t="s">
        <v>21</v>
      </c>
      <c r="G98" s="3" t="s">
        <v>239</v>
      </c>
    </row>
    <row r="99" customFormat="false" ht="15" hidden="false" customHeight="true" outlineLevel="0" collapsed="false">
      <c r="A99" s="3" t="s">
        <v>240</v>
      </c>
      <c r="B99" s="3" t="s">
        <v>241</v>
      </c>
      <c r="C99" s="6" t="n">
        <v>301600</v>
      </c>
      <c r="D99" s="3" t="s">
        <v>19</v>
      </c>
      <c r="E99" s="3" t="s">
        <v>77</v>
      </c>
      <c r="F99" s="3" t="s">
        <v>21</v>
      </c>
      <c r="G99" s="3" t="s">
        <v>242</v>
      </c>
    </row>
    <row r="100" customFormat="false" ht="15" hidden="false" customHeight="true" outlineLevel="0" collapsed="false">
      <c r="A100" s="3" t="s">
        <v>243</v>
      </c>
      <c r="B100" s="3" t="s">
        <v>91</v>
      </c>
      <c r="C100" s="6" t="n">
        <v>36360</v>
      </c>
      <c r="D100" s="3" t="s">
        <v>19</v>
      </c>
      <c r="E100" s="3" t="s">
        <v>20</v>
      </c>
      <c r="F100" s="3" t="s">
        <v>21</v>
      </c>
      <c r="G100" s="3" t="s">
        <v>244</v>
      </c>
    </row>
    <row r="101" customFormat="false" ht="15" hidden="false" customHeight="true" outlineLevel="0" collapsed="false">
      <c r="A101" s="3" t="s">
        <v>245</v>
      </c>
      <c r="B101" s="3" t="s">
        <v>246</v>
      </c>
      <c r="C101" s="11" t="n">
        <v>0.197936</v>
      </c>
      <c r="D101" s="3" t="s">
        <v>247</v>
      </c>
      <c r="E101" s="3" t="s">
        <v>248</v>
      </c>
      <c r="F101" s="3" t="s">
        <v>115</v>
      </c>
      <c r="G101" s="3" t="s">
        <v>249</v>
      </c>
    </row>
    <row r="102" customFormat="false" ht="15" hidden="false" customHeight="true" outlineLevel="0" collapsed="false">
      <c r="A102" s="3" t="s">
        <v>250</v>
      </c>
      <c r="B102" s="3" t="s">
        <v>246</v>
      </c>
      <c r="C102" s="11" t="n">
        <v>0.232018</v>
      </c>
      <c r="D102" s="3" t="s">
        <v>247</v>
      </c>
      <c r="E102" s="3" t="s">
        <v>24</v>
      </c>
      <c r="F102" s="3" t="s">
        <v>115</v>
      </c>
      <c r="G102" s="3" t="s">
        <v>251</v>
      </c>
    </row>
    <row r="103" customFormat="false" ht="15" hidden="false" customHeight="true" outlineLevel="0" collapsed="false">
      <c r="A103" s="3" t="s">
        <v>252</v>
      </c>
      <c r="B103" s="3" t="s">
        <v>246</v>
      </c>
      <c r="C103" s="11" t="n">
        <v>0.235126</v>
      </c>
      <c r="D103" s="3" t="s">
        <v>247</v>
      </c>
      <c r="E103" s="3" t="s">
        <v>27</v>
      </c>
      <c r="F103" s="3" t="s">
        <v>115</v>
      </c>
      <c r="G103" s="3" t="s">
        <v>251</v>
      </c>
    </row>
    <row r="104" customFormat="false" ht="15" hidden="false" customHeight="true" outlineLevel="0" collapsed="false">
      <c r="A104" s="3" t="s">
        <v>253</v>
      </c>
      <c r="B104" s="3" t="s">
        <v>246</v>
      </c>
      <c r="C104" s="11" t="n">
        <v>0.22793</v>
      </c>
      <c r="D104" s="3" t="s">
        <v>247</v>
      </c>
      <c r="E104" s="3" t="s">
        <v>30</v>
      </c>
      <c r="F104" s="3" t="s">
        <v>115</v>
      </c>
      <c r="G104" s="3" t="s">
        <v>251</v>
      </c>
    </row>
    <row r="105" customFormat="false" ht="15" hidden="false" customHeight="true" outlineLevel="0" collapsed="false">
      <c r="A105" s="3" t="s">
        <v>254</v>
      </c>
      <c r="B105" s="3" t="s">
        <v>246</v>
      </c>
      <c r="C105" s="11" t="n">
        <v>0.244951</v>
      </c>
      <c r="D105" s="3" t="s">
        <v>247</v>
      </c>
      <c r="E105" s="3" t="s">
        <v>33</v>
      </c>
      <c r="F105" s="3" t="s">
        <v>115</v>
      </c>
      <c r="G105" s="3" t="s">
        <v>251</v>
      </c>
    </row>
    <row r="106" customFormat="false" ht="15" hidden="false" customHeight="true" outlineLevel="0" collapsed="false">
      <c r="A106" s="3" t="s">
        <v>255</v>
      </c>
      <c r="B106" s="3" t="s">
        <v>256</v>
      </c>
      <c r="C106" s="7" t="n">
        <v>251.460068</v>
      </c>
      <c r="D106" s="3" t="s">
        <v>257</v>
      </c>
      <c r="E106" s="3" t="s">
        <v>24</v>
      </c>
      <c r="F106" s="3" t="s">
        <v>115</v>
      </c>
      <c r="G106" s="3" t="s">
        <v>258</v>
      </c>
    </row>
    <row r="107" customFormat="false" ht="15" hidden="false" customHeight="true" outlineLevel="0" collapsed="false">
      <c r="A107" s="3" t="s">
        <v>259</v>
      </c>
      <c r="B107" s="3" t="s">
        <v>256</v>
      </c>
      <c r="C107" s="7" t="n">
        <v>266.840017</v>
      </c>
      <c r="D107" s="3" t="s">
        <v>257</v>
      </c>
      <c r="E107" s="3" t="s">
        <v>27</v>
      </c>
      <c r="F107" s="3" t="s">
        <v>115</v>
      </c>
      <c r="G107" s="3" t="s">
        <v>251</v>
      </c>
    </row>
    <row r="108" customFormat="false" ht="15" hidden="false" customHeight="true" outlineLevel="0" collapsed="false">
      <c r="A108" s="3" t="s">
        <v>260</v>
      </c>
      <c r="B108" s="3" t="s">
        <v>256</v>
      </c>
      <c r="C108" s="7" t="n">
        <v>259.720069</v>
      </c>
      <c r="D108" s="3" t="s">
        <v>257</v>
      </c>
      <c r="E108" s="3" t="s">
        <v>30</v>
      </c>
      <c r="F108" s="3" t="s">
        <v>115</v>
      </c>
      <c r="G108" s="3" t="s">
        <v>251</v>
      </c>
    </row>
    <row r="109" customFormat="false" ht="15" hidden="false" customHeight="true" outlineLevel="0" collapsed="false">
      <c r="A109" s="3" t="s">
        <v>261</v>
      </c>
      <c r="B109" s="3" t="s">
        <v>256</v>
      </c>
      <c r="C109" s="7" t="n">
        <v>262.113861</v>
      </c>
      <c r="D109" s="3" t="s">
        <v>257</v>
      </c>
      <c r="E109" s="3" t="s">
        <v>33</v>
      </c>
      <c r="F109" s="3" t="s">
        <v>115</v>
      </c>
      <c r="G109" s="3" t="s">
        <v>251</v>
      </c>
    </row>
    <row r="110" customFormat="false" ht="15" hidden="false" customHeight="true" outlineLevel="0" collapsed="false">
      <c r="A110" s="3" t="s">
        <v>262</v>
      </c>
      <c r="B110" s="3" t="s">
        <v>263</v>
      </c>
      <c r="C110" s="12" t="n">
        <v>0.023507</v>
      </c>
      <c r="D110" s="3" t="s">
        <v>237</v>
      </c>
      <c r="E110" s="3" t="s">
        <v>24</v>
      </c>
      <c r="F110" s="3" t="s">
        <v>115</v>
      </c>
      <c r="G110" s="3" t="s">
        <v>264</v>
      </c>
    </row>
    <row r="111" customFormat="false" ht="15" hidden="false" customHeight="true" outlineLevel="0" collapsed="false">
      <c r="A111" s="3" t="s">
        <v>265</v>
      </c>
      <c r="B111" s="3" t="s">
        <v>263</v>
      </c>
      <c r="C111" s="12" t="n">
        <v>0.015011</v>
      </c>
      <c r="D111" s="3" t="s">
        <v>237</v>
      </c>
      <c r="E111" s="3" t="s">
        <v>27</v>
      </c>
      <c r="F111" s="3" t="s">
        <v>115</v>
      </c>
      <c r="G111" s="3" t="s">
        <v>266</v>
      </c>
    </row>
    <row r="112" customFormat="false" ht="15" hidden="false" customHeight="true" outlineLevel="0" collapsed="false">
      <c r="A112" s="3" t="s">
        <v>267</v>
      </c>
      <c r="B112" s="3" t="s">
        <v>268</v>
      </c>
      <c r="C112" s="12" t="n">
        <v>0.032798</v>
      </c>
      <c r="D112" s="3" t="s">
        <v>237</v>
      </c>
      <c r="E112" s="3" t="s">
        <v>33</v>
      </c>
      <c r="F112" s="3" t="s">
        <v>115</v>
      </c>
      <c r="G112" s="3" t="s">
        <v>266</v>
      </c>
    </row>
    <row r="113" customFormat="false" ht="15" hidden="false" customHeight="true" outlineLevel="0" collapsed="false">
      <c r="A113" s="3" t="s">
        <v>269</v>
      </c>
      <c r="B113" s="3" t="s">
        <v>270</v>
      </c>
      <c r="C113" s="12" t="n">
        <v>0.052</v>
      </c>
      <c r="D113" s="3" t="s">
        <v>237</v>
      </c>
      <c r="E113" s="3" t="s">
        <v>24</v>
      </c>
      <c r="F113" s="3" t="s">
        <v>21</v>
      </c>
      <c r="G113" s="3" t="s">
        <v>271</v>
      </c>
    </row>
    <row r="114" customFormat="false" ht="15" hidden="false" customHeight="true" outlineLevel="0" collapsed="false">
      <c r="A114" s="3" t="s">
        <v>272</v>
      </c>
      <c r="B114" s="3" t="s">
        <v>270</v>
      </c>
      <c r="C114" s="12" t="n">
        <v>0.051</v>
      </c>
      <c r="D114" s="3" t="s">
        <v>237</v>
      </c>
      <c r="E114" s="3" t="s">
        <v>27</v>
      </c>
      <c r="F114" s="3" t="s">
        <v>21</v>
      </c>
      <c r="G114" s="3" t="s">
        <v>271</v>
      </c>
    </row>
    <row r="115" customFormat="false" ht="15" hidden="false" customHeight="true" outlineLevel="0" collapsed="false">
      <c r="A115" s="3" t="s">
        <v>273</v>
      </c>
      <c r="B115" s="3" t="s">
        <v>274</v>
      </c>
      <c r="C115" s="12" t="n">
        <v>0.0614</v>
      </c>
      <c r="D115" s="3" t="s">
        <v>237</v>
      </c>
      <c r="E115" s="3" t="s">
        <v>33</v>
      </c>
      <c r="F115" s="3" t="s">
        <v>21</v>
      </c>
      <c r="G115" s="3" t="s">
        <v>275</v>
      </c>
    </row>
    <row r="116" customFormat="false" ht="15" hidden="false" customHeight="true" outlineLevel="0" collapsed="false">
      <c r="A116" s="3" t="s">
        <v>276</v>
      </c>
      <c r="B116" s="3" t="s">
        <v>168</v>
      </c>
      <c r="C116" s="6" t="n">
        <v>155840</v>
      </c>
      <c r="D116" s="3" t="s">
        <v>19</v>
      </c>
      <c r="E116" s="3" t="s">
        <v>24</v>
      </c>
      <c r="F116" s="3" t="s">
        <v>21</v>
      </c>
      <c r="G116" s="3" t="s">
        <v>277</v>
      </c>
    </row>
    <row r="117" customFormat="false" ht="15" hidden="false" customHeight="true" outlineLevel="0" collapsed="false">
      <c r="A117" s="3" t="s">
        <v>278</v>
      </c>
      <c r="B117" s="3" t="s">
        <v>162</v>
      </c>
      <c r="C117" s="6" t="n">
        <v>4166499</v>
      </c>
      <c r="D117" s="3" t="s">
        <v>19</v>
      </c>
      <c r="E117" s="3" t="s">
        <v>71</v>
      </c>
      <c r="F117" s="3" t="s">
        <v>21</v>
      </c>
      <c r="G117" s="3" t="s">
        <v>279</v>
      </c>
    </row>
    <row r="118" customFormat="false" ht="15" hidden="false" customHeight="true" outlineLevel="0" collapsed="false">
      <c r="A118" s="3" t="s">
        <v>280</v>
      </c>
      <c r="B118" s="3" t="s">
        <v>281</v>
      </c>
      <c r="C118" s="6" t="n">
        <v>332235</v>
      </c>
      <c r="D118" s="3" t="s">
        <v>19</v>
      </c>
      <c r="E118" s="3" t="s">
        <v>24</v>
      </c>
      <c r="F118" s="3" t="s">
        <v>115</v>
      </c>
      <c r="G118" s="3" t="s">
        <v>282</v>
      </c>
    </row>
    <row r="119" customFormat="false" ht="15" hidden="false" customHeight="true" outlineLevel="0" collapsed="false">
      <c r="A119" s="3" t="s">
        <v>283</v>
      </c>
      <c r="B119" s="3" t="s">
        <v>281</v>
      </c>
      <c r="C119" s="6" t="n">
        <v>375996</v>
      </c>
      <c r="D119" s="3" t="s">
        <v>19</v>
      </c>
      <c r="E119" s="3" t="s">
        <v>27</v>
      </c>
      <c r="F119" s="3" t="s">
        <v>115</v>
      </c>
      <c r="G119" s="3" t="s">
        <v>284</v>
      </c>
    </row>
    <row r="120" customFormat="false" ht="15" hidden="false" customHeight="true" outlineLevel="0" collapsed="false">
      <c r="A120" s="3" t="s">
        <v>285</v>
      </c>
      <c r="B120" s="3" t="s">
        <v>286</v>
      </c>
      <c r="C120" s="6" t="n">
        <v>3932994</v>
      </c>
      <c r="D120" s="3" t="s">
        <v>19</v>
      </c>
      <c r="E120" s="3" t="s">
        <v>74</v>
      </c>
      <c r="F120" s="3" t="s">
        <v>21</v>
      </c>
      <c r="G120" s="3" t="s">
        <v>287</v>
      </c>
    </row>
    <row r="121" customFormat="false" ht="15" hidden="false" customHeight="true" outlineLevel="0" collapsed="false">
      <c r="A121" s="3" t="s">
        <v>288</v>
      </c>
      <c r="B121" s="3" t="s">
        <v>286</v>
      </c>
      <c r="C121" s="6" t="n">
        <v>5176903</v>
      </c>
      <c r="D121" s="3" t="s">
        <v>19</v>
      </c>
      <c r="E121" s="3" t="s">
        <v>77</v>
      </c>
      <c r="F121" s="3" t="s">
        <v>21</v>
      </c>
      <c r="G121" s="3" t="s">
        <v>287</v>
      </c>
    </row>
    <row r="122" customFormat="false" ht="15" hidden="false" customHeight="true" outlineLevel="0" collapsed="false">
      <c r="A122" s="3" t="s">
        <v>289</v>
      </c>
      <c r="B122" s="3" t="s">
        <v>286</v>
      </c>
      <c r="C122" s="6" t="n">
        <v>5453009</v>
      </c>
      <c r="D122" s="3" t="s">
        <v>19</v>
      </c>
      <c r="E122" s="3" t="s">
        <v>159</v>
      </c>
      <c r="F122" s="3" t="s">
        <v>21</v>
      </c>
      <c r="G122" s="3" t="s">
        <v>290</v>
      </c>
    </row>
    <row r="123" customFormat="false" ht="15" hidden="false" customHeight="true" outlineLevel="0" collapsed="false">
      <c r="A123" s="3" t="s">
        <v>291</v>
      </c>
      <c r="B123" s="3" t="s">
        <v>292</v>
      </c>
      <c r="C123" s="6" t="n">
        <v>1289088</v>
      </c>
      <c r="D123" s="3" t="s">
        <v>19</v>
      </c>
      <c r="E123" s="3" t="s">
        <v>159</v>
      </c>
      <c r="F123" s="3" t="s">
        <v>21</v>
      </c>
      <c r="G123" s="3" t="s">
        <v>290</v>
      </c>
    </row>
    <row r="124" customFormat="false" ht="15" hidden="false" customHeight="true" outlineLevel="0" collapsed="false">
      <c r="A124" s="3" t="s">
        <v>293</v>
      </c>
      <c r="B124" s="3" t="s">
        <v>294</v>
      </c>
      <c r="C124" s="6" t="n">
        <v>567713</v>
      </c>
      <c r="D124" s="3" t="s">
        <v>19</v>
      </c>
      <c r="E124" s="3" t="s">
        <v>159</v>
      </c>
      <c r="F124" s="3" t="s">
        <v>21</v>
      </c>
      <c r="G124" s="3" t="s">
        <v>290</v>
      </c>
    </row>
    <row r="125" customFormat="false" ht="15" hidden="false" customHeight="true" outlineLevel="0" collapsed="false">
      <c r="A125" s="3" t="s">
        <v>295</v>
      </c>
      <c r="B125" s="3" t="s">
        <v>296</v>
      </c>
      <c r="C125" s="6" t="n">
        <v>2190</v>
      </c>
      <c r="D125" s="3" t="s">
        <v>297</v>
      </c>
      <c r="E125" s="3" t="s">
        <v>298</v>
      </c>
      <c r="F125" s="3" t="s">
        <v>21</v>
      </c>
      <c r="G125" s="3" t="s">
        <v>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9" min="2" style="1" width="12"/>
    <col collapsed="false" customWidth="true" hidden="false" outlineLevel="0" max="10" min="10" style="1" width="90"/>
  </cols>
  <sheetData>
    <row r="1" customFormat="false" ht="15" hidden="false" customHeight="true" outlineLevel="0" collapsed="false">
      <c r="A1" s="2" t="s">
        <v>300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15" hidden="false" customHeight="true" outlineLevel="0" collapsed="false">
      <c r="A2" s="14" t="s">
        <v>301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true" outlineLevel="0" collapsed="false">
      <c r="A3" s="14" t="s">
        <v>302</v>
      </c>
      <c r="B3" s="13"/>
      <c r="C3" s="13"/>
      <c r="D3" s="13"/>
      <c r="E3" s="13"/>
      <c r="F3" s="13"/>
      <c r="G3" s="13"/>
      <c r="H3" s="13"/>
      <c r="I3" s="13"/>
      <c r="J3" s="13"/>
    </row>
    <row r="4" customFormat="false" ht="15" hidden="false" customHeight="true" outlineLevel="0" collapsed="false">
      <c r="A4" s="13"/>
      <c r="B4" s="13"/>
      <c r="C4" s="13"/>
      <c r="D4" s="13"/>
      <c r="E4" s="13"/>
      <c r="F4" s="13"/>
      <c r="G4" s="13"/>
      <c r="H4" s="13"/>
      <c r="I4" s="13"/>
      <c r="J4" s="13"/>
    </row>
    <row r="5" customFormat="false" ht="15" hidden="false" customHeight="true" outlineLevel="0" collapsed="false">
      <c r="A5" s="5" t="s">
        <v>303</v>
      </c>
      <c r="B5" s="5" t="s">
        <v>15</v>
      </c>
      <c r="C5" s="15" t="s">
        <v>304</v>
      </c>
      <c r="D5" s="15" t="s">
        <v>305</v>
      </c>
      <c r="E5" s="15" t="s">
        <v>306</v>
      </c>
      <c r="F5" s="15" t="s">
        <v>307</v>
      </c>
      <c r="G5" s="15" t="s">
        <v>308</v>
      </c>
      <c r="H5" s="15" t="s">
        <v>309</v>
      </c>
      <c r="I5" s="15" t="s">
        <v>310</v>
      </c>
      <c r="J5" s="5" t="s">
        <v>311</v>
      </c>
    </row>
    <row r="6" customFormat="false" ht="15" hidden="false" customHeight="true" outlineLevel="0" collapsed="false">
      <c r="A6" s="3" t="s">
        <v>312</v>
      </c>
      <c r="B6" s="3" t="s">
        <v>313</v>
      </c>
      <c r="C6" s="16" t="n">
        <v>0.042</v>
      </c>
      <c r="D6" s="16" t="n">
        <v>0.037</v>
      </c>
      <c r="E6" s="16" t="n">
        <v>0.032</v>
      </c>
      <c r="F6" s="16" t="n">
        <v>0.03</v>
      </c>
      <c r="G6" s="16" t="n">
        <v>0.03</v>
      </c>
      <c r="H6" s="16" t="n">
        <v>0.03</v>
      </c>
      <c r="I6" s="16" t="n">
        <v>0.03</v>
      </c>
      <c r="J6" s="14" t="s">
        <v>314</v>
      </c>
    </row>
    <row r="7" customFormat="false" ht="15" hidden="false" customHeight="true" outlineLevel="0" collapsed="false">
      <c r="A7" s="3" t="s">
        <v>315</v>
      </c>
      <c r="B7" s="3" t="s">
        <v>313</v>
      </c>
      <c r="C7" s="16" t="n">
        <v>0.015</v>
      </c>
      <c r="D7" s="16" t="n">
        <v>0.038</v>
      </c>
      <c r="E7" s="16" t="n">
        <v>0.026</v>
      </c>
      <c r="F7" s="16" t="n">
        <v>0.024</v>
      </c>
      <c r="G7" s="16" t="n">
        <v>0.02</v>
      </c>
      <c r="H7" s="16" t="n">
        <v>0.02</v>
      </c>
      <c r="I7" s="16" t="n">
        <v>0.02</v>
      </c>
      <c r="J7" s="14" t="s">
        <v>316</v>
      </c>
    </row>
    <row r="8" customFormat="false" ht="15" hidden="false" customHeight="true" outlineLevel="0" collapsed="false">
      <c r="A8" s="3" t="s">
        <v>317</v>
      </c>
      <c r="B8" s="3" t="s">
        <v>313</v>
      </c>
      <c r="C8" s="16" t="n">
        <v>0.051</v>
      </c>
      <c r="D8" s="16" t="n">
        <v>0.06</v>
      </c>
      <c r="E8" s="16" t="n">
        <v>0.054</v>
      </c>
      <c r="F8" s="16" t="n">
        <v>0.041</v>
      </c>
      <c r="G8" s="16" t="n">
        <v>0.035</v>
      </c>
      <c r="H8" s="16" t="n">
        <v>0.03</v>
      </c>
      <c r="I8" s="16" t="n">
        <v>0.03</v>
      </c>
      <c r="J8" s="14" t="s">
        <v>318</v>
      </c>
    </row>
    <row r="9" customFormat="false" ht="15" hidden="false" customHeight="true" outlineLevel="0" collapsed="false">
      <c r="A9" s="3" t="s">
        <v>319</v>
      </c>
      <c r="B9" s="3" t="s">
        <v>313</v>
      </c>
      <c r="C9" s="12" t="n">
        <v>0.045</v>
      </c>
      <c r="D9" s="12" t="n">
        <v>0.0452</v>
      </c>
      <c r="E9" s="12" t="n">
        <v>0.0456</v>
      </c>
      <c r="F9" s="12" t="n">
        <v>0.0433</v>
      </c>
      <c r="G9" s="12" t="n">
        <v>0.0433</v>
      </c>
      <c r="H9" s="12" t="n">
        <v>0.0433</v>
      </c>
      <c r="I9" s="12" t="n">
        <v>0.0433</v>
      </c>
      <c r="J9" s="14" t="s">
        <v>320</v>
      </c>
    </row>
    <row r="10" customFormat="false" ht="15" hidden="false" customHeight="true" outlineLevel="0" collapsed="false">
      <c r="A10" s="3" t="s">
        <v>321</v>
      </c>
      <c r="B10" s="3" t="s">
        <v>313</v>
      </c>
      <c r="C10" s="17" t="n">
        <v>900.58</v>
      </c>
      <c r="D10" s="17" t="n">
        <v>937</v>
      </c>
      <c r="E10" s="17" t="n">
        <v>908.5</v>
      </c>
      <c r="F10" s="17" t="n">
        <v>921</v>
      </c>
      <c r="G10" s="18" t="n">
        <f aca="false">F10</f>
        <v>921</v>
      </c>
      <c r="H10" s="18" t="n">
        <f aca="false">G10</f>
        <v>921</v>
      </c>
      <c r="I10" s="18" t="n">
        <f aca="false">H10</f>
        <v>921</v>
      </c>
      <c r="J10" s="14" t="s">
        <v>322</v>
      </c>
    </row>
    <row r="11" customFormat="false" ht="15" hidden="false" customHeight="true" outlineLevel="0" collapsed="false">
      <c r="A11" s="3" t="s">
        <v>323</v>
      </c>
      <c r="B11" s="3" t="s">
        <v>215</v>
      </c>
      <c r="C11" s="17" t="n">
        <v>3.36</v>
      </c>
      <c r="D11" s="17" t="n">
        <v>3.39</v>
      </c>
      <c r="E11" s="17" t="n">
        <v>3.3</v>
      </c>
      <c r="F11" s="17" t="n">
        <v>3.25</v>
      </c>
      <c r="G11" s="13"/>
      <c r="H11" s="13"/>
      <c r="I11" s="13"/>
      <c r="J11" s="14" t="s">
        <v>324</v>
      </c>
    </row>
    <row r="12" customFormat="false" ht="15" hidden="false" customHeight="true" outlineLevel="0" collapsed="false">
      <c r="A12" s="3" t="s">
        <v>325</v>
      </c>
      <c r="B12" s="3" t="s">
        <v>215</v>
      </c>
      <c r="C12" s="6" t="n">
        <v>3775</v>
      </c>
      <c r="D12" s="6" t="n">
        <v>3213</v>
      </c>
      <c r="E12" s="6" t="n">
        <v>3288</v>
      </c>
      <c r="F12" s="6" t="n">
        <v>3500</v>
      </c>
      <c r="G12" s="13"/>
      <c r="H12" s="13"/>
      <c r="I12" s="13"/>
      <c r="J12" s="14" t="s">
        <v>326</v>
      </c>
    </row>
    <row r="13" customFormat="false" ht="15" hidden="false" customHeight="true" outlineLevel="0" collapsed="false">
      <c r="A13" s="3" t="s">
        <v>327</v>
      </c>
      <c r="B13" s="3" t="s">
        <v>115</v>
      </c>
      <c r="C13" s="18" t="n">
        <f aca="false">C10/C11</f>
        <v>268.029761904762</v>
      </c>
      <c r="D13" s="18" t="n">
        <f aca="false">D10/D11</f>
        <v>276.401179941003</v>
      </c>
      <c r="E13" s="18" t="n">
        <f aca="false">E10/E11</f>
        <v>275.30303030303</v>
      </c>
      <c r="F13" s="18" t="n">
        <f aca="false">F10/F11</f>
        <v>283.384615384615</v>
      </c>
      <c r="G13" s="18" t="n">
        <f aca="false">F13*(1+G6)/(1+G7)</f>
        <v>286.162895927602</v>
      </c>
      <c r="H13" s="18" t="n">
        <f aca="false">G13*(1+H6)/(1+H7)</f>
        <v>288.968414515127</v>
      </c>
      <c r="I13" s="18" t="n">
        <f aca="false">H13*(1+I6)/(1+I7)</f>
        <v>291.801438186844</v>
      </c>
      <c r="J13" s="14" t="s">
        <v>328</v>
      </c>
    </row>
    <row r="14" customFormat="false" ht="15" hidden="false" customHeight="true" outlineLevel="0" collapsed="false">
      <c r="A14" s="3" t="s">
        <v>329</v>
      </c>
      <c r="B14" s="3" t="s">
        <v>115</v>
      </c>
      <c r="C14" s="19" t="n">
        <f aca="false">C10/C12</f>
        <v>0.238564238410596</v>
      </c>
      <c r="D14" s="19" t="n">
        <f aca="false">D10/D12</f>
        <v>0.291627762215998</v>
      </c>
      <c r="E14" s="19" t="n">
        <f aca="false">E10/E12</f>
        <v>0.276307785888078</v>
      </c>
      <c r="F14" s="19" t="n">
        <f aca="false">F10/F12</f>
        <v>0.263142857142857</v>
      </c>
      <c r="G14" s="19" t="n">
        <f aca="false">F14*(1+G6)/(1+G8)</f>
        <v>0.261871635610766</v>
      </c>
      <c r="H14" s="19" t="n">
        <f aca="false">G14*(1+H6)/(1+H8)</f>
        <v>0.261871635610766</v>
      </c>
      <c r="I14" s="19" t="n">
        <f aca="false">H14*(1+I6)/(1+I8)</f>
        <v>0.261871635610766</v>
      </c>
      <c r="J14" s="14" t="s">
        <v>328</v>
      </c>
    </row>
    <row r="15" customFormat="false" ht="15" hidden="false" customHeight="true" outlineLevel="0" collapsed="false">
      <c r="A15" s="3" t="s">
        <v>330</v>
      </c>
      <c r="B15" s="3" t="s">
        <v>115</v>
      </c>
      <c r="C15" s="20" t="n">
        <f aca="false">Inputs!C107</f>
        <v>266.840017</v>
      </c>
      <c r="D15" s="18" t="n">
        <f aca="false">G34/G31</f>
        <v>267.997219654847</v>
      </c>
      <c r="E15" s="18" t="n">
        <f aca="false">(D13+E13)/2</f>
        <v>275.852105122017</v>
      </c>
      <c r="F15" s="18" t="n">
        <f aca="false">(E13+F13)/2</f>
        <v>279.343822843823</v>
      </c>
      <c r="G15" s="18" t="n">
        <f aca="false">(F13+G13)/2</f>
        <v>284.773755656109</v>
      </c>
      <c r="H15" s="18" t="n">
        <f aca="false">(G13+H13)/2</f>
        <v>287.565655221365</v>
      </c>
      <c r="I15" s="18" t="n">
        <f aca="false">(H13+I13)/2</f>
        <v>290.384926350986</v>
      </c>
      <c r="J15" s="14" t="s">
        <v>331</v>
      </c>
    </row>
    <row r="16" customFormat="false" ht="15" hidden="false" customHeight="true" outlineLevel="0" collapsed="false">
      <c r="A16" s="3" t="s">
        <v>332</v>
      </c>
      <c r="B16" s="3" t="s">
        <v>115</v>
      </c>
      <c r="C16" s="21" t="n">
        <f aca="false">Inputs!C103</f>
        <v>0.235126</v>
      </c>
      <c r="D16" s="19" t="n">
        <f aca="false">G35/G32</f>
        <v>0.26340868856374</v>
      </c>
      <c r="E16" s="19" t="n">
        <f aca="false">(D14+E14)/2</f>
        <v>0.283967774052038</v>
      </c>
      <c r="F16" s="19" t="n">
        <f aca="false">(E14+F14)/2</f>
        <v>0.269725321515467</v>
      </c>
      <c r="G16" s="19" t="n">
        <f aca="false">(F14+G14)/2</f>
        <v>0.262507246376812</v>
      </c>
      <c r="H16" s="19" t="n">
        <f aca="false">(G14+H14)/2</f>
        <v>0.261871635610766</v>
      </c>
      <c r="I16" s="19" t="n">
        <f aca="false">(H14+I14)/2</f>
        <v>0.261871635610766</v>
      </c>
      <c r="J16" s="14" t="s">
        <v>331</v>
      </c>
    </row>
    <row r="17" customFormat="false" ht="15" hidden="false" customHeight="true" outlineLevel="0" collapsed="false">
      <c r="A17" s="3" t="s">
        <v>333</v>
      </c>
      <c r="B17" s="3" t="s">
        <v>115</v>
      </c>
      <c r="C17" s="17"/>
      <c r="D17" s="18" t="n">
        <f aca="false">(C10+D10)/2</f>
        <v>918.79</v>
      </c>
      <c r="E17" s="18" t="n">
        <f aca="false">(D10+E10)/2</f>
        <v>922.75</v>
      </c>
      <c r="F17" s="18" t="n">
        <f aca="false">(E10+F10)/2</f>
        <v>914.75</v>
      </c>
      <c r="G17" s="18" t="n">
        <f aca="false">(F10+G10)/2</f>
        <v>921</v>
      </c>
      <c r="H17" s="18" t="n">
        <f aca="false">(G10+H10)/2</f>
        <v>921</v>
      </c>
      <c r="I17" s="18" t="n">
        <f aca="false">(H10+I10)/2</f>
        <v>921</v>
      </c>
      <c r="J17" s="14" t="s">
        <v>331</v>
      </c>
    </row>
    <row r="18" customFormat="false" ht="15" hidden="false" customHeight="true" outlineLevel="0" collapsed="false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customFormat="false" ht="15" hidden="false" customHeight="true" outlineLevel="0" collapsed="false">
      <c r="A19" s="5" t="s">
        <v>334</v>
      </c>
      <c r="B19" s="13"/>
      <c r="C19" s="15" t="s">
        <v>30</v>
      </c>
      <c r="D19" s="15" t="s">
        <v>335</v>
      </c>
      <c r="E19" s="15" t="s">
        <v>33</v>
      </c>
      <c r="F19" s="15" t="s">
        <v>336</v>
      </c>
      <c r="G19" s="15" t="s">
        <v>305</v>
      </c>
      <c r="H19" s="13"/>
      <c r="I19" s="13"/>
      <c r="J19" s="5" t="s">
        <v>311</v>
      </c>
    </row>
    <row r="20" customFormat="false" ht="15" hidden="false" customHeight="true" outlineLevel="0" collapsed="false">
      <c r="A20" s="3" t="s">
        <v>337</v>
      </c>
      <c r="B20" s="3" t="s">
        <v>21</v>
      </c>
      <c r="C20" s="13"/>
      <c r="D20" s="13"/>
      <c r="E20" s="17" t="n">
        <v>922.1</v>
      </c>
      <c r="F20" s="13"/>
      <c r="G20" s="13"/>
      <c r="H20" s="13"/>
      <c r="I20" s="13"/>
      <c r="J20" s="14" t="s">
        <v>338</v>
      </c>
    </row>
    <row r="21" customFormat="false" ht="15" hidden="false" customHeight="true" outlineLevel="0" collapsed="false">
      <c r="A21" s="3" t="s">
        <v>339</v>
      </c>
      <c r="B21" s="3" t="s">
        <v>21</v>
      </c>
      <c r="C21" s="13"/>
      <c r="D21" s="13"/>
      <c r="E21" s="17" t="n">
        <v>3.41</v>
      </c>
      <c r="F21" s="13"/>
      <c r="G21" s="13"/>
      <c r="H21" s="13"/>
      <c r="I21" s="13"/>
      <c r="J21" s="14" t="s">
        <v>340</v>
      </c>
    </row>
    <row r="22" customFormat="false" ht="15" hidden="false" customHeight="true" outlineLevel="0" collapsed="false">
      <c r="A22" s="3" t="s">
        <v>341</v>
      </c>
      <c r="B22" s="3" t="s">
        <v>21</v>
      </c>
      <c r="C22" s="13"/>
      <c r="D22" s="13"/>
      <c r="E22" s="17" t="n">
        <v>3416.45</v>
      </c>
      <c r="F22" s="13"/>
      <c r="G22" s="13"/>
      <c r="H22" s="13"/>
      <c r="I22" s="13"/>
      <c r="J22" s="14" t="s">
        <v>340</v>
      </c>
    </row>
    <row r="23" customFormat="false" ht="15" hidden="false" customHeight="true" outlineLevel="0" collapsed="false">
      <c r="A23" s="3" t="s">
        <v>342</v>
      </c>
      <c r="B23" s="3" t="s">
        <v>115</v>
      </c>
      <c r="C23" s="20" t="n">
        <f aca="false">Inputs!C108</f>
        <v>259.720069</v>
      </c>
      <c r="D23" s="20" t="n">
        <f aca="false">2*Inputs!C107-Inputs!C108</f>
        <v>273.959965</v>
      </c>
      <c r="E23" s="20" t="n">
        <f aca="false">Inputs!C109</f>
        <v>262.113861</v>
      </c>
      <c r="F23" s="18" t="n">
        <f aca="false">(E20/E21+D13)/2</f>
        <v>273.405868562877</v>
      </c>
      <c r="G23" s="13"/>
      <c r="H23" s="13"/>
      <c r="I23" s="13"/>
      <c r="J23" s="14" t="s">
        <v>343</v>
      </c>
    </row>
    <row r="24" customFormat="false" ht="15" hidden="false" customHeight="true" outlineLevel="0" collapsed="false">
      <c r="A24" s="3" t="s">
        <v>344</v>
      </c>
      <c r="B24" s="3" t="s">
        <v>115</v>
      </c>
      <c r="C24" s="21" t="n">
        <f aca="false">Inputs!C104</f>
        <v>0.22793</v>
      </c>
      <c r="D24" s="21" t="n">
        <f aca="false">2*Inputs!C103-Inputs!C104</f>
        <v>0.242322</v>
      </c>
      <c r="E24" s="21" t="n">
        <f aca="false">Inputs!C105</f>
        <v>0.244951</v>
      </c>
      <c r="F24" s="19" t="n">
        <f aca="false">(E20/E22+D14)/2</f>
        <v>0.280763902328857</v>
      </c>
      <c r="G24" s="13"/>
      <c r="H24" s="13"/>
      <c r="I24" s="13"/>
      <c r="J24" s="14" t="s">
        <v>340</v>
      </c>
    </row>
    <row r="25" customFormat="false" ht="15" hidden="false" customHeight="true" outlineLevel="0" collapsed="false">
      <c r="A25" s="3" t="s">
        <v>345</v>
      </c>
      <c r="B25" s="3" t="s">
        <v>115</v>
      </c>
      <c r="C25" s="13"/>
      <c r="D25" s="13"/>
      <c r="E25" s="13"/>
      <c r="F25" s="18" t="n">
        <f aca="false">(E20+D10)/2</f>
        <v>929.55</v>
      </c>
      <c r="G25" s="13"/>
      <c r="H25" s="13"/>
      <c r="I25" s="13"/>
      <c r="J25" s="14" t="s">
        <v>346</v>
      </c>
    </row>
    <row r="26" customFormat="false" ht="15" hidden="false" customHeight="true" outlineLevel="0" collapsed="false">
      <c r="A26" s="3" t="s">
        <v>347</v>
      </c>
      <c r="B26" s="3" t="s">
        <v>21</v>
      </c>
      <c r="C26" s="22" t="n">
        <f aca="false">Inputs!C29</f>
        <v>230626</v>
      </c>
      <c r="D26" s="22" t="n">
        <f aca="false">Inputs!C36-Inputs!C29</f>
        <v>239338</v>
      </c>
      <c r="E26" s="22" t="n">
        <f aca="false">Inputs!C30</f>
        <v>244588</v>
      </c>
      <c r="F26" s="13"/>
      <c r="G26" s="13"/>
      <c r="H26" s="13"/>
      <c r="I26" s="13"/>
      <c r="J26" s="14" t="s">
        <v>348</v>
      </c>
    </row>
    <row r="27" customFormat="false" ht="15" hidden="false" customHeight="true" outlineLevel="0" collapsed="false">
      <c r="A27" s="3" t="s">
        <v>349</v>
      </c>
      <c r="B27" s="3" t="s">
        <v>21</v>
      </c>
      <c r="C27" s="22" t="n">
        <f aca="false">Inputs!C33</f>
        <v>56496</v>
      </c>
      <c r="D27" s="22" t="n">
        <f aca="false">Inputs!C40-Inputs!C33</f>
        <v>64824</v>
      </c>
      <c r="E27" s="22" t="n">
        <f aca="false">Inputs!C34</f>
        <v>61532</v>
      </c>
      <c r="F27" s="13"/>
      <c r="G27" s="13"/>
      <c r="H27" s="13"/>
      <c r="I27" s="13"/>
      <c r="J27" s="14" t="s">
        <v>340</v>
      </c>
    </row>
    <row r="28" customFormat="false" ht="15" hidden="false" customHeight="true" outlineLevel="0" collapsed="false">
      <c r="A28" s="3" t="s">
        <v>350</v>
      </c>
      <c r="B28" s="3" t="s">
        <v>21</v>
      </c>
      <c r="C28" s="22" t="n">
        <f aca="false">Inputs!C31</f>
        <v>29393</v>
      </c>
      <c r="D28" s="22" t="n">
        <f aca="false">Inputs!C38-Inputs!C31</f>
        <v>33234</v>
      </c>
      <c r="E28" s="22" t="n">
        <f aca="false">Inputs!C32</f>
        <v>33899</v>
      </c>
      <c r="F28" s="13"/>
      <c r="G28" s="13"/>
      <c r="H28" s="13"/>
      <c r="I28" s="13"/>
      <c r="J28" s="14" t="s">
        <v>340</v>
      </c>
    </row>
    <row r="29" customFormat="false" ht="15" hidden="false" customHeight="true" outlineLevel="0" collapsed="false">
      <c r="A29" s="3" t="s">
        <v>351</v>
      </c>
      <c r="B29" s="3" t="s">
        <v>352</v>
      </c>
      <c r="C29" s="23" t="n">
        <f aca="false">E30/C30-1</f>
        <v>0.0605395748961521</v>
      </c>
      <c r="D29" s="23" t="n">
        <f aca="false">E31/C31-1</f>
        <v>0.0791923372547378</v>
      </c>
      <c r="E29" s="23" t="n">
        <f aca="false">E32/C32-1</f>
        <v>0.0731619008190605</v>
      </c>
      <c r="F29" s="13"/>
      <c r="G29" s="13"/>
      <c r="H29" s="13"/>
      <c r="I29" s="13"/>
      <c r="J29" s="14" t="s">
        <v>353</v>
      </c>
    </row>
    <row r="30" customFormat="false" ht="15" hidden="false" customHeight="true" outlineLevel="0" collapsed="false">
      <c r="A30" s="3" t="s">
        <v>354</v>
      </c>
      <c r="B30" s="3" t="s">
        <v>115</v>
      </c>
      <c r="C30" s="24" t="n">
        <f aca="false">C26</f>
        <v>230626</v>
      </c>
      <c r="D30" s="24" t="n">
        <f aca="false">D26</f>
        <v>239338</v>
      </c>
      <c r="E30" s="24" t="n">
        <f aca="false">E26</f>
        <v>244588</v>
      </c>
      <c r="F30" s="24" t="n">
        <f aca="false">D26*(1+E26/C26-1)</f>
        <v>253827.420776495</v>
      </c>
      <c r="G30" s="24" t="n">
        <f aca="false">E30+F30</f>
        <v>498415.420776495</v>
      </c>
      <c r="H30" s="13"/>
      <c r="I30" s="13"/>
      <c r="J30" s="13"/>
    </row>
    <row r="31" customFormat="false" ht="15" hidden="false" customHeight="true" outlineLevel="0" collapsed="false">
      <c r="A31" s="3" t="s">
        <v>355</v>
      </c>
      <c r="B31" s="3" t="s">
        <v>115</v>
      </c>
      <c r="C31" s="25" t="n">
        <f aca="false">C27/C23</f>
        <v>217.526509281807</v>
      </c>
      <c r="D31" s="25" t="n">
        <f aca="false">D27/D23</f>
        <v>236.618514679691</v>
      </c>
      <c r="E31" s="25" t="n">
        <f aca="false">E27/E23</f>
        <v>234.752941966697</v>
      </c>
      <c r="F31" s="25" t="n">
        <f aca="false">D31*E31/C31</f>
        <v>255.35688789492</v>
      </c>
      <c r="G31" s="25" t="n">
        <f aca="false">E31+F31</f>
        <v>490.109829861617</v>
      </c>
      <c r="H31" s="13"/>
      <c r="I31" s="13"/>
      <c r="J31" s="13"/>
    </row>
    <row r="32" customFormat="false" ht="15" hidden="false" customHeight="true" outlineLevel="0" collapsed="false">
      <c r="A32" s="3" t="s">
        <v>356</v>
      </c>
      <c r="B32" s="3" t="s">
        <v>115</v>
      </c>
      <c r="C32" s="24" t="n">
        <f aca="false">C28/C24</f>
        <v>128956.258500417</v>
      </c>
      <c r="D32" s="24" t="n">
        <f aca="false">D28/D24</f>
        <v>137148.092207889</v>
      </c>
      <c r="E32" s="24" t="n">
        <f aca="false">E28/E24</f>
        <v>138390.943494821</v>
      </c>
      <c r="F32" s="24" t="n">
        <f aca="false">D32*E32/C32</f>
        <v>147182.107327526</v>
      </c>
      <c r="G32" s="24" t="n">
        <f aca="false">E32+F32</f>
        <v>285573.050822347</v>
      </c>
      <c r="H32" s="13"/>
      <c r="I32" s="13"/>
      <c r="J32" s="13"/>
    </row>
    <row r="33" customFormat="false" ht="15" hidden="false" customHeight="true" outlineLevel="0" collapsed="false">
      <c r="A33" s="3" t="s">
        <v>357</v>
      </c>
      <c r="B33" s="3" t="s">
        <v>115</v>
      </c>
      <c r="C33" s="13"/>
      <c r="D33" s="13"/>
      <c r="E33" s="13"/>
      <c r="F33" s="24" t="n">
        <f aca="false">F30</f>
        <v>253827.420776495</v>
      </c>
      <c r="G33" s="24" t="n">
        <f aca="false">E26+F30</f>
        <v>498415.420776495</v>
      </c>
      <c r="H33" s="13"/>
      <c r="I33" s="13"/>
      <c r="J33" s="13"/>
    </row>
    <row r="34" customFormat="false" ht="15" hidden="false" customHeight="true" outlineLevel="0" collapsed="false">
      <c r="A34" s="3" t="s">
        <v>358</v>
      </c>
      <c r="B34" s="3" t="s">
        <v>115</v>
      </c>
      <c r="C34" s="13"/>
      <c r="D34" s="13"/>
      <c r="E34" s="13"/>
      <c r="F34" s="24" t="n">
        <f aca="false">F31*F23</f>
        <v>69816.0717284237</v>
      </c>
      <c r="G34" s="24" t="n">
        <f aca="false">E27+F31*F23</f>
        <v>131348.071728424</v>
      </c>
      <c r="H34" s="13"/>
      <c r="I34" s="13"/>
      <c r="J34" s="13"/>
    </row>
    <row r="35" customFormat="false" ht="15" hidden="false" customHeight="true" outlineLevel="0" collapsed="false">
      <c r="A35" s="3" t="s">
        <v>359</v>
      </c>
      <c r="B35" s="3" t="s">
        <v>115</v>
      </c>
      <c r="C35" s="13"/>
      <c r="D35" s="13"/>
      <c r="E35" s="13"/>
      <c r="F35" s="24" t="n">
        <f aca="false">F32*F24</f>
        <v>41323.4228062607</v>
      </c>
      <c r="G35" s="24" t="n">
        <f aca="false">E28+F32*F24</f>
        <v>75222.4228062607</v>
      </c>
      <c r="H35" s="13"/>
      <c r="I35" s="13"/>
      <c r="J35" s="13"/>
    </row>
    <row r="36" customFormat="false" ht="15" hidden="false" customHeight="true" outlineLevel="0" collapsed="false">
      <c r="A36" s="13"/>
      <c r="B36" s="13"/>
      <c r="C36" s="13"/>
      <c r="D36" s="13"/>
      <c r="E36" s="13"/>
      <c r="F36" s="13"/>
      <c r="G36" s="13"/>
      <c r="H36" s="13"/>
      <c r="I36" s="13"/>
      <c r="J36" s="13"/>
    </row>
    <row r="37" customFormat="false" ht="15" hidden="false" customHeight="true" outlineLevel="0" collapsed="false">
      <c r="A37" s="5" t="s">
        <v>360</v>
      </c>
      <c r="B37" s="5" t="s">
        <v>15</v>
      </c>
      <c r="C37" s="15" t="s">
        <v>304</v>
      </c>
      <c r="D37" s="15" t="s">
        <v>305</v>
      </c>
      <c r="E37" s="15" t="s">
        <v>306</v>
      </c>
      <c r="F37" s="15" t="s">
        <v>307</v>
      </c>
      <c r="G37" s="15" t="s">
        <v>308</v>
      </c>
      <c r="H37" s="15" t="s">
        <v>309</v>
      </c>
      <c r="I37" s="15" t="s">
        <v>310</v>
      </c>
      <c r="J37" s="5" t="s">
        <v>311</v>
      </c>
    </row>
    <row r="38" customFormat="false" ht="15" hidden="false" customHeight="true" outlineLevel="0" collapsed="false">
      <c r="A38" s="3" t="s">
        <v>361</v>
      </c>
      <c r="B38" s="3" t="s">
        <v>352</v>
      </c>
      <c r="C38" s="13"/>
      <c r="D38" s="26" t="n">
        <v>0.35</v>
      </c>
      <c r="E38" s="13"/>
      <c r="F38" s="13"/>
      <c r="G38" s="13"/>
      <c r="H38" s="13"/>
      <c r="I38" s="13"/>
      <c r="J38" s="14" t="s">
        <v>362</v>
      </c>
    </row>
    <row r="39" customFormat="false" ht="15" hidden="false" customHeight="true" outlineLevel="0" collapsed="false">
      <c r="A39" s="3" t="s">
        <v>363</v>
      </c>
      <c r="B39" s="3" t="s">
        <v>352</v>
      </c>
      <c r="C39" s="13"/>
      <c r="D39" s="26" t="n">
        <v>0.9</v>
      </c>
      <c r="E39" s="13"/>
      <c r="F39" s="13"/>
      <c r="G39" s="13"/>
      <c r="H39" s="13"/>
      <c r="I39" s="13"/>
      <c r="J39" s="14" t="s">
        <v>364</v>
      </c>
    </row>
    <row r="40" customFormat="false" ht="15" hidden="false" customHeight="true" outlineLevel="0" collapsed="false">
      <c r="A40" s="3" t="s">
        <v>365</v>
      </c>
      <c r="B40" s="3" t="s">
        <v>352</v>
      </c>
      <c r="C40" s="13"/>
      <c r="D40" s="16" t="n">
        <v>1</v>
      </c>
      <c r="E40" s="13"/>
      <c r="F40" s="13"/>
      <c r="G40" s="13"/>
      <c r="H40" s="13"/>
      <c r="I40" s="13"/>
      <c r="J40" s="14" t="s">
        <v>364</v>
      </c>
    </row>
    <row r="41" customFormat="false" ht="15" hidden="false" customHeight="true" outlineLevel="0" collapsed="false">
      <c r="A41" s="3" t="s">
        <v>366</v>
      </c>
      <c r="B41" s="3" t="s">
        <v>21</v>
      </c>
      <c r="C41" s="13"/>
      <c r="D41" s="6" t="n">
        <v>7600</v>
      </c>
      <c r="E41" s="6" t="n">
        <v>37150</v>
      </c>
      <c r="F41" s="6" t="n">
        <v>23150</v>
      </c>
      <c r="G41" s="13"/>
      <c r="H41" s="13"/>
      <c r="I41" s="13"/>
      <c r="J41" s="14" t="s">
        <v>367</v>
      </c>
    </row>
    <row r="42" customFormat="false" ht="15" hidden="false" customHeight="true" outlineLevel="0" collapsed="false">
      <c r="A42" s="3" t="s">
        <v>368</v>
      </c>
      <c r="B42" s="3" t="s">
        <v>21</v>
      </c>
      <c r="C42" s="13"/>
      <c r="D42" s="6" t="n">
        <v>1300</v>
      </c>
      <c r="E42" s="6" t="n">
        <v>35800</v>
      </c>
      <c r="F42" s="6" t="n">
        <v>18700</v>
      </c>
      <c r="G42" s="13"/>
      <c r="H42" s="13"/>
      <c r="I42" s="13"/>
      <c r="J42" s="14" t="s">
        <v>369</v>
      </c>
    </row>
    <row r="43" customFormat="false" ht="15" hidden="false" customHeight="true" outlineLevel="0" collapsed="false">
      <c r="A43" s="3" t="s">
        <v>370</v>
      </c>
      <c r="B43" s="3" t="s">
        <v>352</v>
      </c>
      <c r="C43" s="13"/>
      <c r="D43" s="27" t="n">
        <v>1</v>
      </c>
      <c r="E43" s="13"/>
      <c r="F43" s="13"/>
      <c r="G43" s="13"/>
      <c r="H43" s="13"/>
      <c r="I43" s="13"/>
      <c r="J43" s="14" t="s">
        <v>371</v>
      </c>
    </row>
    <row r="44" customFormat="false" ht="15" hidden="false" customHeight="true" outlineLevel="0" collapsed="false">
      <c r="A44" s="3" t="s">
        <v>372</v>
      </c>
      <c r="B44" s="3" t="s">
        <v>352</v>
      </c>
      <c r="C44" s="13"/>
      <c r="D44" s="27" t="n">
        <v>2028</v>
      </c>
      <c r="E44" s="13"/>
      <c r="F44" s="13"/>
      <c r="G44" s="13"/>
      <c r="H44" s="13"/>
      <c r="I44" s="13"/>
      <c r="J44" s="14" t="s">
        <v>373</v>
      </c>
    </row>
    <row r="45" customFormat="false" ht="15" hidden="false" customHeight="true" outlineLevel="0" collapsed="false">
      <c r="A45" s="3" t="s">
        <v>374</v>
      </c>
      <c r="B45" s="3" t="s">
        <v>21</v>
      </c>
      <c r="C45" s="13"/>
      <c r="D45" s="6" t="n">
        <v>46500</v>
      </c>
      <c r="E45" s="13"/>
      <c r="F45" s="13"/>
      <c r="G45" s="13"/>
      <c r="H45" s="13"/>
      <c r="I45" s="13"/>
      <c r="J45" s="14" t="s">
        <v>375</v>
      </c>
    </row>
    <row r="46" customFormat="false" ht="15" hidden="false" customHeight="true" outlineLevel="0" collapsed="false">
      <c r="A46" s="3" t="s">
        <v>376</v>
      </c>
      <c r="B46" s="3" t="s">
        <v>21</v>
      </c>
      <c r="C46" s="13"/>
      <c r="D46" s="6" t="n">
        <v>1461288</v>
      </c>
      <c r="E46" s="13"/>
      <c r="F46" s="13"/>
      <c r="G46" s="13"/>
      <c r="H46" s="13"/>
      <c r="I46" s="13"/>
      <c r="J46" s="14" t="s">
        <v>377</v>
      </c>
    </row>
    <row r="47" customFormat="false" ht="15" hidden="false" customHeight="true" outlineLevel="0" collapsed="false">
      <c r="A47" s="3" t="s">
        <v>378</v>
      </c>
      <c r="B47" s="3" t="s">
        <v>21</v>
      </c>
      <c r="C47" s="13"/>
      <c r="D47" s="6" t="n">
        <v>618093</v>
      </c>
      <c r="E47" s="13"/>
      <c r="F47" s="13"/>
      <c r="G47" s="13"/>
      <c r="H47" s="13"/>
      <c r="I47" s="13"/>
      <c r="J47" s="14" t="s">
        <v>340</v>
      </c>
    </row>
    <row r="48" customFormat="false" ht="15" hidden="false" customHeight="true" outlineLevel="0" collapsed="false">
      <c r="A48" s="3" t="s">
        <v>379</v>
      </c>
      <c r="B48" s="3" t="s">
        <v>21</v>
      </c>
      <c r="C48" s="13"/>
      <c r="D48" s="6" t="n">
        <v>280754</v>
      </c>
      <c r="E48" s="13"/>
      <c r="F48" s="13"/>
      <c r="G48" s="13"/>
      <c r="H48" s="13"/>
      <c r="I48" s="13"/>
      <c r="J48" s="14" t="s">
        <v>340</v>
      </c>
    </row>
    <row r="49" customFormat="false" ht="15" hidden="false" customHeight="true" outlineLevel="0" collapsed="false">
      <c r="A49" s="3" t="s">
        <v>380</v>
      </c>
      <c r="B49" s="3" t="s">
        <v>115</v>
      </c>
      <c r="C49" s="13"/>
      <c r="D49" s="13"/>
      <c r="E49" s="24" t="n">
        <f aca="false">$D$41*IF((2027-2026)&lt;0,0,IF((2027-2026)=0,$D$38,IF((2027-2026)=1,$D$39,$D$40)))+$E$41*IF((2027-2027)&lt;0,0,IF((2027-2027)=0,$D$38,IF((2027-2027)=1,$D$39,$D$40)))+$F$41*IF((2027-2028)&lt;0,0,IF((2027-2028)=0,$D$38,IF((2027-2028)=1,$D$39,$D$40)))+$D$43*$D$45*IF((2027-$D$44)&lt;0,0,IF((2027-$D$44)=0,$D$38,IF((2027-$D$44)=1,$D$39,$D$40)))</f>
        <v>19842.5</v>
      </c>
      <c r="F49" s="24" t="n">
        <f aca="false">$D$41*IF((2028-2026)&lt;0,0,IF((2028-2026)=0,$D$38,IF((2028-2026)=1,$D$39,$D$40)))+$E$41*IF((2028-2027)&lt;0,0,IF((2028-2027)=0,$D$38,IF((2028-2027)=1,$D$39,$D$40)))+$F$41*IF((2028-2028)&lt;0,0,IF((2028-2028)=0,$D$38,IF((2028-2028)=1,$D$39,$D$40)))+$D$43*$D$45*IF((2028-$D$44)&lt;0,0,IF((2028-$D$44)=0,$D$38,IF((2028-$D$44)=1,$D$39,$D$40)))</f>
        <v>65412.5</v>
      </c>
      <c r="G49" s="24" t="n">
        <f aca="false">$D$41*IF((2029-2026)&lt;0,0,IF((2029-2026)=0,$D$38,IF((2029-2026)=1,$D$39,$D$40)))+$E$41*IF((2029-2027)&lt;0,0,IF((2029-2027)=0,$D$38,IF((2029-2027)=1,$D$39,$D$40)))+$F$41*IF((2029-2028)&lt;0,0,IF((2029-2028)=0,$D$38,IF((2029-2028)=1,$D$39,$D$40)))+$D$43*$D$45*IF((2029-$D$44)&lt;0,0,IF((2029-$D$44)=0,$D$38,IF((2029-$D$44)=1,$D$39,$D$40)))</f>
        <v>107435</v>
      </c>
      <c r="H49" s="24" t="n">
        <f aca="false">$D$41*IF((2030-2026)&lt;0,0,IF((2030-2026)=0,$D$38,IF((2030-2026)=1,$D$39,$D$40)))+$E$41*IF((2030-2027)&lt;0,0,IF((2030-2027)=0,$D$38,IF((2030-2027)=1,$D$39,$D$40)))+$F$41*IF((2030-2028)&lt;0,0,IF((2030-2028)=0,$D$38,IF((2030-2028)=1,$D$39,$D$40)))+$D$43*$D$45*IF((2030-$D$44)&lt;0,0,IF((2030-$D$44)=0,$D$38,IF((2030-$D$44)=1,$D$39,$D$40)))</f>
        <v>114400</v>
      </c>
      <c r="I49" s="24" t="n">
        <f aca="false">$D$41*IF((2031-2026)&lt;0,0,IF((2031-2026)=0,$D$38,IF((2031-2026)=1,$D$39,$D$40)))+$E$41*IF((2031-2027)&lt;0,0,IF((2031-2027)=0,$D$38,IF((2031-2027)=1,$D$39,$D$40)))+$F$41*IF((2031-2028)&lt;0,0,IF((2031-2028)=0,$D$38,IF((2031-2028)=1,$D$39,$D$40)))+$D$43*$D$45*IF((2031-$D$44)&lt;0,0,IF((2031-$D$44)=0,$D$38,IF((2031-$D$44)=1,$D$39,$D$40)))</f>
        <v>114400</v>
      </c>
      <c r="J49" s="14" t="s">
        <v>381</v>
      </c>
    </row>
    <row r="50" customFormat="false" ht="15" hidden="false" customHeight="true" outlineLevel="0" collapsed="false">
      <c r="A50" s="3" t="s">
        <v>382</v>
      </c>
      <c r="B50" s="3" t="s">
        <v>115</v>
      </c>
      <c r="C50" s="13"/>
      <c r="D50" s="13"/>
      <c r="E50" s="24" t="n">
        <f aca="false">$D$42*IF((2027-2026)&lt;0,0,IF((2027-2026)=0,$D$38,IF((2027-2026)=1,$D$39,$D$40)))+$E$42*IF((2027-2027)&lt;0,0,IF((2027-2027)=0,$D$38,IF((2027-2027)=1,$D$39,$D$40)))+$F$42*IF((2027-2028)&lt;0,0,IF((2027-2028)=0,$D$38,IF((2027-2028)=1,$D$39,$D$40)))</f>
        <v>13700</v>
      </c>
      <c r="F50" s="24" t="n">
        <f aca="false">$D$42*IF((2028-2026)&lt;0,0,IF((2028-2026)=0,$D$38,IF((2028-2026)=1,$D$39,$D$40)))+$E$42*IF((2028-2027)&lt;0,0,IF((2028-2027)=0,$D$38,IF((2028-2027)=1,$D$39,$D$40)))+$F$42*IF((2028-2028)&lt;0,0,IF((2028-2028)=0,$D$38,IF((2028-2028)=1,$D$39,$D$40)))</f>
        <v>40065</v>
      </c>
      <c r="G50" s="24" t="n">
        <f aca="false">$D$42*IF((2029-2026)&lt;0,0,IF((2029-2026)=0,$D$38,IF((2029-2026)=1,$D$39,$D$40)))+$E$42*IF((2029-2027)&lt;0,0,IF((2029-2027)=0,$D$38,IF((2029-2027)=1,$D$39,$D$40)))+$F$42*IF((2029-2028)&lt;0,0,IF((2029-2028)=0,$D$38,IF((2029-2028)=1,$D$39,$D$40)))</f>
        <v>53930</v>
      </c>
      <c r="H50" s="24" t="n">
        <f aca="false">$D$42*IF((2030-2026)&lt;0,0,IF((2030-2026)=0,$D$38,IF((2030-2026)=1,$D$39,$D$40)))+$E$42*IF((2030-2027)&lt;0,0,IF((2030-2027)=0,$D$38,IF((2030-2027)=1,$D$39,$D$40)))+$F$42*IF((2030-2028)&lt;0,0,IF((2030-2028)=0,$D$38,IF((2030-2028)=1,$D$39,$D$40)))</f>
        <v>55800</v>
      </c>
      <c r="I50" s="24" t="n">
        <f aca="false">$D$42*IF((2031-2026)&lt;0,0,IF((2031-2026)=0,$D$38,IF((2031-2026)=1,$D$39,$D$40)))+$E$42*IF((2031-2027)&lt;0,0,IF((2031-2027)=0,$D$38,IF((2031-2027)=1,$D$39,$D$40)))+$F$42*IF((2031-2028)&lt;0,0,IF((2031-2028)=0,$D$38,IF((2031-2028)=1,$D$39,$D$40)))</f>
        <v>55800</v>
      </c>
      <c r="J50" s="14" t="s">
        <v>340</v>
      </c>
    </row>
    <row r="51" customFormat="false" ht="15" hidden="false" customHeight="true" outlineLevel="0" collapsed="false">
      <c r="A51" s="13"/>
      <c r="B51" s="13"/>
      <c r="C51" s="13"/>
      <c r="D51" s="13"/>
      <c r="E51" s="13"/>
      <c r="F51" s="13"/>
      <c r="G51" s="13"/>
      <c r="H51" s="13"/>
      <c r="I51" s="13"/>
      <c r="J51" s="13"/>
    </row>
    <row r="52" customFormat="false" ht="15" hidden="false" customHeight="true" outlineLevel="0" collapsed="false">
      <c r="A52" s="5" t="s">
        <v>383</v>
      </c>
      <c r="B52" s="5" t="s">
        <v>15</v>
      </c>
      <c r="C52" s="15" t="s">
        <v>304</v>
      </c>
      <c r="D52" s="15" t="s">
        <v>305</v>
      </c>
      <c r="E52" s="15" t="s">
        <v>306</v>
      </c>
      <c r="F52" s="15" t="s">
        <v>307</v>
      </c>
      <c r="G52" s="15" t="s">
        <v>308</v>
      </c>
      <c r="H52" s="15" t="s">
        <v>309</v>
      </c>
      <c r="I52" s="15" t="s">
        <v>310</v>
      </c>
      <c r="J52" s="5" t="s">
        <v>311</v>
      </c>
    </row>
    <row r="53" customFormat="false" ht="15" hidden="false" customHeight="true" outlineLevel="0" collapsed="false">
      <c r="A53" s="3" t="s">
        <v>384</v>
      </c>
      <c r="B53" s="3" t="s">
        <v>352</v>
      </c>
      <c r="C53" s="13"/>
      <c r="D53" s="13"/>
      <c r="E53" s="26" t="n">
        <v>0.09</v>
      </c>
      <c r="F53" s="26" t="n">
        <v>0.06</v>
      </c>
      <c r="G53" s="26" t="n">
        <v>0.04</v>
      </c>
      <c r="H53" s="26" t="n">
        <v>0.03</v>
      </c>
      <c r="I53" s="26" t="n">
        <v>0.02</v>
      </c>
      <c r="J53" s="14" t="s">
        <v>385</v>
      </c>
    </row>
    <row r="54" customFormat="false" ht="15" hidden="false" customHeight="true" outlineLevel="0" collapsed="false">
      <c r="A54" s="28" t="s">
        <v>354</v>
      </c>
      <c r="B54" s="13"/>
      <c r="C54" s="13"/>
      <c r="D54" s="13"/>
      <c r="E54" s="13"/>
      <c r="F54" s="13"/>
      <c r="G54" s="13"/>
      <c r="H54" s="13"/>
      <c r="I54" s="13"/>
      <c r="J54" s="13"/>
    </row>
    <row r="55" customFormat="false" ht="15" hidden="false" customHeight="true" outlineLevel="0" collapsed="false">
      <c r="A55" s="3" t="s">
        <v>386</v>
      </c>
      <c r="B55" s="3" t="s">
        <v>387</v>
      </c>
      <c r="C55" s="13"/>
      <c r="D55" s="16" t="n">
        <v>0.961</v>
      </c>
      <c r="E55" s="16" t="n">
        <v>0.961</v>
      </c>
      <c r="F55" s="16" t="n">
        <v>0.961</v>
      </c>
      <c r="G55" s="16" t="n">
        <v>0.961</v>
      </c>
      <c r="H55" s="16" t="n">
        <v>0.961</v>
      </c>
      <c r="I55" s="16" t="n">
        <v>0.961</v>
      </c>
      <c r="J55" s="14" t="s">
        <v>388</v>
      </c>
    </row>
    <row r="56" customFormat="false" ht="15" hidden="false" customHeight="true" outlineLevel="0" collapsed="false">
      <c r="A56" s="3" t="s">
        <v>389</v>
      </c>
      <c r="B56" s="3" t="s">
        <v>352</v>
      </c>
      <c r="C56" s="13"/>
      <c r="D56" s="13"/>
      <c r="E56" s="26" t="n">
        <v>0.015</v>
      </c>
      <c r="F56" s="26" t="n">
        <v>0.0125</v>
      </c>
      <c r="G56" s="26" t="n">
        <v>0.01</v>
      </c>
      <c r="H56" s="26" t="n">
        <v>0.0075</v>
      </c>
      <c r="I56" s="26" t="n">
        <v>0.006</v>
      </c>
      <c r="J56" s="14" t="s">
        <v>390</v>
      </c>
    </row>
    <row r="57" customFormat="false" ht="15" hidden="false" customHeight="true" outlineLevel="0" collapsed="false">
      <c r="A57" s="3" t="s">
        <v>391</v>
      </c>
      <c r="B57" s="3" t="s">
        <v>21</v>
      </c>
      <c r="C57" s="13"/>
      <c r="D57" s="16" t="n">
        <v>0.121</v>
      </c>
      <c r="E57" s="13"/>
      <c r="F57" s="13"/>
      <c r="G57" s="13"/>
      <c r="H57" s="13"/>
      <c r="I57" s="13"/>
      <c r="J57" s="14" t="s">
        <v>392</v>
      </c>
    </row>
    <row r="58" customFormat="false" ht="15" hidden="false" customHeight="true" outlineLevel="0" collapsed="false">
      <c r="A58" s="3" t="s">
        <v>393</v>
      </c>
      <c r="B58" s="3" t="s">
        <v>115</v>
      </c>
      <c r="C58" s="13"/>
      <c r="D58" s="24" t="n">
        <f aca="false">G30*D57</f>
        <v>60308.2659139559</v>
      </c>
      <c r="E58" s="24" t="n">
        <f aca="false">D58*(1+E6)*(1+E53)</f>
        <v>67839.5621612908</v>
      </c>
      <c r="F58" s="24" t="n">
        <f aca="false">E58*(1+F6)*(1+F53)</f>
        <v>74067.2339676973</v>
      </c>
      <c r="G58" s="24" t="n">
        <f aca="false">F58*(1+G6)*(1+G53)</f>
        <v>79340.8210261973</v>
      </c>
      <c r="H58" s="24" t="n">
        <f aca="false">G58*(1+H6)*(1+H53)</f>
        <v>84172.6770266927</v>
      </c>
      <c r="I58" s="24" t="n">
        <f aca="false">H58*(1+I6)*(1+I53)</f>
        <v>88431.8144842434</v>
      </c>
      <c r="J58" s="13"/>
    </row>
    <row r="59" customFormat="false" ht="15" hidden="false" customHeight="true" outlineLevel="0" collapsed="false">
      <c r="A59" s="3" t="s">
        <v>394</v>
      </c>
      <c r="B59" s="3" t="s">
        <v>115</v>
      </c>
      <c r="C59" s="13"/>
      <c r="D59" s="24" t="n">
        <f aca="false">G30-D58</f>
        <v>438107.154862539</v>
      </c>
      <c r="E59" s="24" t="n">
        <f aca="false">D59*(1+E6)*(1+E56)*E55/D55</f>
        <v>458908.482575413</v>
      </c>
      <c r="F59" s="24" t="n">
        <f aca="false">E59*(1+F6)*(1+F56)*F55/E55</f>
        <v>478584.183765834</v>
      </c>
      <c r="G59" s="24" t="n">
        <f aca="false">F59*(1+G6)*(1+G56)*G55/F55</f>
        <v>497871.126371597</v>
      </c>
      <c r="H59" s="24" t="n">
        <f aca="false">G59*(1+H6)*(1+H56)*H55/G55</f>
        <v>516653.314613965</v>
      </c>
      <c r="I59" s="24" t="n">
        <f aca="false">H59*(1+I6)*(1+I56)*I55/H55</f>
        <v>535345.831536698</v>
      </c>
      <c r="J59" s="13"/>
    </row>
    <row r="60" customFormat="false" ht="15" hidden="false" customHeight="true" outlineLevel="0" collapsed="false">
      <c r="A60" s="3" t="s">
        <v>395</v>
      </c>
      <c r="B60" s="3" t="s">
        <v>115</v>
      </c>
      <c r="C60" s="13"/>
      <c r="D60" s="24" t="n">
        <f aca="false">(D59+D58)/$D$46*1000000</f>
        <v>341079.527633495</v>
      </c>
      <c r="E60" s="24" t="n">
        <f aca="false">(E59+E58)/$D$46*1000000</f>
        <v>360468.329813633</v>
      </c>
      <c r="F60" s="24" t="n">
        <f aca="false">(F59+F58)/$D$46*1000000</f>
        <v>378194.728030019</v>
      </c>
      <c r="G60" s="24" t="n">
        <f aca="false">(G59+G58)/$D$46*1000000</f>
        <v>395002.181224915</v>
      </c>
      <c r="H60" s="24" t="n">
        <f aca="false">(H59+H58)/$D$46*1000000</f>
        <v>411161.928135082</v>
      </c>
      <c r="I60" s="24" t="n">
        <f aca="false">(I59+I58)/$D$46*1000000</f>
        <v>426868.383248847</v>
      </c>
      <c r="J60" s="14" t="s">
        <v>396</v>
      </c>
    </row>
    <row r="61" customFormat="false" ht="15" hidden="false" customHeight="true" outlineLevel="0" collapsed="false">
      <c r="A61" s="3" t="s">
        <v>397</v>
      </c>
      <c r="B61" s="3" t="s">
        <v>115</v>
      </c>
      <c r="C61" s="13"/>
      <c r="D61" s="13"/>
      <c r="E61" s="24" t="n">
        <f aca="false">E60*E49/1000000</f>
        <v>7152.592834327</v>
      </c>
      <c r="F61" s="24" t="n">
        <f aca="false">F60*F49/1000000</f>
        <v>24738.6626472636</v>
      </c>
      <c r="G61" s="24" t="n">
        <f aca="false">G60*G49/1000000</f>
        <v>42437.0593398988</v>
      </c>
      <c r="H61" s="24" t="n">
        <f aca="false">H60*H49/1000000</f>
        <v>47036.9245786534</v>
      </c>
      <c r="I61" s="24" t="n">
        <f aca="false">I60*I49/1000000</f>
        <v>48833.7430436681</v>
      </c>
      <c r="J61" s="13"/>
    </row>
    <row r="62" customFormat="false" ht="15" hidden="false" customHeight="true" outlineLevel="0" collapsed="false">
      <c r="A62" s="3" t="s">
        <v>398</v>
      </c>
      <c r="B62" s="3" t="s">
        <v>115</v>
      </c>
      <c r="C62" s="13"/>
      <c r="D62" s="24" t="n">
        <f aca="false">G30</f>
        <v>498415.420776495</v>
      </c>
      <c r="E62" s="24" t="n">
        <f aca="false">E59+E58+E61</f>
        <v>533900.637571031</v>
      </c>
      <c r="F62" s="24" t="n">
        <f aca="false">F59+F58+F61</f>
        <v>577390.080380794</v>
      </c>
      <c r="G62" s="24" t="n">
        <f aca="false">G59+G58+G61</f>
        <v>619649.006737693</v>
      </c>
      <c r="H62" s="24" t="n">
        <f aca="false">H59+H58+H61</f>
        <v>647862.916219311</v>
      </c>
      <c r="I62" s="24" t="n">
        <f aca="false">I59+I58+I61</f>
        <v>672611.38906461</v>
      </c>
      <c r="J62" s="13"/>
    </row>
    <row r="63" customFormat="false" ht="15" hidden="false" customHeight="true" outlineLevel="0" collapsed="false">
      <c r="A63" s="3" t="s">
        <v>399</v>
      </c>
      <c r="B63" s="3" t="s">
        <v>115</v>
      </c>
      <c r="C63" s="13"/>
      <c r="D63" s="13"/>
      <c r="E63" s="23" t="n">
        <f aca="false">E62/D62-1</f>
        <v>0.0711960652004944</v>
      </c>
      <c r="F63" s="23" t="n">
        <f aca="false">F62/E62-1</f>
        <v>0.0814560608273818</v>
      </c>
      <c r="G63" s="23" t="n">
        <f aca="false">G62/F62-1</f>
        <v>0.0731895607368733</v>
      </c>
      <c r="H63" s="23" t="n">
        <f aca="false">H62/G62-1</f>
        <v>0.0455320821543124</v>
      </c>
      <c r="I63" s="23" t="n">
        <f aca="false">I62/H62-1</f>
        <v>0.0382001689334552</v>
      </c>
      <c r="J63" s="13"/>
    </row>
    <row r="64" customFormat="false" ht="15" hidden="false" customHeight="true" outlineLevel="0" collapsed="false">
      <c r="A64" s="28" t="s">
        <v>355</v>
      </c>
      <c r="B64" s="13"/>
      <c r="C64" s="13"/>
      <c r="D64" s="13"/>
      <c r="E64" s="13"/>
      <c r="F64" s="13"/>
      <c r="G64" s="13"/>
      <c r="H64" s="13"/>
      <c r="I64" s="13"/>
      <c r="J64" s="13"/>
    </row>
    <row r="65" customFormat="false" ht="15" hidden="false" customHeight="true" outlineLevel="0" collapsed="false">
      <c r="A65" s="3" t="s">
        <v>400</v>
      </c>
      <c r="B65" s="3" t="s">
        <v>387</v>
      </c>
      <c r="C65" s="13"/>
      <c r="D65" s="16" t="n">
        <v>0.938</v>
      </c>
      <c r="E65" s="16" t="n">
        <v>0.942</v>
      </c>
      <c r="F65" s="16" t="n">
        <v>0.946</v>
      </c>
      <c r="G65" s="16" t="n">
        <v>0.946</v>
      </c>
      <c r="H65" s="16" t="n">
        <v>0.946</v>
      </c>
      <c r="I65" s="16" t="n">
        <v>0.946</v>
      </c>
      <c r="J65" s="14" t="s">
        <v>401</v>
      </c>
    </row>
    <row r="66" customFormat="false" ht="15" hidden="false" customHeight="true" outlineLevel="0" collapsed="false">
      <c r="A66" s="3" t="s">
        <v>389</v>
      </c>
      <c r="B66" s="3" t="s">
        <v>352</v>
      </c>
      <c r="C66" s="13"/>
      <c r="D66" s="13"/>
      <c r="E66" s="26" t="n">
        <v>0.015</v>
      </c>
      <c r="F66" s="26" t="n">
        <v>0.012</v>
      </c>
      <c r="G66" s="26" t="n">
        <v>0.009</v>
      </c>
      <c r="H66" s="26" t="n">
        <v>0.006</v>
      </c>
      <c r="I66" s="26" t="n">
        <v>0.004</v>
      </c>
      <c r="J66" s="14" t="s">
        <v>402</v>
      </c>
    </row>
    <row r="67" customFormat="false" ht="15" hidden="false" customHeight="true" outlineLevel="0" collapsed="false">
      <c r="A67" s="3" t="s">
        <v>391</v>
      </c>
      <c r="B67" s="3" t="s">
        <v>21</v>
      </c>
      <c r="C67" s="13"/>
      <c r="D67" s="16" t="n">
        <v>0.064</v>
      </c>
      <c r="E67" s="13"/>
      <c r="F67" s="13"/>
      <c r="G67" s="13"/>
      <c r="H67" s="13"/>
      <c r="I67" s="13"/>
      <c r="J67" s="14" t="s">
        <v>392</v>
      </c>
    </row>
    <row r="68" customFormat="false" ht="15" hidden="false" customHeight="true" outlineLevel="0" collapsed="false">
      <c r="A68" s="3" t="s">
        <v>393</v>
      </c>
      <c r="B68" s="3" t="s">
        <v>115</v>
      </c>
      <c r="C68" s="13"/>
      <c r="D68" s="25" t="n">
        <f aca="false">G31*D67</f>
        <v>31.3670291111435</v>
      </c>
      <c r="E68" s="25" t="n">
        <f aca="false">D68*(1+E7)*(1+E53)</f>
        <v>35.0790033361562</v>
      </c>
      <c r="F68" s="25" t="n">
        <f aca="false">E68*(1+F7)*(1+F53)</f>
        <v>38.0761533811974</v>
      </c>
      <c r="G68" s="25" t="n">
        <f aca="false">F68*(1+G7)*(1+G53)</f>
        <v>40.3911835067742</v>
      </c>
      <c r="H68" s="25" t="n">
        <f aca="false">G68*(1+H7)*(1+H53)</f>
        <v>42.434977392217</v>
      </c>
      <c r="I68" s="25" t="n">
        <f aca="false">H68*(1+I7)*(1+I53)</f>
        <v>44.1493504788626</v>
      </c>
      <c r="J68" s="13"/>
    </row>
    <row r="69" customFormat="false" ht="15" hidden="false" customHeight="true" outlineLevel="0" collapsed="false">
      <c r="A69" s="3" t="s">
        <v>394</v>
      </c>
      <c r="B69" s="3" t="s">
        <v>115</v>
      </c>
      <c r="C69" s="13"/>
      <c r="D69" s="25" t="n">
        <f aca="false">G31-D68</f>
        <v>458.742800750474</v>
      </c>
      <c r="E69" s="25" t="n">
        <f aca="false">D69*(1+E7)*(1+E66)*E65/D65</f>
        <v>479.767394123316</v>
      </c>
      <c r="F69" s="25" t="n">
        <f aca="false">E69*(1+F7)*(1+F66)*F65/E65</f>
        <v>499.288349131545</v>
      </c>
      <c r="G69" s="25" t="n">
        <f aca="false">F69*(1+G7)*(1+G66)*G65/F65</f>
        <v>513.857583159203</v>
      </c>
      <c r="H69" s="25" t="n">
        <f aca="false">G69*(1+H7)*(1+H66)*H65/G65</f>
        <v>527.279543231321</v>
      </c>
      <c r="I69" s="25" t="n">
        <f aca="false">H69*(1+I7)*(1+I66)*I65/H65</f>
        <v>539.976434632332</v>
      </c>
      <c r="J69" s="13"/>
    </row>
    <row r="70" customFormat="false" ht="15" hidden="false" customHeight="true" outlineLevel="0" collapsed="false">
      <c r="A70" s="3" t="s">
        <v>395</v>
      </c>
      <c r="B70" s="3" t="s">
        <v>115</v>
      </c>
      <c r="C70" s="13"/>
      <c r="D70" s="24" t="n">
        <f aca="false">(D69+D68)/$D$47*1000000</f>
        <v>792.938651402972</v>
      </c>
      <c r="E70" s="24" t="n">
        <f aca="false">(E69+E68)/$D$47*1000000</f>
        <v>832.959437268296</v>
      </c>
      <c r="F70" s="24" t="n">
        <f aca="false">(F69+F68)/$D$47*1000000</f>
        <v>869.391018038939</v>
      </c>
      <c r="G70" s="24" t="n">
        <f aca="false">(G69+G68)/$D$47*1000000</f>
        <v>896.707723054584</v>
      </c>
      <c r="H70" s="24" t="n">
        <f aca="false">(H69+H68)/$D$47*1000000</f>
        <v>921.729449489864</v>
      </c>
      <c r="I70" s="24" t="n">
        <f aca="false">(I69+I68)/$D$47*1000000</f>
        <v>945.045139018229</v>
      </c>
      <c r="J70" s="14" t="s">
        <v>396</v>
      </c>
    </row>
    <row r="71" customFormat="false" ht="15" hidden="false" customHeight="true" outlineLevel="0" collapsed="false">
      <c r="A71" s="3" t="s">
        <v>397</v>
      </c>
      <c r="B71" s="3" t="s">
        <v>115</v>
      </c>
      <c r="C71" s="13"/>
      <c r="D71" s="13"/>
      <c r="E71" s="25" t="n">
        <f aca="false">E70*E50/1000000</f>
        <v>11.4115442905756</v>
      </c>
      <c r="F71" s="25" t="n">
        <f aca="false">F70*F50/1000000</f>
        <v>34.8321511377301</v>
      </c>
      <c r="G71" s="25" t="n">
        <f aca="false">G70*G50/1000000</f>
        <v>48.3594475043337</v>
      </c>
      <c r="H71" s="25" t="n">
        <f aca="false">H70*H50/1000000</f>
        <v>51.4325032815344</v>
      </c>
      <c r="I71" s="25" t="n">
        <f aca="false">I70*I50/1000000</f>
        <v>52.7335187572172</v>
      </c>
      <c r="J71" s="13"/>
    </row>
    <row r="72" customFormat="false" ht="15" hidden="false" customHeight="true" outlineLevel="0" collapsed="false">
      <c r="A72" s="3" t="s">
        <v>403</v>
      </c>
      <c r="B72" s="3" t="s">
        <v>115</v>
      </c>
      <c r="C72" s="13"/>
      <c r="D72" s="25" t="n">
        <f aca="false">G31</f>
        <v>490.109829861617</v>
      </c>
      <c r="E72" s="25" t="n">
        <f aca="false">E69+E68+E71</f>
        <v>526.257941750048</v>
      </c>
      <c r="F72" s="25" t="n">
        <f aca="false">F69+F68+F71</f>
        <v>572.196653650472</v>
      </c>
      <c r="G72" s="25" t="n">
        <f aca="false">G69+G68+G71</f>
        <v>602.608214170311</v>
      </c>
      <c r="H72" s="25" t="n">
        <f aca="false">H69+H68+H71</f>
        <v>621.147023905073</v>
      </c>
      <c r="I72" s="25" t="n">
        <f aca="false">I69+I68+I71</f>
        <v>636.859303868411</v>
      </c>
      <c r="J72" s="13"/>
    </row>
    <row r="73" customFormat="false" ht="15" hidden="false" customHeight="true" outlineLevel="0" collapsed="false">
      <c r="A73" s="3" t="s">
        <v>399</v>
      </c>
      <c r="B73" s="3" t="s">
        <v>115</v>
      </c>
      <c r="C73" s="13"/>
      <c r="D73" s="13"/>
      <c r="E73" s="23" t="n">
        <f aca="false">E72/D72-1</f>
        <v>0.0737551252514921</v>
      </c>
      <c r="F73" s="23" t="n">
        <f aca="false">F72/E72-1</f>
        <v>0.0872931470595135</v>
      </c>
      <c r="G73" s="23" t="n">
        <f aca="false">G72/F72-1</f>
        <v>0.0531487912867381</v>
      </c>
      <c r="H73" s="23" t="n">
        <f aca="false">H72/G72-1</f>
        <v>0.0307642831591444</v>
      </c>
      <c r="I73" s="23" t="n">
        <f aca="false">I72/H72-1</f>
        <v>0.0252955892222706</v>
      </c>
      <c r="J73" s="13"/>
    </row>
    <row r="74" customFormat="false" ht="15" hidden="false" customHeight="true" outlineLevel="0" collapsed="false">
      <c r="A74" s="28" t="s">
        <v>356</v>
      </c>
      <c r="B74" s="13"/>
      <c r="C74" s="13"/>
      <c r="D74" s="13"/>
      <c r="E74" s="13"/>
      <c r="F74" s="13"/>
      <c r="G74" s="13"/>
      <c r="H74" s="13"/>
      <c r="I74" s="13"/>
      <c r="J74" s="13"/>
    </row>
    <row r="75" customFormat="false" ht="15" hidden="false" customHeight="true" outlineLevel="0" collapsed="false">
      <c r="A75" s="3" t="s">
        <v>404</v>
      </c>
      <c r="B75" s="3" t="s">
        <v>387</v>
      </c>
      <c r="C75" s="13"/>
      <c r="D75" s="16" t="n">
        <v>0.975</v>
      </c>
      <c r="E75" s="16" t="n">
        <v>0.975</v>
      </c>
      <c r="F75" s="16" t="n">
        <v>0.975</v>
      </c>
      <c r="G75" s="16" t="n">
        <v>0.975</v>
      </c>
      <c r="H75" s="16" t="n">
        <v>0.975</v>
      </c>
      <c r="I75" s="16" t="n">
        <v>0.975</v>
      </c>
      <c r="J75" s="14" t="s">
        <v>388</v>
      </c>
    </row>
    <row r="76" customFormat="false" ht="15" hidden="false" customHeight="true" outlineLevel="0" collapsed="false">
      <c r="A76" s="3" t="s">
        <v>389</v>
      </c>
      <c r="B76" s="3" t="s">
        <v>352</v>
      </c>
      <c r="C76" s="13"/>
      <c r="D76" s="13"/>
      <c r="E76" s="26" t="n">
        <v>0.025</v>
      </c>
      <c r="F76" s="26" t="n">
        <v>0.023</v>
      </c>
      <c r="G76" s="26" t="n">
        <v>0.022</v>
      </c>
      <c r="H76" s="26" t="n">
        <v>0.021</v>
      </c>
      <c r="I76" s="26" t="n">
        <v>0.021</v>
      </c>
      <c r="J76" s="14" t="s">
        <v>405</v>
      </c>
    </row>
    <row r="77" customFormat="false" ht="15" hidden="false" customHeight="true" outlineLevel="0" collapsed="false">
      <c r="A77" s="3" t="s">
        <v>391</v>
      </c>
      <c r="B77" s="3" t="s">
        <v>21</v>
      </c>
      <c r="C77" s="13"/>
      <c r="D77" s="16" t="n">
        <v>0.09</v>
      </c>
      <c r="E77" s="13"/>
      <c r="F77" s="13"/>
      <c r="G77" s="13"/>
      <c r="H77" s="13"/>
      <c r="I77" s="13"/>
      <c r="J77" s="14" t="s">
        <v>392</v>
      </c>
    </row>
    <row r="78" customFormat="false" ht="15" hidden="false" customHeight="true" outlineLevel="0" collapsed="false">
      <c r="A78" s="3" t="s">
        <v>393</v>
      </c>
      <c r="B78" s="3" t="s">
        <v>115</v>
      </c>
      <c r="C78" s="13"/>
      <c r="D78" s="24" t="n">
        <f aca="false">G32*D77</f>
        <v>25701.5745740112</v>
      </c>
      <c r="E78" s="24" t="n">
        <f aca="false">D78*(1+E8)*(1+E53)</f>
        <v>29527.5109650985</v>
      </c>
      <c r="F78" s="24" t="n">
        <f aca="false">E78*(1+F8)*(1+F53)</f>
        <v>32582.4272495476</v>
      </c>
      <c r="G78" s="24" t="n">
        <f aca="false">F78*(1+G8)*(1+G53)</f>
        <v>35071.7246914131</v>
      </c>
      <c r="H78" s="24" t="n">
        <f aca="false">G78*(1+H8)*(1+H53)</f>
        <v>37207.5927251201</v>
      </c>
      <c r="I78" s="24" t="n">
        <f aca="false">H78*(1+I8)*(1+I53)</f>
        <v>39090.2969170112</v>
      </c>
      <c r="J78" s="13"/>
    </row>
    <row r="79" customFormat="false" ht="15" hidden="false" customHeight="true" outlineLevel="0" collapsed="false">
      <c r="A79" s="3" t="s">
        <v>394</v>
      </c>
      <c r="B79" s="3" t="s">
        <v>115</v>
      </c>
      <c r="C79" s="13"/>
      <c r="D79" s="24" t="n">
        <f aca="false">G32-D78</f>
        <v>259871.476248336</v>
      </c>
      <c r="E79" s="24" t="n">
        <f aca="false">D79*(1+E8)*(1+E76)*E75/D75</f>
        <v>280752.14936489</v>
      </c>
      <c r="F79" s="24" t="n">
        <f aca="false">E79*(1+F8)*(1+F76)*F75/E75</f>
        <v>298985.036201093</v>
      </c>
      <c r="G79" s="24" t="n">
        <f aca="false">F79*(1+G8)*(1+G76)*G75/F75</f>
        <v>316257.401742431</v>
      </c>
      <c r="H79" s="24" t="n">
        <f aca="false">G79*(1+H8)*(1+H76)*H75/G75</f>
        <v>332585.771394392</v>
      </c>
      <c r="I79" s="24" t="n">
        <f aca="false">H79*(1+I8)*(1+I76)*I75/H75</f>
        <v>349757.174771485</v>
      </c>
      <c r="J79" s="13"/>
    </row>
    <row r="80" customFormat="false" ht="15" hidden="false" customHeight="true" outlineLevel="0" collapsed="false">
      <c r="A80" s="3" t="s">
        <v>395</v>
      </c>
      <c r="B80" s="3" t="s">
        <v>115</v>
      </c>
      <c r="C80" s="13"/>
      <c r="D80" s="24" t="n">
        <f aca="false">(D79+D78)/$D$48*1000000</f>
        <v>1017164.6737797</v>
      </c>
      <c r="E80" s="24" t="n">
        <f aca="false">(E79+E78)/$D$48*1000000</f>
        <v>1105165.59097996</v>
      </c>
      <c r="F80" s="24" t="n">
        <f aca="false">(F79+F78)/$D$48*1000000</f>
        <v>1180989.27691374</v>
      </c>
      <c r="G80" s="24" t="n">
        <f aca="false">(G79+G78)/$D$48*1000000</f>
        <v>1251377.10035776</v>
      </c>
      <c r="H80" s="24" t="n">
        <f aca="false">(H79+H78)/$D$48*1000000</f>
        <v>1317143.70630343</v>
      </c>
      <c r="I80" s="24" t="n">
        <f aca="false">(I79+I78)/$D$48*1000000</f>
        <v>1385011.33265598</v>
      </c>
      <c r="J80" s="14" t="s">
        <v>396</v>
      </c>
    </row>
    <row r="81" customFormat="false" ht="15" hidden="false" customHeight="true" outlineLevel="0" collapsed="false">
      <c r="A81" s="3" t="s">
        <v>406</v>
      </c>
      <c r="B81" s="3" t="s">
        <v>115</v>
      </c>
      <c r="C81" s="13"/>
      <c r="D81" s="24" t="n">
        <f aca="false">G32</f>
        <v>285573.050822347</v>
      </c>
      <c r="E81" s="24" t="n">
        <f aca="false">E79+E78</f>
        <v>310279.660329988</v>
      </c>
      <c r="F81" s="24" t="n">
        <f aca="false">F79+F78</f>
        <v>331567.463450641</v>
      </c>
      <c r="G81" s="24" t="n">
        <f aca="false">G79+G78</f>
        <v>351329.126433844</v>
      </c>
      <c r="H81" s="24" t="n">
        <f aca="false">H79+H78</f>
        <v>369793.364119512</v>
      </c>
      <c r="I81" s="24" t="n">
        <f aca="false">I79+I78</f>
        <v>388847.471688496</v>
      </c>
      <c r="J81" s="13"/>
    </row>
    <row r="82" customFormat="false" ht="15" hidden="false" customHeight="true" outlineLevel="0" collapsed="false">
      <c r="A82" s="3" t="s">
        <v>399</v>
      </c>
      <c r="B82" s="3" t="s">
        <v>115</v>
      </c>
      <c r="C82" s="13"/>
      <c r="D82" s="13"/>
      <c r="E82" s="23" t="n">
        <f aca="false">E81/D81-1</f>
        <v>0.0865159</v>
      </c>
      <c r="F82" s="23" t="n">
        <f aca="false">F81/E81-1</f>
        <v>0.0686084389096373</v>
      </c>
      <c r="G82" s="23" t="n">
        <f aca="false">G81/F81-1</f>
        <v>0.0596007303537625</v>
      </c>
      <c r="H82" s="23" t="n">
        <f aca="false">H81/G81-1</f>
        <v>0.0525553855243641</v>
      </c>
      <c r="I82" s="23" t="n">
        <f aca="false">I81/H81-1</f>
        <v>0.0515263642287143</v>
      </c>
      <c r="J82" s="13"/>
    </row>
    <row r="83" customFormat="false" ht="15" hidden="false" customHeight="true" outlineLevel="0" collapsed="false">
      <c r="A83" s="28" t="s">
        <v>407</v>
      </c>
      <c r="B83" s="13"/>
      <c r="C83" s="13"/>
      <c r="D83" s="13"/>
      <c r="E83" s="13"/>
      <c r="F83" s="13"/>
      <c r="G83" s="13"/>
      <c r="H83" s="13"/>
      <c r="I83" s="13"/>
      <c r="J83" s="13"/>
    </row>
    <row r="84" customFormat="false" ht="15" hidden="false" customHeight="true" outlineLevel="0" collapsed="false">
      <c r="A84" s="3" t="s">
        <v>408</v>
      </c>
      <c r="B84" s="3" t="s">
        <v>352</v>
      </c>
      <c r="C84" s="13"/>
      <c r="D84" s="27" t="n">
        <v>0</v>
      </c>
      <c r="E84" s="13"/>
      <c r="F84" s="13"/>
      <c r="G84" s="13"/>
      <c r="H84" s="13"/>
      <c r="I84" s="13"/>
      <c r="J84" s="14" t="s">
        <v>409</v>
      </c>
    </row>
    <row r="85" customFormat="false" ht="15" hidden="false" customHeight="true" outlineLevel="0" collapsed="false">
      <c r="A85" s="3" t="s">
        <v>410</v>
      </c>
      <c r="B85" s="3" t="s">
        <v>352</v>
      </c>
      <c r="C85" s="13"/>
      <c r="D85" s="29" t="n">
        <v>2027</v>
      </c>
      <c r="E85" s="13"/>
      <c r="F85" s="13"/>
      <c r="G85" s="13"/>
      <c r="H85" s="13"/>
      <c r="I85" s="13"/>
      <c r="J85" s="14" t="s">
        <v>411</v>
      </c>
    </row>
    <row r="86" customFormat="false" ht="15" hidden="false" customHeight="true" outlineLevel="0" collapsed="false">
      <c r="A86" s="3" t="s">
        <v>412</v>
      </c>
      <c r="B86" s="3" t="s">
        <v>21</v>
      </c>
      <c r="C86" s="13"/>
      <c r="D86" s="6" t="n">
        <v>1178000</v>
      </c>
      <c r="E86" s="13"/>
      <c r="F86" s="13"/>
      <c r="G86" s="13"/>
      <c r="H86" s="13"/>
      <c r="I86" s="13"/>
      <c r="J86" s="14" t="s">
        <v>413</v>
      </c>
    </row>
    <row r="87" customFormat="false" ht="15" hidden="false" customHeight="true" outlineLevel="0" collapsed="false">
      <c r="A87" s="3" t="s">
        <v>414</v>
      </c>
      <c r="B87" s="3" t="s">
        <v>21</v>
      </c>
      <c r="C87" s="13"/>
      <c r="D87" s="16" t="n">
        <v>0.094</v>
      </c>
      <c r="E87" s="13"/>
      <c r="F87" s="13"/>
      <c r="G87" s="13"/>
      <c r="H87" s="13"/>
      <c r="I87" s="13"/>
      <c r="J87" s="14" t="s">
        <v>340</v>
      </c>
    </row>
    <row r="88" customFormat="false" ht="15" hidden="false" customHeight="true" outlineLevel="0" collapsed="false">
      <c r="A88" s="3" t="s">
        <v>415</v>
      </c>
      <c r="B88" s="3" t="s">
        <v>352</v>
      </c>
      <c r="C88" s="13"/>
      <c r="D88" s="16" t="n">
        <v>0.751</v>
      </c>
      <c r="E88" s="13"/>
      <c r="F88" s="13"/>
      <c r="G88" s="13"/>
      <c r="H88" s="13"/>
      <c r="I88" s="13"/>
      <c r="J88" s="14" t="s">
        <v>416</v>
      </c>
    </row>
    <row r="89" customFormat="false" ht="15" hidden="false" customHeight="true" outlineLevel="0" collapsed="false">
      <c r="A89" s="3" t="s">
        <v>417</v>
      </c>
      <c r="B89" s="3" t="s">
        <v>115</v>
      </c>
      <c r="C89" s="13"/>
      <c r="D89" s="13"/>
      <c r="E89" s="24" t="n">
        <f aca="false">$D$84*IF(2027&lt;$D$85,0,IF(2027=$D$85,0.5,1))*$D$86*$D$87/$D$88*(1+E8)^(2027-2026)</f>
        <v>0</v>
      </c>
      <c r="F89" s="24" t="n">
        <f aca="false">$D$84*IF(2028&lt;$D$85,0,IF(2028=$D$85,0.5,1))*$D$86*$D$87/$D$88*(1+F8)^(2028-2026)</f>
        <v>0</v>
      </c>
      <c r="G89" s="24" t="n">
        <f aca="false">$D$84*IF(2029&lt;$D$85,0,IF(2029=$D$85,0.5,1))*$D$86*$D$87/$D$88*(1+G8)^(2029-2026)</f>
        <v>0</v>
      </c>
      <c r="H89" s="24" t="n">
        <f aca="false">$D$84*IF(2030&lt;$D$85,0,IF(2030=$D$85,0.5,1))*$D$86*$D$87/$D$88*(1+H8)^(2030-2026)</f>
        <v>0</v>
      </c>
      <c r="I89" s="24" t="n">
        <f aca="false">$D$84*IF(2031&lt;$D$85,0,IF(2031=$D$85,0.5,1))*$D$86*$D$87/$D$88*(1+I8)^(2031-2026)</f>
        <v>0</v>
      </c>
      <c r="J89" s="14" t="s">
        <v>418</v>
      </c>
    </row>
    <row r="90" customFormat="false" ht="15" hidden="false" customHeight="true" outlineLevel="0" collapsed="false">
      <c r="A90" s="28" t="s">
        <v>419</v>
      </c>
      <c r="B90" s="13"/>
      <c r="C90" s="13"/>
      <c r="D90" s="13"/>
      <c r="E90" s="13"/>
      <c r="F90" s="13"/>
      <c r="G90" s="13"/>
      <c r="H90" s="13"/>
      <c r="I90" s="13"/>
      <c r="J90" s="13"/>
    </row>
    <row r="91" customFormat="false" ht="15" hidden="false" customHeight="true" outlineLevel="0" collapsed="false">
      <c r="A91" s="3" t="s">
        <v>420</v>
      </c>
      <c r="B91" s="3" t="s">
        <v>115</v>
      </c>
      <c r="C91" s="22" t="n">
        <f aca="false">Inputs!C36</f>
        <v>469964</v>
      </c>
      <c r="D91" s="24" t="n">
        <f aca="false">G33</f>
        <v>498415.420776495</v>
      </c>
      <c r="E91" s="24" t="n">
        <f aca="false">E62</f>
        <v>533900.637571031</v>
      </c>
      <c r="F91" s="24" t="n">
        <f aca="false">F62</f>
        <v>577390.080380794</v>
      </c>
      <c r="G91" s="24" t="n">
        <f aca="false">G62</f>
        <v>619649.006737693</v>
      </c>
      <c r="H91" s="24" t="n">
        <f aca="false">H62</f>
        <v>647862.916219311</v>
      </c>
      <c r="I91" s="24" t="n">
        <f aca="false">I62</f>
        <v>672611.38906461</v>
      </c>
      <c r="J91" s="13"/>
    </row>
    <row r="92" customFormat="false" ht="15" hidden="false" customHeight="true" outlineLevel="0" collapsed="false">
      <c r="A92" s="3" t="s">
        <v>421</v>
      </c>
      <c r="B92" s="3" t="s">
        <v>115</v>
      </c>
      <c r="C92" s="22" t="n">
        <f aca="false">Inputs!C40</f>
        <v>121320</v>
      </c>
      <c r="D92" s="24" t="n">
        <f aca="false">G34</f>
        <v>131348.071728424</v>
      </c>
      <c r="E92" s="24" t="n">
        <f aca="false">E72*E15</f>
        <v>145169.36106893</v>
      </c>
      <c r="F92" s="24" t="n">
        <f aca="false">F72*F15</f>
        <v>159839.600649166</v>
      </c>
      <c r="G92" s="24" t="n">
        <f aca="false">G72*G15</f>
        <v>171607.0043385</v>
      </c>
      <c r="H92" s="24" t="n">
        <f aca="false">H72*H15</f>
        <v>178620.550918063</v>
      </c>
      <c r="I92" s="24" t="n">
        <f aca="false">I72*I15</f>
        <v>184934.342049769</v>
      </c>
      <c r="J92" s="13"/>
    </row>
    <row r="93" customFormat="false" ht="15" hidden="false" customHeight="true" outlineLevel="0" collapsed="false">
      <c r="A93" s="3" t="s">
        <v>422</v>
      </c>
      <c r="B93" s="3" t="s">
        <v>115</v>
      </c>
      <c r="C93" s="22" t="n">
        <f aca="false">Inputs!C38</f>
        <v>62627</v>
      </c>
      <c r="D93" s="24" t="n">
        <f aca="false">G35</f>
        <v>75222.4228062607</v>
      </c>
      <c r="E93" s="24" t="n">
        <f aca="false">(E81+E89)*E16</f>
        <v>88109.424477529</v>
      </c>
      <c r="F93" s="24" t="n">
        <f aca="false">(F81+F89)*F16</f>
        <v>89432.1406832922</v>
      </c>
      <c r="G93" s="24" t="n">
        <f aca="false">(G81+G89)*G16</f>
        <v>92226.441552119</v>
      </c>
      <c r="H93" s="24" t="n">
        <f aca="false">(H81+H89)*H16</f>
        <v>96838.3930999843</v>
      </c>
      <c r="I93" s="24" t="n">
        <f aca="false">(I81+I89)*I16</f>
        <v>101828.123414177</v>
      </c>
      <c r="J93" s="13"/>
    </row>
    <row r="94" customFormat="false" ht="15" hidden="false" customHeight="true" outlineLevel="0" collapsed="false">
      <c r="A94" s="3" t="s">
        <v>423</v>
      </c>
      <c r="B94" s="3" t="s">
        <v>424</v>
      </c>
      <c r="C94" s="13"/>
      <c r="D94" s="12" t="n">
        <v>-0.0014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4" t="s">
        <v>425</v>
      </c>
    </row>
    <row r="95" customFormat="false" ht="15" hidden="false" customHeight="true" outlineLevel="0" collapsed="false">
      <c r="A95" s="3" t="s">
        <v>426</v>
      </c>
      <c r="B95" s="3" t="s">
        <v>115</v>
      </c>
      <c r="C95" s="22" t="n">
        <f aca="false">Inputs!C6</f>
        <v>653911</v>
      </c>
      <c r="D95" s="30" t="n">
        <f aca="false">(D91+D92+D93)*(1+D94)</f>
        <v>703998.935029744</v>
      </c>
      <c r="E95" s="30" t="n">
        <f aca="false">(E91+E92+E93)*(1+E94)</f>
        <v>767179.42311749</v>
      </c>
      <c r="F95" s="30" t="n">
        <f aca="false">(F91+F92+F93)*(1+F94)</f>
        <v>826661.821713252</v>
      </c>
      <c r="G95" s="30" t="n">
        <f aca="false">(G91+G92+G93)*(1+G94)</f>
        <v>883482.452628312</v>
      </c>
      <c r="H95" s="30" t="n">
        <f aca="false">(H91+H92+H93)*(1+H94)</f>
        <v>923321.860237358</v>
      </c>
      <c r="I95" s="30" t="n">
        <f aca="false">(I91+I92+I93)*(1+I94)</f>
        <v>959373.854528556</v>
      </c>
      <c r="J95" s="13"/>
    </row>
    <row r="96" customFormat="false" ht="15" hidden="false" customHeight="true" outlineLevel="0" collapsed="false">
      <c r="A96" s="3" t="s">
        <v>427</v>
      </c>
      <c r="B96" s="3" t="s">
        <v>115</v>
      </c>
      <c r="C96" s="13"/>
      <c r="D96" s="23" t="n">
        <f aca="false">D95/C95-1</f>
        <v>0.0765974804365486</v>
      </c>
      <c r="E96" s="23" t="n">
        <f aca="false">E95/D95-1</f>
        <v>0.0897451472495148</v>
      </c>
      <c r="F96" s="23" t="n">
        <f aca="false">F95/E95-1</f>
        <v>0.0775338816492903</v>
      </c>
      <c r="G96" s="23" t="n">
        <f aca="false">G95/F95-1</f>
        <v>0.068735037015861</v>
      </c>
      <c r="H96" s="23" t="n">
        <f aca="false">H95/G95-1</f>
        <v>0.0450936037162104</v>
      </c>
      <c r="I96" s="23" t="n">
        <f aca="false">I95/H95-1</f>
        <v>0.0390459663566611</v>
      </c>
      <c r="J96" s="13"/>
    </row>
    <row r="97" customFormat="false" ht="15" hidden="false" customHeight="true" outlineLevel="0" collapsed="false">
      <c r="A97" s="3" t="s">
        <v>428</v>
      </c>
      <c r="B97" s="3" t="s">
        <v>215</v>
      </c>
      <c r="C97" s="13"/>
      <c r="D97" s="6" t="n">
        <v>699790</v>
      </c>
      <c r="E97" s="6" t="n">
        <v>770370</v>
      </c>
      <c r="F97" s="13"/>
      <c r="G97" s="13"/>
      <c r="H97" s="13"/>
      <c r="I97" s="13"/>
      <c r="J97" s="14" t="s">
        <v>429</v>
      </c>
    </row>
    <row r="98" customFormat="false" ht="15" hidden="false" customHeight="true" outlineLevel="0" collapsed="false">
      <c r="A98" s="3" t="s">
        <v>430</v>
      </c>
      <c r="B98" s="3" t="s">
        <v>115</v>
      </c>
      <c r="C98" s="13"/>
      <c r="D98" s="23" t="n">
        <f aca="false">D95/D97-1</f>
        <v>0.00601456869881534</v>
      </c>
      <c r="E98" s="23" t="n">
        <f aca="false">E95/E97-1</f>
        <v>-0.00414161621365072</v>
      </c>
      <c r="F98" s="13"/>
      <c r="G98" s="13"/>
      <c r="H98" s="13"/>
      <c r="I98" s="13"/>
      <c r="J98" s="13"/>
    </row>
    <row r="99" customFormat="false" ht="15" hidden="false" customHeight="true" outlineLevel="0" collapsed="false">
      <c r="A99" s="13"/>
      <c r="B99" s="13"/>
      <c r="C99" s="13"/>
      <c r="D99" s="13"/>
      <c r="E99" s="13"/>
      <c r="F99" s="13"/>
      <c r="G99" s="13"/>
      <c r="H99" s="13"/>
      <c r="I99" s="13"/>
      <c r="J99" s="13"/>
    </row>
    <row r="100" customFormat="false" ht="15" hidden="false" customHeight="true" outlineLevel="0" collapsed="false">
      <c r="A100" s="5" t="s">
        <v>431</v>
      </c>
      <c r="B100" s="5" t="s">
        <v>15</v>
      </c>
      <c r="C100" s="15" t="s">
        <v>304</v>
      </c>
      <c r="D100" s="15" t="s">
        <v>305</v>
      </c>
      <c r="E100" s="15" t="s">
        <v>306</v>
      </c>
      <c r="F100" s="15" t="s">
        <v>307</v>
      </c>
      <c r="G100" s="15" t="s">
        <v>308</v>
      </c>
      <c r="H100" s="15" t="s">
        <v>309</v>
      </c>
      <c r="I100" s="15" t="s">
        <v>310</v>
      </c>
      <c r="J100" s="5" t="s">
        <v>311</v>
      </c>
    </row>
    <row r="101" customFormat="false" ht="15" hidden="false" customHeight="true" outlineLevel="0" collapsed="false">
      <c r="A101" s="3" t="s">
        <v>432</v>
      </c>
      <c r="B101" s="3" t="s">
        <v>352</v>
      </c>
      <c r="C101" s="13"/>
      <c r="D101" s="26" t="n">
        <v>0.8</v>
      </c>
      <c r="E101" s="26" t="n">
        <v>0.8</v>
      </c>
      <c r="F101" s="26" t="n">
        <v>0.8</v>
      </c>
      <c r="G101" s="26" t="n">
        <v>0.8</v>
      </c>
      <c r="H101" s="26" t="n">
        <v>0.8</v>
      </c>
      <c r="I101" s="26" t="n">
        <v>0.8</v>
      </c>
      <c r="J101" s="14" t="s">
        <v>433</v>
      </c>
    </row>
    <row r="102" customFormat="false" ht="15" hidden="false" customHeight="true" outlineLevel="0" collapsed="false">
      <c r="A102" s="3" t="s">
        <v>434</v>
      </c>
      <c r="B102" s="3" t="s">
        <v>352</v>
      </c>
      <c r="C102" s="13"/>
      <c r="D102" s="26" t="n">
        <v>0.82</v>
      </c>
      <c r="E102" s="26" t="n">
        <v>0.82</v>
      </c>
      <c r="F102" s="26" t="n">
        <v>0.82</v>
      </c>
      <c r="G102" s="26" t="n">
        <v>0.82</v>
      </c>
      <c r="H102" s="26" t="n">
        <v>0.82</v>
      </c>
      <c r="I102" s="26" t="n">
        <v>0.82</v>
      </c>
      <c r="J102" s="14" t="s">
        <v>435</v>
      </c>
    </row>
    <row r="103" customFormat="false" ht="15" hidden="false" customHeight="true" outlineLevel="0" collapsed="false">
      <c r="A103" s="3" t="s">
        <v>436</v>
      </c>
      <c r="B103" s="3" t="s">
        <v>352</v>
      </c>
      <c r="C103" s="13"/>
      <c r="D103" s="26" t="n">
        <v>0.74</v>
      </c>
      <c r="E103" s="26" t="n">
        <v>0.74</v>
      </c>
      <c r="F103" s="26" t="n">
        <v>0.74</v>
      </c>
      <c r="G103" s="26" t="n">
        <v>0.74</v>
      </c>
      <c r="H103" s="26" t="n">
        <v>0.74</v>
      </c>
      <c r="I103" s="26" t="n">
        <v>0.74</v>
      </c>
      <c r="J103" s="14" t="s">
        <v>437</v>
      </c>
    </row>
    <row r="104" customFormat="false" ht="15" hidden="false" customHeight="true" outlineLevel="0" collapsed="false">
      <c r="A104" s="3" t="s">
        <v>36</v>
      </c>
      <c r="B104" s="3" t="s">
        <v>115</v>
      </c>
      <c r="C104" s="22" t="n">
        <f aca="false">Inputs!C10</f>
        <v>526228</v>
      </c>
      <c r="D104" s="24" t="n">
        <f aca="false">(D91*D101+D92*D102+D93*D103)*(1+D94)</f>
        <v>561315.405027496</v>
      </c>
      <c r="E104" s="24" t="n">
        <f aca="false">(E91*E101+E92*E102+E93*E103)*(1+E94)</f>
        <v>611360.360246719</v>
      </c>
      <c r="F104" s="24" t="n">
        <f aca="false">(F91*F101+F92*F102+F93*F103)*(1+F94)</f>
        <v>659160.320942588</v>
      </c>
      <c r="G104" s="24" t="n">
        <f aca="false">(G91*G101+G92*G102+G93*G103)*(1+G94)</f>
        <v>704684.515696292</v>
      </c>
      <c r="H104" s="24" t="n">
        <f aca="false">(H91*H101+H92*H102+H93*H103)*(1+H94)</f>
        <v>736419.595622249</v>
      </c>
      <c r="I104" s="24" t="n">
        <f aca="false">(I91*I101+I92*I102+I93*I103)*(1+I94)</f>
        <v>765088.08305899</v>
      </c>
      <c r="J104" s="14" t="s">
        <v>438</v>
      </c>
    </row>
    <row r="105" customFormat="false" ht="15" hidden="false" customHeight="true" outlineLevel="0" collapsed="false">
      <c r="A105" s="3" t="s">
        <v>439</v>
      </c>
      <c r="B105" s="3" t="s">
        <v>115</v>
      </c>
      <c r="C105" s="23" t="n">
        <f aca="false">C104/C95</f>
        <v>0.80473948289599</v>
      </c>
      <c r="D105" s="23" t="n">
        <f aca="false">D104/D95</f>
        <v>0.797324224650681</v>
      </c>
      <c r="E105" s="23" t="n">
        <f aca="false">E104/E95</f>
        <v>0.796893584244493</v>
      </c>
      <c r="F105" s="23" t="n">
        <f aca="false">F104/F95</f>
        <v>0.797376029264883</v>
      </c>
      <c r="G105" s="23" t="n">
        <f aca="false">G104/G95</f>
        <v>0.797621405609013</v>
      </c>
      <c r="H105" s="23" t="n">
        <f aca="false">H104/H95</f>
        <v>0.797576259521179</v>
      </c>
      <c r="I105" s="23" t="n">
        <f aca="false">I104/I95</f>
        <v>0.797486901949147</v>
      </c>
      <c r="J105" s="13"/>
    </row>
    <row r="106" customFormat="false" ht="15" hidden="false" customHeight="true" outlineLevel="0" collapsed="false">
      <c r="A106" s="13"/>
      <c r="B106" s="13"/>
      <c r="C106" s="13"/>
      <c r="D106" s="13"/>
      <c r="E106" s="13"/>
      <c r="F106" s="13"/>
      <c r="G106" s="13"/>
      <c r="H106" s="13"/>
      <c r="I106" s="13"/>
      <c r="J106" s="13"/>
    </row>
    <row r="107" customFormat="false" ht="15" hidden="false" customHeight="true" outlineLevel="0" collapsed="false">
      <c r="A107" s="5" t="s">
        <v>440</v>
      </c>
      <c r="B107" s="5" t="s">
        <v>15</v>
      </c>
      <c r="C107" s="15" t="s">
        <v>304</v>
      </c>
      <c r="D107" s="15" t="s">
        <v>305</v>
      </c>
      <c r="E107" s="15" t="s">
        <v>306</v>
      </c>
      <c r="F107" s="15" t="s">
        <v>307</v>
      </c>
      <c r="G107" s="15" t="s">
        <v>308</v>
      </c>
      <c r="H107" s="15" t="s">
        <v>309</v>
      </c>
      <c r="I107" s="15" t="s">
        <v>310</v>
      </c>
      <c r="J107" s="5" t="s">
        <v>311</v>
      </c>
    </row>
    <row r="108" customFormat="false" ht="15" hidden="false" customHeight="true" outlineLevel="0" collapsed="false">
      <c r="A108" s="3" t="s">
        <v>441</v>
      </c>
      <c r="B108" s="3" t="s">
        <v>424</v>
      </c>
      <c r="C108" s="13"/>
      <c r="D108" s="12" t="n">
        <v>0.0308</v>
      </c>
      <c r="E108" s="12" t="n">
        <v>0.0308</v>
      </c>
      <c r="F108" s="12" t="n">
        <v>0.0308</v>
      </c>
      <c r="G108" s="12" t="n">
        <v>0.0308</v>
      </c>
      <c r="H108" s="12" t="n">
        <v>0.0308</v>
      </c>
      <c r="I108" s="12" t="n">
        <v>0.0308</v>
      </c>
      <c r="J108" s="14" t="s">
        <v>442</v>
      </c>
    </row>
    <row r="109" customFormat="false" ht="15" hidden="false" customHeight="true" outlineLevel="0" collapsed="false">
      <c r="A109" s="3" t="s">
        <v>443</v>
      </c>
      <c r="B109" s="3" t="s">
        <v>115</v>
      </c>
      <c r="C109" s="13"/>
      <c r="D109" s="24" t="n">
        <f aca="false">D108*C145</f>
        <v>40379.5392</v>
      </c>
      <c r="E109" s="24" t="n">
        <f aca="false">E108*D145</f>
        <v>40285.1472314011</v>
      </c>
      <c r="F109" s="24" t="n">
        <f aca="false">F108*E145</f>
        <v>40944.7912291999</v>
      </c>
      <c r="G109" s="24" t="n">
        <f aca="false">G108*F145</f>
        <v>38527.1790010282</v>
      </c>
      <c r="H109" s="24" t="n">
        <f aca="false">H108*G145</f>
        <v>31018.8991337996</v>
      </c>
      <c r="I109" s="24" t="n">
        <f aca="false">I108*H145</f>
        <v>23411.8191703409</v>
      </c>
      <c r="J109" s="13"/>
    </row>
    <row r="110" customFormat="false" ht="15" hidden="false" customHeight="true" outlineLevel="0" collapsed="false">
      <c r="A110" s="3" t="s">
        <v>444</v>
      </c>
      <c r="B110" s="3" t="s">
        <v>424</v>
      </c>
      <c r="C110" s="13"/>
      <c r="D110" s="26" t="n">
        <v>0.168</v>
      </c>
      <c r="E110" s="26" t="n">
        <v>0.19</v>
      </c>
      <c r="F110" s="26" t="n">
        <v>0.215</v>
      </c>
      <c r="G110" s="26" t="n">
        <v>0.24</v>
      </c>
      <c r="H110" s="26" t="n">
        <v>0.27</v>
      </c>
      <c r="I110" s="26" t="n">
        <v>0.27</v>
      </c>
      <c r="J110" s="14" t="s">
        <v>445</v>
      </c>
    </row>
    <row r="111" customFormat="false" ht="15" hidden="false" customHeight="true" outlineLevel="0" collapsed="false">
      <c r="A111" s="3" t="s">
        <v>446</v>
      </c>
      <c r="B111" s="3" t="s">
        <v>115</v>
      </c>
      <c r="C111" s="13"/>
      <c r="D111" s="24" t="n">
        <f aca="false">D110*(D104-D109)</f>
        <v>87517.2254590193</v>
      </c>
      <c r="E111" s="24" t="n">
        <f aca="false">E110*(E104-E109)</f>
        <v>108504.29047291</v>
      </c>
      <c r="F111" s="24" t="n">
        <f aca="false">F110*(F104-F109)</f>
        <v>132916.338888378</v>
      </c>
      <c r="G111" s="24" t="n">
        <f aca="false">G110*(G104-G109)</f>
        <v>159877.760806863</v>
      </c>
      <c r="H111" s="24" t="n">
        <f aca="false">H110*(H104-H109)</f>
        <v>190458.188051881</v>
      </c>
      <c r="I111" s="24" t="n">
        <f aca="false">I110*(I104-I109)</f>
        <v>200252.591249935</v>
      </c>
      <c r="J111" s="13"/>
    </row>
    <row r="112" customFormat="false" ht="15" hidden="false" customHeight="true" outlineLevel="0" collapsed="false">
      <c r="A112" s="3" t="s">
        <v>447</v>
      </c>
      <c r="B112" s="3" t="s">
        <v>115</v>
      </c>
      <c r="C112" s="13"/>
      <c r="D112" s="24" t="n">
        <f aca="false">D104-D109-D111</f>
        <v>433418.640368476</v>
      </c>
      <c r="E112" s="24" t="n">
        <f aca="false">E104-E109-E111</f>
        <v>462570.922542407</v>
      </c>
      <c r="F112" s="24" t="n">
        <f aca="false">F104-F109-F111</f>
        <v>485299.190825009</v>
      </c>
      <c r="G112" s="24" t="n">
        <f aca="false">G104-G109-G111</f>
        <v>506279.575888401</v>
      </c>
      <c r="H112" s="24" t="n">
        <f aca="false">H104-H109-H111</f>
        <v>514942.508436568</v>
      </c>
      <c r="I112" s="24" t="n">
        <f aca="false">I104-I109-I111</f>
        <v>541423.672638714</v>
      </c>
      <c r="J112" s="13"/>
    </row>
    <row r="113" customFormat="false" ht="15" hidden="false" customHeight="true" outlineLevel="0" collapsed="false">
      <c r="A113" s="3" t="s">
        <v>448</v>
      </c>
      <c r="B113" s="3" t="s">
        <v>115</v>
      </c>
      <c r="C113" s="13"/>
      <c r="D113" s="12" t="n">
        <v>0.0113</v>
      </c>
      <c r="E113" s="12" t="n">
        <v>0.0113</v>
      </c>
      <c r="F113" s="12" t="n">
        <v>0.0113</v>
      </c>
      <c r="G113" s="12" t="n">
        <v>0.0113</v>
      </c>
      <c r="H113" s="12" t="n">
        <v>0.0113</v>
      </c>
      <c r="I113" s="12" t="n">
        <v>0.0113</v>
      </c>
      <c r="J113" s="14" t="s">
        <v>449</v>
      </c>
    </row>
    <row r="114" customFormat="false" ht="15" hidden="false" customHeight="true" outlineLevel="0" collapsed="false">
      <c r="A114" s="3" t="s">
        <v>450</v>
      </c>
      <c r="B114" s="3" t="s">
        <v>115</v>
      </c>
      <c r="C114" s="22" t="n">
        <f aca="false">Inputs!C20</f>
        <v>405300</v>
      </c>
      <c r="D114" s="30" t="n">
        <f aca="false">D112*(1-D113)</f>
        <v>428521.009732312</v>
      </c>
      <c r="E114" s="30" t="n">
        <f aca="false">E112*(1-E113)</f>
        <v>457343.871117678</v>
      </c>
      <c r="F114" s="30" t="n">
        <f aca="false">F112*(1-F113)</f>
        <v>479815.309968687</v>
      </c>
      <c r="G114" s="30" t="n">
        <f aca="false">G112*(1-G113)</f>
        <v>500558.616680862</v>
      </c>
      <c r="H114" s="30" t="n">
        <f aca="false">H112*(1-H113)</f>
        <v>509123.658091235</v>
      </c>
      <c r="I114" s="30" t="n">
        <f aca="false">I112*(1-I113)</f>
        <v>535305.585137896</v>
      </c>
      <c r="J114" s="13"/>
    </row>
    <row r="115" customFormat="false" ht="15" hidden="false" customHeight="true" outlineLevel="0" collapsed="false">
      <c r="A115" s="3" t="s">
        <v>451</v>
      </c>
      <c r="B115" s="3" t="s">
        <v>115</v>
      </c>
      <c r="C115" s="31" t="n">
        <f aca="false">C114/Inputs!$C$125</f>
        <v>185.068493150685</v>
      </c>
      <c r="D115" s="31" t="n">
        <f aca="false">D114/Inputs!$C$125</f>
        <v>195.671693941695</v>
      </c>
      <c r="E115" s="31" t="n">
        <f aca="false">E114/Inputs!$C$125</f>
        <v>208.832817861953</v>
      </c>
      <c r="F115" s="31" t="n">
        <f aca="false">F114/Inputs!$C$125</f>
        <v>219.093748844149</v>
      </c>
      <c r="G115" s="31" t="n">
        <f aca="false">G114/Inputs!$C$125</f>
        <v>228.565578393088</v>
      </c>
      <c r="H115" s="31" t="n">
        <f aca="false">H114/Inputs!$C$125</f>
        <v>232.476556206043</v>
      </c>
      <c r="I115" s="31" t="n">
        <f aca="false">I114/Inputs!$C$125</f>
        <v>244.431774035569</v>
      </c>
      <c r="J115" s="13"/>
    </row>
    <row r="116" customFormat="false" ht="15" hidden="false" customHeight="true" outlineLevel="0" collapsed="false">
      <c r="A116" s="3" t="s">
        <v>452</v>
      </c>
      <c r="B116" s="3" t="s">
        <v>387</v>
      </c>
      <c r="C116" s="13"/>
      <c r="D116" s="16" t="n">
        <v>0.79</v>
      </c>
      <c r="E116" s="16" t="n">
        <v>0.79</v>
      </c>
      <c r="F116" s="16" t="n">
        <v>0.79</v>
      </c>
      <c r="G116" s="16" t="n">
        <v>0.79</v>
      </c>
      <c r="H116" s="16" t="n">
        <v>0.79</v>
      </c>
      <c r="I116" s="16" t="n">
        <v>0.79</v>
      </c>
      <c r="J116" s="14" t="s">
        <v>453</v>
      </c>
    </row>
    <row r="117" customFormat="false" ht="15" hidden="false" customHeight="true" outlineLevel="0" collapsed="false">
      <c r="A117" s="3" t="s">
        <v>454</v>
      </c>
      <c r="B117" s="3" t="s">
        <v>387</v>
      </c>
      <c r="C117" s="13"/>
      <c r="D117" s="6" t="n">
        <v>347621</v>
      </c>
      <c r="E117" s="6" t="n">
        <v>347621</v>
      </c>
      <c r="F117" s="6" t="n">
        <v>347621</v>
      </c>
      <c r="G117" s="6" t="n">
        <v>347621</v>
      </c>
      <c r="H117" s="6" t="n">
        <v>347621</v>
      </c>
      <c r="I117" s="6" t="n">
        <v>347621</v>
      </c>
      <c r="J117" s="14" t="s">
        <v>455</v>
      </c>
    </row>
    <row r="118" customFormat="false" ht="15" hidden="false" customHeight="true" outlineLevel="0" collapsed="false">
      <c r="A118" s="3" t="s">
        <v>456</v>
      </c>
      <c r="B118" s="3" t="s">
        <v>115</v>
      </c>
      <c r="C118" s="22" t="n">
        <f aca="false">Inputs!C18</f>
        <v>43825</v>
      </c>
      <c r="D118" s="24" t="n">
        <f aca="false">D116*(C145+D117)*D6</f>
        <v>48482.19335</v>
      </c>
      <c r="E118" s="24" t="n">
        <f aca="false">E116*(D145+E117)*E6</f>
        <v>41853.0706335656</v>
      </c>
      <c r="F118" s="24" t="n">
        <f aca="false">F116*(E145+F117)*F6</f>
        <v>39744.8369250662</v>
      </c>
      <c r="G118" s="24" t="n">
        <f aca="false">G116*(F145+G117)*G6</f>
        <v>37884.5314118301</v>
      </c>
      <c r="H118" s="24" t="n">
        <f aca="false">H116*(G145+H117)*H6</f>
        <v>32107.0563191899</v>
      </c>
      <c r="I118" s="24" t="n">
        <f aca="false">I116*(H145+I117)*I6</f>
        <v>26253.5564771779</v>
      </c>
      <c r="J118" s="14" t="s">
        <v>457</v>
      </c>
    </row>
    <row r="119" customFormat="false" ht="15" hidden="false" customHeight="true" outlineLevel="0" collapsed="false">
      <c r="A119" s="3" t="s">
        <v>458</v>
      </c>
      <c r="B119" s="3" t="s">
        <v>115</v>
      </c>
      <c r="C119" s="22" t="n">
        <f aca="false">Inputs!C22</f>
        <v>369312</v>
      </c>
      <c r="D119" s="24" t="n">
        <f aca="false">D114-D118</f>
        <v>380038.816382312</v>
      </c>
      <c r="E119" s="24" t="n">
        <f aca="false">E114-E118</f>
        <v>415490.800484112</v>
      </c>
      <c r="F119" s="24" t="n">
        <f aca="false">F114-F118</f>
        <v>440070.47304362</v>
      </c>
      <c r="G119" s="24" t="n">
        <f aca="false">G114-G118</f>
        <v>462674.085269032</v>
      </c>
      <c r="H119" s="24" t="n">
        <f aca="false">H114-H118</f>
        <v>477016.601772045</v>
      </c>
      <c r="I119" s="24" t="n">
        <f aca="false">I114-I118</f>
        <v>509052.028660718</v>
      </c>
      <c r="J119" s="14" t="s">
        <v>459</v>
      </c>
    </row>
    <row r="120" customFormat="false" ht="15" hidden="false" customHeight="true" outlineLevel="0" collapsed="false">
      <c r="A120" s="3" t="s">
        <v>460</v>
      </c>
      <c r="B120" s="3" t="s">
        <v>215</v>
      </c>
      <c r="C120" s="13"/>
      <c r="D120" s="17" t="n">
        <v>213.97</v>
      </c>
      <c r="E120" s="17" t="n">
        <v>218.08</v>
      </c>
      <c r="F120" s="13"/>
      <c r="G120" s="13"/>
      <c r="H120" s="13"/>
      <c r="I120" s="13"/>
      <c r="J120" s="14" t="s">
        <v>461</v>
      </c>
    </row>
    <row r="121" customFormat="false" ht="15" hidden="false" customHeight="true" outlineLevel="0" collapsed="false">
      <c r="A121" s="13"/>
      <c r="B121" s="13"/>
      <c r="C121" s="13"/>
      <c r="D121" s="13"/>
      <c r="E121" s="13"/>
      <c r="F121" s="13"/>
      <c r="G121" s="13"/>
      <c r="H121" s="13"/>
      <c r="I121" s="13"/>
      <c r="J121" s="13"/>
    </row>
    <row r="122" customFormat="false" ht="15" hidden="false" customHeight="true" outlineLevel="0" collapsed="false">
      <c r="A122" s="5" t="s">
        <v>462</v>
      </c>
      <c r="B122" s="5" t="s">
        <v>15</v>
      </c>
      <c r="C122" s="15" t="s">
        <v>304</v>
      </c>
      <c r="D122" s="15" t="s">
        <v>305</v>
      </c>
      <c r="E122" s="15" t="s">
        <v>306</v>
      </c>
      <c r="F122" s="15" t="s">
        <v>307</v>
      </c>
      <c r="G122" s="15" t="s">
        <v>308</v>
      </c>
      <c r="H122" s="15" t="s">
        <v>309</v>
      </c>
      <c r="I122" s="15" t="s">
        <v>310</v>
      </c>
      <c r="J122" s="5" t="s">
        <v>311</v>
      </c>
    </row>
    <row r="123" customFormat="false" ht="15" hidden="false" customHeight="true" outlineLevel="0" collapsed="false">
      <c r="A123" s="28" t="s">
        <v>463</v>
      </c>
      <c r="B123" s="13"/>
      <c r="C123" s="13"/>
      <c r="D123" s="13"/>
      <c r="E123" s="13"/>
      <c r="F123" s="13"/>
      <c r="G123" s="13"/>
      <c r="H123" s="13"/>
      <c r="I123" s="13"/>
      <c r="J123" s="14" t="s">
        <v>464</v>
      </c>
    </row>
    <row r="124" customFormat="false" ht="15" hidden="false" customHeight="true" outlineLevel="0" collapsed="false">
      <c r="A124" s="3" t="s">
        <v>465</v>
      </c>
      <c r="B124" s="29" t="n">
        <v>2028</v>
      </c>
      <c r="C124" s="13"/>
      <c r="D124" s="25" t="n">
        <f aca="false">IF(2026&gt;$B124,0,IF(2026=2026,0.5,1)/($B124-2026+0.5))*$J124</f>
        <v>20.08</v>
      </c>
      <c r="E124" s="25" t="n">
        <f aca="false">IF(2027&gt;$B124,0,IF(2027=2026,0.5,1)/($B124-2026+0.5))*$J124</f>
        <v>40.16</v>
      </c>
      <c r="F124" s="25" t="n">
        <f aca="false">IF(2028&gt;$B124,0,IF(2028=2026,0.5,1)/($B124-2026+0.5))*$J124</f>
        <v>40.16</v>
      </c>
      <c r="G124" s="25" t="n">
        <f aca="false">IF(2029&gt;$B124,0,IF(2029=2026,0.5,1)/($B124-2026+0.5))*$J124</f>
        <v>0</v>
      </c>
      <c r="H124" s="25" t="n">
        <f aca="false">IF(2030&gt;$B124,0,IF(2030=2026,0.5,1)/($B124-2026+0.5))*$J124</f>
        <v>0</v>
      </c>
      <c r="I124" s="25" t="n">
        <f aca="false">IF(2031&gt;$B124,0,IF(2031=2026,0.5,1)/($B124-2026+0.5))*$J124</f>
        <v>0</v>
      </c>
      <c r="J124" s="32" t="n">
        <v>100.4</v>
      </c>
    </row>
    <row r="125" customFormat="false" ht="15" hidden="false" customHeight="true" outlineLevel="0" collapsed="false">
      <c r="A125" s="3" t="s">
        <v>466</v>
      </c>
      <c r="B125" s="29" t="n">
        <v>2028</v>
      </c>
      <c r="C125" s="13"/>
      <c r="D125" s="25" t="n">
        <f aca="false">IF(2026&gt;$B125,0,IF(2026=2026,0.5,1)/($B125-2026+0.5))*$J125</f>
        <v>7.52</v>
      </c>
      <c r="E125" s="25" t="n">
        <f aca="false">IF(2027&gt;$B125,0,IF(2027=2026,0.5,1)/($B125-2026+0.5))*$J125</f>
        <v>15.04</v>
      </c>
      <c r="F125" s="25" t="n">
        <f aca="false">IF(2028&gt;$B125,0,IF(2028=2026,0.5,1)/($B125-2026+0.5))*$J125</f>
        <v>15.04</v>
      </c>
      <c r="G125" s="25" t="n">
        <f aca="false">IF(2029&gt;$B125,0,IF(2029=2026,0.5,1)/($B125-2026+0.5))*$J125</f>
        <v>0</v>
      </c>
      <c r="H125" s="25" t="n">
        <f aca="false">IF(2030&gt;$B125,0,IF(2030=2026,0.5,1)/($B125-2026+0.5))*$J125</f>
        <v>0</v>
      </c>
      <c r="I125" s="25" t="n">
        <f aca="false">IF(2031&gt;$B125,0,IF(2031=2026,0.5,1)/($B125-2026+0.5))*$J125</f>
        <v>0</v>
      </c>
      <c r="J125" s="32" t="n">
        <v>37.6</v>
      </c>
    </row>
    <row r="126" customFormat="false" ht="15" hidden="false" customHeight="true" outlineLevel="0" collapsed="false">
      <c r="A126" s="3" t="s">
        <v>467</v>
      </c>
      <c r="B126" s="29" t="n">
        <v>2028</v>
      </c>
      <c r="C126" s="13"/>
      <c r="D126" s="25" t="n">
        <f aca="false">IF(2026&gt;$B126,0,IF(2026=2026,0.5,1)/($B126-2026+0.5))*$J126</f>
        <v>5.56</v>
      </c>
      <c r="E126" s="25" t="n">
        <f aca="false">IF(2027&gt;$B126,0,IF(2027=2026,0.5,1)/($B126-2026+0.5))*$J126</f>
        <v>11.12</v>
      </c>
      <c r="F126" s="25" t="n">
        <f aca="false">IF(2028&gt;$B126,0,IF(2028=2026,0.5,1)/($B126-2026+0.5))*$J126</f>
        <v>11.12</v>
      </c>
      <c r="G126" s="25" t="n">
        <f aca="false">IF(2029&gt;$B126,0,IF(2029=2026,0.5,1)/($B126-2026+0.5))*$J126</f>
        <v>0</v>
      </c>
      <c r="H126" s="25" t="n">
        <f aca="false">IF(2030&gt;$B126,0,IF(2030=2026,0.5,1)/($B126-2026+0.5))*$J126</f>
        <v>0</v>
      </c>
      <c r="I126" s="25" t="n">
        <f aca="false">IF(2031&gt;$B126,0,IF(2031=2026,0.5,1)/($B126-2026+0.5))*$J126</f>
        <v>0</v>
      </c>
      <c r="J126" s="32" t="n">
        <v>27.8</v>
      </c>
    </row>
    <row r="127" customFormat="false" ht="15" hidden="false" customHeight="true" outlineLevel="0" collapsed="false">
      <c r="A127" s="3" t="s">
        <v>468</v>
      </c>
      <c r="B127" s="29" t="n">
        <v>2027</v>
      </c>
      <c r="C127" s="13"/>
      <c r="D127" s="25" t="n">
        <f aca="false">IF(2026&gt;$B127,0,IF(2026=2026,0.5,1)/($B127-2026+0.5))*$J127</f>
        <v>14.3666666666667</v>
      </c>
      <c r="E127" s="25" t="n">
        <f aca="false">IF(2027&gt;$B127,0,IF(2027=2026,0.5,1)/($B127-2026+0.5))*$J127</f>
        <v>28.7333333333333</v>
      </c>
      <c r="F127" s="25" t="n">
        <f aca="false">IF(2028&gt;$B127,0,IF(2028=2026,0.5,1)/($B127-2026+0.5))*$J127</f>
        <v>0</v>
      </c>
      <c r="G127" s="25" t="n">
        <f aca="false">IF(2029&gt;$B127,0,IF(2029=2026,0.5,1)/($B127-2026+0.5))*$J127</f>
        <v>0</v>
      </c>
      <c r="H127" s="25" t="n">
        <f aca="false">IF(2030&gt;$B127,0,IF(2030=2026,0.5,1)/($B127-2026+0.5))*$J127</f>
        <v>0</v>
      </c>
      <c r="I127" s="25" t="n">
        <f aca="false">IF(2031&gt;$B127,0,IF(2031=2026,0.5,1)/($B127-2026+0.5))*$J127</f>
        <v>0</v>
      </c>
      <c r="J127" s="32" t="n">
        <v>43.1</v>
      </c>
    </row>
    <row r="128" customFormat="false" ht="15" hidden="false" customHeight="true" outlineLevel="0" collapsed="false">
      <c r="A128" s="3" t="s">
        <v>469</v>
      </c>
      <c r="B128" s="29" t="n">
        <v>2028</v>
      </c>
      <c r="C128" s="13"/>
      <c r="D128" s="25" t="n">
        <f aca="false">IF(2026&gt;$B128,0,IF(2026=2026,0.5,1)/($B128-2026+0.5))*$J128</f>
        <v>13.92</v>
      </c>
      <c r="E128" s="25" t="n">
        <f aca="false">IF(2027&gt;$B128,0,IF(2027=2026,0.5,1)/($B128-2026+0.5))*$J128</f>
        <v>27.84</v>
      </c>
      <c r="F128" s="25" t="n">
        <f aca="false">IF(2028&gt;$B128,0,IF(2028=2026,0.5,1)/($B128-2026+0.5))*$J128</f>
        <v>27.84</v>
      </c>
      <c r="G128" s="25" t="n">
        <f aca="false">IF(2029&gt;$B128,0,IF(2029=2026,0.5,1)/($B128-2026+0.5))*$J128</f>
        <v>0</v>
      </c>
      <c r="H128" s="25" t="n">
        <f aca="false">IF(2030&gt;$B128,0,IF(2030=2026,0.5,1)/($B128-2026+0.5))*$J128</f>
        <v>0</v>
      </c>
      <c r="I128" s="25" t="n">
        <f aca="false">IF(2031&gt;$B128,0,IF(2031=2026,0.5,1)/($B128-2026+0.5))*$J128</f>
        <v>0</v>
      </c>
      <c r="J128" s="32" t="n">
        <v>69.6</v>
      </c>
    </row>
    <row r="129" customFormat="false" ht="15" hidden="false" customHeight="true" outlineLevel="0" collapsed="false">
      <c r="A129" s="3" t="s">
        <v>470</v>
      </c>
      <c r="B129" s="29" t="n">
        <v>2027</v>
      </c>
      <c r="C129" s="13"/>
      <c r="D129" s="25" t="n">
        <f aca="false">IF(2026&gt;$B129,0,IF(2026=2026,0.5,1)/($B129-2026+0.5))*$J129</f>
        <v>9</v>
      </c>
      <c r="E129" s="25" t="n">
        <f aca="false">IF(2027&gt;$B129,0,IF(2027=2026,0.5,1)/($B129-2026+0.5))*$J129</f>
        <v>18</v>
      </c>
      <c r="F129" s="25" t="n">
        <f aca="false">IF(2028&gt;$B129,0,IF(2028=2026,0.5,1)/($B129-2026+0.5))*$J129</f>
        <v>0</v>
      </c>
      <c r="G129" s="25" t="n">
        <f aca="false">IF(2029&gt;$B129,0,IF(2029=2026,0.5,1)/($B129-2026+0.5))*$J129</f>
        <v>0</v>
      </c>
      <c r="H129" s="25" t="n">
        <f aca="false">IF(2030&gt;$B129,0,IF(2030=2026,0.5,1)/($B129-2026+0.5))*$J129</f>
        <v>0</v>
      </c>
      <c r="I129" s="25" t="n">
        <f aca="false">IF(2031&gt;$B129,0,IF(2031=2026,0.5,1)/($B129-2026+0.5))*$J129</f>
        <v>0</v>
      </c>
      <c r="J129" s="32" t="n">
        <v>27</v>
      </c>
    </row>
    <row r="130" customFormat="false" ht="15" hidden="false" customHeight="true" outlineLevel="0" collapsed="false">
      <c r="A130" s="3" t="s">
        <v>471</v>
      </c>
      <c r="B130" s="29" t="n">
        <v>2028</v>
      </c>
      <c r="C130" s="13"/>
      <c r="D130" s="25" t="n">
        <f aca="false">IF(2026&gt;$B130,0,IF(2026=2026,0.5,1)/($B130-2026+0.5))*$J130</f>
        <v>11.06</v>
      </c>
      <c r="E130" s="25" t="n">
        <f aca="false">IF(2027&gt;$B130,0,IF(2027=2026,0.5,1)/($B130-2026+0.5))*$J130</f>
        <v>22.12</v>
      </c>
      <c r="F130" s="25" t="n">
        <f aca="false">IF(2028&gt;$B130,0,IF(2028=2026,0.5,1)/($B130-2026+0.5))*$J130</f>
        <v>22.12</v>
      </c>
      <c r="G130" s="25" t="n">
        <f aca="false">IF(2029&gt;$B130,0,IF(2029=2026,0.5,1)/($B130-2026+0.5))*$J130</f>
        <v>0</v>
      </c>
      <c r="H130" s="25" t="n">
        <f aca="false">IF(2030&gt;$B130,0,IF(2030=2026,0.5,1)/($B130-2026+0.5))*$J130</f>
        <v>0</v>
      </c>
      <c r="I130" s="25" t="n">
        <f aca="false">IF(2031&gt;$B130,0,IF(2031=2026,0.5,1)/($B130-2026+0.5))*$J130</f>
        <v>0</v>
      </c>
      <c r="J130" s="32" t="n">
        <v>55.3</v>
      </c>
    </row>
    <row r="131" customFormat="false" ht="15" hidden="false" customHeight="true" outlineLevel="0" collapsed="false">
      <c r="A131" s="3" t="s">
        <v>472</v>
      </c>
      <c r="B131" s="29" t="n">
        <v>2027</v>
      </c>
      <c r="C131" s="13"/>
      <c r="D131" s="25" t="n">
        <f aca="false">IF(2026&gt;$B131,0,IF(2026=2026,0.5,1)/($B131-2026+0.5))*$J131</f>
        <v>22.3</v>
      </c>
      <c r="E131" s="25" t="n">
        <f aca="false">IF(2027&gt;$B131,0,IF(2027=2026,0.5,1)/($B131-2026+0.5))*$J131</f>
        <v>44.6</v>
      </c>
      <c r="F131" s="25" t="n">
        <f aca="false">IF(2028&gt;$B131,0,IF(2028=2026,0.5,1)/($B131-2026+0.5))*$J131</f>
        <v>0</v>
      </c>
      <c r="G131" s="25" t="n">
        <f aca="false">IF(2029&gt;$B131,0,IF(2029=2026,0.5,1)/($B131-2026+0.5))*$J131</f>
        <v>0</v>
      </c>
      <c r="H131" s="25" t="n">
        <f aca="false">IF(2030&gt;$B131,0,IF(2030=2026,0.5,1)/($B131-2026+0.5))*$J131</f>
        <v>0</v>
      </c>
      <c r="I131" s="25" t="n">
        <f aca="false">IF(2031&gt;$B131,0,IF(2031=2026,0.5,1)/($B131-2026+0.5))*$J131</f>
        <v>0</v>
      </c>
      <c r="J131" s="32" t="n">
        <v>66.9</v>
      </c>
    </row>
    <row r="132" customFormat="false" ht="15" hidden="false" customHeight="true" outlineLevel="0" collapsed="false">
      <c r="A132" s="3" t="s">
        <v>473</v>
      </c>
      <c r="B132" s="29" t="n">
        <v>2027</v>
      </c>
      <c r="C132" s="13"/>
      <c r="D132" s="25" t="n">
        <f aca="false">IF(2026&gt;$B132,0,IF(2026=2026,0.5,1)/($B132-2026+0.5))*$J132</f>
        <v>3.73333333333333</v>
      </c>
      <c r="E132" s="25" t="n">
        <f aca="false">IF(2027&gt;$B132,0,IF(2027=2026,0.5,1)/($B132-2026+0.5))*$J132</f>
        <v>7.46666666666667</v>
      </c>
      <c r="F132" s="25" t="n">
        <f aca="false">IF(2028&gt;$B132,0,IF(2028=2026,0.5,1)/($B132-2026+0.5))*$J132</f>
        <v>0</v>
      </c>
      <c r="G132" s="25" t="n">
        <f aca="false">IF(2029&gt;$B132,0,IF(2029=2026,0.5,1)/($B132-2026+0.5))*$J132</f>
        <v>0</v>
      </c>
      <c r="H132" s="25" t="n">
        <f aca="false">IF(2030&gt;$B132,0,IF(2030=2026,0.5,1)/($B132-2026+0.5))*$J132</f>
        <v>0</v>
      </c>
      <c r="I132" s="25" t="n">
        <f aca="false">IF(2031&gt;$B132,0,IF(2031=2026,0.5,1)/($B132-2026+0.5))*$J132</f>
        <v>0</v>
      </c>
      <c r="J132" s="32" t="n">
        <v>11.2</v>
      </c>
    </row>
    <row r="133" customFormat="false" ht="15" hidden="false" customHeight="true" outlineLevel="0" collapsed="false">
      <c r="A133" s="3" t="s">
        <v>474</v>
      </c>
      <c r="B133" s="29" t="n">
        <v>2026</v>
      </c>
      <c r="C133" s="13"/>
      <c r="D133" s="25" t="n">
        <f aca="false">IF(2026&gt;$B133,0,IF(2026=2026,0.5,1)/($B133-2026+0.5))*$J133</f>
        <v>3.5</v>
      </c>
      <c r="E133" s="25" t="n">
        <f aca="false">IF(2027&gt;$B133,0,IF(2027=2026,0.5,1)/($B133-2026+0.5))*$J133</f>
        <v>0</v>
      </c>
      <c r="F133" s="25" t="n">
        <f aca="false">IF(2028&gt;$B133,0,IF(2028=2026,0.5,1)/($B133-2026+0.5))*$J133</f>
        <v>0</v>
      </c>
      <c r="G133" s="25" t="n">
        <f aca="false">IF(2029&gt;$B133,0,IF(2029=2026,0.5,1)/($B133-2026+0.5))*$J133</f>
        <v>0</v>
      </c>
      <c r="H133" s="25" t="n">
        <f aca="false">IF(2030&gt;$B133,0,IF(2030=2026,0.5,1)/($B133-2026+0.5))*$J133</f>
        <v>0</v>
      </c>
      <c r="I133" s="25" t="n">
        <f aca="false">IF(2031&gt;$B133,0,IF(2031=2026,0.5,1)/($B133-2026+0.5))*$J133</f>
        <v>0</v>
      </c>
      <c r="J133" s="32" t="n">
        <v>3.5</v>
      </c>
    </row>
    <row r="134" customFormat="false" ht="15" hidden="false" customHeight="true" outlineLevel="0" collapsed="false">
      <c r="A134" s="3" t="s">
        <v>475</v>
      </c>
      <c r="B134" s="29" t="n">
        <v>2026</v>
      </c>
      <c r="C134" s="13"/>
      <c r="D134" s="25" t="n">
        <f aca="false">IF(2026&gt;$B134,0,IF(2026=2026,0.5,1)/($B134-2026+0.5))*$J134</f>
        <v>2.6</v>
      </c>
      <c r="E134" s="25" t="n">
        <f aca="false">IF(2027&gt;$B134,0,IF(2027=2026,0.5,1)/($B134-2026+0.5))*$J134</f>
        <v>0</v>
      </c>
      <c r="F134" s="25" t="n">
        <f aca="false">IF(2028&gt;$B134,0,IF(2028=2026,0.5,1)/($B134-2026+0.5))*$J134</f>
        <v>0</v>
      </c>
      <c r="G134" s="25" t="n">
        <f aca="false">IF(2029&gt;$B134,0,IF(2029=2026,0.5,1)/($B134-2026+0.5))*$J134</f>
        <v>0</v>
      </c>
      <c r="H134" s="25" t="n">
        <f aca="false">IF(2030&gt;$B134,0,IF(2030=2026,0.5,1)/($B134-2026+0.5))*$J134</f>
        <v>0</v>
      </c>
      <c r="I134" s="25" t="n">
        <f aca="false">IF(2031&gt;$B134,0,IF(2031=2026,0.5,1)/($B134-2026+0.5))*$J134</f>
        <v>0</v>
      </c>
      <c r="J134" s="32" t="n">
        <v>2.6</v>
      </c>
    </row>
    <row r="135" customFormat="false" ht="15" hidden="false" customHeight="true" outlineLevel="0" collapsed="false">
      <c r="A135" s="3" t="s">
        <v>476</v>
      </c>
      <c r="B135" s="33" t="n">
        <f aca="false">$D$44</f>
        <v>2028</v>
      </c>
      <c r="C135" s="13"/>
      <c r="D135" s="25" t="n">
        <f aca="false">$D$43*IF(2026&gt;$B135,0,IF(2026=2026,0.5,1)/($B135-2026+0.5))*$J135</f>
        <v>26.8</v>
      </c>
      <c r="E135" s="25" t="n">
        <f aca="false">$D$43*IF(2027&gt;$B135,0,IF(2027=2026,0.5,1)/($B135-2026+0.5))*$J135</f>
        <v>53.6</v>
      </c>
      <c r="F135" s="25" t="n">
        <f aca="false">$D$43*IF(2028&gt;$B135,0,IF(2028=2026,0.5,1)/($B135-2026+0.5))*$J135</f>
        <v>53.6</v>
      </c>
      <c r="G135" s="25" t="n">
        <f aca="false">$D$43*IF(2029&gt;$B135,0,IF(2029=2026,0.5,1)/($B135-2026+0.5))*$J135</f>
        <v>0</v>
      </c>
      <c r="H135" s="25" t="n">
        <f aca="false">$D$43*IF(2030&gt;$B135,0,IF(2030=2026,0.5,1)/($B135-2026+0.5))*$J135</f>
        <v>0</v>
      </c>
      <c r="I135" s="25" t="n">
        <f aca="false">$D$43*IF(2031&gt;$B135,0,IF(2031=2026,0.5,1)/($B135-2026+0.5))*$J135</f>
        <v>0</v>
      </c>
      <c r="J135" s="32" t="n">
        <v>134</v>
      </c>
    </row>
    <row r="136" customFormat="false" ht="15" hidden="false" customHeight="true" outlineLevel="0" collapsed="false">
      <c r="A136" s="3" t="s">
        <v>477</v>
      </c>
      <c r="B136" s="3" t="s">
        <v>115</v>
      </c>
      <c r="C136" s="13"/>
      <c r="D136" s="25" t="n">
        <f aca="false">SUM(D124:D135)</f>
        <v>140.44</v>
      </c>
      <c r="E136" s="25" t="n">
        <f aca="false">SUM(E124:E135)</f>
        <v>268.68</v>
      </c>
      <c r="F136" s="25" t="n">
        <f aca="false">SUM(F124:F135)</f>
        <v>169.88</v>
      </c>
      <c r="G136" s="25" t="n">
        <f aca="false">SUM(G124:G135)</f>
        <v>0</v>
      </c>
      <c r="H136" s="25" t="n">
        <f aca="false">SUM(H124:H135)</f>
        <v>0</v>
      </c>
      <c r="I136" s="25" t="n">
        <f aca="false">SUM(I124:I135)</f>
        <v>0</v>
      </c>
      <c r="J136" s="13"/>
    </row>
    <row r="137" customFormat="false" ht="15" hidden="false" customHeight="true" outlineLevel="0" collapsed="false">
      <c r="A137" s="3" t="s">
        <v>478</v>
      </c>
      <c r="B137" s="3" t="s">
        <v>115</v>
      </c>
      <c r="C137" s="13"/>
      <c r="D137" s="24" t="n">
        <f aca="false">D136*F25</f>
        <v>130546.002</v>
      </c>
      <c r="E137" s="24" t="n">
        <f aca="false">E136*E17</f>
        <v>247924.47</v>
      </c>
      <c r="F137" s="24" t="n">
        <f aca="false">F136*F17</f>
        <v>155397.73</v>
      </c>
      <c r="G137" s="24" t="n">
        <f aca="false">G136*G17</f>
        <v>0</v>
      </c>
      <c r="H137" s="24" t="n">
        <f aca="false">H136*H17</f>
        <v>0</v>
      </c>
      <c r="I137" s="24" t="n">
        <f aca="false">I136*I17</f>
        <v>0</v>
      </c>
      <c r="J137" s="14" t="s">
        <v>479</v>
      </c>
    </row>
    <row r="138" customFormat="false" ht="15" hidden="false" customHeight="true" outlineLevel="0" collapsed="false">
      <c r="A138" s="3" t="s">
        <v>480</v>
      </c>
      <c r="B138" s="3" t="s">
        <v>352</v>
      </c>
      <c r="C138" s="13"/>
      <c r="D138" s="26" t="n">
        <v>0.055</v>
      </c>
      <c r="E138" s="26" t="n">
        <v>0.055</v>
      </c>
      <c r="F138" s="26" t="n">
        <v>0.055</v>
      </c>
      <c r="G138" s="26" t="n">
        <v>0.055</v>
      </c>
      <c r="H138" s="26" t="n">
        <v>0.055</v>
      </c>
      <c r="I138" s="26" t="n">
        <v>0.055</v>
      </c>
      <c r="J138" s="14" t="s">
        <v>481</v>
      </c>
    </row>
    <row r="139" customFormat="false" ht="15" hidden="false" customHeight="true" outlineLevel="0" collapsed="false">
      <c r="A139" s="3" t="s">
        <v>482</v>
      </c>
      <c r="B139" s="3" t="s">
        <v>115</v>
      </c>
      <c r="C139" s="13"/>
      <c r="D139" s="24" t="n">
        <f aca="false">D138*D95/2</f>
        <v>19359.970713318</v>
      </c>
      <c r="E139" s="24" t="n">
        <f aca="false">E138*E95</f>
        <v>42194.8682714619</v>
      </c>
      <c r="F139" s="24" t="n">
        <f aca="false">F138*F95</f>
        <v>45466.4001942289</v>
      </c>
      <c r="G139" s="24" t="n">
        <f aca="false">G138*G95</f>
        <v>48591.5348945571</v>
      </c>
      <c r="H139" s="24" t="n">
        <f aca="false">H138*H95</f>
        <v>50782.7023130547</v>
      </c>
      <c r="I139" s="24" t="n">
        <f aca="false">I138*I95</f>
        <v>52765.5619990706</v>
      </c>
      <c r="J139" s="14" t="s">
        <v>483</v>
      </c>
    </row>
    <row r="140" customFormat="false" ht="15" hidden="false" customHeight="true" outlineLevel="0" collapsed="false">
      <c r="A140" s="3" t="s">
        <v>484</v>
      </c>
      <c r="B140" s="3" t="s">
        <v>21</v>
      </c>
      <c r="C140" s="13"/>
      <c r="D140" s="22" t="n">
        <f aca="false">Inputs!C55</f>
        <v>84241</v>
      </c>
      <c r="E140" s="13"/>
      <c r="F140" s="13"/>
      <c r="G140" s="13"/>
      <c r="H140" s="13"/>
      <c r="I140" s="13"/>
      <c r="J140" s="13"/>
    </row>
    <row r="141" customFormat="false" ht="15" hidden="false" customHeight="true" outlineLevel="0" collapsed="false">
      <c r="A141" s="3" t="s">
        <v>485</v>
      </c>
      <c r="B141" s="3" t="s">
        <v>115</v>
      </c>
      <c r="C141" s="13"/>
      <c r="D141" s="13"/>
      <c r="E141" s="24" t="n">
        <f aca="false">$D$84*(2027=$D$85)*$D$86*E16</f>
        <v>0</v>
      </c>
      <c r="F141" s="24" t="n">
        <f aca="false">$D$84*(2028=$D$85)*$D$86*F16</f>
        <v>0</v>
      </c>
      <c r="G141" s="24" t="n">
        <f aca="false">$D$84*(2029=$D$85)*$D$86*G16</f>
        <v>0</v>
      </c>
      <c r="H141" s="24" t="n">
        <f aca="false">$D$84*(2030=$D$85)*$D$86*H16</f>
        <v>0</v>
      </c>
      <c r="I141" s="24" t="n">
        <f aca="false">$D$84*(2031=$D$85)*$D$86*I16</f>
        <v>0</v>
      </c>
      <c r="J141" s="13"/>
    </row>
    <row r="142" customFormat="false" ht="15" hidden="false" customHeight="true" outlineLevel="0" collapsed="false">
      <c r="A142" s="3" t="s">
        <v>486</v>
      </c>
      <c r="B142" s="3" t="s">
        <v>115</v>
      </c>
      <c r="C142" s="13"/>
      <c r="D142" s="24" t="n">
        <f aca="false">N(D137)+N(D139)+N(D140)+N(D141)</f>
        <v>234146.972713318</v>
      </c>
      <c r="E142" s="24" t="n">
        <f aca="false">N(E137)+N(E139)+N(E140)+N(E141)</f>
        <v>290119.338271462</v>
      </c>
      <c r="F142" s="24" t="n">
        <f aca="false">N(F137)+N(F139)+N(F140)+N(F141)</f>
        <v>200864.130194229</v>
      </c>
      <c r="G142" s="24" t="n">
        <f aca="false">N(G137)+N(G139)+N(G140)+N(G141)</f>
        <v>48591.5348945571</v>
      </c>
      <c r="H142" s="24" t="n">
        <f aca="false">N(H137)+N(H139)+N(H140)+N(H141)</f>
        <v>50782.7023130547</v>
      </c>
      <c r="I142" s="24" t="n">
        <f aca="false">N(I137)+N(I139)+N(I140)+N(I141)</f>
        <v>52765.5619990706</v>
      </c>
      <c r="J142" s="13"/>
    </row>
    <row r="143" customFormat="false" ht="15" hidden="false" customHeight="true" outlineLevel="0" collapsed="false">
      <c r="A143" s="3" t="s">
        <v>487</v>
      </c>
      <c r="B143" s="3" t="s">
        <v>21</v>
      </c>
      <c r="C143" s="13"/>
      <c r="D143" s="34" t="n">
        <f aca="false">Inputs!$C$98</f>
        <v>0.4</v>
      </c>
      <c r="E143" s="34" t="n">
        <f aca="false">Inputs!$C$98</f>
        <v>0.4</v>
      </c>
      <c r="F143" s="34" t="n">
        <f aca="false">Inputs!$C$98</f>
        <v>0.4</v>
      </c>
      <c r="G143" s="34" t="n">
        <f aca="false">Inputs!$C$98</f>
        <v>0.4</v>
      </c>
      <c r="H143" s="34" t="n">
        <f aca="false">Inputs!$C$98</f>
        <v>0.4</v>
      </c>
      <c r="I143" s="34" t="n">
        <f aca="false">Inputs!$C$98</f>
        <v>0.4</v>
      </c>
      <c r="J143" s="14" t="s">
        <v>488</v>
      </c>
    </row>
    <row r="144" customFormat="false" ht="15" hidden="false" customHeight="true" outlineLevel="0" collapsed="false">
      <c r="A144" s="3" t="s">
        <v>489</v>
      </c>
      <c r="B144" s="3" t="s">
        <v>115</v>
      </c>
      <c r="C144" s="13"/>
      <c r="D144" s="24" t="n">
        <f aca="false">D143*C119</f>
        <v>147724.8</v>
      </c>
      <c r="E144" s="24" t="n">
        <f aca="false">E143*D119</f>
        <v>152015.526552925</v>
      </c>
      <c r="F144" s="24" t="n">
        <f aca="false">F143*E119</f>
        <v>166196.320193645</v>
      </c>
      <c r="G144" s="24" t="n">
        <f aca="false">G143*F119</f>
        <v>176028.189217448</v>
      </c>
      <c r="H144" s="24" t="n">
        <f aca="false">H143*G119</f>
        <v>185069.634107613</v>
      </c>
      <c r="I144" s="24" t="n">
        <f aca="false">I143*H119</f>
        <v>190806.640708818</v>
      </c>
      <c r="J144" s="14" t="s">
        <v>490</v>
      </c>
    </row>
    <row r="145" customFormat="false" ht="15" hidden="false" customHeight="true" outlineLevel="0" collapsed="false">
      <c r="A145" s="3" t="s">
        <v>491</v>
      </c>
      <c r="B145" s="3" t="s">
        <v>115</v>
      </c>
      <c r="C145" s="22" t="n">
        <f aca="false">Inputs!C63</f>
        <v>1311024</v>
      </c>
      <c r="D145" s="24" t="n">
        <f aca="false">C145-D112+D142+D144+D118</f>
        <v>1307959.32569484</v>
      </c>
      <c r="E145" s="24" t="n">
        <f aca="false">D145-E112+E142+E144+E118</f>
        <v>1329376.33861039</v>
      </c>
      <c r="F145" s="24" t="n">
        <f aca="false">E145-F112+F142+F144+F118</f>
        <v>1250882.43509832</v>
      </c>
      <c r="G145" s="24" t="n">
        <f aca="false">F145-G112+G142+G144+G118</f>
        <v>1007107.11473375</v>
      </c>
      <c r="H145" s="24" t="n">
        <f aca="false">G145-H112+H142+H144+H118</f>
        <v>760123.999037042</v>
      </c>
      <c r="I145" s="24" t="n">
        <f aca="false">H145-I112+I142+I144+I118</f>
        <v>488526.085583395</v>
      </c>
      <c r="J145" s="14" t="s">
        <v>492</v>
      </c>
    </row>
    <row r="146" customFormat="false" ht="15" hidden="false" customHeight="true" outlineLevel="0" collapsed="false">
      <c r="A146" s="3" t="s">
        <v>493</v>
      </c>
      <c r="B146" s="3" t="s">
        <v>115</v>
      </c>
      <c r="C146" s="35" t="n">
        <f aca="false">C145/C104</f>
        <v>2.49136115904133</v>
      </c>
      <c r="D146" s="35" t="n">
        <f aca="false">D145/D104</f>
        <v>2.33016823336743</v>
      </c>
      <c r="E146" s="35" t="n">
        <f aca="false">E145/E104</f>
        <v>2.17445622099854</v>
      </c>
      <c r="F146" s="35" t="n">
        <f aca="false">F145/F104</f>
        <v>1.89769073676883</v>
      </c>
      <c r="G146" s="35" t="n">
        <f aca="false">G145/G104</f>
        <v>1.42916027286145</v>
      </c>
      <c r="H146" s="35" t="n">
        <f aca="false">H145/H104</f>
        <v>1.03218871897992</v>
      </c>
      <c r="I146" s="35" t="n">
        <f aca="false">I145/I104</f>
        <v>0.638522670004427</v>
      </c>
      <c r="J146" s="13"/>
    </row>
    <row r="147" customFormat="false" ht="15" hidden="false" customHeight="true" outlineLevel="0" collapsed="false">
      <c r="A147" s="3" t="s">
        <v>494</v>
      </c>
      <c r="B147" s="3" t="s">
        <v>115</v>
      </c>
      <c r="C147" s="13"/>
      <c r="D147" s="34" t="n">
        <f aca="false">E7_WACC!$B$33*D6+E7_WACC!$C$33*D7+E7_WACC!$D$33*D8</f>
        <v>0.0389626347333241</v>
      </c>
      <c r="E147" s="34" t="n">
        <f aca="false">E7_WACC!$B$33*E6+E7_WACC!$C$33*E7+E7_WACC!$D$33*E8</f>
        <v>0.0326505173185076</v>
      </c>
      <c r="F147" s="34" t="n">
        <f aca="false">E7_WACC!$B$33*F6+E7_WACC!$C$33*F7+E7_WACC!$D$33*F8</f>
        <v>0.029796207425364</v>
      </c>
      <c r="G147" s="34" t="n">
        <f aca="false">E7_WACC!$B$33*G6+E7_WACC!$C$33*G7+E7_WACC!$D$33*G8</f>
        <v>0.0286248185657356</v>
      </c>
      <c r="H147" s="34" t="n">
        <f aca="false">E7_WACC!$B$33*H6+E7_WACC!$C$33*H7+E7_WACC!$D$33*H8</f>
        <v>0.028236495887034</v>
      </c>
      <c r="I147" s="34" t="n">
        <f aca="false">E7_WACC!$B$33*I6+E7_WACC!$C$33*I7+E7_WACC!$D$33*I8</f>
        <v>0.028236495887034</v>
      </c>
      <c r="J147" s="14" t="s">
        <v>495</v>
      </c>
    </row>
    <row r="148" customFormat="false" ht="15" hidden="false" customHeight="true" outlineLevel="0" collapsed="false">
      <c r="A148" s="3" t="s">
        <v>496</v>
      </c>
      <c r="B148" s="3" t="s">
        <v>387</v>
      </c>
      <c r="C148" s="22" t="n">
        <f aca="false">Inputs!C68</f>
        <v>1447136</v>
      </c>
      <c r="D148" s="22" t="n">
        <f aca="false">216606+Inputs!C67*D147/2</f>
        <v>359010.7285</v>
      </c>
      <c r="E148" s="24" t="n">
        <f aca="false">D151*E147</f>
        <v>246675.889305443</v>
      </c>
      <c r="F148" s="24" t="n">
        <f aca="false">E151*F147</f>
        <v>241105.932397624</v>
      </c>
      <c r="G148" s="24" t="n">
        <f aca="false">F151*G147</f>
        <v>244278.562304044</v>
      </c>
      <c r="H148" s="24" t="n">
        <f aca="false">G151*H147</f>
        <v>249234.318361902</v>
      </c>
      <c r="I148" s="24" t="n">
        <f aca="false">H151*I147</f>
        <v>257705.747732231</v>
      </c>
      <c r="J148" s="14" t="s">
        <v>497</v>
      </c>
    </row>
    <row r="149" customFormat="false" ht="15" hidden="false" customHeight="true" outlineLevel="0" collapsed="false">
      <c r="A149" s="3" t="s">
        <v>498</v>
      </c>
      <c r="B149" s="3" t="s">
        <v>352</v>
      </c>
      <c r="C149" s="13"/>
      <c r="D149" s="16" t="n">
        <v>0.27</v>
      </c>
      <c r="E149" s="16" t="n">
        <v>0.27</v>
      </c>
      <c r="F149" s="16" t="n">
        <v>0.27</v>
      </c>
      <c r="G149" s="16" t="n">
        <v>0.27</v>
      </c>
      <c r="H149" s="16" t="n">
        <v>0.27</v>
      </c>
      <c r="I149" s="16" t="n">
        <v>0.27</v>
      </c>
      <c r="J149" s="14" t="s">
        <v>499</v>
      </c>
    </row>
    <row r="150" customFormat="false" ht="15" hidden="false" customHeight="true" outlineLevel="0" collapsed="false">
      <c r="A150" s="3" t="s">
        <v>500</v>
      </c>
      <c r="B150" s="3" t="s">
        <v>115</v>
      </c>
      <c r="C150" s="13"/>
      <c r="D150" s="24" t="n">
        <f aca="false">D148*(1-D149)*(1-D113)</f>
        <v>259116.352305603</v>
      </c>
      <c r="E150" s="24" t="n">
        <f aca="false">E148*(1-E149)*(1-E113)</f>
        <v>178038.569782093</v>
      </c>
      <c r="F150" s="24" t="n">
        <f aca="false">F148*(1-F149)*(1-F113)</f>
        <v>174018.447813918</v>
      </c>
      <c r="G150" s="24" t="n">
        <f aca="false">G148*(1-G149)*(1-G113)</f>
        <v>176308.296621506</v>
      </c>
      <c r="H150" s="24" t="n">
        <f aca="false">H148*(1-H149)*(1-H113)</f>
        <v>179885.118512021</v>
      </c>
      <c r="I150" s="24" t="n">
        <f aca="false">I148*(1-I149)*(1-I113)</f>
        <v>185999.381131485</v>
      </c>
      <c r="J150" s="13"/>
    </row>
    <row r="151" customFormat="false" ht="15" hidden="false" customHeight="true" outlineLevel="0" collapsed="false">
      <c r="A151" s="3" t="s">
        <v>501</v>
      </c>
      <c r="B151" s="3" t="s">
        <v>115</v>
      </c>
      <c r="C151" s="22" t="n">
        <f aca="false">Inputs!C66</f>
        <v>6961880</v>
      </c>
      <c r="D151" s="24" t="n">
        <f aca="false">C151+D148+D142</f>
        <v>7555037.70121332</v>
      </c>
      <c r="E151" s="24" t="n">
        <f aca="false">D151+E148+E142</f>
        <v>8091832.92879022</v>
      </c>
      <c r="F151" s="24" t="n">
        <f aca="false">E151+F148+F142</f>
        <v>8533802.99138208</v>
      </c>
      <c r="G151" s="24" t="n">
        <f aca="false">F151+G148+G142</f>
        <v>8826673.08858068</v>
      </c>
      <c r="H151" s="24" t="n">
        <f aca="false">G151+H148+H142</f>
        <v>9126690.10925564</v>
      </c>
      <c r="I151" s="24" t="n">
        <f aca="false">H151+I148+I142</f>
        <v>9437161.41898694</v>
      </c>
      <c r="J151" s="14" t="s">
        <v>502</v>
      </c>
    </row>
    <row r="152" customFormat="false" ht="15" hidden="false" customHeight="true" outlineLevel="0" collapsed="false">
      <c r="A152" s="3" t="s">
        <v>503</v>
      </c>
      <c r="B152" s="3" t="s">
        <v>424</v>
      </c>
      <c r="C152" s="13"/>
      <c r="D152" s="6" t="n">
        <v>675891</v>
      </c>
      <c r="E152" s="6" t="n">
        <v>675891</v>
      </c>
      <c r="F152" s="6" t="n">
        <v>675891</v>
      </c>
      <c r="G152" s="6" t="n">
        <v>675891</v>
      </c>
      <c r="H152" s="6" t="n">
        <v>675891</v>
      </c>
      <c r="I152" s="6" t="n">
        <v>675891</v>
      </c>
      <c r="J152" s="14" t="s">
        <v>504</v>
      </c>
    </row>
    <row r="153" customFormat="false" ht="15" hidden="false" customHeight="true" outlineLevel="0" collapsed="false">
      <c r="A153" s="3" t="s">
        <v>505</v>
      </c>
      <c r="B153" s="3" t="s">
        <v>115</v>
      </c>
      <c r="C153" s="22" t="n">
        <f aca="false">Inputs!C25</f>
        <v>7583643</v>
      </c>
      <c r="D153" s="24" t="n">
        <f aca="false">D151+D152</f>
        <v>8230928.70121332</v>
      </c>
      <c r="E153" s="24" t="n">
        <f aca="false">E151+E152</f>
        <v>8767723.92879022</v>
      </c>
      <c r="F153" s="24" t="n">
        <f aca="false">F151+F152</f>
        <v>9209693.99138208</v>
      </c>
      <c r="G153" s="24" t="n">
        <f aca="false">G151+G152</f>
        <v>9502564.08858068</v>
      </c>
      <c r="H153" s="24" t="n">
        <f aca="false">H151+H152</f>
        <v>9802581.10925564</v>
      </c>
      <c r="I153" s="24" t="n">
        <f aca="false">I151+I152</f>
        <v>10113052.4189869</v>
      </c>
      <c r="J153" s="13"/>
    </row>
    <row r="154" customFormat="false" ht="15" hidden="false" customHeight="true" outlineLevel="0" collapsed="false">
      <c r="A154" s="3" t="s">
        <v>506</v>
      </c>
      <c r="B154" s="3" t="s">
        <v>115</v>
      </c>
      <c r="C154" s="23" t="n">
        <f aca="false">C145/C151</f>
        <v>0.188314650640344</v>
      </c>
      <c r="D154" s="23" t="n">
        <f aca="false">D145/D151</f>
        <v>0.173124129544024</v>
      </c>
      <c r="E154" s="23" t="n">
        <f aca="false">E145/E151</f>
        <v>0.16428618216777</v>
      </c>
      <c r="F154" s="23" t="n">
        <f aca="false">F145/F151</f>
        <v>0.146579717900862</v>
      </c>
      <c r="G154" s="23" t="n">
        <f aca="false">G145/G151</f>
        <v>0.114098155061013</v>
      </c>
      <c r="H154" s="23" t="n">
        <f aca="false">H145/H151</f>
        <v>0.0832858341783927</v>
      </c>
      <c r="I154" s="23" t="n">
        <f aca="false">I145/I151</f>
        <v>0.0517662106108001</v>
      </c>
      <c r="J154" s="13"/>
    </row>
    <row r="155" customFormat="false" ht="15" hidden="false" customHeight="true" outlineLevel="0" collapsed="false">
      <c r="A155" s="3" t="s">
        <v>507</v>
      </c>
      <c r="B155" s="3" t="s">
        <v>115</v>
      </c>
      <c r="C155" s="13"/>
      <c r="D155" s="24" t="n">
        <f aca="false">D119+D150</f>
        <v>639155.168687916</v>
      </c>
      <c r="E155" s="24" t="n">
        <f aca="false">E119+E150</f>
        <v>593529.370266205</v>
      </c>
      <c r="F155" s="24" t="n">
        <f aca="false">F119+F150</f>
        <v>614088.920857538</v>
      </c>
      <c r="G155" s="24" t="n">
        <f aca="false">G119+G150</f>
        <v>638982.381890538</v>
      </c>
      <c r="H155" s="24" t="n">
        <f aca="false">H119+H150</f>
        <v>656901.720284066</v>
      </c>
      <c r="I155" s="24" t="n">
        <f aca="false">I119+I150</f>
        <v>695051.409792204</v>
      </c>
      <c r="J155" s="13"/>
    </row>
    <row r="156" customFormat="false" ht="15" hidden="false" customHeight="true" outlineLevel="0" collapsed="false">
      <c r="A156" s="3" t="s">
        <v>508</v>
      </c>
      <c r="B156" s="3" t="s">
        <v>115</v>
      </c>
      <c r="C156" s="13"/>
      <c r="D156" s="31" t="n">
        <f aca="false">D155/Inputs!$C$125</f>
        <v>291.851675199962</v>
      </c>
      <c r="E156" s="31" t="n">
        <f aca="false">E155/Inputs!$C$125</f>
        <v>271.017977290505</v>
      </c>
      <c r="F156" s="31" t="n">
        <f aca="false">F155/Inputs!$C$125</f>
        <v>280.405899934949</v>
      </c>
      <c r="G156" s="31" t="n">
        <f aca="false">G155/Inputs!$C$125</f>
        <v>291.772777118967</v>
      </c>
      <c r="H156" s="31" t="n">
        <f aca="false">H155/Inputs!$C$125</f>
        <v>299.955123417382</v>
      </c>
      <c r="I156" s="31" t="n">
        <f aca="false">I155/Inputs!$C$125</f>
        <v>317.375072964477</v>
      </c>
      <c r="J156" s="13"/>
    </row>
    <row r="157" customFormat="false" ht="15" hidden="false" customHeight="true" outlineLevel="0" collapsed="false">
      <c r="A157" s="3" t="s">
        <v>509</v>
      </c>
      <c r="B157" s="3" t="s">
        <v>115</v>
      </c>
      <c r="C157" s="13"/>
      <c r="D157" s="23" t="n">
        <f aca="false">D156/D120-1</f>
        <v>0.363984087488721</v>
      </c>
      <c r="E157" s="23" t="n">
        <f aca="false">E156/E120-1</f>
        <v>0.242745677230855</v>
      </c>
      <c r="F157" s="13"/>
      <c r="G157" s="13"/>
      <c r="H157" s="13"/>
      <c r="I157" s="13"/>
      <c r="J157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7" min="2" style="1" width="13"/>
  </cols>
  <sheetData>
    <row r="1" customFormat="false" ht="15" hidden="false" customHeight="true" outlineLevel="0" collapsed="false">
      <c r="A1" s="2" t="s">
        <v>510</v>
      </c>
    </row>
    <row r="2" customFormat="false" ht="15" hidden="false" customHeight="true" outlineLevel="0" collapsed="false">
      <c r="A2" s="36" t="s">
        <v>511</v>
      </c>
    </row>
    <row r="4" customFormat="false" ht="15" hidden="false" customHeight="true" outlineLevel="0" collapsed="false">
      <c r="A4" s="5" t="s">
        <v>512</v>
      </c>
      <c r="B4" s="5" t="s">
        <v>305</v>
      </c>
      <c r="C4" s="5" t="s">
        <v>306</v>
      </c>
      <c r="D4" s="5" t="s">
        <v>307</v>
      </c>
      <c r="E4" s="5" t="s">
        <v>308</v>
      </c>
      <c r="F4" s="5" t="s">
        <v>309</v>
      </c>
      <c r="G4" s="5" t="s">
        <v>310</v>
      </c>
    </row>
    <row r="5" customFormat="false" ht="15" hidden="false" customHeight="true" outlineLevel="0" collapsed="false">
      <c r="A5" s="3" t="s">
        <v>18</v>
      </c>
      <c r="B5" s="22" t="n">
        <f aca="false">Forecast!D95</f>
        <v>703998.935029744</v>
      </c>
      <c r="C5" s="22" t="n">
        <f aca="false">Forecast!E95</f>
        <v>767179.42311749</v>
      </c>
      <c r="D5" s="22" t="n">
        <f aca="false">Forecast!F95</f>
        <v>826661.821713252</v>
      </c>
      <c r="E5" s="22" t="n">
        <f aca="false">Forecast!G95</f>
        <v>883482.452628312</v>
      </c>
      <c r="F5" s="22" t="n">
        <f aca="false">Forecast!H95</f>
        <v>923321.860237358</v>
      </c>
      <c r="G5" s="22" t="n">
        <f aca="false">Forecast!I95</f>
        <v>959373.854528556</v>
      </c>
    </row>
    <row r="6" customFormat="false" ht="15" hidden="false" customHeight="true" outlineLevel="0" collapsed="false">
      <c r="A6" s="3" t="s">
        <v>36</v>
      </c>
      <c r="B6" s="22" t="n">
        <f aca="false">Forecast!D104</f>
        <v>561315.405027496</v>
      </c>
      <c r="C6" s="22" t="n">
        <f aca="false">Forecast!E104</f>
        <v>611360.360246719</v>
      </c>
      <c r="D6" s="22" t="n">
        <f aca="false">Forecast!F104</f>
        <v>659160.320942588</v>
      </c>
      <c r="E6" s="22" t="n">
        <f aca="false">Forecast!G104</f>
        <v>704684.515696292</v>
      </c>
      <c r="F6" s="22" t="n">
        <f aca="false">Forecast!H104</f>
        <v>736419.595622249</v>
      </c>
      <c r="G6" s="22" t="n">
        <f aca="false">Forecast!I104</f>
        <v>765088.08305899</v>
      </c>
    </row>
    <row r="7" customFormat="false" ht="15" hidden="false" customHeight="true" outlineLevel="0" collapsed="false">
      <c r="A7" s="3" t="s">
        <v>513</v>
      </c>
      <c r="B7" s="22" t="n">
        <f aca="false">Forecast!D114</f>
        <v>428521.009732312</v>
      </c>
      <c r="C7" s="22" t="n">
        <f aca="false">Forecast!E114</f>
        <v>457343.871117678</v>
      </c>
      <c r="D7" s="22" t="n">
        <f aca="false">Forecast!F114</f>
        <v>479815.309968687</v>
      </c>
      <c r="E7" s="22" t="n">
        <f aca="false">Forecast!G114</f>
        <v>500558.616680862</v>
      </c>
      <c r="F7" s="22" t="n">
        <f aca="false">Forecast!H114</f>
        <v>509123.658091235</v>
      </c>
      <c r="G7" s="22" t="n">
        <f aca="false">Forecast!I114</f>
        <v>535305.585137896</v>
      </c>
    </row>
    <row r="8" customFormat="false" ht="15" hidden="false" customHeight="true" outlineLevel="0" collapsed="false">
      <c r="A8" s="3" t="s">
        <v>514</v>
      </c>
      <c r="B8" s="22" t="n">
        <f aca="false">Forecast!D119</f>
        <v>380038.816382312</v>
      </c>
      <c r="C8" s="22" t="n">
        <f aca="false">Forecast!E119</f>
        <v>415490.800484112</v>
      </c>
      <c r="D8" s="22" t="n">
        <f aca="false">Forecast!F119</f>
        <v>440070.47304362</v>
      </c>
      <c r="E8" s="22" t="n">
        <f aca="false">Forecast!G119</f>
        <v>462674.085269032</v>
      </c>
      <c r="F8" s="22" t="n">
        <f aca="false">Forecast!H119</f>
        <v>477016.601772045</v>
      </c>
      <c r="G8" s="22" t="n">
        <f aca="false">Forecast!I119</f>
        <v>509052.028660718</v>
      </c>
    </row>
    <row r="9" customFormat="false" ht="15" hidden="false" customHeight="true" outlineLevel="0" collapsed="false">
      <c r="A9" s="3" t="s">
        <v>515</v>
      </c>
      <c r="B9" s="22" t="n">
        <f aca="false">Forecast!D150</f>
        <v>259116.352305603</v>
      </c>
      <c r="C9" s="22" t="n">
        <f aca="false">Forecast!E150</f>
        <v>178038.569782093</v>
      </c>
      <c r="D9" s="22" t="n">
        <f aca="false">Forecast!F150</f>
        <v>174018.447813918</v>
      </c>
      <c r="E9" s="22" t="n">
        <f aca="false">Forecast!G150</f>
        <v>176308.296621506</v>
      </c>
      <c r="F9" s="22" t="n">
        <f aca="false">Forecast!H150</f>
        <v>179885.118512021</v>
      </c>
      <c r="G9" s="22" t="n">
        <f aca="false">Forecast!I150</f>
        <v>185999.381131485</v>
      </c>
    </row>
    <row r="10" customFormat="false" ht="15" hidden="false" customHeight="true" outlineLevel="0" collapsed="false">
      <c r="A10" s="3" t="s">
        <v>505</v>
      </c>
      <c r="B10" s="22" t="n">
        <f aca="false">Forecast!D153</f>
        <v>8230928.70121332</v>
      </c>
      <c r="C10" s="22" t="n">
        <f aca="false">Forecast!E153</f>
        <v>8767723.92879022</v>
      </c>
      <c r="D10" s="22" t="n">
        <f aca="false">Forecast!F153</f>
        <v>9209693.99138208</v>
      </c>
      <c r="E10" s="22" t="n">
        <f aca="false">Forecast!G153</f>
        <v>9502564.08858068</v>
      </c>
      <c r="F10" s="22" t="n">
        <f aca="false">Forecast!H153</f>
        <v>9802581.10925564</v>
      </c>
      <c r="G10" s="22" t="n">
        <f aca="false">Forecast!I153</f>
        <v>10113052.4189869</v>
      </c>
    </row>
    <row r="11" customFormat="false" ht="15" hidden="false" customHeight="true" outlineLevel="0" collapsed="false">
      <c r="A11" s="3" t="s">
        <v>516</v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</row>
    <row r="13" customFormat="false" ht="45" hidden="false" customHeight="true" outlineLevel="0" collapsed="false">
      <c r="A13" s="37" t="s">
        <v>517</v>
      </c>
    </row>
    <row r="14" customFormat="false" ht="30" hidden="false" customHeight="true" outlineLevel="0" collapsed="false">
      <c r="A14" s="37" t="s">
        <v>518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29" activePane="bottomRight" state="frozen"/>
      <selection pane="topLeft" activeCell="A1" activeCellId="0" sqref="A1"/>
      <selection pane="topRight" activeCell="C1" activeCellId="0" sqref="C1"/>
      <selection pane="bottomLeft" activeCell="A29" activeCellId="0" sqref="A29"/>
      <selection pane="bottomRight" activeCell="A21" activeCellId="0" sqref="A2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60"/>
    <col collapsed="false" customWidth="true" hidden="false" outlineLevel="0" max="9" min="2" style="1" width="12"/>
    <col collapsed="false" customWidth="true" hidden="false" outlineLevel="0" max="10" min="10" style="1" width="80"/>
  </cols>
  <sheetData>
    <row r="1" customFormat="false" ht="15" hidden="false" customHeight="true" outlineLevel="0" collapsed="false">
      <c r="A1" s="2" t="s">
        <v>519</v>
      </c>
    </row>
    <row r="2" customFormat="false" ht="15" hidden="false" customHeight="true" outlineLevel="0" collapsed="false">
      <c r="A2" s="38" t="s">
        <v>520</v>
      </c>
    </row>
    <row r="3" customFormat="false" ht="15" hidden="false" customHeight="true" outlineLevel="0" collapsed="false">
      <c r="A3" s="38" t="s">
        <v>521</v>
      </c>
    </row>
    <row r="5" customFormat="false" ht="15" hidden="false" customHeight="true" outlineLevel="0" collapsed="false">
      <c r="A5" s="5" t="s">
        <v>522</v>
      </c>
    </row>
    <row r="6" customFormat="false" ht="15" hidden="false" customHeight="true" outlineLevel="0" collapsed="false">
      <c r="A6" s="3" t="s">
        <v>523</v>
      </c>
      <c r="C6" s="39"/>
      <c r="J6" s="38" t="s">
        <v>524</v>
      </c>
    </row>
    <row r="7" customFormat="false" ht="15" hidden="false" customHeight="true" outlineLevel="0" collapsed="false">
      <c r="A7" s="3" t="s">
        <v>525</v>
      </c>
      <c r="C7" s="39"/>
      <c r="J7" s="38" t="s">
        <v>526</v>
      </c>
    </row>
    <row r="8" customFormat="false" ht="15" hidden="false" customHeight="true" outlineLevel="0" collapsed="false">
      <c r="A8" s="3" t="s">
        <v>527</v>
      </c>
      <c r="C8" s="39"/>
      <c r="J8" s="38" t="s">
        <v>528</v>
      </c>
    </row>
    <row r="9" customFormat="false" ht="15" hidden="false" customHeight="true" outlineLevel="0" collapsed="false">
      <c r="A9" s="3" t="s">
        <v>529</v>
      </c>
      <c r="C9" s="39"/>
      <c r="J9" s="38" t="s">
        <v>530</v>
      </c>
    </row>
    <row r="10" customFormat="false" ht="15" hidden="false" customHeight="true" outlineLevel="0" collapsed="false">
      <c r="A10" s="3" t="s">
        <v>531</v>
      </c>
      <c r="C10" s="40" t="n">
        <f aca="false">IF(C8="",C6,C8)</f>
        <v>0</v>
      </c>
    </row>
    <row r="11" customFormat="false" ht="15" hidden="false" customHeight="true" outlineLevel="0" collapsed="false">
      <c r="A11" s="3" t="s">
        <v>532</v>
      </c>
      <c r="C11" s="22" t="n">
        <f aca="false">Inputs!C64</f>
        <v>1285740</v>
      </c>
      <c r="J11" s="1" t="s">
        <v>533</v>
      </c>
    </row>
    <row r="12" customFormat="false" ht="15" hidden="false" customHeight="true" outlineLevel="0" collapsed="false">
      <c r="A12" s="3" t="s">
        <v>534</v>
      </c>
      <c r="C12" s="6" t="n">
        <v>50841</v>
      </c>
      <c r="J12" s="1" t="s">
        <v>535</v>
      </c>
    </row>
    <row r="13" customFormat="false" ht="15" hidden="false" customHeight="true" outlineLevel="0" collapsed="false">
      <c r="A13" s="3" t="s">
        <v>536</v>
      </c>
      <c r="C13" s="22" t="n">
        <f aca="false">Inputs!C125</f>
        <v>2190</v>
      </c>
    </row>
    <row r="14" customFormat="false" ht="15" hidden="false" customHeight="true" outlineLevel="0" collapsed="false">
      <c r="A14" s="3" t="s">
        <v>537</v>
      </c>
      <c r="C14" s="6" t="n">
        <v>3642</v>
      </c>
      <c r="J14" s="1" t="s">
        <v>538</v>
      </c>
    </row>
    <row r="15" customFormat="false" ht="15" hidden="false" customHeight="true" outlineLevel="0" collapsed="false">
      <c r="A15" s="3" t="s">
        <v>539</v>
      </c>
      <c r="C15" s="6" t="n">
        <v>270573</v>
      </c>
      <c r="J15" s="1" t="s">
        <v>540</v>
      </c>
    </row>
    <row r="17" customFormat="false" ht="15" hidden="false" customHeight="true" outlineLevel="0" collapsed="false">
      <c r="A17" s="5" t="s">
        <v>541</v>
      </c>
      <c r="C17" s="15" t="s">
        <v>336</v>
      </c>
      <c r="D17" s="15" t="s">
        <v>306</v>
      </c>
      <c r="E17" s="15" t="s">
        <v>307</v>
      </c>
      <c r="F17" s="15" t="s">
        <v>308</v>
      </c>
      <c r="G17" s="15" t="s">
        <v>309</v>
      </c>
      <c r="H17" s="15" t="s">
        <v>310</v>
      </c>
      <c r="J17" s="5" t="s">
        <v>311</v>
      </c>
    </row>
    <row r="18" customFormat="false" ht="15" hidden="false" customHeight="true" outlineLevel="0" collapsed="false">
      <c r="A18" s="3" t="s">
        <v>542</v>
      </c>
      <c r="C18" s="22" t="n">
        <f aca="false">Forecast!D104-$C$15</f>
        <v>290742.405027495</v>
      </c>
      <c r="D18" s="22" t="n">
        <f aca="false">Forecast!E104</f>
        <v>611360.360246719</v>
      </c>
      <c r="E18" s="22" t="n">
        <f aca="false">Forecast!F104</f>
        <v>659160.320942588</v>
      </c>
      <c r="F18" s="22" t="n">
        <f aca="false">Forecast!G104</f>
        <v>704684.515696292</v>
      </c>
      <c r="G18" s="22" t="n">
        <f aca="false">Forecast!H104</f>
        <v>736419.595622249</v>
      </c>
      <c r="H18" s="22" t="n">
        <f aca="false">Forecast!I104</f>
        <v>765088.08305899</v>
      </c>
      <c r="J18" s="38" t="s">
        <v>543</v>
      </c>
    </row>
    <row r="19" customFormat="false" ht="15" hidden="false" customHeight="true" outlineLevel="0" collapsed="false">
      <c r="A19" s="3" t="s">
        <v>544</v>
      </c>
      <c r="C19" s="22" t="n">
        <f aca="false">-Forecast!D110*C18</f>
        <v>-48844.7240446192</v>
      </c>
      <c r="D19" s="22" t="n">
        <f aca="false">-Forecast!E110*D18</f>
        <v>-116158.468446877</v>
      </c>
      <c r="E19" s="22" t="n">
        <f aca="false">-Forecast!F110*E18</f>
        <v>-141719.469002656</v>
      </c>
      <c r="F19" s="22" t="n">
        <f aca="false">-Forecast!G110*F18</f>
        <v>-169124.28376711</v>
      </c>
      <c r="G19" s="22" t="n">
        <f aca="false">-Forecast!H110*G18</f>
        <v>-198833.290818007</v>
      </c>
      <c r="H19" s="22" t="n">
        <f aca="false">-Forecast!I110*H18</f>
        <v>-206573.782425927</v>
      </c>
      <c r="J19" s="38" t="s">
        <v>545</v>
      </c>
    </row>
    <row r="20" customFormat="false" ht="15" hidden="false" customHeight="true" outlineLevel="0" collapsed="false">
      <c r="A20" s="3" t="s">
        <v>136</v>
      </c>
      <c r="C20" s="22" t="n">
        <f aca="false">-(Forecast!D137+Forecast!D139)</f>
        <v>-149905.972713318</v>
      </c>
      <c r="D20" s="22" t="n">
        <f aca="false">-Forecast!E142</f>
        <v>-290119.338271462</v>
      </c>
      <c r="E20" s="22" t="n">
        <f aca="false">-Forecast!F142</f>
        <v>-200864.130194229</v>
      </c>
      <c r="F20" s="22" t="n">
        <f aca="false">-Forecast!G142</f>
        <v>-48591.5348945571</v>
      </c>
      <c r="G20" s="22" t="n">
        <f aca="false">-Forecast!H142</f>
        <v>-50782.7023130547</v>
      </c>
      <c r="H20" s="22" t="n">
        <f aca="false">-Forecast!I142</f>
        <v>-52765.5619990706</v>
      </c>
      <c r="J20" s="38" t="s">
        <v>546</v>
      </c>
    </row>
    <row r="21" customFormat="false" ht="15" hidden="false" customHeight="true" outlineLevel="0" collapsed="false">
      <c r="A21" s="3" t="s">
        <v>547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J21" s="38" t="s">
        <v>548</v>
      </c>
    </row>
    <row r="22" customFormat="false" ht="15" hidden="false" customHeight="true" outlineLevel="0" collapsed="false">
      <c r="A22" s="28" t="s">
        <v>549</v>
      </c>
      <c r="C22" s="30" t="n">
        <f aca="false">SUM(C18:C21)</f>
        <v>91991.7082695583</v>
      </c>
      <c r="D22" s="30" t="n">
        <f aca="false">SUM(D18:D21)</f>
        <v>205082.55352838</v>
      </c>
      <c r="E22" s="30" t="n">
        <f aca="false">SUM(E18:E21)</f>
        <v>316576.721745702</v>
      </c>
      <c r="F22" s="30" t="n">
        <f aca="false">SUM(F18:F21)</f>
        <v>486968.697034625</v>
      </c>
      <c r="G22" s="30" t="n">
        <f aca="false">SUM(G18:G21)</f>
        <v>486803.602491187</v>
      </c>
      <c r="H22" s="30" t="n">
        <f aca="false">SUM(H18:H21)</f>
        <v>505748.738633992</v>
      </c>
      <c r="J22" s="38"/>
    </row>
    <row r="23" customFormat="false" ht="15" hidden="false" customHeight="true" outlineLevel="0" collapsed="false">
      <c r="A23" s="3" t="s">
        <v>550</v>
      </c>
      <c r="C23" s="41" t="n">
        <v>0.25</v>
      </c>
      <c r="D23" s="41" t="n">
        <v>1</v>
      </c>
      <c r="E23" s="41" t="n">
        <v>2</v>
      </c>
      <c r="F23" s="41" t="n">
        <v>3</v>
      </c>
      <c r="G23" s="41" t="n">
        <v>4</v>
      </c>
      <c r="H23" s="41" t="n">
        <v>5</v>
      </c>
      <c r="J23" s="38" t="s">
        <v>551</v>
      </c>
    </row>
    <row r="24" customFormat="false" ht="15" hidden="false" customHeight="true" outlineLevel="0" collapsed="false">
      <c r="A24" s="3" t="s">
        <v>552</v>
      </c>
      <c r="C24" s="19" t="str">
        <f aca="false">IF($C$6="","",1/(1+$C$6)^C23)</f>
        <v/>
      </c>
      <c r="D24" s="19" t="str">
        <f aca="false">IF($C$6="","",1/(1+$C$6)^D23)</f>
        <v/>
      </c>
      <c r="E24" s="19" t="str">
        <f aca="false">IF($C$6="","",1/(1+$C$6)^E23)</f>
        <v/>
      </c>
      <c r="F24" s="19" t="str">
        <f aca="false">IF($C$6="","",1/(1+$C$6)^F23)</f>
        <v/>
      </c>
      <c r="G24" s="19" t="str">
        <f aca="false">IF($C$6="","",1/(1+$C$6)^G23)</f>
        <v/>
      </c>
      <c r="H24" s="19" t="str">
        <f aca="false">IF($C$6="","",1/(1+$C$6)^H23)</f>
        <v/>
      </c>
      <c r="J24" s="38"/>
    </row>
    <row r="25" customFormat="false" ht="15" hidden="false" customHeight="true" outlineLevel="0" collapsed="false">
      <c r="A25" s="3" t="s">
        <v>553</v>
      </c>
      <c r="C25" s="24" t="str">
        <f aca="false">IF($C$6="","",C22*C24)</f>
        <v/>
      </c>
      <c r="D25" s="24" t="str">
        <f aca="false">IF($C$6="","",D22*D24)</f>
        <v/>
      </c>
      <c r="E25" s="24" t="str">
        <f aca="false">IF($C$6="","",E22*E24)</f>
        <v/>
      </c>
      <c r="F25" s="24" t="str">
        <f aca="false">IF($C$6="","",F22*F24)</f>
        <v/>
      </c>
      <c r="G25" s="24" t="str">
        <f aca="false">IF($C$6="","",G22*G24)</f>
        <v/>
      </c>
      <c r="H25" s="24" t="str">
        <f aca="false">IF($C$6="","",H22*H24)</f>
        <v/>
      </c>
      <c r="J25" s="38"/>
    </row>
    <row r="27" customFormat="false" ht="15" hidden="false" customHeight="true" outlineLevel="0" collapsed="false">
      <c r="A27" s="5" t="s">
        <v>554</v>
      </c>
      <c r="C27" s="15" t="s">
        <v>555</v>
      </c>
      <c r="D27" s="15" t="s">
        <v>556</v>
      </c>
    </row>
    <row r="28" customFormat="false" ht="15" hidden="false" customHeight="true" outlineLevel="0" collapsed="false">
      <c r="A28" s="3" t="s">
        <v>557</v>
      </c>
      <c r="C28" s="22" t="str">
        <f aca="false">IF($C$7="","",H18*(1+$C$7)*(1-Forecast!I110))</f>
        <v/>
      </c>
      <c r="J28" s="38" t="s">
        <v>558</v>
      </c>
    </row>
    <row r="29" customFormat="false" ht="15" hidden="false" customHeight="true" outlineLevel="0" collapsed="false">
      <c r="A29" s="3" t="s">
        <v>559</v>
      </c>
      <c r="C29" s="23" t="str">
        <f aca="false">IF(OR($C$6="",$C$7=""),"",MAX(0,$C$7-Forecast!$I$6)/$C$10)</f>
        <v/>
      </c>
      <c r="J29" s="38" t="s">
        <v>560</v>
      </c>
    </row>
    <row r="30" customFormat="false" ht="15" hidden="false" customHeight="true" outlineLevel="0" collapsed="false">
      <c r="A30" s="3" t="s">
        <v>561</v>
      </c>
      <c r="C30" s="24" t="str">
        <f aca="false">IF(OR($C$6="",$C$7=""),"",C28*(1-C29)/($C$6-$C$7))</f>
        <v/>
      </c>
      <c r="D30" s="24" t="str">
        <f aca="false">IF(OR($C$7="",$C$9=""),"",H18*(1+$C$7)/$C$9)</f>
        <v/>
      </c>
      <c r="J30" s="38" t="s">
        <v>562</v>
      </c>
    </row>
    <row r="31" customFormat="false" ht="15" hidden="false" customHeight="true" outlineLevel="0" collapsed="false">
      <c r="A31" s="3" t="s">
        <v>563</v>
      </c>
      <c r="C31" s="24" t="str">
        <f aca="false">IF(OR($C$6="",C30=""),"",C30/(1+$C$6)^5.5)</f>
        <v/>
      </c>
      <c r="D31" s="24" t="str">
        <f aca="false">IF(OR($C$6="",D30=""),"",D30/(1+$C$6)^5.5)</f>
        <v/>
      </c>
    </row>
    <row r="32" customFormat="false" ht="15" hidden="false" customHeight="true" outlineLevel="0" collapsed="false">
      <c r="A32" s="3" t="s">
        <v>564</v>
      </c>
      <c r="C32" s="24" t="str">
        <f aca="false">IF($C$6="","",SUM($C$25:$H$25))</f>
        <v/>
      </c>
      <c r="D32" s="24" t="str">
        <f aca="false">IF($C$6="","",SUM($C$25:$H$25))</f>
        <v/>
      </c>
    </row>
    <row r="33" customFormat="false" ht="15" hidden="false" customHeight="true" outlineLevel="0" collapsed="false">
      <c r="A33" s="28" t="s">
        <v>565</v>
      </c>
      <c r="C33" s="24" t="str">
        <f aca="false">IF(C31="","",C31+C32)</f>
        <v/>
      </c>
      <c r="D33" s="24" t="str">
        <f aca="false">IF(D31="","",D31+D32)</f>
        <v/>
      </c>
    </row>
    <row r="34" customFormat="false" ht="15" hidden="false" customHeight="true" outlineLevel="0" collapsed="false">
      <c r="A34" s="3" t="s">
        <v>566</v>
      </c>
      <c r="C34" s="24" t="str">
        <f aca="false">IF(C33="","",-$C$11)</f>
        <v/>
      </c>
      <c r="D34" s="24" t="str">
        <f aca="false">IF(D33="","",-$C$11)</f>
        <v/>
      </c>
    </row>
    <row r="35" customFormat="false" ht="15" hidden="false" customHeight="true" outlineLevel="0" collapsed="false">
      <c r="A35" s="3" t="s">
        <v>567</v>
      </c>
      <c r="C35" s="24" t="str">
        <f aca="false">IF(C33="","",-$C$12)</f>
        <v/>
      </c>
      <c r="D35" s="24" t="str">
        <f aca="false">IF(D33="","",-$C$12)</f>
        <v/>
      </c>
    </row>
    <row r="36" customFormat="false" ht="15" hidden="false" customHeight="true" outlineLevel="0" collapsed="false">
      <c r="A36" s="3" t="s">
        <v>568</v>
      </c>
      <c r="C36" s="24" t="str">
        <f aca="false">IF(C33="","",SUM(C33:C35))</f>
        <v/>
      </c>
      <c r="D36" s="24" t="str">
        <f aca="false">IF(D33="","",SUM(D33:D35))</f>
        <v/>
      </c>
    </row>
    <row r="37" customFormat="false" ht="15" hidden="false" customHeight="true" outlineLevel="0" collapsed="false">
      <c r="A37" s="28" t="s">
        <v>569</v>
      </c>
      <c r="C37" s="24" t="str">
        <f aca="false">IF(C36="","",C36/$C$13)</f>
        <v/>
      </c>
      <c r="D37" s="24" t="str">
        <f aca="false">IF(D36="","",D36/$C$13)</f>
        <v/>
      </c>
    </row>
    <row r="38" customFormat="false" ht="15" hidden="false" customHeight="true" outlineLevel="0" collapsed="false">
      <c r="A38" s="3" t="s">
        <v>570</v>
      </c>
      <c r="C38" s="23" t="str">
        <f aca="false">IF(C37="","",C37/$C$14-1)</f>
        <v/>
      </c>
      <c r="D38" s="23" t="str">
        <f aca="false">IF(D37="","",D37/$C$14-1)</f>
        <v/>
      </c>
    </row>
    <row r="40" customFormat="false" ht="15" hidden="false" customHeight="true" outlineLevel="0" collapsed="false">
      <c r="A40" s="3" t="s">
        <v>571</v>
      </c>
      <c r="C40" s="23" t="str">
        <f aca="false">IF(C33="","",C31/C33)</f>
        <v/>
      </c>
      <c r="D40" s="23" t="str">
        <f aca="false">IF(D33="","",D31/D33)</f>
        <v/>
      </c>
    </row>
    <row r="41" customFormat="false" ht="15" hidden="false" customHeight="true" outlineLevel="0" collapsed="false">
      <c r="A41" s="3" t="s">
        <v>572</v>
      </c>
      <c r="C41" s="42" t="str">
        <f aca="false">IF(C33="","",C33/D18)</f>
        <v/>
      </c>
      <c r="D41" s="42" t="str">
        <f aca="false">IF(D33="","",D33/D18)</f>
        <v/>
      </c>
    </row>
    <row r="42" customFormat="false" ht="15" hidden="false" customHeight="true" outlineLevel="0" collapsed="false">
      <c r="A42" s="3" t="s">
        <v>573</v>
      </c>
      <c r="C42" s="40" t="str">
        <f aca="false">IF(C30="","",H18*(1+$C$7)/C30)</f>
        <v/>
      </c>
    </row>
    <row r="43" customFormat="false" ht="15" hidden="false" customHeight="true" outlineLevel="0" collapsed="false">
      <c r="A43" s="3" t="s">
        <v>574</v>
      </c>
      <c r="C43" s="43" t="str">
        <f aca="false">IF($C$6="","",(1+$C$6)/(1+Forecast!I6)-1)</f>
        <v/>
      </c>
      <c r="J43" s="38" t="s">
        <v>575</v>
      </c>
    </row>
    <row r="44" customFormat="false" ht="15" hidden="false" customHeight="true" outlineLevel="0" collapsed="false">
      <c r="A44" s="3" t="s">
        <v>576</v>
      </c>
      <c r="C44" s="43" t="n">
        <f aca="false">E7_WACC!G24</f>
        <v>0.0555</v>
      </c>
    </row>
    <row r="47" customFormat="false" ht="15" hidden="false" customHeight="true" outlineLevel="0" collapsed="false">
      <c r="A47" s="5" t="s">
        <v>577</v>
      </c>
    </row>
    <row r="48" customFormat="false" ht="15" hidden="false" customHeight="true" outlineLevel="0" collapsed="false">
      <c r="B48" s="38" t="s">
        <v>578</v>
      </c>
      <c r="C48" s="44" t="n">
        <v>0.025</v>
      </c>
      <c r="D48" s="44" t="n">
        <v>0.03</v>
      </c>
      <c r="E48" s="44" t="n">
        <v>0.035</v>
      </c>
      <c r="F48" s="44" t="n">
        <v>0.04</v>
      </c>
    </row>
    <row r="49" customFormat="false" ht="15" hidden="false" customHeight="true" outlineLevel="0" collapsed="false">
      <c r="B49" s="44" t="n">
        <v>0.08</v>
      </c>
      <c r="C49" s="24" t="n">
        <f aca="false">(SUMPRODUCT($C$22:$H$22,1/(1+$B49)^$C$23:$H$23)+H$18*(1+C$48)*(1-Forecast!$I$110)*(1-MAX(0,C$48-Forecast!$I$6)/$B49)/($B49-C$48)/(1+$B49)^5.5-$C$11-$C$12)/$C$13</f>
        <v>3251.19005224093</v>
      </c>
      <c r="D49" s="24" t="n">
        <f aca="false">(SUMPRODUCT($C$22:$H$22,1/(1+$B49)^$C$23:$H$23)+H$18*(1+D$48)*(1-Forecast!$I$110)*(1-MAX(0,D$48-Forecast!$I$6)/$B49)/($B49-D$48)/(1+$B49)^5.5-$C$11-$C$12)/$C$13</f>
        <v>3579.14983765639</v>
      </c>
      <c r="E49" s="24" t="n">
        <f aca="false">(SUMPRODUCT($C$22:$H$22,1/(1+$B49)^$C$23:$H$23)+H$18*(1+E$48)*(1-Forecast!$I$110)*(1-MAX(0,E$48-Forecast!$I$6)/$B49)/($B49-E$48)/(1+$B49)^5.5-$C$11-$C$12)/$C$13</f>
        <v>3739.90327414186</v>
      </c>
      <c r="F49" s="24" t="n">
        <f aca="false">(SUMPRODUCT($C$22:$H$22,1/(1+$B49)^$C$23:$H$23)+H$18*(1+F$48)*(1-Forecast!$I$110)*(1-MAX(0,F$48-Forecast!$I$6)/$B49)/($B49-F$48)/(1+$B49)^5.5-$C$11-$C$12)/$C$13</f>
        <v>3938.23543603951</v>
      </c>
    </row>
    <row r="50" customFormat="false" ht="15" hidden="false" customHeight="true" outlineLevel="0" collapsed="false">
      <c r="B50" s="44" t="n">
        <v>0.085</v>
      </c>
      <c r="C50" s="24" t="n">
        <f aca="false">(SUMPRODUCT($C$22:$H$22,1/(1+$B50)^$C$23:$H$23)+H$18*(1+C$48)*(1-Forecast!$I$110)*(1-MAX(0,C$48-Forecast!$I$6)/$B50)/($B50-C$48)/(1+$B50)^5.5-$C$11-$C$12)/$C$13</f>
        <v>2909.64293770243</v>
      </c>
      <c r="D50" s="24" t="n">
        <f aca="false">(SUMPRODUCT($C$22:$H$22,1/(1+$B50)^$C$23:$H$23)+H$18*(1+D$48)*(1-Forecast!$I$110)*(1-MAX(0,D$48-Forecast!$I$6)/$B50)/($B50-D$48)/(1+$B50)^5.5-$C$11-$C$12)/$C$13</f>
        <v>3177.32078155969</v>
      </c>
      <c r="E50" s="24" t="n">
        <f aca="false">(SUMPRODUCT($C$22:$H$22,1/(1+$B50)^$C$23:$H$23)+H$18*(1+E$48)*(1-Forecast!$I$110)*(1-MAX(0,E$48-Forecast!$I$6)/$B50)/($B50-E$48)/(1+$B50)^5.5-$C$11-$C$12)/$C$13</f>
        <v>3300.26828457724</v>
      </c>
      <c r="F50" s="24" t="n">
        <f aca="false">(SUMPRODUCT($C$22:$H$22,1/(1+$B50)^$C$23:$H$23)+H$18*(1+F$48)*(1-Forecast!$I$110)*(1-MAX(0,F$48-Forecast!$I$6)/$B50)/($B50-F$48)/(1+$B50)^5.5-$C$11-$C$12)/$C$13</f>
        <v>3448.40899642842</v>
      </c>
    </row>
    <row r="51" customFormat="false" ht="15" hidden="false" customHeight="true" outlineLevel="0" collapsed="false">
      <c r="B51" s="44" t="n">
        <v>0.09</v>
      </c>
      <c r="C51" s="24" t="n">
        <f aca="false">(SUMPRODUCT($C$22:$H$22,1/(1+$B51)^$C$23:$H$23)+H$18*(1+C$48)*(1-Forecast!$I$110)*(1-MAX(0,C$48-Forecast!$I$6)/$B51)/($B51-C$48)/(1+$B51)^5.5-$C$11-$C$12)/$C$13</f>
        <v>2621.19105369399</v>
      </c>
      <c r="D51" s="24" t="n">
        <f aca="false">(SUMPRODUCT($C$22:$H$22,1/(1+$B51)^$C$23:$H$23)+H$18*(1+D$48)*(1-Forecast!$I$110)*(1-MAX(0,D$48-Forecast!$I$6)/$B51)/($B51-D$48)/(1+$B51)^5.5-$C$11-$C$12)/$C$13</f>
        <v>2843.04969007718</v>
      </c>
      <c r="E51" s="24" t="n">
        <f aca="false">(SUMPRODUCT($C$22:$H$22,1/(1+$B51)^$C$23:$H$23)+H$18*(1+E$48)*(1-Forecast!$I$110)*(1-MAX(0,E$48-Forecast!$I$6)/$B51)/($B51-E$48)/(1+$B51)^5.5-$C$11-$C$12)/$C$13</f>
        <v>2939.26861494729</v>
      </c>
      <c r="F51" s="24" t="n">
        <f aca="false">(SUMPRODUCT($C$22:$H$22,1/(1+$B51)^$C$23:$H$23)+H$18*(1+F$48)*(1-Forecast!$I$110)*(1-MAX(0,F$48-Forecast!$I$6)/$B51)/($B51-F$48)/(1+$B51)^5.5-$C$11-$C$12)/$C$13</f>
        <v>3052.9673111688</v>
      </c>
    </row>
    <row r="52" customFormat="false" ht="15" hidden="false" customHeight="true" outlineLevel="0" collapsed="false">
      <c r="B52" s="44" t="n">
        <v>0.095</v>
      </c>
      <c r="C52" s="24" t="n">
        <f aca="false">(SUMPRODUCT($C$22:$H$22,1/(1+$B52)^$C$23:$H$23)+H$18*(1+C$48)*(1-Forecast!$I$110)*(1-MAX(0,C$48-Forecast!$I$6)/$B52)/($B52-C$48)/(1+$B52)^5.5-$C$11-$C$12)/$C$13</f>
        <v>2374.43846035401</v>
      </c>
      <c r="D52" s="24" t="n">
        <f aca="false">(SUMPRODUCT($C$22:$H$22,1/(1+$B52)^$C$23:$H$23)+H$18*(1+D$48)*(1-Forecast!$I$110)*(1-MAX(0,D$48-Forecast!$I$6)/$B52)/($B52-D$48)/(1+$B52)^5.5-$C$11-$C$12)/$C$13</f>
        <v>2560.72662079504</v>
      </c>
      <c r="E52" s="24" t="n">
        <f aca="false">(SUMPRODUCT($C$22:$H$22,1/(1+$B52)^$C$23:$H$23)+H$18*(1+E$48)*(1-Forecast!$I$110)*(1-MAX(0,E$48-Forecast!$I$6)/$B52)/($B52-E$48)/(1+$B52)^5.5-$C$11-$C$12)/$C$13</f>
        <v>2637.50724928731</v>
      </c>
      <c r="F52" s="24" t="n">
        <f aca="false">(SUMPRODUCT($C$22:$H$22,1/(1+$B52)^$C$23:$H$23)+H$18*(1+F$48)*(1-Forecast!$I$110)*(1-MAX(0,F$48-Forecast!$I$6)/$B52)/($B52-F$48)/(1+$B52)^5.5-$C$11-$C$12)/$C$13</f>
        <v>2726.76651053641</v>
      </c>
    </row>
    <row r="53" customFormat="false" ht="15" hidden="false" customHeight="true" outlineLevel="0" collapsed="false">
      <c r="B53" s="44" t="n">
        <v>0.1</v>
      </c>
      <c r="C53" s="24" t="n">
        <f aca="false">(SUMPRODUCT($C$22:$H$22,1/(1+$B53)^$C$23:$H$23)+H$18*(1+C$48)*(1-Forecast!$I$110)*(1-MAX(0,C$48-Forecast!$I$6)/$B53)/($B53-C$48)/(1+$B53)^5.5-$C$11-$C$12)/$C$13</f>
        <v>2161.02885051273</v>
      </c>
      <c r="D53" s="24" t="n">
        <f aca="false">(SUMPRODUCT($C$22:$H$22,1/(1+$B53)^$C$23:$H$23)+H$18*(1+D$48)*(1-Forecast!$I$110)*(1-MAX(0,D$48-Forecast!$I$6)/$B53)/($B53-D$48)/(1+$B53)^5.5-$C$11-$C$12)/$C$13</f>
        <v>2319.20237814157</v>
      </c>
      <c r="E53" s="24" t="n">
        <f aca="false">(SUMPRODUCT($C$22:$H$22,1/(1+$B53)^$C$23:$H$23)+H$18*(1+E$48)*(1-Forecast!$I$110)*(1-MAX(0,E$48-Forecast!$I$6)/$B53)/($B53-E$48)/(1+$B53)^5.5-$C$11-$C$12)/$C$13</f>
        <v>2381.50394418139</v>
      </c>
      <c r="F53" s="24" t="n">
        <f aca="false">(SUMPRODUCT($C$22:$H$22,1/(1+$B53)^$C$23:$H$23)+H$18*(1+F$48)*(1-Forecast!$I$110)*(1-MAX(0,F$48-Forecast!$I$6)/$B53)/($B53-F$48)/(1+$B53)^5.5-$C$11-$C$12)/$C$13</f>
        <v>2452.93090604595</v>
      </c>
    </row>
    <row r="56" customFormat="false" ht="15" hidden="false" customHeight="true" outlineLevel="0" collapsed="false">
      <c r="A56" s="5" t="s">
        <v>579</v>
      </c>
    </row>
    <row r="57" customFormat="false" ht="15" hidden="false" customHeight="true" outlineLevel="0" collapsed="false">
      <c r="B57" s="38" t="s">
        <v>580</v>
      </c>
      <c r="C57" s="44" t="n">
        <v>0.075</v>
      </c>
      <c r="D57" s="44" t="n">
        <v>0.08</v>
      </c>
      <c r="E57" s="44" t="n">
        <v>0.085</v>
      </c>
      <c r="F57" s="44" t="n">
        <v>0.09</v>
      </c>
      <c r="G57" s="44" t="n">
        <v>0.095</v>
      </c>
    </row>
    <row r="58" customFormat="false" ht="15" hidden="false" customHeight="true" outlineLevel="0" collapsed="false">
      <c r="B58" s="44" t="n">
        <v>0.08</v>
      </c>
      <c r="C58" s="24" t="n">
        <f aca="false">(SUMPRODUCT($C$22:$H$22,1/(1+$B58)^$C$23:$H$23)+H$18*(1+0.03)/C$57/(1+$B58)^5.5-$C$11-$C$12)/$C$13</f>
        <v>3280.65540586886</v>
      </c>
      <c r="D58" s="24" t="n">
        <f aca="false">(SUMPRODUCT($C$22:$H$22,1/(1+$B58)^$C$23:$H$23)+H$18*(1+0.03)/D$57/(1+$B58)^5.5-$C$11-$C$12)/$C$13</f>
        <v>3084.27749021917</v>
      </c>
      <c r="E58" s="24" t="n">
        <f aca="false">(SUMPRODUCT($C$22:$H$22,1/(1+$B58)^$C$23:$H$23)+H$18*(1+0.03)/E$57/(1+$B58)^5.5-$C$11-$C$12)/$C$13</f>
        <v>2911.00285876357</v>
      </c>
      <c r="F58" s="24" t="n">
        <f aca="false">(SUMPRODUCT($C$22:$H$22,1/(1+$B58)^$C$23:$H$23)+H$18*(1+0.03)/F$57/(1+$B58)^5.5-$C$11-$C$12)/$C$13</f>
        <v>2756.98096413636</v>
      </c>
      <c r="G58" s="24" t="n">
        <f aca="false">(SUMPRODUCT($C$22:$H$22,1/(1+$B58)^$C$23:$H$23)+H$18*(1+0.03)/G$57/(1+$B58)^5.5-$C$11-$C$12)/$C$13</f>
        <v>2619.17190052254</v>
      </c>
    </row>
    <row r="59" customFormat="false" ht="15" hidden="false" customHeight="true" outlineLevel="0" collapsed="false">
      <c r="B59" s="44" t="n">
        <v>0.085</v>
      </c>
      <c r="C59" s="24" t="n">
        <f aca="false">(SUMPRODUCT($C$22:$H$22,1/(1+$B59)^$C$23:$H$23)+H$18*(1+0.03)/C$57/(1+$B59)^5.5-$C$11-$C$12)/$C$13</f>
        <v>3191.24455804718</v>
      </c>
      <c r="D59" s="24" t="n">
        <f aca="false">(SUMPRODUCT($C$22:$H$22,1/(1+$B59)^$C$23:$H$23)+H$18*(1+0.03)/D$57/(1+$B59)^5.5-$C$11-$C$12)/$C$13</f>
        <v>2999.79263134415</v>
      </c>
      <c r="E59" s="24" t="n">
        <f aca="false">(SUMPRODUCT($C$22:$H$22,1/(1+$B59)^$C$23:$H$23)+H$18*(1+0.03)/E$57/(1+$B59)^5.5-$C$11-$C$12)/$C$13</f>
        <v>2830.86446072382</v>
      </c>
      <c r="F59" s="24" t="n">
        <f aca="false">(SUMPRODUCT($C$22:$H$22,1/(1+$B59)^$C$23:$H$23)+H$18*(1+0.03)/F$57/(1+$B59)^5.5-$C$11-$C$12)/$C$13</f>
        <v>2680.70608683909</v>
      </c>
      <c r="G59" s="24" t="n">
        <f aca="false">(SUMPRODUCT($C$22:$H$22,1/(1+$B59)^$C$23:$H$23)+H$18*(1+0.03)/G$57/(1+$B59)^5.5-$C$11-$C$12)/$C$13</f>
        <v>2546.3538575738</v>
      </c>
    </row>
    <row r="60" customFormat="false" ht="15" hidden="false" customHeight="true" outlineLevel="0" collapsed="false">
      <c r="B60" s="44" t="n">
        <v>0.09</v>
      </c>
      <c r="C60" s="24" t="n">
        <f aca="false">(SUMPRODUCT($C$22:$H$22,1/(1+$B60)^$C$23:$H$23)+H$18*(1+0.03)/C$57/(1+$B60)^5.5-$C$11-$C$12)/$C$13</f>
        <v>3104.38951649665</v>
      </c>
      <c r="D60" s="24" t="n">
        <f aca="false">(SUMPRODUCT($C$22:$H$22,1/(1+$B60)^$C$23:$H$23)+H$18*(1+0.03)/D$57/(1+$B60)^5.5-$C$11-$C$12)/$C$13</f>
        <v>2917.71821191132</v>
      </c>
      <c r="E60" s="24" t="n">
        <f aca="false">(SUMPRODUCT($C$22:$H$22,1/(1+$B60)^$C$23:$H$23)+H$18*(1+0.03)/E$57/(1+$B60)^5.5-$C$11-$C$12)/$C$13</f>
        <v>2753.0082372772</v>
      </c>
      <c r="F60" s="24" t="n">
        <f aca="false">(SUMPRODUCT($C$22:$H$22,1/(1+$B60)^$C$23:$H$23)+H$18*(1+0.03)/F$57/(1+$B60)^5.5-$C$11-$C$12)/$C$13</f>
        <v>2606.59937093577</v>
      </c>
      <c r="G60" s="24" t="n">
        <f aca="false">(SUMPRODUCT($C$22:$H$22,1/(1+$B60)^$C$23:$H$23)+H$18*(1+0.03)/G$57/(1+$B60)^5.5-$C$11-$C$12)/$C$13</f>
        <v>2475.60196420922</v>
      </c>
    </row>
    <row r="61" customFormat="false" ht="15" hidden="false" customHeight="true" outlineLevel="0" collapsed="false">
      <c r="B61" s="44" t="n">
        <v>0.095</v>
      </c>
      <c r="C61" s="24" t="n">
        <f aca="false">(SUMPRODUCT($C$22:$H$22,1/(1+$B61)^$C$23:$H$23)+H$18*(1+0.03)/C$57/(1+$B61)^5.5-$C$11-$C$12)/$C$13</f>
        <v>3020.00514382811</v>
      </c>
      <c r="D61" s="24" t="n">
        <f aca="false">(SUMPRODUCT($C$22:$H$22,1/(1+$B61)^$C$23:$H$23)+H$18*(1+0.03)/D$57/(1+$B61)^5.5-$C$11-$C$12)/$C$13</f>
        <v>2837.97402189427</v>
      </c>
      <c r="E61" s="24" t="n">
        <f aca="false">(SUMPRODUCT($C$22:$H$22,1/(1+$B61)^$C$23:$H$23)+H$18*(1+0.03)/E$57/(1+$B61)^5.5-$C$11-$C$12)/$C$13</f>
        <v>2677.35832607029</v>
      </c>
      <c r="F61" s="24" t="n">
        <f aca="false">(SUMPRODUCT($C$22:$H$22,1/(1+$B61)^$C$23:$H$23)+H$18*(1+0.03)/F$57/(1+$B61)^5.5-$C$11-$C$12)/$C$13</f>
        <v>2534.5888186712</v>
      </c>
      <c r="G61" s="24" t="n">
        <f aca="false">(SUMPRODUCT($C$22:$H$22,1/(1+$B61)^$C$23:$H$23)+H$18*(1+0.03)/G$57/(1+$B61)^5.5-$C$11-$C$12)/$C$13</f>
        <v>2406.84768047202</v>
      </c>
    </row>
    <row r="62" customFormat="false" ht="15" hidden="false" customHeight="true" outlineLevel="0" collapsed="false">
      <c r="B62" s="44" t="n">
        <v>0.1</v>
      </c>
      <c r="C62" s="24" t="n">
        <f aca="false">(SUMPRODUCT($C$22:$H$22,1/(1+$B62)^$C$23:$H$23)+H$18*(1+0.03)/C$57/(1+$B62)^5.5-$C$11-$C$12)/$C$13</f>
        <v>2938.00952265714</v>
      </c>
      <c r="D62" s="24" t="n">
        <f aca="false">(SUMPRODUCT($C$22:$H$22,1/(1+$B62)^$C$23:$H$23)+H$18*(1+0.03)/D$57/(1+$B62)^5.5-$C$11-$C$12)/$C$13</f>
        <v>2760.4828828371</v>
      </c>
      <c r="E62" s="24" t="n">
        <f aca="false">(SUMPRODUCT($C$22:$H$22,1/(1+$B62)^$C$23:$H$23)+H$18*(1+0.03)/E$57/(1+$B62)^5.5-$C$11-$C$12)/$C$13</f>
        <v>2603.84173005471</v>
      </c>
      <c r="F62" s="24" t="n">
        <f aca="false">(SUMPRODUCT($C$22:$H$22,1/(1+$B62)^$C$23:$H$23)+H$18*(1+0.03)/F$57/(1+$B62)^5.5-$C$11-$C$12)/$C$13</f>
        <v>2464.6051498037</v>
      </c>
      <c r="G62" s="24" t="n">
        <f aca="false">(SUMPRODUCT($C$22:$H$22,1/(1+$B62)^$C$23:$H$23)+H$18*(1+0.03)/G$57/(1+$B62)^5.5-$C$11-$C$12)/$C$13</f>
        <v>2340.02505168437</v>
      </c>
    </row>
    <row r="64" customFormat="false" ht="15" hidden="false" customHeight="true" outlineLevel="0" collapsed="false">
      <c r="A64" s="38" t="s">
        <v>581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2"/>
    <col collapsed="false" customWidth="true" hidden="false" outlineLevel="0" max="3" min="3" style="1" width="10"/>
    <col collapsed="false" customWidth="true" hidden="false" outlineLevel="0" max="15" min="4" style="1" width="12"/>
    <col collapsed="false" customWidth="true" hidden="false" outlineLevel="0" max="16" min="16" style="1" width="95"/>
  </cols>
  <sheetData>
    <row r="1" customFormat="false" ht="15" hidden="false" customHeight="true" outlineLevel="0" collapsed="false">
      <c r="B1" s="2" t="s">
        <v>582</v>
      </c>
    </row>
    <row r="2" customFormat="false" ht="15" hidden="false" customHeight="true" outlineLevel="0" collapsed="false">
      <c r="B2" s="38" t="s">
        <v>583</v>
      </c>
    </row>
    <row r="3" customFormat="false" ht="15" hidden="false" customHeight="true" outlineLevel="0" collapsed="false">
      <c r="B3" s="38" t="s">
        <v>584</v>
      </c>
    </row>
    <row r="5" customFormat="false" ht="15" hidden="false" customHeight="true" outlineLevel="0" collapsed="false">
      <c r="A5" s="45"/>
      <c r="B5" s="5" t="s">
        <v>585</v>
      </c>
      <c r="C5" s="5" t="s">
        <v>586</v>
      </c>
      <c r="D5" s="15" t="s">
        <v>587</v>
      </c>
      <c r="E5" s="15" t="s">
        <v>588</v>
      </c>
      <c r="F5" s="15" t="s">
        <v>589</v>
      </c>
      <c r="G5" s="15" t="s">
        <v>304</v>
      </c>
      <c r="H5" s="15" t="s">
        <v>192</v>
      </c>
      <c r="I5" s="15" t="s">
        <v>590</v>
      </c>
      <c r="J5" s="15" t="s">
        <v>336</v>
      </c>
      <c r="K5" s="15" t="s">
        <v>306</v>
      </c>
      <c r="L5" s="15" t="s">
        <v>307</v>
      </c>
      <c r="M5" s="15" t="s">
        <v>308</v>
      </c>
      <c r="N5" s="15" t="s">
        <v>309</v>
      </c>
      <c r="O5" s="15" t="s">
        <v>310</v>
      </c>
      <c r="P5" s="5" t="s">
        <v>591</v>
      </c>
    </row>
    <row r="7" customFormat="false" ht="15" hidden="false" customHeight="true" outlineLevel="0" collapsed="false">
      <c r="B7" s="5" t="s">
        <v>592</v>
      </c>
    </row>
    <row r="8" customFormat="false" ht="15" hidden="false" customHeight="true" outlineLevel="0" collapsed="false">
      <c r="A8" s="3" t="s">
        <v>593</v>
      </c>
      <c r="B8" s="3" t="s">
        <v>18</v>
      </c>
      <c r="C8" s="38" t="s">
        <v>594</v>
      </c>
      <c r="D8" s="46" t="n">
        <v>370899</v>
      </c>
      <c r="E8" s="22" t="n">
        <f aca="false">Inputs!C4</f>
        <v>419904</v>
      </c>
      <c r="F8" s="22" t="n">
        <f aca="false">Inputs!C5</f>
        <v>494605</v>
      </c>
      <c r="G8" s="22" t="n">
        <f aca="false">Inputs!C6</f>
        <v>653911</v>
      </c>
      <c r="H8" s="22" t="n">
        <f aca="false">Inputs!C82</f>
        <v>677333</v>
      </c>
      <c r="I8" s="22" t="n">
        <f aca="false">Inputs!C8</f>
        <v>339530</v>
      </c>
      <c r="J8" s="47" t="n">
        <f aca="false">Forecast!D95-I8</f>
        <v>364468.935029744</v>
      </c>
      <c r="K8" s="47" t="n">
        <f aca="false">Forecast!E95</f>
        <v>767179.42311749</v>
      </c>
      <c r="L8" s="47" t="n">
        <f aca="false">Forecast!F95</f>
        <v>826661.821713252</v>
      </c>
      <c r="M8" s="47" t="n">
        <f aca="false">Forecast!G95</f>
        <v>883482.452628312</v>
      </c>
      <c r="N8" s="47" t="n">
        <f aca="false">Forecast!H95</f>
        <v>923321.860237358</v>
      </c>
      <c r="O8" s="47" t="n">
        <f aca="false">Forecast!I95</f>
        <v>959373.854528556</v>
      </c>
      <c r="P8" s="38" t="s">
        <v>595</v>
      </c>
    </row>
    <row r="9" customFormat="false" ht="15" hidden="false" customHeight="true" outlineLevel="0" collapsed="false">
      <c r="A9" s="3" t="s">
        <v>596</v>
      </c>
      <c r="B9" s="3" t="s">
        <v>597</v>
      </c>
      <c r="C9" s="38" t="s">
        <v>115</v>
      </c>
      <c r="E9" s="48" t="n">
        <f aca="false">E8/D8-1</f>
        <v>0.13212491810439</v>
      </c>
      <c r="F9" s="48" t="n">
        <f aca="false">F8/E8-1</f>
        <v>0.177900186709343</v>
      </c>
      <c r="G9" s="48" t="n">
        <f aca="false">G8/F8-1</f>
        <v>0.322087322206609</v>
      </c>
      <c r="K9" s="48" t="n">
        <f aca="false">K8/(I8+J8)-1</f>
        <v>0.0897451472495148</v>
      </c>
      <c r="L9" s="48" t="n">
        <f aca="false">L8/K8-1</f>
        <v>0.0775338816492903</v>
      </c>
      <c r="M9" s="48" t="n">
        <f aca="false">M8/L8-1</f>
        <v>0.068735037015861</v>
      </c>
      <c r="N9" s="48" t="n">
        <f aca="false">N8/M8-1</f>
        <v>0.0450936037162104</v>
      </c>
      <c r="O9" s="48" t="n">
        <f aca="false">O8/N8-1</f>
        <v>0.0390459663566611</v>
      </c>
      <c r="P9" s="38" t="s">
        <v>598</v>
      </c>
    </row>
    <row r="10" customFormat="false" ht="15" hidden="false" customHeight="true" outlineLevel="0" collapsed="false">
      <c r="A10" s="3" t="s">
        <v>599</v>
      </c>
      <c r="B10" s="3" t="s">
        <v>600</v>
      </c>
      <c r="C10" s="38" t="s">
        <v>601</v>
      </c>
      <c r="D10" s="46" t="n">
        <v>363621</v>
      </c>
      <c r="E10" s="46" t="n">
        <v>513768</v>
      </c>
      <c r="F10" s="49" t="n">
        <f aca="false">F15-F11+F13-F14</f>
        <v>535873</v>
      </c>
      <c r="G10" s="49" t="n">
        <f aca="false">G15-G11+G13-G14</f>
        <v>1968050</v>
      </c>
      <c r="H10" s="49" t="n">
        <f aca="false">G10-720093+I10</f>
        <v>1730612</v>
      </c>
      <c r="I10" s="46" t="n">
        <v>482655</v>
      </c>
      <c r="P10" s="38" t="s">
        <v>602</v>
      </c>
    </row>
    <row r="11" customFormat="false" ht="15" hidden="false" customHeight="true" outlineLevel="0" collapsed="false">
      <c r="A11" s="3" t="s">
        <v>603</v>
      </c>
      <c r="B11" s="3" t="s">
        <v>604</v>
      </c>
      <c r="C11" s="38" t="s">
        <v>605</v>
      </c>
      <c r="D11" s="49" t="n">
        <f aca="false">Inputs!C77-(324954-44420)</f>
        <v>2165</v>
      </c>
      <c r="E11" s="46" t="n">
        <v>2154</v>
      </c>
      <c r="F11" s="46" t="n">
        <v>2112</v>
      </c>
      <c r="G11" s="22" t="n">
        <f aca="false">Inputs!C17</f>
        <v>3610</v>
      </c>
      <c r="H11" s="49" t="n">
        <f aca="false">G11-1837+I11</f>
        <v>4766</v>
      </c>
      <c r="I11" s="46" t="n">
        <v>2993</v>
      </c>
      <c r="J11" s="49" t="n">
        <f aca="false">$H$18*J8</f>
        <v>2564.55679016342</v>
      </c>
      <c r="K11" s="49" t="n">
        <f aca="false">$H$18*K8</f>
        <v>5398.19723913933</v>
      </c>
      <c r="L11" s="49" t="n">
        <f aca="false">$H$18*L8</f>
        <v>5816.74042499828</v>
      </c>
      <c r="M11" s="49" t="n">
        <f aca="false">$H$18*M8</f>
        <v>6216.55429342219</v>
      </c>
      <c r="N11" s="49" t="n">
        <f aca="false">$H$18*N8</f>
        <v>6496.88112921008</v>
      </c>
      <c r="O11" s="49" t="n">
        <f aca="false">$H$18*O8</f>
        <v>6750.55813120444</v>
      </c>
      <c r="P11" s="38" t="s">
        <v>606</v>
      </c>
    </row>
    <row r="12" customFormat="false" ht="15" hidden="false" customHeight="true" outlineLevel="0" collapsed="false">
      <c r="A12" s="3" t="s">
        <v>607</v>
      </c>
      <c r="B12" s="3" t="s">
        <v>608</v>
      </c>
      <c r="C12" s="38" t="s">
        <v>115</v>
      </c>
      <c r="D12" s="49" t="n">
        <f aca="false">D10+D11</f>
        <v>365786</v>
      </c>
      <c r="E12" s="49" t="n">
        <f aca="false">E10+E11</f>
        <v>515922</v>
      </c>
      <c r="F12" s="49" t="n">
        <f aca="false">F10+F11</f>
        <v>537985</v>
      </c>
      <c r="G12" s="49" t="n">
        <f aca="false">G10+G11</f>
        <v>1971660</v>
      </c>
      <c r="H12" s="49" t="n">
        <f aca="false">H10+H11</f>
        <v>1735378</v>
      </c>
      <c r="I12" s="49" t="n">
        <f aca="false">I10+I11</f>
        <v>485648</v>
      </c>
      <c r="J12" s="49" t="n">
        <f aca="false">J15+J13-J14</f>
        <v>433146.133527495</v>
      </c>
      <c r="K12" s="49" t="n">
        <f aca="false">K15+K13-K14</f>
        <v>858036.249552162</v>
      </c>
      <c r="L12" s="49" t="n">
        <f aca="false">L15+L13-L14</f>
        <v>900266.253340212</v>
      </c>
      <c r="M12" s="49" t="n">
        <f aca="false">M15+M13-M14</f>
        <v>948963.078000336</v>
      </c>
      <c r="N12" s="49" t="n">
        <f aca="false">N15+N13-N14</f>
        <v>985653.913984151</v>
      </c>
      <c r="O12" s="49" t="n">
        <f aca="false">O15+O13-O14</f>
        <v>1022793.83079122</v>
      </c>
      <c r="P12" s="38" t="s">
        <v>609</v>
      </c>
    </row>
    <row r="13" customFormat="false" ht="15" hidden="false" customHeight="true" outlineLevel="0" collapsed="false">
      <c r="A13" s="3" t="s">
        <v>610</v>
      </c>
      <c r="B13" s="3" t="s">
        <v>611</v>
      </c>
      <c r="C13" s="38" t="s">
        <v>594</v>
      </c>
      <c r="D13" s="46" t="n">
        <v>85361</v>
      </c>
      <c r="E13" s="46" t="n">
        <v>195562</v>
      </c>
      <c r="F13" s="46" t="n">
        <v>162507</v>
      </c>
      <c r="G13" s="22" t="n">
        <f aca="false">Inputs!C15</f>
        <v>1448943</v>
      </c>
      <c r="H13" s="49" t="n">
        <f aca="false">G13-471020+I13</f>
        <v>1194529</v>
      </c>
      <c r="I13" s="46" t="n">
        <v>216606</v>
      </c>
      <c r="J13" s="47" t="n">
        <f aca="false">Forecast!D148-I13</f>
        <v>142404.7285</v>
      </c>
      <c r="K13" s="47" t="n">
        <f aca="false">Forecast!E148</f>
        <v>246675.889305443</v>
      </c>
      <c r="L13" s="47" t="n">
        <f aca="false">Forecast!F148</f>
        <v>241105.932397624</v>
      </c>
      <c r="M13" s="47" t="n">
        <f aca="false">Forecast!G148</f>
        <v>244278.562304044</v>
      </c>
      <c r="N13" s="47" t="n">
        <f aca="false">Forecast!H148</f>
        <v>249234.318361902</v>
      </c>
      <c r="O13" s="47" t="n">
        <f aca="false">Forecast!I148</f>
        <v>257705.747732231</v>
      </c>
      <c r="P13" s="38" t="s">
        <v>612</v>
      </c>
    </row>
    <row r="14" customFormat="false" ht="15" hidden="false" customHeight="true" outlineLevel="0" collapsed="false">
      <c r="A14" s="3" t="s">
        <v>613</v>
      </c>
      <c r="B14" s="3" t="s">
        <v>614</v>
      </c>
      <c r="C14" s="38" t="s">
        <v>387</v>
      </c>
      <c r="D14" s="46" t="n">
        <v>2274</v>
      </c>
      <c r="E14" s="46" t="n">
        <v>1825</v>
      </c>
      <c r="F14" s="46" t="n">
        <v>5159</v>
      </c>
      <c r="G14" s="22" t="n">
        <f aca="false">Inputs!C16</f>
        <v>3511</v>
      </c>
      <c r="H14" s="49" t="n">
        <f aca="false">G14-957+I14</f>
        <v>4086</v>
      </c>
      <c r="I14" s="46" t="n">
        <v>1532</v>
      </c>
      <c r="J14" s="9" t="n">
        <v>0</v>
      </c>
      <c r="K14" s="9" t="n">
        <v>0</v>
      </c>
      <c r="L14" s="9" t="n">
        <v>0</v>
      </c>
      <c r="M14" s="9" t="n">
        <v>0</v>
      </c>
      <c r="N14" s="9" t="n">
        <v>0</v>
      </c>
      <c r="O14" s="9" t="n">
        <v>0</v>
      </c>
      <c r="P14" s="38" t="s">
        <v>615</v>
      </c>
    </row>
    <row r="15" customFormat="false" ht="15" hidden="false" customHeight="true" outlineLevel="0" collapsed="false">
      <c r="A15" s="28" t="s">
        <v>616</v>
      </c>
      <c r="B15" s="28" t="s">
        <v>617</v>
      </c>
      <c r="C15" s="38" t="s">
        <v>618</v>
      </c>
      <c r="D15" s="50" t="n">
        <f aca="false">D12-D13+D14</f>
        <v>282699</v>
      </c>
      <c r="E15" s="50" t="n">
        <f aca="false">E12-E13+E14</f>
        <v>322185</v>
      </c>
      <c r="F15" s="51" t="n">
        <f aca="false">Inputs!C9</f>
        <v>380637</v>
      </c>
      <c r="G15" s="51" t="n">
        <f aca="false">Inputs!C10</f>
        <v>526228</v>
      </c>
      <c r="H15" s="50" t="n">
        <f aca="false">H12-H13+H14</f>
        <v>544935</v>
      </c>
      <c r="I15" s="50" t="n">
        <f aca="false">I12-I13+I14</f>
        <v>270574</v>
      </c>
      <c r="J15" s="52" t="n">
        <f aca="false">Forecast!D104-I15</f>
        <v>290741.405027495</v>
      </c>
      <c r="K15" s="52" t="n">
        <f aca="false">Forecast!E104</f>
        <v>611360.360246719</v>
      </c>
      <c r="L15" s="52" t="n">
        <f aca="false">Forecast!F104</f>
        <v>659160.320942588</v>
      </c>
      <c r="M15" s="52" t="n">
        <f aca="false">Forecast!G104</f>
        <v>704684.515696292</v>
      </c>
      <c r="N15" s="52" t="n">
        <f aca="false">Forecast!H104</f>
        <v>736419.595622249</v>
      </c>
      <c r="O15" s="52" t="n">
        <f aca="false">Forecast!I104</f>
        <v>765088.08305899</v>
      </c>
      <c r="P15" s="38" t="s">
        <v>619</v>
      </c>
    </row>
    <row r="16" customFormat="false" ht="15" hidden="false" customHeight="true" outlineLevel="0" collapsed="false">
      <c r="A16" s="3" t="s">
        <v>620</v>
      </c>
      <c r="B16" s="3" t="s">
        <v>621</v>
      </c>
      <c r="C16" s="38" t="s">
        <v>115</v>
      </c>
      <c r="D16" s="49" t="n">
        <f aca="false">D15-Inputs!C77</f>
        <v>0</v>
      </c>
      <c r="E16" s="49" t="n">
        <f aca="false">E15-Inputs!C78</f>
        <v>0</v>
      </c>
      <c r="F16" s="49" t="n">
        <f aca="false">F12-F13+F14-Inputs!C9</f>
        <v>0</v>
      </c>
      <c r="G16" s="49" t="n">
        <f aca="false">G12-G13+G14-Inputs!C10</f>
        <v>0</v>
      </c>
      <c r="H16" s="49" t="n">
        <f aca="false">H15-Inputs!C79</f>
        <v>0</v>
      </c>
      <c r="I16" s="49" t="n">
        <f aca="false">I15-270573</f>
        <v>1</v>
      </c>
      <c r="P16" s="38" t="s">
        <v>622</v>
      </c>
    </row>
    <row r="17" customFormat="false" ht="15" hidden="false" customHeight="true" outlineLevel="0" collapsed="false">
      <c r="A17" s="3" t="s">
        <v>623</v>
      </c>
      <c r="B17" s="3" t="s">
        <v>624</v>
      </c>
      <c r="C17" s="38" t="s">
        <v>115</v>
      </c>
      <c r="D17" s="48" t="n">
        <f aca="false">D15/D8</f>
        <v>0.762199412778142</v>
      </c>
      <c r="E17" s="48" t="n">
        <f aca="false">E15/E8</f>
        <v>0.76728252171925</v>
      </c>
      <c r="F17" s="48" t="n">
        <f aca="false">F15/F8</f>
        <v>0.769577743856209</v>
      </c>
      <c r="G17" s="48" t="n">
        <f aca="false">G15/G8</f>
        <v>0.80473948289599</v>
      </c>
      <c r="H17" s="48" t="n">
        <f aca="false">H15/H8</f>
        <v>0.804530415615362</v>
      </c>
      <c r="I17" s="48" t="n">
        <f aca="false">I15/I8</f>
        <v>0.796907489765264</v>
      </c>
      <c r="J17" s="48" t="n">
        <f aca="false">J15/J8</f>
        <v>0.797712444282167</v>
      </c>
      <c r="K17" s="48" t="n">
        <f aca="false">K15/K8</f>
        <v>0.796893584244493</v>
      </c>
      <c r="L17" s="48" t="n">
        <f aca="false">L15/L8</f>
        <v>0.797376029264883</v>
      </c>
      <c r="M17" s="48" t="n">
        <f aca="false">M15/M8</f>
        <v>0.797621405609013</v>
      </c>
      <c r="N17" s="48" t="n">
        <f aca="false">N15/N8</f>
        <v>0.797576259521179</v>
      </c>
      <c r="O17" s="48" t="n">
        <f aca="false">O15/O8</f>
        <v>0.797486901949147</v>
      </c>
    </row>
    <row r="18" customFormat="false" ht="15" hidden="false" customHeight="true" outlineLevel="0" collapsed="false">
      <c r="A18" s="3" t="s">
        <v>625</v>
      </c>
      <c r="B18" s="3" t="s">
        <v>626</v>
      </c>
      <c r="C18" s="38" t="s">
        <v>115</v>
      </c>
      <c r="H18" s="53" t="n">
        <f aca="false">H11/H8</f>
        <v>0.00703642078564015</v>
      </c>
      <c r="P18" s="38" t="s">
        <v>627</v>
      </c>
    </row>
    <row r="19" customFormat="false" ht="15" hidden="false" customHeight="true" outlineLevel="0" collapsed="false">
      <c r="A19" s="28" t="s">
        <v>628</v>
      </c>
      <c r="B19" s="28" t="s">
        <v>629</v>
      </c>
      <c r="C19" s="38" t="s">
        <v>115</v>
      </c>
      <c r="D19" s="50" t="n">
        <f aca="false">D15-D11</f>
        <v>280534</v>
      </c>
      <c r="E19" s="50" t="n">
        <f aca="false">E15-E11</f>
        <v>320031</v>
      </c>
      <c r="F19" s="50" t="n">
        <f aca="false">F15-F11</f>
        <v>378525</v>
      </c>
      <c r="G19" s="50" t="n">
        <f aca="false">G15-G11</f>
        <v>522618</v>
      </c>
      <c r="H19" s="50" t="n">
        <f aca="false">H15-H11</f>
        <v>540169</v>
      </c>
      <c r="I19" s="50" t="n">
        <f aca="false">I15-I11</f>
        <v>267581</v>
      </c>
      <c r="J19" s="50" t="n">
        <f aca="false">J15-J11</f>
        <v>288176.848237332</v>
      </c>
      <c r="K19" s="50" t="n">
        <f aca="false">K15-K11</f>
        <v>605962.163007579</v>
      </c>
      <c r="L19" s="50" t="n">
        <f aca="false">L15-L11</f>
        <v>653343.580517589</v>
      </c>
      <c r="M19" s="50" t="n">
        <f aca="false">M15-M11</f>
        <v>698467.96140287</v>
      </c>
      <c r="N19" s="50" t="n">
        <f aca="false">N15-N11</f>
        <v>729922.714493039</v>
      </c>
      <c r="O19" s="50" t="n">
        <f aca="false">O15-O11</f>
        <v>758337.524927785</v>
      </c>
    </row>
    <row r="21" customFormat="false" ht="15" hidden="false" customHeight="true" outlineLevel="0" collapsed="false">
      <c r="B21" s="5" t="s">
        <v>630</v>
      </c>
    </row>
    <row r="22" customFormat="false" ht="15" hidden="false" customHeight="true" outlineLevel="0" collapsed="false">
      <c r="A22" s="3" t="s">
        <v>631</v>
      </c>
      <c r="B22" s="3" t="s">
        <v>632</v>
      </c>
      <c r="C22" s="38" t="s">
        <v>633</v>
      </c>
      <c r="J22" s="54" t="n">
        <f aca="false">Forecast!D110</f>
        <v>0.168</v>
      </c>
      <c r="K22" s="54" t="n">
        <f aca="false">Forecast!E110</f>
        <v>0.19</v>
      </c>
      <c r="L22" s="54" t="n">
        <f aca="false">Forecast!F110</f>
        <v>0.215</v>
      </c>
      <c r="M22" s="54" t="n">
        <f aca="false">Forecast!G110</f>
        <v>0.24</v>
      </c>
      <c r="N22" s="54" t="n">
        <f aca="false">Forecast!H110</f>
        <v>0.27</v>
      </c>
      <c r="O22" s="54" t="n">
        <f aca="false">Forecast!I110</f>
        <v>0.27</v>
      </c>
      <c r="P22" s="38" t="s">
        <v>634</v>
      </c>
    </row>
    <row r="23" customFormat="false" ht="15" hidden="false" customHeight="true" outlineLevel="0" collapsed="false">
      <c r="A23" s="3" t="s">
        <v>635</v>
      </c>
      <c r="B23" s="3" t="s">
        <v>636</v>
      </c>
      <c r="C23" s="38" t="s">
        <v>115</v>
      </c>
      <c r="J23" s="49" t="n">
        <f aca="false">-J22*J19</f>
        <v>-48413.7105038718</v>
      </c>
      <c r="K23" s="49" t="n">
        <f aca="false">-K22*K19</f>
        <v>-115132.81097144</v>
      </c>
      <c r="L23" s="49" t="n">
        <f aca="false">-L22*L19</f>
        <v>-140468.869811282</v>
      </c>
      <c r="M23" s="49" t="n">
        <f aca="false">-M22*M19</f>
        <v>-167632.310736689</v>
      </c>
      <c r="N23" s="49" t="n">
        <f aca="false">-N22*N19</f>
        <v>-197079.13291312</v>
      </c>
      <c r="O23" s="49" t="n">
        <f aca="false">-O22*O19</f>
        <v>-204751.131730502</v>
      </c>
      <c r="P23" s="38" t="s">
        <v>637</v>
      </c>
    </row>
    <row r="24" customFormat="false" ht="15" hidden="false" customHeight="true" outlineLevel="0" collapsed="false">
      <c r="A24" s="28" t="s">
        <v>638</v>
      </c>
      <c r="B24" s="28" t="s">
        <v>639</v>
      </c>
      <c r="C24" s="38" t="s">
        <v>115</v>
      </c>
      <c r="J24" s="50" t="n">
        <f aca="false">J19+J23</f>
        <v>239763.13773346</v>
      </c>
      <c r="K24" s="50" t="n">
        <f aca="false">K19+K23</f>
        <v>490829.352036139</v>
      </c>
      <c r="L24" s="50" t="n">
        <f aca="false">L19+L23</f>
        <v>512874.710706308</v>
      </c>
      <c r="M24" s="50" t="n">
        <f aca="false">M19+M23</f>
        <v>530835.650666181</v>
      </c>
      <c r="N24" s="50" t="n">
        <f aca="false">N19+N23</f>
        <v>532843.581579918</v>
      </c>
      <c r="O24" s="50" t="n">
        <f aca="false">O19+O23</f>
        <v>553586.393197283</v>
      </c>
    </row>
    <row r="25" customFormat="false" ht="15" hidden="false" customHeight="true" outlineLevel="0" collapsed="false">
      <c r="A25" s="3" t="s">
        <v>640</v>
      </c>
      <c r="B25" s="3" t="s">
        <v>641</v>
      </c>
      <c r="C25" s="38" t="s">
        <v>115</v>
      </c>
      <c r="J25" s="49" t="n">
        <f aca="false">J11</f>
        <v>2564.55679016342</v>
      </c>
      <c r="K25" s="49" t="n">
        <f aca="false">K11</f>
        <v>5398.19723913933</v>
      </c>
      <c r="L25" s="49" t="n">
        <f aca="false">L11</f>
        <v>5816.74042499828</v>
      </c>
      <c r="M25" s="49" t="n">
        <f aca="false">M11</f>
        <v>6216.55429342219</v>
      </c>
      <c r="N25" s="49" t="n">
        <f aca="false">N11</f>
        <v>6496.88112921008</v>
      </c>
      <c r="O25" s="49" t="n">
        <f aca="false">O11</f>
        <v>6750.55813120444</v>
      </c>
    </row>
    <row r="26" customFormat="false" ht="15" hidden="false" customHeight="true" outlineLevel="0" collapsed="false">
      <c r="A26" s="3" t="s">
        <v>642</v>
      </c>
      <c r="B26" s="3" t="s">
        <v>643</v>
      </c>
      <c r="C26" s="38" t="s">
        <v>215</v>
      </c>
      <c r="J26" s="47" t="n">
        <f aca="false">-(Forecast!D137+Forecast!D139)</f>
        <v>-149905.972713318</v>
      </c>
      <c r="K26" s="47" t="n">
        <f aca="false">-Forecast!E142</f>
        <v>-290119.338271462</v>
      </c>
      <c r="L26" s="47" t="n">
        <f aca="false">-Forecast!F142</f>
        <v>-200864.130194229</v>
      </c>
      <c r="M26" s="47" t="n">
        <f aca="false">-Forecast!G142</f>
        <v>-48591.5348945571</v>
      </c>
      <c r="N26" s="47" t="n">
        <f aca="false">-Forecast!H142</f>
        <v>-50782.7023130547</v>
      </c>
      <c r="O26" s="47" t="n">
        <f aca="false">-Forecast!I142</f>
        <v>-52765.5619990706</v>
      </c>
      <c r="P26" s="38" t="s">
        <v>644</v>
      </c>
    </row>
    <row r="27" customFormat="false" ht="15" hidden="false" customHeight="true" outlineLevel="0" collapsed="false">
      <c r="A27" s="3" t="s">
        <v>645</v>
      </c>
      <c r="B27" s="3" t="s">
        <v>646</v>
      </c>
      <c r="C27" s="38" t="s">
        <v>352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38" t="s">
        <v>647</v>
      </c>
    </row>
    <row r="28" customFormat="false" ht="15" hidden="false" customHeight="true" outlineLevel="0" collapsed="false">
      <c r="A28" s="28" t="s">
        <v>648</v>
      </c>
      <c r="B28" s="28" t="s">
        <v>549</v>
      </c>
      <c r="C28" s="38" t="s">
        <v>115</v>
      </c>
      <c r="J28" s="50" t="n">
        <f aca="false">J24+J25+J26-J27</f>
        <v>92421.7218103058</v>
      </c>
      <c r="K28" s="50" t="n">
        <f aca="false">K24+K25+K26-K27</f>
        <v>206108.211003817</v>
      </c>
      <c r="L28" s="50" t="n">
        <f aca="false">L24+L25+L26-L27</f>
        <v>317827.320937077</v>
      </c>
      <c r="M28" s="50" t="n">
        <f aca="false">M24+M25+M26-M27</f>
        <v>488460.670065046</v>
      </c>
      <c r="N28" s="50" t="n">
        <f aca="false">N24+N25+N26-N27</f>
        <v>488557.760396074</v>
      </c>
      <c r="O28" s="50" t="n">
        <f aca="false">O24+O25+O26-O27</f>
        <v>507571.389329417</v>
      </c>
      <c r="P28" s="38" t="s">
        <v>649</v>
      </c>
    </row>
    <row r="30" customFormat="false" ht="15" hidden="false" customHeight="true" outlineLevel="0" collapsed="false">
      <c r="B30" s="5" t="s">
        <v>650</v>
      </c>
    </row>
    <row r="31" customFormat="false" ht="15" hidden="false" customHeight="true" outlineLevel="0" collapsed="false">
      <c r="A31" s="3" t="s">
        <v>651</v>
      </c>
      <c r="B31" s="3" t="s">
        <v>652</v>
      </c>
      <c r="C31" s="38" t="s">
        <v>352</v>
      </c>
      <c r="J31" s="39" t="n">
        <v>0.1003</v>
      </c>
      <c r="P31" s="38" t="s">
        <v>653</v>
      </c>
    </row>
    <row r="32" customFormat="false" ht="15" hidden="false" customHeight="true" outlineLevel="0" collapsed="false">
      <c r="A32" s="3" t="s">
        <v>654</v>
      </c>
      <c r="B32" s="3" t="s">
        <v>655</v>
      </c>
      <c r="C32" s="38" t="s">
        <v>352</v>
      </c>
      <c r="J32" s="55" t="n">
        <v>0.25</v>
      </c>
      <c r="K32" s="55" t="n">
        <v>1</v>
      </c>
      <c r="L32" s="55" t="n">
        <v>2</v>
      </c>
      <c r="M32" s="55" t="n">
        <v>3</v>
      </c>
      <c r="N32" s="55" t="n">
        <v>4</v>
      </c>
      <c r="O32" s="55" t="n">
        <v>5</v>
      </c>
      <c r="P32" s="38" t="s">
        <v>656</v>
      </c>
    </row>
    <row r="33" customFormat="false" ht="15" hidden="false" customHeight="true" outlineLevel="0" collapsed="false">
      <c r="A33" s="3" t="s">
        <v>657</v>
      </c>
      <c r="B33" s="3" t="s">
        <v>552</v>
      </c>
      <c r="C33" s="38" t="s">
        <v>115</v>
      </c>
      <c r="J33" s="56" t="n">
        <f aca="false">1/(1+$J$31)^J32</f>
        <v>0.976387524607037</v>
      </c>
      <c r="K33" s="56" t="n">
        <f aca="false">1/(1+$J$31)^K32</f>
        <v>0.908843042806507</v>
      </c>
      <c r="L33" s="56" t="n">
        <f aca="false">1/(1+$J$31)^L32</f>
        <v>0.825995676457791</v>
      </c>
      <c r="M33" s="56" t="n">
        <f aca="false">1/(1+$J$31)^M32</f>
        <v>0.750700423936918</v>
      </c>
      <c r="N33" s="56" t="n">
        <f aca="false">1/(1+$J$31)^N32</f>
        <v>0.682268857526963</v>
      </c>
      <c r="O33" s="56" t="n">
        <f aca="false">1/(1+$J$31)^O32</f>
        <v>0.620075304486925</v>
      </c>
      <c r="P33" s="38" t="s">
        <v>658</v>
      </c>
    </row>
    <row r="34" customFormat="false" ht="15" hidden="false" customHeight="true" outlineLevel="0" collapsed="false">
      <c r="A34" s="3" t="s">
        <v>659</v>
      </c>
      <c r="B34" s="3" t="s">
        <v>553</v>
      </c>
      <c r="C34" s="38" t="s">
        <v>115</v>
      </c>
      <c r="J34" s="49" t="n">
        <f aca="false">J28*J33</f>
        <v>90239.4161782847</v>
      </c>
      <c r="K34" s="49" t="n">
        <f aca="false">K28*K33</f>
        <v>187320.013636114</v>
      </c>
      <c r="L34" s="49" t="n">
        <f aca="false">L28*L33</f>
        <v>262523.992954188</v>
      </c>
      <c r="M34" s="49" t="n">
        <f aca="false">M28*M33</f>
        <v>366687.632094341</v>
      </c>
      <c r="N34" s="49" t="n">
        <f aca="false">N28*N33</f>
        <v>333327.745021361</v>
      </c>
      <c r="O34" s="49" t="n">
        <f aca="false">O28*O33</f>
        <v>314732.48378729</v>
      </c>
    </row>
    <row r="36" customFormat="false" ht="15" hidden="false" customHeight="true" outlineLevel="0" collapsed="false">
      <c r="B36" s="5" t="s">
        <v>660</v>
      </c>
    </row>
    <row r="37" customFormat="false" ht="15" hidden="false" customHeight="true" outlineLevel="0" collapsed="false">
      <c r="A37" s="3" t="s">
        <v>661</v>
      </c>
      <c r="B37" s="3" t="s">
        <v>662</v>
      </c>
      <c r="C37" s="38" t="s">
        <v>352</v>
      </c>
      <c r="J37" s="39" t="n">
        <v>0.03</v>
      </c>
      <c r="P37" s="38" t="s">
        <v>663</v>
      </c>
    </row>
    <row r="38" customFormat="false" ht="15" hidden="false" customHeight="true" outlineLevel="0" collapsed="false">
      <c r="A38" s="3" t="s">
        <v>664</v>
      </c>
      <c r="B38" s="3" t="s">
        <v>665</v>
      </c>
      <c r="C38" s="38" t="s">
        <v>115</v>
      </c>
      <c r="J38" s="49" t="n">
        <f aca="false">O28*(1+J37)</f>
        <v>522798.5310093</v>
      </c>
    </row>
    <row r="39" customFormat="false" ht="15" hidden="false" customHeight="true" outlineLevel="0" collapsed="false">
      <c r="A39" s="3" t="s">
        <v>666</v>
      </c>
      <c r="B39" s="3" t="s">
        <v>667</v>
      </c>
      <c r="C39" s="38" t="s">
        <v>115</v>
      </c>
      <c r="J39" s="49" t="n">
        <f aca="false">J38/(J31-J37)</f>
        <v>7436678.96172546</v>
      </c>
    </row>
    <row r="40" customFormat="false" ht="15" hidden="false" customHeight="true" outlineLevel="0" collapsed="false">
      <c r="A40" s="3" t="s">
        <v>668</v>
      </c>
      <c r="B40" s="3" t="s">
        <v>669</v>
      </c>
      <c r="C40" s="38" t="s">
        <v>115</v>
      </c>
      <c r="J40" s="49" t="n">
        <f aca="false">J39/(1+J31)^5.5</f>
        <v>4396103.53634082</v>
      </c>
    </row>
    <row r="42" customFormat="false" ht="15" hidden="false" customHeight="true" outlineLevel="0" collapsed="false">
      <c r="B42" s="5" t="s">
        <v>670</v>
      </c>
    </row>
    <row r="43" customFormat="false" ht="15" hidden="false" customHeight="true" outlineLevel="0" collapsed="false">
      <c r="A43" s="3" t="s">
        <v>671</v>
      </c>
      <c r="B43" s="3" t="s">
        <v>672</v>
      </c>
      <c r="C43" s="38" t="s">
        <v>115</v>
      </c>
      <c r="J43" s="49" t="n">
        <f aca="false">SUM(J34:O34)</f>
        <v>1554831.28367158</v>
      </c>
    </row>
    <row r="44" customFormat="false" ht="15" hidden="false" customHeight="true" outlineLevel="0" collapsed="false">
      <c r="A44" s="28" t="s">
        <v>673</v>
      </c>
      <c r="B44" s="28" t="s">
        <v>674</v>
      </c>
      <c r="C44" s="38" t="s">
        <v>115</v>
      </c>
      <c r="J44" s="50" t="n">
        <f aca="false">J43+J40</f>
        <v>5950934.8200124</v>
      </c>
    </row>
    <row r="45" customFormat="false" ht="15" hidden="false" customHeight="true" outlineLevel="0" collapsed="false">
      <c r="A45" s="3" t="s">
        <v>675</v>
      </c>
      <c r="B45" s="3" t="s">
        <v>676</v>
      </c>
      <c r="C45" s="38" t="s">
        <v>21</v>
      </c>
      <c r="J45" s="22" t="n">
        <f aca="false">-Inputs!C64</f>
        <v>-1285740</v>
      </c>
      <c r="P45" s="38" t="s">
        <v>677</v>
      </c>
    </row>
    <row r="46" customFormat="false" ht="15" hidden="false" customHeight="true" outlineLevel="0" collapsed="false">
      <c r="A46" s="3" t="s">
        <v>678</v>
      </c>
      <c r="B46" s="3" t="s">
        <v>679</v>
      </c>
      <c r="C46" s="38" t="s">
        <v>21</v>
      </c>
      <c r="J46" s="46" t="n">
        <v>-50841</v>
      </c>
      <c r="P46" s="38" t="s">
        <v>680</v>
      </c>
    </row>
    <row r="47" customFormat="false" ht="15" hidden="false" customHeight="true" outlineLevel="0" collapsed="false">
      <c r="A47" s="28" t="s">
        <v>681</v>
      </c>
      <c r="B47" s="28" t="s">
        <v>682</v>
      </c>
      <c r="C47" s="38" t="s">
        <v>115</v>
      </c>
      <c r="J47" s="50" t="n">
        <f aca="false">J44+J45+J46</f>
        <v>4614353.8200124</v>
      </c>
    </row>
    <row r="48" customFormat="false" ht="15" hidden="false" customHeight="true" outlineLevel="0" collapsed="false">
      <c r="A48" s="3" t="s">
        <v>683</v>
      </c>
      <c r="B48" s="3" t="s">
        <v>536</v>
      </c>
      <c r="C48" s="38" t="s">
        <v>21</v>
      </c>
      <c r="J48" s="22" t="n">
        <f aca="false">Inputs!C125</f>
        <v>2190</v>
      </c>
    </row>
    <row r="49" customFormat="false" ht="15" hidden="false" customHeight="true" outlineLevel="0" collapsed="false">
      <c r="A49" s="28" t="s">
        <v>684</v>
      </c>
      <c r="B49" s="28" t="s">
        <v>569</v>
      </c>
      <c r="C49" s="38" t="s">
        <v>115</v>
      </c>
      <c r="J49" s="50" t="n">
        <f aca="false">J47/J48</f>
        <v>2107.01087671799</v>
      </c>
    </row>
    <row r="50" customFormat="false" ht="15" hidden="false" customHeight="true" outlineLevel="0" collapsed="false">
      <c r="A50" s="3" t="s">
        <v>685</v>
      </c>
      <c r="B50" s="3" t="s">
        <v>686</v>
      </c>
      <c r="C50" s="38" t="s">
        <v>21</v>
      </c>
      <c r="J50" s="49" t="n">
        <f aca="false">7905900/2190</f>
        <v>3610</v>
      </c>
      <c r="P50" s="38" t="s">
        <v>687</v>
      </c>
    </row>
    <row r="51" customFormat="false" ht="15" hidden="false" customHeight="true" outlineLevel="0" collapsed="false">
      <c r="A51" s="3" t="s">
        <v>688</v>
      </c>
      <c r="B51" s="3" t="s">
        <v>689</v>
      </c>
      <c r="C51" s="38" t="s">
        <v>115</v>
      </c>
      <c r="J51" s="48" t="n">
        <f aca="false">J49/J50-1</f>
        <v>-0.416340477363438</v>
      </c>
    </row>
    <row r="53" customFormat="false" ht="15" hidden="false" customHeight="true" outlineLevel="0" collapsed="false">
      <c r="B53" s="5" t="s">
        <v>690</v>
      </c>
    </row>
    <row r="54" customFormat="false" ht="15" hidden="false" customHeight="true" outlineLevel="0" collapsed="false">
      <c r="A54" s="3" t="s">
        <v>691</v>
      </c>
      <c r="B54" s="3" t="s">
        <v>692</v>
      </c>
      <c r="C54" s="38" t="s">
        <v>115</v>
      </c>
      <c r="J54" s="48" t="n">
        <f aca="false">J40/J44</f>
        <v>0.738724867487569</v>
      </c>
    </row>
    <row r="55" customFormat="false" ht="15" hidden="false" customHeight="true" outlineLevel="0" collapsed="false">
      <c r="A55" s="3" t="s">
        <v>693</v>
      </c>
      <c r="B55" s="3" t="s">
        <v>694</v>
      </c>
      <c r="C55" s="38" t="s">
        <v>115</v>
      </c>
      <c r="J55" s="57" t="n">
        <f aca="false">J44/H15</f>
        <v>10.9204488975977</v>
      </c>
    </row>
    <row r="56" customFormat="false" ht="15" hidden="false" customHeight="true" outlineLevel="0" collapsed="false">
      <c r="A56" s="3" t="s">
        <v>695</v>
      </c>
      <c r="B56" s="3" t="s">
        <v>696</v>
      </c>
      <c r="C56" s="38" t="s">
        <v>115</v>
      </c>
      <c r="J56" s="53" t="n">
        <f aca="false">O15*(1+J37)/J39</f>
        <v>0.105966753386369</v>
      </c>
      <c r="P56" s="38" t="s">
        <v>697</v>
      </c>
    </row>
    <row r="57" customFormat="false" ht="15" hidden="false" customHeight="true" outlineLevel="0" collapsed="false">
      <c r="A57" s="3" t="s">
        <v>698</v>
      </c>
      <c r="B57" s="3" t="s">
        <v>699</v>
      </c>
      <c r="C57" s="38" t="s">
        <v>115</v>
      </c>
      <c r="J57" s="57" t="n">
        <f aca="false">J44/Inputs!C67</f>
        <v>0.814102530710429</v>
      </c>
      <c r="P57" s="38" t="s">
        <v>700</v>
      </c>
    </row>
    <row r="58" customFormat="false" ht="15" hidden="false" customHeight="true" outlineLevel="0" collapsed="false">
      <c r="A58" s="3" t="s">
        <v>701</v>
      </c>
      <c r="B58" s="3" t="s">
        <v>702</v>
      </c>
      <c r="C58" s="38" t="s">
        <v>115</v>
      </c>
      <c r="J58" s="57" t="n">
        <f aca="false">(7905900+Inputs!C64+50841)/Inputs!C67</f>
        <v>1.26439414977954</v>
      </c>
    </row>
    <row r="60" customFormat="false" ht="15" hidden="false" customHeight="true" outlineLevel="0" collapsed="false">
      <c r="B60" s="5" t="s">
        <v>703</v>
      </c>
    </row>
    <row r="61" customFormat="false" ht="15" hidden="false" customHeight="true" outlineLevel="0" collapsed="false">
      <c r="D61" s="39" t="n">
        <v>0.025</v>
      </c>
      <c r="E61" s="39" t="n">
        <v>0.03</v>
      </c>
      <c r="F61" s="39" t="n">
        <v>0.035</v>
      </c>
    </row>
    <row r="62" customFormat="false" ht="15" hidden="false" customHeight="true" outlineLevel="0" collapsed="false">
      <c r="C62" s="39" t="n">
        <v>0.09</v>
      </c>
      <c r="D62" s="49" t="n">
        <f aca="false">(SUMPRODUCT($J$28:$O$28,1/(1+$C62)^$J$32:$O$32)+$O$28*(1+D$61)/($C62-D$61)/(1+$C62)^5.5+$J$45+$J$46)/$J$48</f>
        <v>2395.57615520411</v>
      </c>
      <c r="E62" s="49" t="n">
        <f aca="false">(SUMPRODUCT($J$28:$O$28,1/(1+$C62)^$J$32:$O$32)+$O$28*(1+E$61)/($C62-E$61)/(1+$C62)^5.5+$J$45+$J$46)/$J$48</f>
        <v>2597.19873886241</v>
      </c>
      <c r="F62" s="49" t="n">
        <f aca="false">(SUMPRODUCT($J$28:$O$28,1/(1+$C62)^$J$32:$O$32)+$O$28*(1+F$61)/($C62-F$61)/(1+$C62)^5.5+$J$45+$J$46)/$J$48</f>
        <v>2835.47997409494</v>
      </c>
    </row>
    <row r="63" customFormat="false" ht="15" hidden="false" customHeight="true" outlineLevel="0" collapsed="false">
      <c r="C63" s="39" t="n">
        <v>0.095</v>
      </c>
      <c r="D63" s="49" t="n">
        <f aca="false">(SUMPRODUCT($J$28:$O$28,1/(1+$C63)^$J$32:$O$32)+$O$28*(1+D$61)/($C63-D$61)/(1+$C63)^5.5+$J$45+$J$46)/$J$48</f>
        <v>2170.36894714083</v>
      </c>
      <c r="E63" s="49" t="n">
        <f aca="false">(SUMPRODUCT($J$28:$O$28,1/(1+$C63)^$J$32:$O$32)+$O$28*(1+E$61)/($C63-E$61)/(1+$C63)^5.5+$J$45+$J$46)/$J$48</f>
        <v>2339.66549031529</v>
      </c>
      <c r="F63" s="49" t="n">
        <f aca="false">(SUMPRODUCT($J$28:$O$28,1/(1+$C63)^$J$32:$O$32)+$O$28*(1+F$61)/($C63-F$61)/(1+$C63)^5.5+$J$45+$J$46)/$J$48</f>
        <v>2537.17812401881</v>
      </c>
    </row>
    <row r="64" customFormat="false" ht="15" hidden="false" customHeight="true" outlineLevel="0" collapsed="false">
      <c r="C64" s="39" t="n">
        <v>0.1003</v>
      </c>
      <c r="D64" s="49" t="n">
        <f aca="false">(SUMPRODUCT($J$28:$O$28,1/(1+$C64)^$J$32:$O$32)+$O$28*(1+D$61)/($C64-D$61)/(1+$C64)^5.5+$J$45+$J$46)/$J$48</f>
        <v>1964.62309836867</v>
      </c>
      <c r="E64" s="49" t="n">
        <f aca="false">(SUMPRODUCT($J$28:$O$28,1/(1+$C64)^$J$32:$O$32)+$O$28*(1+E$61)/($C64-E$61)/(1+$C64)^5.5+$J$45+$J$46)/$J$48</f>
        <v>2107.01087671799</v>
      </c>
      <c r="F64" s="49" t="n">
        <f aca="false">(SUMPRODUCT($J$28:$O$28,1/(1+$C64)^$J$32:$O$32)+$O$28*(1+F$61)/($C64-F$61)/(1+$C64)^5.5+$J$45+$J$46)/$J$48</f>
        <v>2271.203827862</v>
      </c>
    </row>
    <row r="65" customFormat="false" ht="15" hidden="false" customHeight="true" outlineLevel="0" collapsed="false">
      <c r="C65" s="39" t="n">
        <v>0.105</v>
      </c>
      <c r="D65" s="49" t="n">
        <f aca="false">(SUMPRODUCT($J$28:$O$28,1/(1+$C65)^$J$32:$O$32)+$O$28*(1+D$61)/($C65-D$61)/(1+$C65)^5.5+$J$45+$J$46)/$J$48</f>
        <v>1805.225971191</v>
      </c>
      <c r="E65" s="49" t="n">
        <f aca="false">(SUMPRODUCT($J$28:$O$28,1/(1+$C65)^$J$32:$O$32)+$O$28*(1+E$61)/($C65-E$61)/(1+$C65)^5.5+$J$45+$J$46)/$J$48</f>
        <v>1928.46308592224</v>
      </c>
      <c r="F65" s="49" t="n">
        <f aca="false">(SUMPRODUCT($J$28:$O$28,1/(1+$C65)^$J$32:$O$32)+$O$28*(1+F$61)/($C65-F$61)/(1+$C65)^5.5+$J$45+$J$46)/$J$48</f>
        <v>2069.30550275794</v>
      </c>
    </row>
    <row r="66" customFormat="false" ht="15" hidden="false" customHeight="true" outlineLevel="0" collapsed="false">
      <c r="C66" s="39" t="n">
        <v>0.11</v>
      </c>
      <c r="D66" s="49" t="n">
        <f aca="false">(SUMPRODUCT($J$28:$O$28,1/(1+$C66)^$J$32:$O$32)+$O$28*(1+D$61)/($C66-D$61)/(1+$C66)^5.5+$J$45+$J$46)/$J$48</f>
        <v>1655.23961569937</v>
      </c>
      <c r="E66" s="49" t="n">
        <f aca="false">(SUMPRODUCT($J$28:$O$28,1/(1+$C66)^$J$32:$O$32)+$O$28*(1+E$61)/($C66-E$61)/(1+$C66)^5.5+$J$45+$J$46)/$J$48</f>
        <v>1761.79139494711</v>
      </c>
      <c r="F66" s="49" t="n">
        <f aca="false">(SUMPRODUCT($J$28:$O$28,1/(1+$C66)^$J$32:$O$32)+$O$28*(1+F$61)/($C66-F$61)/(1+$C66)^5.5+$J$45+$J$46)/$J$48</f>
        <v>1882.55007809455</v>
      </c>
    </row>
    <row r="68" customFormat="false" ht="15" hidden="false" customHeight="true" outlineLevel="0" collapsed="false">
      <c r="B68" s="5" t="s">
        <v>704</v>
      </c>
    </row>
    <row r="69" customFormat="false" ht="15" hidden="false" customHeight="true" outlineLevel="0" collapsed="false">
      <c r="D69" s="26" t="n">
        <v>0.168</v>
      </c>
      <c r="E69" s="26" t="n">
        <v>0.22</v>
      </c>
      <c r="F69" s="26" t="n">
        <v>0.27</v>
      </c>
    </row>
    <row r="70" customFormat="false" ht="15" hidden="false" customHeight="true" outlineLevel="0" collapsed="false">
      <c r="C70" s="39" t="n">
        <v>0.09</v>
      </c>
      <c r="D70" s="49" t="n">
        <f aca="false">(SUMPRODUCT($J$28:$O$28,1/(1+$C70)^$J$32:$O$32)+((O$19*(1-D$69)+O$11+O$26)*(1+$J$37))/($C70-$J$37)/(1+$C70)^5.5+$J$45+$J$46)/$J$48</f>
        <v>2974.6482257734</v>
      </c>
      <c r="E70" s="49" t="n">
        <f aca="false">(SUMPRODUCT($J$28:$O$28,1/(1+$C70)^$J$32:$O$32)+((O$19*(1-E$69)+O$11+O$26)*(1+$J$37))/($C70-$J$37)/(1+$C70)^5.5+$J$45+$J$46)/$J$48</f>
        <v>2782.22299715211</v>
      </c>
      <c r="F70" s="49" t="n">
        <f aca="false">(SUMPRODUCT($J$28:$O$28,1/(1+$C70)^$J$32:$O$32)+((O$19*(1-F$69)+O$11+O$26)*(1+$J$37))/($C70-$J$37)/(1+$C70)^5.5+$J$45+$J$46)/$J$48</f>
        <v>2597.19873886241</v>
      </c>
    </row>
    <row r="71" customFormat="false" ht="15" hidden="false" customHeight="true" outlineLevel="0" collapsed="false">
      <c r="C71" s="39" t="n">
        <v>0.095</v>
      </c>
      <c r="D71" s="49" t="n">
        <f aca="false">(SUMPRODUCT($J$28:$O$28,1/(1+$C71)^$J$32:$O$32)+((O$19*(1-D$69)+O$11+O$26)*(1+$J$37))/($C71-$J$37)/(1+$C71)^5.5+$J$45+$J$46)/$J$48</f>
        <v>2679.41967635765</v>
      </c>
      <c r="E71" s="49" t="n">
        <f aca="false">(SUMPRODUCT($J$28:$O$28,1/(1+$C71)^$J$32:$O$32)+((O$19*(1-E$69)+O$11+O$26)*(1+$J$37))/($C71-$J$37)/(1+$C71)^5.5+$J$45+$J$46)/$J$48</f>
        <v>2506.2116599439</v>
      </c>
      <c r="F71" s="49" t="n">
        <f aca="false">(SUMPRODUCT($J$28:$O$28,1/(1+$C71)^$J$32:$O$32)+((O$19*(1-F$69)+O$11+O$26)*(1+$J$37))/($C71-$J$37)/(1+$C71)^5.5+$J$45+$J$46)/$J$48</f>
        <v>2339.66549031529</v>
      </c>
    </row>
    <row r="72" customFormat="false" ht="15" hidden="false" customHeight="true" outlineLevel="0" collapsed="false">
      <c r="C72" s="39" t="n">
        <v>0.1003</v>
      </c>
      <c r="D72" s="49" t="n">
        <f aca="false">(SUMPRODUCT($J$28:$O$28,1/(1+$C72)^$J$32:$O$32)+((O$19*(1-D$69)+O$11+O$26)*(1+$J$37))/($C72-$J$37)/(1+$C72)^5.5+$J$45+$J$46)/$J$48</f>
        <v>2412.91785357735</v>
      </c>
      <c r="E72" s="49" t="n">
        <f aca="false">(SUMPRODUCT($J$28:$O$28,1/(1+$C72)^$J$32:$O$32)+((O$19*(1-E$69)+O$11+O$26)*(1+$J$37))/($C72-$J$37)/(1+$C72)^5.5+$J$45+$J$46)/$J$48</f>
        <v>2256.96527713925</v>
      </c>
      <c r="F72" s="49" t="n">
        <f aca="false">(SUMPRODUCT($J$28:$O$28,1/(1+$C72)^$J$32:$O$32)+((O$19*(1-F$69)+O$11+O$26)*(1+$J$37))/($C72-$J$37)/(1+$C72)^5.5+$J$45+$J$46)/$J$48</f>
        <v>2107.01087671799</v>
      </c>
    </row>
    <row r="73" customFormat="false" ht="15" hidden="false" customHeight="true" outlineLevel="0" collapsed="false">
      <c r="C73" s="39" t="n">
        <v>0.105</v>
      </c>
      <c r="D73" s="49" t="n">
        <f aca="false">(SUMPRODUCT($J$28:$O$28,1/(1+$C73)^$J$32:$O$32)+((O$19*(1-D$69)+O$11+O$26)*(1+$J$37))/($C73-$J$37)/(1+$C73)^5.5+$J$45+$J$46)/$J$48</f>
        <v>2208.555944483</v>
      </c>
      <c r="E73" s="49" t="n">
        <f aca="false">(SUMPRODUCT($J$28:$O$28,1/(1+$C73)^$J$32:$O$32)+((O$19*(1-E$69)+O$11+O$26)*(1+$J$37))/($C73-$J$37)/(1+$C73)^5.5+$J$45+$J$46)/$J$48</f>
        <v>2065.76350678535</v>
      </c>
      <c r="F73" s="49" t="n">
        <f aca="false">(SUMPRODUCT($J$28:$O$28,1/(1+$C73)^$J$32:$O$32)+((O$19*(1-F$69)+O$11+O$26)*(1+$J$37))/($C73-$J$37)/(1+$C73)^5.5+$J$45+$J$46)/$J$48</f>
        <v>1928.46308592224</v>
      </c>
    </row>
    <row r="74" customFormat="false" ht="15" hidden="false" customHeight="true" outlineLevel="0" collapsed="false">
      <c r="C74" s="39" t="n">
        <v>0.11</v>
      </c>
      <c r="D74" s="49" t="n">
        <f aca="false">(SUMPRODUCT($J$28:$O$28,1/(1+$C74)^$J$32:$O$32)+((O$19*(1-D$69)+O$11+O$26)*(1+$J$37))/($C74-$J$37)/(1+$C74)^5.5+$J$45+$J$46)/$J$48</f>
        <v>2017.93850365338</v>
      </c>
      <c r="E74" s="49" t="n">
        <f aca="false">(SUMPRODUCT($J$28:$O$28,1/(1+$C74)^$J$32:$O$32)+((O$19*(1-E$69)+O$11+O$26)*(1+$J$37))/($C74-$J$37)/(1+$C74)^5.5+$J$45+$J$46)/$J$48</f>
        <v>1887.35370313646</v>
      </c>
      <c r="F74" s="49" t="n">
        <f aca="false">(SUMPRODUCT($J$28:$O$28,1/(1+$C74)^$J$32:$O$32)+((O$19*(1-F$69)+O$11+O$26)*(1+$J$37))/($C74-$J$37)/(1+$C74)^5.5+$J$45+$J$46)/$J$48</f>
        <v>1761.79139494711</v>
      </c>
    </row>
    <row r="76" customFormat="false" ht="15" hidden="false" customHeight="true" outlineLevel="0" collapsed="false">
      <c r="B76" s="5" t="s">
        <v>705</v>
      </c>
    </row>
    <row r="77" customFormat="false" ht="15" hidden="false" customHeight="true" outlineLevel="0" collapsed="false">
      <c r="B77" s="28" t="s">
        <v>706</v>
      </c>
      <c r="D77" s="3" t="s">
        <v>707</v>
      </c>
    </row>
    <row r="78" customFormat="false" ht="15" hidden="false" customHeight="true" outlineLevel="0" collapsed="false">
      <c r="B78" s="28" t="s">
        <v>708</v>
      </c>
      <c r="D78" s="3" t="s">
        <v>709</v>
      </c>
    </row>
    <row r="79" customFormat="false" ht="15" hidden="false" customHeight="true" outlineLevel="0" collapsed="false">
      <c r="B79" s="28" t="s">
        <v>710</v>
      </c>
      <c r="D79" s="3" t="s">
        <v>711</v>
      </c>
    </row>
    <row r="80" customFormat="false" ht="15" hidden="false" customHeight="true" outlineLevel="0" collapsed="false">
      <c r="B80" s="28" t="s">
        <v>712</v>
      </c>
      <c r="D80" s="3" t="s">
        <v>713</v>
      </c>
    </row>
    <row r="81" customFormat="false" ht="15" hidden="false" customHeight="true" outlineLevel="0" collapsed="false">
      <c r="B81" s="28" t="s">
        <v>714</v>
      </c>
      <c r="D81" s="3" t="s">
        <v>715</v>
      </c>
    </row>
    <row r="82" customFormat="false" ht="15" hidden="false" customHeight="true" outlineLevel="0" collapsed="false">
      <c r="B82" s="28" t="s">
        <v>716</v>
      </c>
      <c r="D82" s="3" t="s">
        <v>717</v>
      </c>
    </row>
    <row r="83" customFormat="false" ht="15" hidden="false" customHeight="true" outlineLevel="0" collapsed="false">
      <c r="B83" s="28" t="s">
        <v>718</v>
      </c>
      <c r="D83" s="3" t="s">
        <v>719</v>
      </c>
    </row>
    <row r="84" customFormat="false" ht="15" hidden="false" customHeight="true" outlineLevel="0" collapsed="false">
      <c r="B84" s="28" t="s">
        <v>720</v>
      </c>
      <c r="D84" s="3" t="s">
        <v>721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6" min="2" style="1" width="13"/>
    <col collapsed="false" customWidth="true" hidden="false" outlineLevel="0" max="7" min="7" style="1" width="58"/>
  </cols>
  <sheetData>
    <row r="1" customFormat="false" ht="15" hidden="false" customHeight="true" outlineLevel="0" collapsed="false">
      <c r="A1" s="2" t="s">
        <v>722</v>
      </c>
    </row>
    <row r="2" customFormat="false" ht="15" hidden="false" customHeight="true" outlineLevel="0" collapsed="false">
      <c r="A2" s="14" t="s">
        <v>723</v>
      </c>
    </row>
    <row r="4" customFormat="false" ht="15" hidden="false" customHeight="true" outlineLevel="0" collapsed="false">
      <c r="A4" s="5" t="s">
        <v>724</v>
      </c>
      <c r="B4" s="5" t="s">
        <v>725</v>
      </c>
      <c r="C4" s="5" t="s">
        <v>726</v>
      </c>
      <c r="D4" s="5" t="s">
        <v>727</v>
      </c>
      <c r="E4" s="5" t="s">
        <v>728</v>
      </c>
      <c r="F4" s="5" t="s">
        <v>729</v>
      </c>
      <c r="G4" s="5" t="s">
        <v>730</v>
      </c>
    </row>
    <row r="5" customFormat="false" ht="15" hidden="false" customHeight="true" outlineLevel="0" collapsed="false">
      <c r="A5" s="3" t="s">
        <v>731</v>
      </c>
      <c r="C5" s="6" t="n">
        <v>243119.543</v>
      </c>
      <c r="D5" s="6" t="n">
        <v>264312.607</v>
      </c>
      <c r="E5" s="6" t="n">
        <v>316775.711</v>
      </c>
      <c r="F5" s="6" t="n">
        <v>383792.582</v>
      </c>
      <c r="G5" s="3" t="s">
        <v>732</v>
      </c>
    </row>
    <row r="6" customFormat="false" ht="15" hidden="false" customHeight="true" outlineLevel="0" collapsed="false">
      <c r="A6" s="3" t="s">
        <v>36</v>
      </c>
      <c r="C6" s="6" t="n">
        <v>170697</v>
      </c>
      <c r="D6" s="6" t="n">
        <v>188159</v>
      </c>
      <c r="E6" s="6" t="n">
        <v>227727</v>
      </c>
      <c r="F6" s="6" t="n">
        <v>272233</v>
      </c>
      <c r="G6" s="3" t="s">
        <v>733</v>
      </c>
    </row>
    <row r="7" customFormat="false" ht="15" hidden="false" customHeight="true" outlineLevel="0" collapsed="false">
      <c r="A7" s="3" t="s">
        <v>734</v>
      </c>
      <c r="C7" s="6" t="n">
        <v>271632.108</v>
      </c>
      <c r="D7" s="6" t="n">
        <v>228661.956</v>
      </c>
      <c r="E7" s="6" t="n">
        <v>271106.287</v>
      </c>
      <c r="F7" s="6" t="n">
        <v>328348.131</v>
      </c>
      <c r="G7" s="3" t="s">
        <v>735</v>
      </c>
    </row>
    <row r="8" customFormat="false" ht="15" hidden="false" customHeight="true" outlineLevel="0" collapsed="false">
      <c r="A8" s="3" t="s">
        <v>736</v>
      </c>
      <c r="C8" s="6" t="n">
        <v>5128.377</v>
      </c>
      <c r="D8" s="6" t="n">
        <v>5280.937</v>
      </c>
      <c r="E8" s="6" t="n">
        <v>6518.906</v>
      </c>
      <c r="F8" s="6" t="n">
        <v>4739.59</v>
      </c>
      <c r="G8" s="3" t="s">
        <v>737</v>
      </c>
    </row>
    <row r="9" customFormat="false" ht="15" hidden="false" customHeight="true" outlineLevel="0" collapsed="false">
      <c r="A9" s="3" t="s">
        <v>738</v>
      </c>
      <c r="C9" s="6" t="n">
        <v>101031.635</v>
      </c>
      <c r="D9" s="6" t="n">
        <v>112345.334</v>
      </c>
      <c r="E9" s="6" t="n">
        <v>120571.308</v>
      </c>
      <c r="F9" s="6" t="n">
        <v>149972.703</v>
      </c>
      <c r="G9" s="3" t="s">
        <v>739</v>
      </c>
    </row>
    <row r="10" customFormat="false" ht="15" hidden="false" customHeight="true" outlineLevel="0" collapsed="false">
      <c r="A10" s="3" t="s">
        <v>740</v>
      </c>
      <c r="C10" s="6" t="n">
        <v>137551.973</v>
      </c>
      <c r="D10" s="6" t="n">
        <v>129114.886</v>
      </c>
      <c r="E10" s="6" t="n">
        <v>149541.579</v>
      </c>
      <c r="F10" s="6" t="n">
        <v>213796.304</v>
      </c>
      <c r="G10" s="3" t="s">
        <v>741</v>
      </c>
    </row>
    <row r="11" customFormat="false" ht="15" hidden="false" customHeight="true" outlineLevel="0" collapsed="false">
      <c r="A11" s="3" t="s">
        <v>162</v>
      </c>
      <c r="B11" s="6" t="n">
        <v>2183835.773</v>
      </c>
      <c r="C11" s="6" t="n">
        <v>2341871.546</v>
      </c>
      <c r="D11" s="6" t="n">
        <v>2750846.254</v>
      </c>
      <c r="E11" s="6" t="n">
        <v>3042457.013</v>
      </c>
      <c r="F11" s="6" t="n">
        <v>3606680.82</v>
      </c>
      <c r="G11" s="3" t="s">
        <v>742</v>
      </c>
    </row>
    <row r="12" customFormat="false" ht="15" hidden="false" customHeight="true" outlineLevel="0" collapsed="false">
      <c r="A12" s="3" t="s">
        <v>231</v>
      </c>
      <c r="B12" s="6" t="n">
        <v>1077424.538</v>
      </c>
      <c r="C12" s="6" t="n">
        <v>1144928.854</v>
      </c>
      <c r="D12" s="6" t="n">
        <v>1298911.303</v>
      </c>
      <c r="E12" s="6" t="n">
        <v>1464457.742</v>
      </c>
      <c r="F12" s="6" t="n">
        <v>1594521.872</v>
      </c>
      <c r="G12" s="3" t="s">
        <v>743</v>
      </c>
    </row>
    <row r="13" customFormat="false" ht="15" hidden="false" customHeight="true" outlineLevel="0" collapsed="false">
      <c r="A13" s="3" t="s">
        <v>744</v>
      </c>
      <c r="C13" s="6" t="n">
        <v>116991.745</v>
      </c>
      <c r="D13" s="6" t="n">
        <v>167120.266</v>
      </c>
      <c r="E13" s="6" t="n">
        <v>187477.077</v>
      </c>
      <c r="F13" s="6" t="n">
        <v>153323.028</v>
      </c>
      <c r="G13" s="3" t="s">
        <v>745</v>
      </c>
    </row>
    <row r="14" customFormat="false" ht="15" hidden="false" customHeight="true" outlineLevel="0" collapsed="false">
      <c r="A14" s="3" t="s">
        <v>746</v>
      </c>
      <c r="C14" s="6" t="n">
        <v>1034638.264</v>
      </c>
      <c r="D14" s="6" t="n">
        <v>1183607.719</v>
      </c>
      <c r="E14" s="6" t="n">
        <v>1394282.958</v>
      </c>
      <c r="F14" s="6" t="n">
        <v>1547183.896</v>
      </c>
      <c r="G14" s="3" t="s">
        <v>747</v>
      </c>
    </row>
    <row r="15" customFormat="false" ht="15" hidden="false" customHeight="true" outlineLevel="0" collapsed="false">
      <c r="A15" s="3" t="s">
        <v>748</v>
      </c>
      <c r="C15" s="6" t="n">
        <v>243042.95</v>
      </c>
      <c r="D15" s="6" t="n">
        <v>319187.003</v>
      </c>
      <c r="E15" s="6" t="n">
        <v>387091.464</v>
      </c>
      <c r="F15" s="6" t="n">
        <v>153099.714</v>
      </c>
      <c r="G15" s="3" t="s">
        <v>749</v>
      </c>
    </row>
    <row r="16" customFormat="false" ht="15" hidden="false" customHeight="true" outlineLevel="0" collapsed="false">
      <c r="A16" s="3" t="s">
        <v>750</v>
      </c>
      <c r="C16" s="6" t="n">
        <v>2938210.602</v>
      </c>
      <c r="D16" s="6" t="n">
        <v>3482971.147</v>
      </c>
      <c r="E16" s="6" t="n">
        <v>3930479.526</v>
      </c>
      <c r="F16" s="6" t="n">
        <v>4284682.595</v>
      </c>
      <c r="G16" s="3" t="s">
        <v>751</v>
      </c>
    </row>
    <row r="18" customFormat="false" ht="15" hidden="false" customHeight="true" outlineLevel="0" collapsed="false">
      <c r="A18" s="5" t="s">
        <v>752</v>
      </c>
      <c r="B18" s="5" t="s">
        <v>725</v>
      </c>
      <c r="C18" s="5" t="s">
        <v>726</v>
      </c>
      <c r="D18" s="5" t="s">
        <v>727</v>
      </c>
      <c r="E18" s="5" t="s">
        <v>728</v>
      </c>
      <c r="F18" s="5" t="s">
        <v>729</v>
      </c>
      <c r="G18" s="5" t="s">
        <v>730</v>
      </c>
    </row>
    <row r="19" customFormat="false" ht="15" hidden="false" customHeight="true" outlineLevel="0" collapsed="false">
      <c r="A19" s="3" t="s">
        <v>731</v>
      </c>
      <c r="C19" s="6" t="n">
        <v>286949.855</v>
      </c>
      <c r="D19" s="6" t="n">
        <v>314784.929</v>
      </c>
      <c r="E19" s="6" t="n">
        <v>353183.704</v>
      </c>
      <c r="F19" s="6" t="n">
        <v>377940.605</v>
      </c>
      <c r="G19" s="3" t="s">
        <v>732</v>
      </c>
    </row>
    <row r="20" customFormat="false" ht="15" hidden="false" customHeight="true" outlineLevel="0" collapsed="false">
      <c r="A20" s="3" t="s">
        <v>624</v>
      </c>
      <c r="C20" s="16" t="n">
        <v>0.9</v>
      </c>
      <c r="D20" s="16" t="n">
        <v>0.9</v>
      </c>
      <c r="E20" s="16" t="n">
        <v>0.908</v>
      </c>
      <c r="F20" s="16" t="n">
        <v>0.901</v>
      </c>
      <c r="G20" s="3" t="s">
        <v>753</v>
      </c>
    </row>
    <row r="21" customFormat="false" ht="15" hidden="false" customHeight="true" outlineLevel="0" collapsed="false">
      <c r="A21" s="3" t="s">
        <v>754</v>
      </c>
      <c r="C21" s="6" t="n">
        <v>-29523.565</v>
      </c>
      <c r="D21" s="6" t="n">
        <v>10515.477</v>
      </c>
      <c r="E21" s="6" t="n">
        <v>-66670.135</v>
      </c>
      <c r="F21" s="6" t="n">
        <v>-96648.526</v>
      </c>
      <c r="G21" s="3" t="s">
        <v>755</v>
      </c>
    </row>
    <row r="22" customFormat="false" ht="15" hidden="false" customHeight="true" outlineLevel="0" collapsed="false">
      <c r="A22" s="3" t="s">
        <v>738</v>
      </c>
      <c r="C22" s="6" t="n">
        <v>181875.546</v>
      </c>
      <c r="D22" s="6" t="n">
        <v>187329.711</v>
      </c>
      <c r="E22" s="6" t="n">
        <v>266953.083</v>
      </c>
      <c r="F22" s="6" t="n">
        <v>303966.192</v>
      </c>
      <c r="G22" s="3" t="s">
        <v>739</v>
      </c>
    </row>
    <row r="23" customFormat="false" ht="15" hidden="false" customHeight="true" outlineLevel="0" collapsed="false">
      <c r="A23" s="3" t="s">
        <v>162</v>
      </c>
      <c r="B23" s="6" t="n">
        <v>3794629.247</v>
      </c>
      <c r="C23" s="6" t="n">
        <v>3871649.123</v>
      </c>
      <c r="D23" s="6" t="n">
        <v>3955476.261</v>
      </c>
      <c r="E23" s="6" t="n">
        <v>4122201.796</v>
      </c>
      <c r="F23" s="6" t="n">
        <v>4395015.526</v>
      </c>
      <c r="G23" s="3" t="s">
        <v>756</v>
      </c>
    </row>
    <row r="24" customFormat="false" ht="15" hidden="false" customHeight="true" outlineLevel="0" collapsed="false">
      <c r="A24" s="3" t="s">
        <v>231</v>
      </c>
      <c r="B24" s="6" t="n">
        <v>2663057.704</v>
      </c>
      <c r="C24" s="6" t="n">
        <v>2679608.628</v>
      </c>
      <c r="D24" s="6" t="n">
        <v>2744754.862</v>
      </c>
      <c r="E24" s="6" t="n">
        <v>2828031.717</v>
      </c>
      <c r="F24" s="6" t="n">
        <v>2989170.608</v>
      </c>
      <c r="G24" s="3" t="s">
        <v>743</v>
      </c>
    </row>
    <row r="25" customFormat="false" ht="15" hidden="false" customHeight="true" outlineLevel="0" collapsed="false">
      <c r="A25" s="3" t="s">
        <v>744</v>
      </c>
      <c r="C25" s="6" t="n">
        <v>3415.014</v>
      </c>
      <c r="D25" s="6" t="n">
        <v>3704.413</v>
      </c>
      <c r="E25" s="6" t="n">
        <v>2545.265</v>
      </c>
      <c r="F25" s="6" t="n">
        <v>2632.142</v>
      </c>
      <c r="G25" s="3" t="s">
        <v>745</v>
      </c>
    </row>
    <row r="26" customFormat="false" ht="15" hidden="false" customHeight="true" outlineLevel="0" collapsed="false">
      <c r="A26" s="3" t="s">
        <v>746</v>
      </c>
      <c r="C26" s="6" t="n">
        <v>671134.623</v>
      </c>
      <c r="D26" s="6" t="n">
        <v>702753.144</v>
      </c>
      <c r="E26" s="6" t="n">
        <v>734811.853</v>
      </c>
      <c r="F26" s="6" t="n">
        <v>759521.589</v>
      </c>
      <c r="G26" s="3" t="s">
        <v>747</v>
      </c>
    </row>
    <row r="27" customFormat="false" ht="15" hidden="false" customHeight="true" outlineLevel="0" collapsed="false">
      <c r="A27" s="3" t="s">
        <v>748</v>
      </c>
      <c r="C27" s="6" t="n">
        <v>46100.451</v>
      </c>
      <c r="D27" s="6" t="n">
        <v>52508.911</v>
      </c>
      <c r="E27" s="6" t="n">
        <v>115011.66</v>
      </c>
      <c r="F27" s="6" t="n">
        <v>44347.593</v>
      </c>
      <c r="G27" s="3" t="s">
        <v>749</v>
      </c>
    </row>
    <row r="28" customFormat="false" ht="15" hidden="false" customHeight="true" outlineLevel="0" collapsed="false">
      <c r="A28" s="3" t="s">
        <v>750</v>
      </c>
      <c r="C28" s="6" t="n">
        <v>4059976.212</v>
      </c>
      <c r="D28" s="6" t="n">
        <v>4147695.594</v>
      </c>
      <c r="E28" s="6" t="n">
        <v>4291155.679</v>
      </c>
      <c r="F28" s="6" t="n">
        <v>4501457.077</v>
      </c>
      <c r="G28" s="3" t="s">
        <v>751</v>
      </c>
    </row>
    <row r="30" customFormat="false" ht="15" hidden="false" customHeight="true" outlineLevel="0" collapsed="false">
      <c r="A30" s="3" t="s">
        <v>757</v>
      </c>
      <c r="B30" s="16" t="n">
        <v>0.27</v>
      </c>
    </row>
    <row r="32" customFormat="false" ht="15" hidden="false" customHeight="true" outlineLevel="0" collapsed="false">
      <c r="A32" s="5" t="s">
        <v>758</v>
      </c>
      <c r="C32" s="5" t="s">
        <v>726</v>
      </c>
      <c r="D32" s="5" t="s">
        <v>727</v>
      </c>
      <c r="E32" s="5" t="s">
        <v>728</v>
      </c>
      <c r="F32" s="5" t="s">
        <v>729</v>
      </c>
    </row>
    <row r="33" customFormat="false" ht="15" hidden="false" customHeight="true" outlineLevel="0" collapsed="false">
      <c r="A33" s="3" t="s">
        <v>759</v>
      </c>
      <c r="C33" s="48" t="n">
        <f aca="false">C6/C5</f>
        <v>0.702111388881642</v>
      </c>
      <c r="D33" s="48" t="n">
        <f aca="false">D6/D5</f>
        <v>0.711880534703364</v>
      </c>
      <c r="E33" s="48" t="n">
        <f aca="false">E6/E5</f>
        <v>0.718890344468361</v>
      </c>
      <c r="F33" s="48" t="n">
        <f aca="false">F6/F5</f>
        <v>0.709323245856795</v>
      </c>
    </row>
    <row r="34" customFormat="false" ht="15" hidden="false" customHeight="true" outlineLevel="0" collapsed="false">
      <c r="A34" s="3" t="s">
        <v>760</v>
      </c>
      <c r="C34" s="49" t="n">
        <f aca="false">C7-(C6-C8)</f>
        <v>106063.485</v>
      </c>
      <c r="D34" s="49" t="n">
        <f aca="false">D7-(D6-D8)</f>
        <v>45783.893</v>
      </c>
      <c r="E34" s="49" t="n">
        <f aca="false">E7-(E6-E8)</f>
        <v>49898.193</v>
      </c>
      <c r="F34" s="49" t="n">
        <f aca="false">F7-(F6-F8)</f>
        <v>60854.721</v>
      </c>
    </row>
    <row r="35" customFormat="false" ht="15" hidden="false" customHeight="true" outlineLevel="0" collapsed="false">
      <c r="A35" s="3" t="s">
        <v>761</v>
      </c>
      <c r="C35" s="48" t="n">
        <f aca="false">C9/C10</f>
        <v>0.734497897750983</v>
      </c>
      <c r="D35" s="48" t="n">
        <f aca="false">D9/D10</f>
        <v>0.87011914334959</v>
      </c>
      <c r="E35" s="48" t="n">
        <f aca="false">E9/E10</f>
        <v>0.806272802562824</v>
      </c>
      <c r="F35" s="48" t="n">
        <f aca="false">F9/F10</f>
        <v>0.701474722406801</v>
      </c>
    </row>
    <row r="36" customFormat="false" ht="15" hidden="false" customHeight="true" outlineLevel="0" collapsed="false">
      <c r="A36" s="3" t="s">
        <v>762</v>
      </c>
      <c r="C36" s="49" t="n">
        <f aca="false">C9-C34*(1-$B$30)*C35</f>
        <v>44162.1480647306</v>
      </c>
      <c r="D36" s="49" t="n">
        <f aca="false">D9-D34*(1-$B$30)*D35</f>
        <v>83264.0015178504</v>
      </c>
      <c r="E36" s="49" t="n">
        <f aca="false">E9-E34*(1-$B$30)*E35</f>
        <v>91202.2721835606</v>
      </c>
      <c r="F36" s="49" t="n">
        <f aca="false">F9-F34*(1-$B$30)*F35</f>
        <v>118810.427579949</v>
      </c>
    </row>
    <row r="37" customFormat="false" ht="15" hidden="false" customHeight="true" outlineLevel="0" collapsed="false">
      <c r="A37" s="3" t="s">
        <v>763</v>
      </c>
      <c r="C37" s="49" t="n">
        <f aca="false">(B12+C12)/2</f>
        <v>1111176.696</v>
      </c>
      <c r="D37" s="49" t="n">
        <f aca="false">(C12+D12)/2</f>
        <v>1221920.0785</v>
      </c>
      <c r="E37" s="49" t="n">
        <f aca="false">(D12+E12)/2</f>
        <v>1381684.5225</v>
      </c>
      <c r="F37" s="49" t="n">
        <f aca="false">(E12+F12)/2</f>
        <v>1529489.807</v>
      </c>
    </row>
    <row r="38" customFormat="false" ht="15" hidden="false" customHeight="true" outlineLevel="0" collapsed="false">
      <c r="A38" s="3" t="s">
        <v>764</v>
      </c>
      <c r="C38" s="48" t="n">
        <f aca="false">C9/C37</f>
        <v>0.0909231046364565</v>
      </c>
      <c r="D38" s="48" t="n">
        <f aca="false">D9/D37</f>
        <v>0.0919416383908778</v>
      </c>
      <c r="E38" s="48" t="n">
        <f aca="false">E9/E37</f>
        <v>0.0872639926383774</v>
      </c>
      <c r="F38" s="48" t="n">
        <f aca="false">F9/F37</f>
        <v>0.0980540715692393</v>
      </c>
    </row>
    <row r="39" customFormat="false" ht="15" hidden="false" customHeight="true" outlineLevel="0" collapsed="false">
      <c r="A39" s="3" t="s">
        <v>765</v>
      </c>
      <c r="C39" s="48" t="n">
        <f aca="false">C36/C37</f>
        <v>0.039743587337374</v>
      </c>
      <c r="D39" s="48" t="n">
        <f aca="false">D36/D37</f>
        <v>0.0681419374171045</v>
      </c>
      <c r="E39" s="48" t="n">
        <f aca="false">E36/E37</f>
        <v>0.0660080291111176</v>
      </c>
      <c r="F39" s="48" t="n">
        <f aca="false">F36/F37</f>
        <v>0.0776797772931799</v>
      </c>
    </row>
    <row r="40" customFormat="false" ht="15" hidden="false" customHeight="true" outlineLevel="0" collapsed="false">
      <c r="A40" s="3" t="s">
        <v>766</v>
      </c>
      <c r="C40" s="48" t="n">
        <f aca="false">C34/B11</f>
        <v>0.0485675188177257</v>
      </c>
      <c r="D40" s="48" t="n">
        <f aca="false">D34/C11</f>
        <v>0.0195501299284329</v>
      </c>
      <c r="E40" s="48" t="n">
        <f aca="false">E34/D11</f>
        <v>0.0181392154968469</v>
      </c>
      <c r="F40" s="48" t="n">
        <f aca="false">F34/E11</f>
        <v>0.0200018342872146</v>
      </c>
    </row>
    <row r="41" customFormat="false" ht="15" hidden="false" customHeight="true" outlineLevel="0" collapsed="false">
      <c r="A41" s="3" t="s">
        <v>767</v>
      </c>
      <c r="C41" s="53" t="n">
        <f aca="false">C6/C11</f>
        <v>0.0728891387281922</v>
      </c>
      <c r="D41" s="53" t="n">
        <f aca="false">D6/D11</f>
        <v>0.0684004057756403</v>
      </c>
      <c r="E41" s="53" t="n">
        <f aca="false">E6/E11</f>
        <v>0.0748497017466324</v>
      </c>
      <c r="F41" s="53" t="n">
        <f aca="false">F6/F11</f>
        <v>0.0754802028752852</v>
      </c>
    </row>
    <row r="42" customFormat="false" ht="15" hidden="false" customHeight="true" outlineLevel="0" collapsed="false">
      <c r="A42" s="3" t="s">
        <v>768</v>
      </c>
      <c r="C42" s="48" t="n">
        <f aca="false">(C13+C14-C15)/C11</f>
        <v>0.387974763411725</v>
      </c>
      <c r="D42" s="48" t="n">
        <f aca="false">(D13+D14-D15)/D11</f>
        <v>0.374990416312812</v>
      </c>
      <c r="E42" s="48" t="n">
        <f aca="false">(E13+E14-E15)/E11</f>
        <v>0.39266571915243</v>
      </c>
      <c r="F42" s="48" t="n">
        <f aca="false">(F13+F14-F15)/F11</f>
        <v>0.429039132439782</v>
      </c>
    </row>
    <row r="43" customFormat="false" ht="15" hidden="false" customHeight="true" outlineLevel="0" collapsed="false">
      <c r="A43" s="3" t="s">
        <v>769</v>
      </c>
      <c r="C43" s="58" t="n">
        <f aca="false">(C13+C14-C15)/C6</f>
        <v>5.32280625318547</v>
      </c>
      <c r="D43" s="58" t="n">
        <f aca="false">(D13+D14-D15)/D6</f>
        <v>5.48228350490808</v>
      </c>
      <c r="E43" s="58" t="n">
        <f aca="false">(E13+E14-E15)/E6</f>
        <v>5.24605589587533</v>
      </c>
      <c r="F43" s="58" t="n">
        <f aca="false">(F13+F14-F15)/F6</f>
        <v>5.68412797125991</v>
      </c>
    </row>
    <row r="44" customFormat="false" ht="15" hidden="false" customHeight="true" outlineLevel="0" collapsed="false">
      <c r="A44" s="3" t="s">
        <v>770</v>
      </c>
      <c r="C44" s="58" t="n">
        <f aca="false">C16/C12</f>
        <v>2.56628225564835</v>
      </c>
      <c r="D44" s="58" t="n">
        <f aca="false">D16/D12</f>
        <v>2.68145418317297</v>
      </c>
      <c r="E44" s="58" t="n">
        <f aca="false">E16/E12</f>
        <v>2.68391460762273</v>
      </c>
      <c r="F44" s="58" t="n">
        <f aca="false">F16/F12</f>
        <v>2.68712688752632</v>
      </c>
    </row>
    <row r="46" customFormat="false" ht="15" hidden="false" customHeight="true" outlineLevel="0" collapsed="false">
      <c r="A46" s="3" t="s">
        <v>771</v>
      </c>
      <c r="C46" s="49" t="n">
        <f aca="false">C19*C20</f>
        <v>258254.8695</v>
      </c>
      <c r="D46" s="49" t="n">
        <f aca="false">D19*D20</f>
        <v>283306.4361</v>
      </c>
      <c r="E46" s="49" t="n">
        <f aca="false">E19*E20</f>
        <v>320690.803232</v>
      </c>
      <c r="F46" s="49" t="n">
        <f aca="false">F19*F20</f>
        <v>340524.485105</v>
      </c>
    </row>
    <row r="47" customFormat="false" ht="15" hidden="false" customHeight="true" outlineLevel="0" collapsed="false">
      <c r="A47" s="3" t="s">
        <v>772</v>
      </c>
      <c r="C47" s="49" t="n">
        <f aca="false">-C21</f>
        <v>29523.565</v>
      </c>
      <c r="D47" s="49" t="n">
        <f aca="false">-D21</f>
        <v>-10515.477</v>
      </c>
      <c r="E47" s="49" t="n">
        <f aca="false">-E21</f>
        <v>66670.135</v>
      </c>
      <c r="F47" s="49" t="n">
        <f aca="false">-F21</f>
        <v>96648.526</v>
      </c>
    </row>
    <row r="48" customFormat="false" ht="15" hidden="false" customHeight="true" outlineLevel="0" collapsed="false">
      <c r="A48" s="3" t="s">
        <v>773</v>
      </c>
      <c r="C48" s="49" t="n">
        <f aca="false">C22-C47*(1-$B$30)</f>
        <v>160323.34355</v>
      </c>
      <c r="D48" s="49" t="n">
        <f aca="false">D22-D47*(1-$B$30)</f>
        <v>195006.00921</v>
      </c>
      <c r="E48" s="49" t="n">
        <f aca="false">E22-E47*(1-$B$30)</f>
        <v>218283.88445</v>
      </c>
      <c r="F48" s="49" t="n">
        <f aca="false">F22-F47*(1-$B$30)</f>
        <v>233412.76802</v>
      </c>
    </row>
    <row r="49" customFormat="false" ht="15" hidden="false" customHeight="true" outlineLevel="0" collapsed="false">
      <c r="A49" s="3" t="s">
        <v>774</v>
      </c>
      <c r="C49" s="49" t="n">
        <f aca="false">(B24+C24)/2</f>
        <v>2671333.166</v>
      </c>
      <c r="D49" s="49" t="n">
        <f aca="false">(C24+D24)/2</f>
        <v>2712181.745</v>
      </c>
      <c r="E49" s="49" t="n">
        <f aca="false">(D24+E24)/2</f>
        <v>2786393.2895</v>
      </c>
      <c r="F49" s="49" t="n">
        <f aca="false">(E24+F24)/2</f>
        <v>2908601.1625</v>
      </c>
    </row>
    <row r="50" customFormat="false" ht="15" hidden="false" customHeight="true" outlineLevel="0" collapsed="false">
      <c r="A50" s="3" t="s">
        <v>775</v>
      </c>
      <c r="C50" s="48" t="n">
        <f aca="false">C22/C49</f>
        <v>0.0680841866955655</v>
      </c>
      <c r="D50" s="48" t="n">
        <f aca="false">D22/D49</f>
        <v>0.0690697484950442</v>
      </c>
      <c r="E50" s="48" t="n">
        <f aca="false">E22/E49</f>
        <v>0.0958059596274376</v>
      </c>
      <c r="F50" s="48" t="n">
        <f aca="false">F22/F49</f>
        <v>0.104505972121229</v>
      </c>
    </row>
    <row r="51" customFormat="false" ht="15" hidden="false" customHeight="true" outlineLevel="0" collapsed="false">
      <c r="A51" s="3" t="s">
        <v>776</v>
      </c>
      <c r="C51" s="48" t="n">
        <f aca="false">C48/C49</f>
        <v>0.0600162291961751</v>
      </c>
      <c r="D51" s="48" t="n">
        <f aca="false">D48/D49</f>
        <v>0.0719000522621687</v>
      </c>
      <c r="E51" s="48" t="n">
        <f aca="false">E48/E49</f>
        <v>0.078339222705051</v>
      </c>
      <c r="F51" s="48" t="n">
        <f aca="false">F48/F49</f>
        <v>0.0802491489824535</v>
      </c>
    </row>
    <row r="52" customFormat="false" ht="15" hidden="false" customHeight="true" outlineLevel="0" collapsed="false">
      <c r="A52" s="3" t="s">
        <v>777</v>
      </c>
      <c r="C52" s="48" t="n">
        <f aca="false">C47/B23</f>
        <v>0.00778035562323805</v>
      </c>
      <c r="D52" s="48" t="n">
        <f aca="false">D47/C23</f>
        <v>-0.00271602014178701</v>
      </c>
      <c r="E52" s="48" t="n">
        <f aca="false">E47/D23</f>
        <v>0.0168551472947394</v>
      </c>
      <c r="F52" s="48" t="n">
        <f aca="false">F47/E23</f>
        <v>0.0234458502477446</v>
      </c>
    </row>
    <row r="53" customFormat="false" ht="15" hidden="false" customHeight="true" outlineLevel="0" collapsed="false">
      <c r="A53" s="3" t="s">
        <v>778</v>
      </c>
      <c r="C53" s="53" t="n">
        <f aca="false">C46/C23</f>
        <v>0.0667040998022795</v>
      </c>
      <c r="D53" s="53" t="n">
        <f aca="false">D46/D23</f>
        <v>0.0716238494194315</v>
      </c>
      <c r="E53" s="53" t="n">
        <f aca="false">E46/E23</f>
        <v>0.0777959981345853</v>
      </c>
      <c r="F53" s="53" t="n">
        <f aca="false">F46/F23</f>
        <v>0.0774797001490729</v>
      </c>
    </row>
    <row r="54" customFormat="false" ht="15" hidden="false" customHeight="true" outlineLevel="0" collapsed="false">
      <c r="A54" s="3" t="s">
        <v>779</v>
      </c>
      <c r="C54" s="48" t="n">
        <f aca="false">(C25+C26-C27)/C23</f>
        <v>0.162320800783992</v>
      </c>
      <c r="D54" s="48" t="n">
        <f aca="false">(D25+D26-D27)/D23</f>
        <v>0.16532741011437</v>
      </c>
      <c r="E54" s="48" t="n">
        <f aca="false">(E25+E26-E27)/E23</f>
        <v>0.150974039796862</v>
      </c>
      <c r="F54" s="48" t="n">
        <f aca="false">(F25+F26-F27)/F23</f>
        <v>0.16332277639376</v>
      </c>
    </row>
    <row r="55" customFormat="false" ht="15" hidden="false" customHeight="true" outlineLevel="0" collapsed="false">
      <c r="A55" s="3" t="s">
        <v>780</v>
      </c>
      <c r="C55" s="58" t="n">
        <f aca="false">(C25+C26-C27)/C46</f>
        <v>2.43344563925057</v>
      </c>
      <c r="D55" s="58" t="n">
        <f aca="false">(D25+D26-D27)/D46</f>
        <v>2.30827317233687</v>
      </c>
      <c r="E55" s="58" t="n">
        <f aca="false">(E25+E26-E27)/E46</f>
        <v>1.94064017966169</v>
      </c>
      <c r="F55" s="58" t="n">
        <f aca="false">(F25+F26-F27)/F46</f>
        <v>2.10794280410898</v>
      </c>
    </row>
    <row r="56" customFormat="false" ht="15" hidden="false" customHeight="true" outlineLevel="0" collapsed="false">
      <c r="A56" s="3" t="s">
        <v>781</v>
      </c>
      <c r="C56" s="58" t="n">
        <f aca="false">C28/C24</f>
        <v>1.51513775913995</v>
      </c>
      <c r="D56" s="58" t="n">
        <f aca="false">D28/D24</f>
        <v>1.51113516599356</v>
      </c>
      <c r="E56" s="58" t="n">
        <f aca="false">E28/E24</f>
        <v>1.51736476405296</v>
      </c>
      <c r="F56" s="58" t="n">
        <f aca="false">F28/F24</f>
        <v>1.50592176470377</v>
      </c>
    </row>
    <row r="58" customFormat="false" ht="15" hidden="false" customHeight="true" outlineLevel="0" collapsed="false">
      <c r="A58" s="14" t="s">
        <v>782</v>
      </c>
    </row>
    <row r="59" customFormat="false" ht="15" hidden="false" customHeight="true" outlineLevel="0" collapsed="false">
      <c r="A59" s="14" t="s">
        <v>783</v>
      </c>
    </row>
    <row r="60" customFormat="false" ht="15" hidden="false" customHeight="true" outlineLevel="0" collapsed="false">
      <c r="A60" s="14" t="s">
        <v>784</v>
      </c>
    </row>
    <row r="61" customFormat="false" ht="15" hidden="false" customHeight="true" outlineLevel="0" collapsed="false">
      <c r="A61" s="14" t="s">
        <v>785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15" min="2" style="1" width="11"/>
  </cols>
  <sheetData>
    <row r="1" customFormat="false" ht="15" hidden="false" customHeight="true" outlineLevel="0" collapsed="false">
      <c r="A1" s="2" t="s">
        <v>786</v>
      </c>
    </row>
    <row r="2" customFormat="false" ht="15" hidden="false" customHeight="true" outlineLevel="0" collapsed="false">
      <c r="A2" s="14" t="s">
        <v>787</v>
      </c>
    </row>
    <row r="4" customFormat="false" ht="15" hidden="false" customHeight="true" outlineLevel="0" collapsed="false">
      <c r="A4" s="5" t="s">
        <v>788</v>
      </c>
      <c r="B4" s="59" t="s">
        <v>789</v>
      </c>
      <c r="C4" s="59" t="s">
        <v>790</v>
      </c>
      <c r="D4" s="59" t="s">
        <v>791</v>
      </c>
      <c r="E4" s="59" t="s">
        <v>587</v>
      </c>
      <c r="F4" s="59" t="s">
        <v>588</v>
      </c>
      <c r="G4" s="59" t="s">
        <v>589</v>
      </c>
      <c r="H4" s="59" t="s">
        <v>304</v>
      </c>
      <c r="I4" s="59" t="s">
        <v>192</v>
      </c>
      <c r="J4" s="59" t="s">
        <v>305</v>
      </c>
      <c r="K4" s="59" t="s">
        <v>306</v>
      </c>
      <c r="L4" s="59" t="s">
        <v>307</v>
      </c>
      <c r="M4" s="59" t="s">
        <v>308</v>
      </c>
      <c r="N4" s="59" t="s">
        <v>309</v>
      </c>
      <c r="O4" s="59" t="s">
        <v>310</v>
      </c>
    </row>
    <row r="5" customFormat="false" ht="15" hidden="false" customHeight="true" outlineLevel="0" collapsed="false">
      <c r="A5" s="3" t="s">
        <v>731</v>
      </c>
      <c r="B5" s="22" t="str">
        <f aca="false">IF(Inputs!$C$90="","",Inputs!$C$90)</f>
        <v/>
      </c>
      <c r="C5" s="22" t="str">
        <f aca="false">IF(Inputs!$C$91="","",Inputs!$C$91)</f>
        <v/>
      </c>
      <c r="D5" s="22" t="n">
        <f aca="false">IF(Inputs!$C$80="","",Inputs!$C$80)</f>
        <v>276695</v>
      </c>
      <c r="E5" s="22" t="n">
        <f aca="false">IF(Inputs!$C$81="","",Inputs!$C$81)</f>
        <v>370899</v>
      </c>
      <c r="F5" s="22" t="n">
        <f aca="false">IF(Inputs!$C$4="","",Inputs!$C$4)</f>
        <v>419904</v>
      </c>
      <c r="G5" s="22" t="n">
        <f aca="false">IF(Inputs!$C$5="","",Inputs!$C$5)</f>
        <v>494605</v>
      </c>
      <c r="H5" s="22" t="n">
        <f aca="false">IF(Inputs!$C$6="","",Inputs!$C$6)</f>
        <v>653911</v>
      </c>
      <c r="I5" s="22" t="n">
        <f aca="false">IF(Inputs!$C$82="","",Inputs!$C$82)</f>
        <v>677333</v>
      </c>
      <c r="J5" s="22" t="n">
        <f aca="false">IF(Forecast_link!B5="","",Forecast_link!B5)</f>
        <v>703998.935029744</v>
      </c>
      <c r="K5" s="22" t="n">
        <f aca="false">IF(Forecast_link!C5="","",Forecast_link!C5)</f>
        <v>767179.42311749</v>
      </c>
      <c r="L5" s="22" t="n">
        <f aca="false">IF(Forecast_link!D5="","",Forecast_link!D5)</f>
        <v>826661.821713252</v>
      </c>
      <c r="M5" s="22" t="n">
        <f aca="false">IF(Forecast_link!E5="","",Forecast_link!E5)</f>
        <v>883482.452628312</v>
      </c>
      <c r="N5" s="22" t="n">
        <f aca="false">IF(Forecast_link!F5="","",Forecast_link!F5)</f>
        <v>923321.860237358</v>
      </c>
      <c r="O5" s="22" t="n">
        <f aca="false">IF(Forecast_link!G5="","",Forecast_link!G5)</f>
        <v>959373.854528556</v>
      </c>
    </row>
    <row r="6" customFormat="false" ht="15" hidden="false" customHeight="true" outlineLevel="0" collapsed="false">
      <c r="A6" s="3" t="s">
        <v>542</v>
      </c>
      <c r="B6" s="22" t="str">
        <f aca="false">IF(Inputs!$C$92="","",Inputs!$C$92)</f>
        <v/>
      </c>
      <c r="C6" s="22" t="n">
        <f aca="false">IF(Inputs!$C$75="","",Inputs!$C$75)</f>
        <v>116114</v>
      </c>
      <c r="D6" s="22" t="n">
        <f aca="false">IF(Inputs!$C$76="","",Inputs!$C$76)</f>
        <v>208621</v>
      </c>
      <c r="E6" s="22" t="n">
        <f aca="false">IF(Inputs!$C$77="","",Inputs!$C$77)</f>
        <v>282699</v>
      </c>
      <c r="F6" s="22" t="n">
        <f aca="false">IF(Inputs!$C$78="","",Inputs!$C$78)</f>
        <v>322185</v>
      </c>
      <c r="G6" s="22" t="n">
        <f aca="false">IF(Inputs!$C$9="","",Inputs!$C$9)</f>
        <v>380637</v>
      </c>
      <c r="H6" s="22" t="n">
        <f aca="false">IF(Inputs!$C$10="","",Inputs!$C$10)</f>
        <v>526228</v>
      </c>
      <c r="I6" s="22" t="n">
        <f aca="false">IF(Inputs!$C$79="","",Inputs!$C$79)</f>
        <v>544935</v>
      </c>
      <c r="J6" s="22" t="n">
        <f aca="false">IF(Forecast_link!B6="","",Forecast_link!B6)</f>
        <v>561315.405027496</v>
      </c>
      <c r="K6" s="22" t="n">
        <f aca="false">IF(Forecast_link!C6="","",Forecast_link!C6)</f>
        <v>611360.360246719</v>
      </c>
      <c r="L6" s="22" t="n">
        <f aca="false">IF(Forecast_link!D6="","",Forecast_link!D6)</f>
        <v>659160.320942588</v>
      </c>
      <c r="M6" s="22" t="n">
        <f aca="false">IF(Forecast_link!E6="","",Forecast_link!E6)</f>
        <v>704684.515696292</v>
      </c>
      <c r="N6" s="22" t="n">
        <f aca="false">IF(Forecast_link!F6="","",Forecast_link!F6)</f>
        <v>736419.595622249</v>
      </c>
      <c r="O6" s="22" t="n">
        <f aca="false">IF(Forecast_link!G6="","",Forecast_link!G6)</f>
        <v>765088.08305899</v>
      </c>
    </row>
    <row r="7" customFormat="false" ht="15" hidden="false" customHeight="true" outlineLevel="0" collapsed="false">
      <c r="A7" s="3" t="s">
        <v>597</v>
      </c>
      <c r="C7" s="48" t="str">
        <f aca="false">IF(OR(C5="",B5=""),"",C5/B5-1)</f>
        <v/>
      </c>
      <c r="D7" s="48" t="str">
        <f aca="false">IF(OR(D5="",C5=""),"",D5/C5-1)</f>
        <v/>
      </c>
      <c r="E7" s="48" t="n">
        <f aca="false">IF(OR(E5="",D5=""),"",E5/D5-1)</f>
        <v>0.340461519001066</v>
      </c>
      <c r="F7" s="48" t="n">
        <f aca="false">IF(OR(F5="",E5=""),"",F5/E5-1)</f>
        <v>0.13212491810439</v>
      </c>
      <c r="G7" s="48" t="n">
        <f aca="false">IF(OR(G5="",F5=""),"",G5/F5-1)</f>
        <v>0.177900186709343</v>
      </c>
      <c r="H7" s="48" t="n">
        <f aca="false">IF(OR(H5="",G5=""),"",H5/G5-1)</f>
        <v>0.322087322206609</v>
      </c>
      <c r="J7" s="48" t="n">
        <f aca="false">IF(OR(J5="",H5=""),"",J5/H5-1)</f>
        <v>0.0765974804365486</v>
      </c>
      <c r="K7" s="48" t="n">
        <f aca="false">IF(OR(K5="",J5=""),"",K5/J5-1)</f>
        <v>0.0897451472495148</v>
      </c>
      <c r="L7" s="48" t="n">
        <f aca="false">IF(OR(L5="",K5=""),"",L5/K5-1)</f>
        <v>0.0775338816492903</v>
      </c>
      <c r="M7" s="48" t="n">
        <f aca="false">IF(OR(M5="",L5=""),"",M5/L5-1)</f>
        <v>0.068735037015861</v>
      </c>
      <c r="N7" s="48" t="n">
        <f aca="false">IF(OR(N5="",M5=""),"",N5/M5-1)</f>
        <v>0.0450936037162104</v>
      </c>
      <c r="O7" s="48" t="n">
        <f aca="false">IF(OR(O5="",N5=""),"",O5/N5-1)</f>
        <v>0.0390459663566611</v>
      </c>
    </row>
    <row r="8" customFormat="false" ht="15" hidden="false" customHeight="true" outlineLevel="0" collapsed="false">
      <c r="A8" s="28" t="s">
        <v>792</v>
      </c>
      <c r="B8" s="60" t="str">
        <f aca="false">IF(OR(B5="",B6=""),"",B6/B5)</f>
        <v/>
      </c>
      <c r="C8" s="60" t="str">
        <f aca="false">IF(OR(C5="",C6=""),"",C6/C5)</f>
        <v/>
      </c>
      <c r="D8" s="60" t="n">
        <f aca="false">IF(OR(D5="",D6=""),"",D6/D5)</f>
        <v>0.753974592963371</v>
      </c>
      <c r="E8" s="60" t="n">
        <f aca="false">IF(OR(E5="",E6=""),"",E6/E5)</f>
        <v>0.762199412778142</v>
      </c>
      <c r="F8" s="60" t="n">
        <f aca="false">IF(OR(F5="",F6=""),"",F6/F5)</f>
        <v>0.76728252171925</v>
      </c>
      <c r="G8" s="60" t="n">
        <f aca="false">IF(OR(G5="",G6=""),"",G6/G5)</f>
        <v>0.769577743856209</v>
      </c>
      <c r="H8" s="60" t="n">
        <f aca="false">IF(OR(H5="",H6=""),"",H6/H5)</f>
        <v>0.80473948289599</v>
      </c>
      <c r="I8" s="60" t="n">
        <f aca="false">IF(OR(I5="",I6=""),"",I6/I5)</f>
        <v>0.804530415615362</v>
      </c>
      <c r="J8" s="60" t="n">
        <f aca="false">IF(OR(J5="",J6=""),"",J6/J5)</f>
        <v>0.797324224650681</v>
      </c>
      <c r="K8" s="60" t="n">
        <f aca="false">IF(OR(K5="",K6=""),"",K6/K5)</f>
        <v>0.796893584244493</v>
      </c>
      <c r="L8" s="60" t="n">
        <f aca="false">IF(OR(L5="",L6=""),"",L6/L5)</f>
        <v>0.797376029264883</v>
      </c>
      <c r="M8" s="60" t="n">
        <f aca="false">IF(OR(M5="",M6=""),"",M6/M5)</f>
        <v>0.797621405609013</v>
      </c>
      <c r="N8" s="60" t="n">
        <f aca="false">IF(OR(N5="",N6=""),"",N6/N5)</f>
        <v>0.797576259521179</v>
      </c>
      <c r="O8" s="60" t="n">
        <f aca="false">IF(OR(O5="",O6=""),"",O6/O5)</f>
        <v>0.797486901949147</v>
      </c>
    </row>
    <row r="9" customFormat="false" ht="15" hidden="false" customHeight="true" outlineLevel="0" collapsed="false">
      <c r="A9" s="3" t="s">
        <v>513</v>
      </c>
      <c r="E9" s="22" t="n">
        <f aca="false">IF(Inputs!$C$83="","",Inputs!$C$83)</f>
        <v>218931</v>
      </c>
      <c r="F9" s="22" t="n">
        <f aca="false">IF(Inputs!$C$84="","",Inputs!$C$84)</f>
        <v>257227</v>
      </c>
      <c r="G9" s="22" t="n">
        <f aca="false">IF(Inputs!$C$85="","",Inputs!$C$85)</f>
        <v>303195</v>
      </c>
      <c r="H9" s="22" t="n">
        <f aca="false">IF(Inputs!$C$20="","",Inputs!$C$20)</f>
        <v>405300</v>
      </c>
      <c r="I9" s="22" t="n">
        <f aca="false">IF(Inputs!$C$86="","",Inputs!$C$86)</f>
        <v>419907</v>
      </c>
      <c r="J9" s="22" t="n">
        <f aca="false">IF(Forecast_link!B7="","",Forecast_link!B7)</f>
        <v>428521.009732312</v>
      </c>
      <c r="K9" s="22" t="n">
        <f aca="false">IF(Forecast_link!C7="","",Forecast_link!C7)</f>
        <v>457343.871117678</v>
      </c>
      <c r="L9" s="22" t="n">
        <f aca="false">IF(Forecast_link!D7="","",Forecast_link!D7)</f>
        <v>479815.309968687</v>
      </c>
      <c r="M9" s="22" t="n">
        <f aca="false">IF(Forecast_link!E7="","",Forecast_link!E7)</f>
        <v>500558.616680862</v>
      </c>
      <c r="N9" s="22" t="n">
        <f aca="false">IF(Forecast_link!F7="","",Forecast_link!F7)</f>
        <v>509123.658091235</v>
      </c>
      <c r="O9" s="22" t="n">
        <f aca="false">IF(Forecast_link!G7="","",Forecast_link!G7)</f>
        <v>535305.585137896</v>
      </c>
    </row>
    <row r="10" customFormat="false" ht="15" hidden="false" customHeight="true" outlineLevel="0" collapsed="false">
      <c r="A10" s="3" t="s">
        <v>793</v>
      </c>
      <c r="E10" s="48" t="n">
        <f aca="false">IF(OR(E5="",E9=""),"",E9/E5)</f>
        <v>0.590271205907808</v>
      </c>
      <c r="F10" s="48" t="n">
        <f aca="false">IF(OR(F5="",F9=""),"",F9/F5)</f>
        <v>0.612585257582686</v>
      </c>
      <c r="G10" s="48" t="n">
        <f aca="false">IF(OR(G5="",G9=""),"",G9/G5)</f>
        <v>0.613004316575853</v>
      </c>
      <c r="H10" s="48" t="n">
        <f aca="false">IF(OR(H5="",H9=""),"",H9/H5)</f>
        <v>0.619809117754557</v>
      </c>
      <c r="I10" s="48" t="n">
        <f aca="false">IF(OR(I5="",I9=""),"",I9/I5)</f>
        <v>0.619941742097314</v>
      </c>
      <c r="J10" s="48" t="n">
        <f aca="false">IF(OR(J5="",J9=""),"",J9/J5)</f>
        <v>0.608695536896242</v>
      </c>
      <c r="K10" s="48" t="n">
        <f aca="false">IF(OR(K5="",K9=""),"",K9/K5)</f>
        <v>0.596136780180088</v>
      </c>
      <c r="L10" s="48" t="n">
        <f aca="false">IF(OR(L5="",L9=""),"",L9/L5)</f>
        <v>0.580425147703413</v>
      </c>
      <c r="M10" s="48" t="n">
        <f aca="false">IF(OR(M5="",M9=""),"",M9/M5)</f>
        <v>0.566574486218405</v>
      </c>
      <c r="N10" s="48" t="n">
        <f aca="false">IF(OR(N5="",N9=""),"",N9/N5)</f>
        <v>0.551404315241009</v>
      </c>
      <c r="O10" s="48" t="n">
        <f aca="false">IF(OR(O5="",O9=""),"",O9/O5)</f>
        <v>0.557973914560085</v>
      </c>
    </row>
    <row r="11" customFormat="false" ht="15" hidden="false" customHeight="true" outlineLevel="0" collapsed="false">
      <c r="A11" s="61" t="s">
        <v>794</v>
      </c>
    </row>
    <row r="13" customFormat="false" ht="15" hidden="false" customHeight="true" outlineLevel="0" collapsed="false">
      <c r="A13" s="5" t="s">
        <v>795</v>
      </c>
      <c r="B13" s="59" t="s">
        <v>789</v>
      </c>
      <c r="C13" s="59" t="s">
        <v>790</v>
      </c>
      <c r="D13" s="59" t="s">
        <v>791</v>
      </c>
      <c r="E13" s="59" t="s">
        <v>587</v>
      </c>
      <c r="F13" s="59" t="s">
        <v>588</v>
      </c>
      <c r="G13" s="59" t="s">
        <v>589</v>
      </c>
      <c r="H13" s="59" t="s">
        <v>304</v>
      </c>
      <c r="I13" s="59" t="s">
        <v>192</v>
      </c>
      <c r="J13" s="59" t="s">
        <v>305</v>
      </c>
      <c r="K13" s="59" t="s">
        <v>306</v>
      </c>
      <c r="L13" s="59" t="s">
        <v>307</v>
      </c>
      <c r="M13" s="59" t="s">
        <v>308</v>
      </c>
      <c r="N13" s="59" t="s">
        <v>309</v>
      </c>
      <c r="O13" s="59" t="s">
        <v>310</v>
      </c>
    </row>
    <row r="14" customFormat="false" ht="15" hidden="false" customHeight="true" outlineLevel="0" collapsed="false">
      <c r="A14" s="3" t="s">
        <v>796</v>
      </c>
      <c r="E14" s="22" t="n">
        <f aca="false">IF(Inputs!$C$87="","",Inputs!$C$87)</f>
        <v>157667</v>
      </c>
      <c r="F14" s="22" t="n">
        <f aca="false">IF(Inputs!$C$88="","",Inputs!$C$88)</f>
        <v>349759</v>
      </c>
      <c r="G14" s="22" t="n">
        <f aca="false">IF(Inputs!$C$12="","",Inputs!$C$12)</f>
        <v>335934</v>
      </c>
      <c r="H14" s="22" t="n">
        <f aca="false">IF(Inputs!$C$13="","",Inputs!$C$13)</f>
        <v>1431012</v>
      </c>
      <c r="J14" s="22" t="n">
        <f aca="false">IF(OR(J15="",Forecast_link!B9=""),"",J15+Forecast_link!B9)</f>
        <v>639155.168687916</v>
      </c>
      <c r="K14" s="22" t="n">
        <f aca="false">IF(OR(K15="",Forecast_link!C9=""),"",K15+Forecast_link!C9)</f>
        <v>593529.370266205</v>
      </c>
      <c r="L14" s="22" t="n">
        <f aca="false">IF(OR(L15="",Forecast_link!D9=""),"",L15+Forecast_link!D9)</f>
        <v>614088.920857538</v>
      </c>
      <c r="M14" s="22" t="n">
        <f aca="false">IF(OR(M15="",Forecast_link!E9=""),"",M15+Forecast_link!E9)</f>
        <v>638982.381890538</v>
      </c>
      <c r="N14" s="22" t="n">
        <f aca="false">IF(OR(N15="",Forecast_link!F9=""),"",N15+Forecast_link!F9)</f>
        <v>656901.720284066</v>
      </c>
      <c r="O14" s="22" t="n">
        <f aca="false">IF(OR(O15="",Forecast_link!G9=""),"",O15+Forecast_link!G9)</f>
        <v>695051.409792204</v>
      </c>
    </row>
    <row r="15" customFormat="false" ht="15" hidden="false" customHeight="true" outlineLevel="0" collapsed="false">
      <c r="A15" s="3" t="s">
        <v>797</v>
      </c>
      <c r="E15" s="22" t="n">
        <f aca="false">IF(Inputs!$C$97="","",Inputs!$C$97)</f>
        <v>95856</v>
      </c>
      <c r="F15" s="22" t="n">
        <f aca="false">IF(Inputs!$C$89="","",Inputs!$C$89)</f>
        <v>197540</v>
      </c>
      <c r="G15" s="22" t="n">
        <f aca="false">IF(Inputs!$C$21="","",Inputs!$C$21)</f>
        <v>238305</v>
      </c>
      <c r="H15" s="22" t="n">
        <f aca="false">IF(Inputs!$C$22="","",Inputs!$C$22)</f>
        <v>369312</v>
      </c>
      <c r="J15" s="22" t="n">
        <f aca="false">IF(Forecast_link!B8="","",Forecast_link!B8)</f>
        <v>380038.816382312</v>
      </c>
      <c r="K15" s="22" t="n">
        <f aca="false">IF(Forecast_link!C8="","",Forecast_link!C8)</f>
        <v>415490.800484112</v>
      </c>
      <c r="L15" s="22" t="n">
        <f aca="false">IF(Forecast_link!D8="","",Forecast_link!D8)</f>
        <v>440070.47304362</v>
      </c>
      <c r="M15" s="22" t="n">
        <f aca="false">IF(Forecast_link!E8="","",Forecast_link!E8)</f>
        <v>462674.085269032</v>
      </c>
      <c r="N15" s="22" t="n">
        <f aca="false">IF(Forecast_link!F8="","",Forecast_link!F8)</f>
        <v>477016.601772045</v>
      </c>
      <c r="O15" s="22" t="n">
        <f aca="false">IF(Forecast_link!G8="","",Forecast_link!G8)</f>
        <v>509052.028660718</v>
      </c>
    </row>
    <row r="16" customFormat="false" ht="15" hidden="false" customHeight="true" outlineLevel="0" collapsed="false">
      <c r="A16" s="3" t="s">
        <v>505</v>
      </c>
      <c r="E16" s="22" t="n">
        <f aca="false">IF(Inputs!$C$94="","",Inputs!$C$94)</f>
        <v>4513943</v>
      </c>
      <c r="F16" s="22" t="n">
        <f aca="false">IF(Inputs!$C$23="","",Inputs!$C$23)</f>
        <v>4796336</v>
      </c>
      <c r="G16" s="22" t="n">
        <f aca="false">IF(Inputs!$C$24="","",Inputs!$C$24)</f>
        <v>5915073</v>
      </c>
      <c r="H16" s="22" t="n">
        <f aca="false">IF(Inputs!$C$25="","",Inputs!$C$25)</f>
        <v>7583643</v>
      </c>
      <c r="J16" s="22" t="n">
        <f aca="false">IF(Forecast_link!B10="","",Forecast_link!B10)</f>
        <v>8230928.70121332</v>
      </c>
      <c r="K16" s="22" t="n">
        <f aca="false">IF(Forecast_link!C10="","",Forecast_link!C10)</f>
        <v>8767723.92879022</v>
      </c>
      <c r="L16" s="22" t="n">
        <f aca="false">IF(Forecast_link!D10="","",Forecast_link!D10)</f>
        <v>9209693.99138208</v>
      </c>
      <c r="M16" s="22" t="n">
        <f aca="false">IF(Forecast_link!E10="","",Forecast_link!E10)</f>
        <v>9502564.08858068</v>
      </c>
      <c r="N16" s="22" t="n">
        <f aca="false">IF(Forecast_link!F10="","",Forecast_link!F10)</f>
        <v>9802581.10925564</v>
      </c>
      <c r="O16" s="22" t="n">
        <f aca="false">IF(Forecast_link!G10="","",Forecast_link!G10)</f>
        <v>10113052.4189869</v>
      </c>
    </row>
    <row r="17" customFormat="false" ht="15" hidden="false" customHeight="true" outlineLevel="0" collapsed="false">
      <c r="A17" s="3" t="s">
        <v>798</v>
      </c>
      <c r="E17" s="22" t="n">
        <f aca="false">IF(Inputs!$C$96="","",Inputs!$C$96)</f>
        <v>2263298</v>
      </c>
      <c r="F17" s="22" t="n">
        <f aca="false">IF(Inputs!$C$26="","",Inputs!$C$26)</f>
        <v>2601053</v>
      </c>
      <c r="G17" s="22" t="n">
        <f aca="false">IF(Inputs!$C$27="","",Inputs!$C$27)</f>
        <v>3157863</v>
      </c>
      <c r="H17" s="22" t="n">
        <f aca="false">IF(Inputs!$C$28="","",Inputs!$C$28)</f>
        <v>4482905</v>
      </c>
      <c r="J17" s="22" t="n">
        <f aca="false">IF(OR(H17="",J14=""),"",H17+J14-Inputs!$C$98*J15+N(Forecast_link!B11))</f>
        <v>4970044.64213499</v>
      </c>
      <c r="K17" s="22" t="n">
        <f aca="false">IF(OR(J17="",K14=""),"",J17+K14-Inputs!$C$98*K15+N(Forecast_link!C11))</f>
        <v>5397377.69220755</v>
      </c>
      <c r="L17" s="22" t="n">
        <f aca="false">IF(OR(K17="",L14=""),"",K17+L14-Inputs!$C$98*L15+N(Forecast_link!D11))</f>
        <v>5835438.42384764</v>
      </c>
      <c r="M17" s="22" t="n">
        <f aca="false">IF(OR(L17="",M14=""),"",L17+M14-Inputs!$C$98*M15+N(Forecast_link!E11))</f>
        <v>6289351.17163057</v>
      </c>
      <c r="N17" s="22" t="n">
        <f aca="false">IF(OR(M17="",N14=""),"",M17+N14-Inputs!$C$98*N15+N(Forecast_link!F11))</f>
        <v>6755446.25120581</v>
      </c>
      <c r="O17" s="22" t="n">
        <f aca="false">IF(OR(N17="",O14=""),"",N17+O14-Inputs!$C$98*O15+N(Forecast_link!G11))</f>
        <v>7246876.84953373</v>
      </c>
    </row>
    <row r="18" customFormat="false" ht="15" hidden="false" customHeight="true" outlineLevel="0" collapsed="false">
      <c r="A18" s="14" t="s">
        <v>799</v>
      </c>
      <c r="E18" s="22" t="n">
        <f aca="false">IF(Inputs!$C$93="","",Inputs!$C$93)</f>
        <v>4094996</v>
      </c>
    </row>
    <row r="19" customFormat="false" ht="15" hidden="false" customHeight="true" outlineLevel="0" collapsed="false">
      <c r="A19" s="14" t="s">
        <v>800</v>
      </c>
      <c r="E19" s="22" t="n">
        <f aca="false">IF(Inputs!$C$95="","",Inputs!$C$95)</f>
        <v>2167172</v>
      </c>
    </row>
    <row r="20" customFormat="false" ht="15" hidden="false" customHeight="true" outlineLevel="0" collapsed="false">
      <c r="A20" s="3" t="s">
        <v>801</v>
      </c>
      <c r="E20" s="49" t="n">
        <f aca="false">IF(OR(E16="",E18=""),"",(E16+E18)/2)</f>
        <v>4304469.5</v>
      </c>
      <c r="F20" s="49" t="n">
        <f aca="false">IF(OR(F16="",E16=""),"",(F16+E16)/2)</f>
        <v>4655139.5</v>
      </c>
      <c r="G20" s="49" t="n">
        <f aca="false">IF(OR(G16="",F16=""),"",(G16+F16)/2)</f>
        <v>5355704.5</v>
      </c>
      <c r="H20" s="49" t="n">
        <f aca="false">IF(OR(H16="",G16=""),"",(H16+G16)/2)</f>
        <v>6749358</v>
      </c>
      <c r="J20" s="49" t="n">
        <f aca="false">IF(OR(J16="",H16=""),"",(J16+H16)/2)</f>
        <v>7907285.85060666</v>
      </c>
      <c r="K20" s="49" t="n">
        <f aca="false">IF(OR(K16="",J16=""),"",(K16+J16)/2)</f>
        <v>8499326.31500177</v>
      </c>
      <c r="L20" s="49" t="n">
        <f aca="false">IF(OR(L16="",K16=""),"",(L16+K16)/2)</f>
        <v>8988708.96008615</v>
      </c>
      <c r="M20" s="49" t="n">
        <f aca="false">IF(OR(M16="",L16=""),"",(M16+L16)/2)</f>
        <v>9356129.03998138</v>
      </c>
      <c r="N20" s="49" t="n">
        <f aca="false">IF(OR(N16="",M16=""),"",(N16+M16)/2)</f>
        <v>9652572.59891816</v>
      </c>
      <c r="O20" s="49" t="n">
        <f aca="false">IF(OR(O16="",N16=""),"",(O16+N16)/2)</f>
        <v>9957816.76412129</v>
      </c>
    </row>
    <row r="21" customFormat="false" ht="15" hidden="false" customHeight="true" outlineLevel="0" collapsed="false">
      <c r="A21" s="3" t="s">
        <v>802</v>
      </c>
      <c r="E21" s="49" t="n">
        <f aca="false">IF(OR(E17="",E19=""),"",(E17+E19)/2)</f>
        <v>2215235</v>
      </c>
      <c r="F21" s="49" t="n">
        <f aca="false">IF(OR(F17="",E17=""),"",(F17+E17)/2)</f>
        <v>2432175.5</v>
      </c>
      <c r="G21" s="49" t="n">
        <f aca="false">IF(OR(G17="",F17=""),"",(G17+F17)/2)</f>
        <v>2879458</v>
      </c>
      <c r="H21" s="49" t="n">
        <f aca="false">IF(OR(H17="",G17=""),"",(H17+G17)/2)</f>
        <v>3820384</v>
      </c>
      <c r="J21" s="49" t="n">
        <f aca="false">IF(OR(J17="",H17=""),"",(J17+H17)/2)</f>
        <v>4726474.8210675</v>
      </c>
      <c r="K21" s="49" t="n">
        <f aca="false">IF(OR(K17="",J17=""),"",(K17+J17)/2)</f>
        <v>5183711.16717127</v>
      </c>
      <c r="L21" s="49" t="n">
        <f aca="false">IF(OR(L17="",K17=""),"",(L17+K17)/2)</f>
        <v>5616408.0580276</v>
      </c>
      <c r="M21" s="49" t="n">
        <f aca="false">IF(OR(M17="",L17=""),"",(M17+L17)/2)</f>
        <v>6062394.7977391</v>
      </c>
      <c r="N21" s="49" t="n">
        <f aca="false">IF(OR(N17="",M17=""),"",(N17+M17)/2)</f>
        <v>6522398.71141819</v>
      </c>
      <c r="O21" s="49" t="n">
        <f aca="false">IF(OR(O17="",N17=""),"",(O17+N17)/2)</f>
        <v>7001161.55036977</v>
      </c>
    </row>
    <row r="23" customFormat="false" ht="15" hidden="false" customHeight="true" outlineLevel="0" collapsed="false">
      <c r="A23" s="3" t="s">
        <v>803</v>
      </c>
      <c r="B23" s="62" t="s">
        <v>804</v>
      </c>
      <c r="C23" s="62" t="s">
        <v>804</v>
      </c>
      <c r="D23" s="62" t="s">
        <v>804</v>
      </c>
      <c r="E23" s="48" t="n">
        <f aca="false">IF(OR(E14="",E5="",N(E5)=0),"",E14/E5)</f>
        <v>0.425094163101006</v>
      </c>
      <c r="F23" s="48" t="n">
        <f aca="false">IF(OR(F14="",F5="",N(F5)=0),"",F14/F5)</f>
        <v>0.832949912360921</v>
      </c>
      <c r="G23" s="48" t="n">
        <f aca="false">IF(OR(G14="",G5="",N(G5)=0),"",G14/G5)</f>
        <v>0.679196530564794</v>
      </c>
      <c r="H23" s="48" t="n">
        <f aca="false">IF(OR(H14="",H5="",N(H5)=0),"",H14/H5)</f>
        <v>2.18838955148331</v>
      </c>
      <c r="J23" s="48" t="n">
        <f aca="false">IF(OR(J14="",J5="",N(J5)=0),"",J14/J5)</f>
        <v>0.907892238020092</v>
      </c>
      <c r="K23" s="48" t="n">
        <f aca="false">IF(OR(K14="",K5="",N(K5)=0),"",K14/K5)</f>
        <v>0.773651315952082</v>
      </c>
      <c r="L23" s="48" t="n">
        <f aca="false">IF(OR(L14="",L5="",N(L5)=0),"",L14/L5)</f>
        <v>0.742853854778054</v>
      </c>
      <c r="M23" s="48" t="n">
        <f aca="false">IF(OR(M14="",M5="",N(M5)=0),"",M14/M5)</f>
        <v>0.723254185739174</v>
      </c>
      <c r="N23" s="48" t="n">
        <f aca="false">IF(OR(N14="",N5="",N(N5)=0),"",N14/N5)</f>
        <v>0.711454746793492</v>
      </c>
      <c r="O23" s="48" t="n">
        <f aca="false">IF(OR(O14="",O5="",N(O5)=0),"",O14/O5)</f>
        <v>0.72448441919835</v>
      </c>
    </row>
    <row r="24" customFormat="false" ht="15" hidden="false" customHeight="true" outlineLevel="0" collapsed="false">
      <c r="A24" s="3" t="s">
        <v>805</v>
      </c>
      <c r="B24" s="62" t="s">
        <v>804</v>
      </c>
      <c r="C24" s="62" t="s">
        <v>804</v>
      </c>
      <c r="D24" s="62" t="s">
        <v>804</v>
      </c>
      <c r="E24" s="48" t="n">
        <f aca="false">IF(OR(E15="",E5="",N(E5)=0),"",E15/E5)</f>
        <v>0.258442325269143</v>
      </c>
      <c r="F24" s="48" t="n">
        <f aca="false">IF(OR(F15="",F5="",N(F5)=0),"",F15/F5)</f>
        <v>0.470440862673373</v>
      </c>
      <c r="G24" s="48" t="n">
        <f aca="false">IF(OR(G15="",G5="",N(G5)=0),"",G15/G5)</f>
        <v>0.481808716046138</v>
      </c>
      <c r="H24" s="48" t="n">
        <f aca="false">IF(OR(H15="",H5="",N(H5)=0),"",H15/H5)</f>
        <v>0.564774105344611</v>
      </c>
      <c r="J24" s="48" t="n">
        <f aca="false">IF(OR(J15="",J5="",N(J5)=0),"",J15/J5)</f>
        <v>0.539828680800854</v>
      </c>
      <c r="K24" s="48" t="n">
        <f aca="false">IF(OR(K15="",K5="",N(K5)=0),"",K15/K5)</f>
        <v>0.541582305213212</v>
      </c>
      <c r="L24" s="48" t="n">
        <f aca="false">IF(OR(L15="",L5="",N(L5)=0),"",L15/L5)</f>
        <v>0.532346434158017</v>
      </c>
      <c r="M24" s="48" t="n">
        <f aca="false">IF(OR(M15="",M5="",N(M5)=0),"",M15/M5)</f>
        <v>0.523693576360913</v>
      </c>
      <c r="N24" s="48" t="n">
        <f aca="false">IF(OR(N15="",N5="",N(N5)=0),"",N15/N5)</f>
        <v>0.516630897972477</v>
      </c>
      <c r="O24" s="48" t="n">
        <f aca="false">IF(OR(O15="",O5="",N(O5)=0),"",O15/O5)</f>
        <v>0.530608611291445</v>
      </c>
    </row>
    <row r="25" customFormat="false" ht="15" hidden="false" customHeight="true" outlineLevel="0" collapsed="false">
      <c r="A25" s="3" t="s">
        <v>806</v>
      </c>
      <c r="B25" s="63" t="s">
        <v>804</v>
      </c>
      <c r="C25" s="63" t="s">
        <v>804</v>
      </c>
      <c r="D25" s="63" t="s">
        <v>804</v>
      </c>
      <c r="E25" s="64" t="n">
        <f aca="false">IF(OR(E5="",E20="",N(E20)=0),"",E5/E20)</f>
        <v>0.0861660188322858</v>
      </c>
      <c r="F25" s="64" t="n">
        <f aca="false">IF(OR(F5="",F20="",N(F20)=0),"",F5/F20)</f>
        <v>0.0902022377632292</v>
      </c>
      <c r="G25" s="64" t="n">
        <f aca="false">IF(OR(G5="",G20="",N(G20)=0),"",G5/G20)</f>
        <v>0.0923510623112235</v>
      </c>
      <c r="H25" s="64" t="n">
        <f aca="false">IF(OR(H5="",H20="",N(H20)=0),"",H5/H20)</f>
        <v>0.0968849185359556</v>
      </c>
      <c r="J25" s="64" t="n">
        <f aca="false">IF(OR(J5="",J20="",N(J20)=0),"",J5/J20)</f>
        <v>0.0890316789263072</v>
      </c>
      <c r="K25" s="64" t="n">
        <f aca="false">IF(OR(K5="",K20="",N(K20)=0),"",K5/K20)</f>
        <v>0.0902635567437124</v>
      </c>
      <c r="L25" s="64" t="n">
        <f aca="false">IF(OR(L5="",L20="",N(L20)=0),"",L5/L20)</f>
        <v>0.0919666912549952</v>
      </c>
      <c r="M25" s="64" t="n">
        <f aca="false">IF(OR(M5="",M20="",N(M20)=0),"",M5/M20)</f>
        <v>0.0944282030370618</v>
      </c>
      <c r="N25" s="64" t="n">
        <f aca="false">IF(OR(N5="",N20="",N(N20)=0),"",N5/N20)</f>
        <v>0.0956555209272233</v>
      </c>
      <c r="O25" s="64" t="n">
        <f aca="false">IF(OR(O5="",O20="",N(O20)=0),"",O5/O20)</f>
        <v>0.0963437947548149</v>
      </c>
    </row>
    <row r="26" customFormat="false" ht="15" hidden="false" customHeight="true" outlineLevel="0" collapsed="false">
      <c r="A26" s="3" t="s">
        <v>807</v>
      </c>
      <c r="B26" s="65" t="s">
        <v>804</v>
      </c>
      <c r="C26" s="65" t="s">
        <v>804</v>
      </c>
      <c r="D26" s="65" t="s">
        <v>804</v>
      </c>
      <c r="E26" s="66" t="n">
        <f aca="false">IF(OR(E20="",E21="",N(E21)=0),"",E20/E21)</f>
        <v>1.94312093299357</v>
      </c>
      <c r="F26" s="66" t="n">
        <f aca="false">IF(OR(F20="",F21="",N(F21)=0),"",F20/F21)</f>
        <v>1.91398174186032</v>
      </c>
      <c r="G26" s="66" t="n">
        <f aca="false">IF(OR(G20="",G21="",N(G21)=0),"",G20/G21)</f>
        <v>1.85996965401128</v>
      </c>
      <c r="H26" s="66" t="n">
        <f aca="false">IF(OR(H20="",H21="",N(H21)=0),"",H20/H21)</f>
        <v>1.76667005201571</v>
      </c>
      <c r="J26" s="66" t="n">
        <f aca="false">IF(OR(J20="",J21="",N(J21)=0),"",J20/J21)</f>
        <v>1.67297746205295</v>
      </c>
      <c r="K26" s="66" t="n">
        <f aca="false">IF(OR(K20="",K21="",N(K21)=0),"",K20/K21)</f>
        <v>1.63962189267575</v>
      </c>
      <c r="L26" s="66" t="n">
        <f aca="false">IF(OR(L20="",L21="",N(L21)=0),"",L20/L21)</f>
        <v>1.60043730213628</v>
      </c>
      <c r="M26" s="66" t="n">
        <f aca="false">IF(OR(M20="",M21="",N(M21)=0),"",M20/M21)</f>
        <v>1.54330579781288</v>
      </c>
      <c r="N26" s="66" t="n">
        <f aca="false">IF(OR(N20="",N21="",N(N21)=0),"",N20/N21)</f>
        <v>1.47991145987752</v>
      </c>
      <c r="O26" s="66" t="n">
        <f aca="false">IF(OR(O20="",O21="",N(O21)=0),"",O20/O21)</f>
        <v>1.42230924004251</v>
      </c>
    </row>
    <row r="27" customFormat="false" ht="15" hidden="false" customHeight="true" outlineLevel="0" collapsed="false">
      <c r="A27" s="28" t="s">
        <v>808</v>
      </c>
      <c r="B27" s="62" t="s">
        <v>804</v>
      </c>
      <c r="C27" s="62" t="s">
        <v>804</v>
      </c>
      <c r="D27" s="62" t="s">
        <v>804</v>
      </c>
      <c r="E27" s="60" t="n">
        <f aca="false">IF(OR(E14="",E21="",N(E21)=0),"",E14/E21)</f>
        <v>0.0711739386566211</v>
      </c>
      <c r="F27" s="60" t="n">
        <f aca="false">IF(OR(F14="",F21="",N(F21)=0),"",F14/F21)</f>
        <v>0.143805000913791</v>
      </c>
      <c r="G27" s="60" t="n">
        <f aca="false">IF(OR(G14="",G21="",N(G21)=0),"",G14/G21)</f>
        <v>0.116665705837696</v>
      </c>
      <c r="H27" s="60" t="n">
        <f aca="false">IF(OR(H14="",H21="",N(H21)=0),"",H14/H21)</f>
        <v>0.374572817810984</v>
      </c>
      <c r="J27" s="60" t="n">
        <f aca="false">IF(OR(J14="",J21="",N(J21)=0),"",J14/J21)</f>
        <v>0.135228726034673</v>
      </c>
      <c r="K27" s="60" t="n">
        <f aca="false">IF(OR(K14="",K21="",N(K21)=0),"",K14/K21)</f>
        <v>0.114498927722875</v>
      </c>
      <c r="L27" s="60" t="n">
        <f aca="false">IF(OR(L14="",L21="",N(L21)=0),"",L14/L21)</f>
        <v>0.109338373300675</v>
      </c>
      <c r="M27" s="60" t="n">
        <f aca="false">IF(OR(M14="",M21="",N(M21)=0),"",M14/M21)</f>
        <v>0.105400984793804</v>
      </c>
      <c r="N27" s="60" t="n">
        <f aca="false">IF(OR(N14="",N21="",N(N21)=0),"",N14/N21)</f>
        <v>0.100714744582248</v>
      </c>
      <c r="O27" s="60" t="n">
        <f aca="false">IF(OR(O14="",O21="",N(O21)=0),"",O14/O21)</f>
        <v>0.0992765850054544</v>
      </c>
    </row>
    <row r="28" customFormat="false" ht="15" hidden="false" customHeight="true" outlineLevel="0" collapsed="false">
      <c r="A28" s="28" t="s">
        <v>809</v>
      </c>
      <c r="B28" s="62" t="s">
        <v>804</v>
      </c>
      <c r="C28" s="62" t="s">
        <v>804</v>
      </c>
      <c r="D28" s="62" t="s">
        <v>804</v>
      </c>
      <c r="E28" s="60" t="n">
        <f aca="false">IF(OR(E15="",E21="",N(E21)=0),"",E15/E21)</f>
        <v>0.0432712556455636</v>
      </c>
      <c r="F28" s="60" t="n">
        <f aca="false">IF(OR(F15="",F21="",N(F21)=0),"",F15/F21)</f>
        <v>0.0812194679207977</v>
      </c>
      <c r="G28" s="60" t="n">
        <f aca="false">IF(OR(G15="",G21="",N(G21)=0),"",G15/G21)</f>
        <v>0.0827603667079013</v>
      </c>
      <c r="H28" s="60" t="n">
        <f aca="false">IF(OR(H15="",H21="",N(H21)=0),"",H15/H21)</f>
        <v>0.096668816537814</v>
      </c>
      <c r="J28" s="60" t="n">
        <f aca="false">IF(OR(J15="",J21="",N(J21)=0),"",J15/J21)</f>
        <v>0.0804063981655739</v>
      </c>
      <c r="K28" s="60" t="n">
        <f aca="false">IF(OR(K15="",K21="",N(K21)=0),"",K15/K21)</f>
        <v>0.0801531541949016</v>
      </c>
      <c r="L28" s="60" t="n">
        <f aca="false">IF(OR(L15="",L21="",N(L21)=0),"",L15/L21)</f>
        <v>0.0783544337407291</v>
      </c>
      <c r="M28" s="60" t="n">
        <f aca="false">IF(OR(M15="",M21="",N(M21)=0),"",M15/M21)</f>
        <v>0.0763186992443284</v>
      </c>
      <c r="N28" s="60" t="n">
        <f aca="false">IF(OR(N15="",N21="",N(N21)=0),"",N15/N21)</f>
        <v>0.073135149026841</v>
      </c>
      <c r="O28" s="60" t="n">
        <f aca="false">IF(OR(O15="",O21="",N(O21)=0),"",O15/O21)</f>
        <v>0.0727096532480146</v>
      </c>
    </row>
    <row r="29" customFormat="false" ht="15" hidden="false" customHeight="true" outlineLevel="0" collapsed="false">
      <c r="A29" s="3" t="s">
        <v>810</v>
      </c>
      <c r="B29" s="62" t="s">
        <v>804</v>
      </c>
      <c r="C29" s="62" t="s">
        <v>804</v>
      </c>
      <c r="D29" s="62" t="s">
        <v>804</v>
      </c>
      <c r="E29" s="48" t="n">
        <f aca="false">IF(OR(E14="",E20="",N(E20)=0),"",E14/E20)</f>
        <v>0.0366286716632561</v>
      </c>
      <c r="F29" s="48" t="n">
        <f aca="false">IF(OR(F14="",F20="",N(F20)=0),"",F14/F20)</f>
        <v>0.0751339460396407</v>
      </c>
      <c r="G29" s="48" t="n">
        <f aca="false">IF(OR(G14="",G20="",N(G20)=0),"",G14/G20)</f>
        <v>0.0627245211157561</v>
      </c>
      <c r="H29" s="48" t="n">
        <f aca="false">IF(OR(H14="",H20="",N(H20)=0),"",H14/H20)</f>
        <v>0.212021943420396</v>
      </c>
      <c r="J29" s="48" t="n">
        <f aca="false">IF(OR(J14="",J20="",N(J20)=0),"",J14/J20)</f>
        <v>0.0808311702350913</v>
      </c>
      <c r="K29" s="48" t="n">
        <f aca="false">IF(OR(K14="",K20="",N(K20)=0),"",K14/K20)</f>
        <v>0.0698325194572885</v>
      </c>
      <c r="L29" s="48" t="n">
        <f aca="false">IF(OR(L14="",L20="",N(L20)=0),"",L14/L20)</f>
        <v>0.0683178111099564</v>
      </c>
      <c r="M29" s="48" t="n">
        <f aca="false">IF(OR(M14="",M20="",N(M20)=0),"",M14/M20)</f>
        <v>0.0682955930983835</v>
      </c>
      <c r="N29" s="48" t="n">
        <f aca="false">IF(OR(N14="",N20="",N(N20)=0),"",N14/N20)</f>
        <v>0.0680545744206773</v>
      </c>
      <c r="O29" s="48" t="n">
        <f aca="false">IF(OR(O14="",O20="",N(O20)=0),"",O14/O20)</f>
        <v>0.0697995781863071</v>
      </c>
    </row>
    <row r="30" customFormat="false" ht="15" hidden="false" customHeight="true" outlineLevel="0" collapsed="false">
      <c r="A30" s="3" t="s">
        <v>811</v>
      </c>
      <c r="B30" s="62" t="s">
        <v>804</v>
      </c>
      <c r="C30" s="62" t="s">
        <v>804</v>
      </c>
      <c r="D30" s="62" t="s">
        <v>804</v>
      </c>
      <c r="E30" s="48" t="n">
        <f aca="false">IF(OR(E15="",E20="",N(E20)=0),"",E15/E20)</f>
        <v>0.0222689462662007</v>
      </c>
      <c r="F30" s="48" t="n">
        <f aca="false">IF(OR(F15="",F20="",N(F20)=0),"",F15/F20)</f>
        <v>0.0424348185484023</v>
      </c>
      <c r="G30" s="48" t="n">
        <f aca="false">IF(OR(G15="",G20="",N(G20)=0),"",G15/G20)</f>
        <v>0.0444955467576675</v>
      </c>
      <c r="H30" s="48" t="n">
        <f aca="false">IF(OR(H15="",H20="",N(H20)=0),"",H15/H20)</f>
        <v>0.0547180931875298</v>
      </c>
      <c r="J30" s="48" t="n">
        <f aca="false">IF(OR(J15="",J20="",N(J20)=0),"",J15/J20)</f>
        <v>0.0480618537842736</v>
      </c>
      <c r="K30" s="48" t="n">
        <f aca="false">IF(OR(K15="",K20="",N(K20)=0),"",K15/K20)</f>
        <v>0.0488851451380033</v>
      </c>
      <c r="L30" s="48" t="n">
        <f aca="false">IF(OR(L15="",L20="",N(L20)=0),"",L15/L20)</f>
        <v>0.048958140150908</v>
      </c>
      <c r="M30" s="48" t="n">
        <f aca="false">IF(OR(M15="",M20="",N(M20)=0),"",M15/M20)</f>
        <v>0.0494514433578133</v>
      </c>
      <c r="N30" s="48" t="n">
        <f aca="false">IF(OR(N15="",N20="",N(N20)=0),"",N15/N20)</f>
        <v>0.0494185976726565</v>
      </c>
      <c r="O30" s="48" t="n">
        <f aca="false">IF(OR(O15="",O20="",N(O20)=0),"",O15/O20)</f>
        <v>0.0511208471414004</v>
      </c>
    </row>
    <row r="32" customFormat="false" ht="15" hidden="false" customHeight="true" outlineLevel="0" collapsed="false">
      <c r="A32" s="61" t="s">
        <v>812</v>
      </c>
    </row>
    <row r="33" customFormat="false" ht="15" hidden="false" customHeight="true" outlineLevel="0" collapsed="false">
      <c r="A33" s="61" t="s">
        <v>813</v>
      </c>
    </row>
    <row r="34" customFormat="false" ht="15" hidden="false" customHeight="true" outlineLevel="0" collapsed="false">
      <c r="A34" s="61" t="s">
        <v>814</v>
      </c>
    </row>
    <row r="35" customFormat="false" ht="15" hidden="false" customHeight="true" outlineLevel="0" collapsed="false">
      <c r="A35" s="61" t="s">
        <v>815</v>
      </c>
    </row>
    <row r="37" customFormat="false" ht="15" hidden="false" customHeight="true" outlineLevel="0" collapsed="false">
      <c r="A37" s="5" t="s">
        <v>816</v>
      </c>
      <c r="E37" s="5" t="s">
        <v>587</v>
      </c>
      <c r="F37" s="5" t="s">
        <v>588</v>
      </c>
      <c r="G37" s="5" t="s">
        <v>589</v>
      </c>
      <c r="H37" s="5" t="s">
        <v>304</v>
      </c>
    </row>
    <row r="38" customFormat="false" ht="15" hidden="false" customHeight="true" outlineLevel="0" collapsed="false">
      <c r="A38" s="3" t="s">
        <v>817</v>
      </c>
      <c r="E38" s="48" t="n">
        <f aca="false">E28</f>
        <v>0.0432712556455636</v>
      </c>
      <c r="F38" s="48" t="n">
        <f aca="false">F28</f>
        <v>0.0812194679207977</v>
      </c>
      <c r="G38" s="48" t="n">
        <f aca="false">G28</f>
        <v>0.0827603667079013</v>
      </c>
      <c r="H38" s="48" t="n">
        <f aca="false">H28</f>
        <v>0.096668816537814</v>
      </c>
    </row>
    <row r="39" customFormat="false" ht="15" hidden="false" customHeight="true" outlineLevel="0" collapsed="false">
      <c r="A39" s="3" t="s">
        <v>818</v>
      </c>
      <c r="E39" s="34" t="n">
        <f aca="false">Peers_inputs!$C$39</f>
        <v>0.039743587337374</v>
      </c>
      <c r="F39" s="34" t="n">
        <f aca="false">Peers_inputs!$D$39</f>
        <v>0.0681419374171045</v>
      </c>
      <c r="G39" s="34" t="n">
        <f aca="false">Peers_inputs!$E$39</f>
        <v>0.0660080291111176</v>
      </c>
      <c r="H39" s="34" t="n">
        <f aca="false">Peers_inputs!$F$39</f>
        <v>0.0776797772931799</v>
      </c>
    </row>
    <row r="40" customFormat="false" ht="15" hidden="false" customHeight="true" outlineLevel="0" collapsed="false">
      <c r="A40" s="3" t="s">
        <v>819</v>
      </c>
      <c r="E40" s="34" t="n">
        <f aca="false">Peers_inputs!$C$51</f>
        <v>0.0600162291961751</v>
      </c>
      <c r="F40" s="34" t="n">
        <f aca="false">Peers_inputs!$D$51</f>
        <v>0.0719000522621687</v>
      </c>
      <c r="G40" s="34" t="n">
        <f aca="false">Peers_inputs!$E$51</f>
        <v>0.078339222705051</v>
      </c>
      <c r="H40" s="34" t="n">
        <f aca="false">Peers_inputs!$F$51</f>
        <v>0.0802491489824535</v>
      </c>
    </row>
    <row r="41" customFormat="false" ht="15" hidden="false" customHeight="true" outlineLevel="0" collapsed="false">
      <c r="A41" s="3" t="s">
        <v>820</v>
      </c>
      <c r="E41" s="48" t="n">
        <f aca="false">E27</f>
        <v>0.0711739386566211</v>
      </c>
      <c r="F41" s="48" t="n">
        <f aca="false">F27</f>
        <v>0.143805000913791</v>
      </c>
      <c r="G41" s="48" t="n">
        <f aca="false">G27</f>
        <v>0.116665705837696</v>
      </c>
      <c r="H41" s="48" t="n">
        <f aca="false">H27</f>
        <v>0.374572817810984</v>
      </c>
    </row>
    <row r="42" customFormat="false" ht="15" hidden="false" customHeight="true" outlineLevel="0" collapsed="false">
      <c r="A42" s="3" t="s">
        <v>821</v>
      </c>
      <c r="E42" s="34" t="n">
        <f aca="false">Peers_inputs!$C$38</f>
        <v>0.0909231046364565</v>
      </c>
      <c r="F42" s="34" t="n">
        <f aca="false">Peers_inputs!$D$38</f>
        <v>0.0919416383908778</v>
      </c>
      <c r="G42" s="34" t="n">
        <f aca="false">Peers_inputs!$E$38</f>
        <v>0.0872639926383774</v>
      </c>
      <c r="H42" s="34" t="n">
        <f aca="false">Peers_inputs!$F$38</f>
        <v>0.0980540715692393</v>
      </c>
    </row>
    <row r="43" customFormat="false" ht="15" hidden="false" customHeight="true" outlineLevel="0" collapsed="false">
      <c r="A43" s="3" t="s">
        <v>822</v>
      </c>
      <c r="E43" s="34" t="n">
        <f aca="false">Peers_inputs!$C$50</f>
        <v>0.0680841866955655</v>
      </c>
      <c r="F43" s="34" t="n">
        <f aca="false">Peers_inputs!$D$50</f>
        <v>0.0690697484950442</v>
      </c>
      <c r="G43" s="34" t="n">
        <f aca="false">Peers_inputs!$E$50</f>
        <v>0.0958059596274376</v>
      </c>
      <c r="H43" s="34" t="n">
        <f aca="false">Peers_inputs!$F$50</f>
        <v>0.104505972121229</v>
      </c>
    </row>
    <row r="44" customFormat="false" ht="15" hidden="false" customHeight="true" outlineLevel="0" collapsed="false">
      <c r="A44" s="3" t="s">
        <v>823</v>
      </c>
      <c r="E44" s="3" t="s">
        <v>824</v>
      </c>
      <c r="F44" s="3" t="s">
        <v>824</v>
      </c>
      <c r="G44" s="34" t="n">
        <f aca="false">Inputs!$C$116/Inputs!$C$117</f>
        <v>0.0374031051009493</v>
      </c>
      <c r="H44" s="34" t="n">
        <f aca="false">Inputs!$C$68/Inputs!$C$65</f>
        <v>0.270162455615005</v>
      </c>
    </row>
    <row r="45" customFormat="false" ht="15" hidden="false" customHeight="true" outlineLevel="0" collapsed="false">
      <c r="A45" s="3" t="s">
        <v>825</v>
      </c>
      <c r="E45" s="34" t="n">
        <f aca="false">Peers_inputs!$C$40</f>
        <v>0.0485675188177257</v>
      </c>
      <c r="F45" s="34" t="n">
        <f aca="false">Peers_inputs!$D$40</f>
        <v>0.0195501299284329</v>
      </c>
      <c r="G45" s="34" t="n">
        <f aca="false">Peers_inputs!$E$40</f>
        <v>0.0181392154968469</v>
      </c>
      <c r="H45" s="34" t="n">
        <f aca="false">Peers_inputs!$F$40</f>
        <v>0.0200018342872146</v>
      </c>
    </row>
    <row r="46" customFormat="false" ht="15" hidden="false" customHeight="true" outlineLevel="0" collapsed="false">
      <c r="A46" s="3" t="s">
        <v>826</v>
      </c>
      <c r="E46" s="34" t="n">
        <f aca="false">Peers_inputs!$C$52</f>
        <v>0.00778035562323805</v>
      </c>
      <c r="F46" s="34" t="n">
        <f aca="false">Peers_inputs!$D$52</f>
        <v>-0.00271602014178701</v>
      </c>
      <c r="G46" s="34" t="n">
        <f aca="false">Peers_inputs!$E$52</f>
        <v>0.0168551472947394</v>
      </c>
      <c r="H46" s="34" t="n">
        <f aca="false">Peers_inputs!$F$52</f>
        <v>0.0234458502477446</v>
      </c>
    </row>
    <row r="47" customFormat="false" ht="15" hidden="false" customHeight="true" outlineLevel="0" collapsed="false">
      <c r="A47" s="3" t="s">
        <v>827</v>
      </c>
      <c r="E47" s="3" t="s">
        <v>824</v>
      </c>
      <c r="F47" s="3" t="s">
        <v>824</v>
      </c>
      <c r="G47" s="43" t="n">
        <f aca="false">Inputs!$C$118/Inputs!$C$120</f>
        <v>0.0844738130798064</v>
      </c>
      <c r="H47" s="43" t="n">
        <f aca="false">Inputs!$C$119/Inputs!$C$121</f>
        <v>0.0726295238678415</v>
      </c>
    </row>
    <row r="48" customFormat="false" ht="15" hidden="false" customHeight="true" outlineLevel="0" collapsed="false">
      <c r="A48" s="3" t="s">
        <v>828</v>
      </c>
      <c r="E48" s="43" t="n">
        <f aca="false">Peers_inputs!$C$41</f>
        <v>0.0728891387281922</v>
      </c>
      <c r="F48" s="43" t="n">
        <f aca="false">Peers_inputs!$D$41</f>
        <v>0.0684004057756403</v>
      </c>
      <c r="G48" s="43" t="n">
        <f aca="false">Peers_inputs!$E$41</f>
        <v>0.0748497017466324</v>
      </c>
      <c r="H48" s="43" t="n">
        <f aca="false">Peers_inputs!$F$41</f>
        <v>0.0754802028752852</v>
      </c>
    </row>
    <row r="49" customFormat="false" ht="15" hidden="false" customHeight="true" outlineLevel="0" collapsed="false">
      <c r="A49" s="3" t="s">
        <v>829</v>
      </c>
      <c r="E49" s="43" t="n">
        <f aca="false">Peers_inputs!$C$53</f>
        <v>0.0667040998022795</v>
      </c>
      <c r="F49" s="43" t="n">
        <f aca="false">Peers_inputs!$D$53</f>
        <v>0.0716238494194315</v>
      </c>
      <c r="G49" s="43" t="n">
        <f aca="false">Peers_inputs!$E$53</f>
        <v>0.0777959981345853</v>
      </c>
      <c r="H49" s="43" t="n">
        <f aca="false">Peers_inputs!$F$53</f>
        <v>0.0774797001490729</v>
      </c>
    </row>
    <row r="50" customFormat="false" ht="15" hidden="false" customHeight="true" outlineLevel="0" collapsed="false">
      <c r="A50" s="3" t="s">
        <v>830</v>
      </c>
      <c r="E50" s="58" t="n">
        <f aca="false">E26</f>
        <v>1.94312093299357</v>
      </c>
      <c r="F50" s="58" t="n">
        <f aca="false">F26</f>
        <v>1.91398174186032</v>
      </c>
      <c r="G50" s="58" t="n">
        <f aca="false">G26</f>
        <v>1.85996965401128</v>
      </c>
      <c r="H50" s="58" t="n">
        <f aca="false">H26</f>
        <v>1.76667005201571</v>
      </c>
    </row>
    <row r="51" customFormat="false" ht="15" hidden="false" customHeight="true" outlineLevel="0" collapsed="false">
      <c r="A51" s="3" t="s">
        <v>831</v>
      </c>
      <c r="E51" s="67" t="n">
        <f aca="false">Peers_inputs!$C$44</f>
        <v>2.56628225564835</v>
      </c>
      <c r="F51" s="67" t="n">
        <f aca="false">Peers_inputs!$D$44</f>
        <v>2.68145418317297</v>
      </c>
      <c r="G51" s="67" t="n">
        <f aca="false">Peers_inputs!$E$44</f>
        <v>2.68391460762273</v>
      </c>
      <c r="H51" s="67" t="n">
        <f aca="false">Peers_inputs!$F$44</f>
        <v>2.68712688752632</v>
      </c>
    </row>
    <row r="52" customFormat="false" ht="15" hidden="false" customHeight="true" outlineLevel="0" collapsed="false">
      <c r="A52" s="3" t="s">
        <v>832</v>
      </c>
      <c r="E52" s="67" t="n">
        <f aca="false">Peers_inputs!$C$56</f>
        <v>1.51513775913995</v>
      </c>
      <c r="F52" s="67" t="n">
        <f aca="false">Peers_inputs!$D$56</f>
        <v>1.51113516599356</v>
      </c>
      <c r="G52" s="67" t="n">
        <f aca="false">Peers_inputs!$E$56</f>
        <v>1.51736476405296</v>
      </c>
      <c r="H52" s="67" t="n">
        <f aca="false">Peers_inputs!$F$56</f>
        <v>1.50592176470377</v>
      </c>
    </row>
    <row r="53" customFormat="false" ht="15" hidden="false" customHeight="true" outlineLevel="0" collapsed="false">
      <c r="A53" s="14" t="s">
        <v>833</v>
      </c>
    </row>
    <row r="54" customFormat="false" ht="15" hidden="false" customHeight="true" outlineLevel="0" collapsed="false">
      <c r="A54" s="14" t="s">
        <v>834</v>
      </c>
    </row>
    <row r="55" customFormat="false" ht="15" hidden="false" customHeight="true" outlineLevel="0" collapsed="false">
      <c r="A55" s="14" t="s">
        <v>835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8" min="2" style="1" width="14"/>
  </cols>
  <sheetData>
    <row r="1" customFormat="false" ht="15" hidden="false" customHeight="true" outlineLevel="0" collapsed="false">
      <c r="A1" s="2" t="s">
        <v>836</v>
      </c>
    </row>
    <row r="2" customFormat="false" ht="15" hidden="false" customHeight="true" outlineLevel="0" collapsed="false">
      <c r="A2" s="14" t="s">
        <v>837</v>
      </c>
    </row>
    <row r="4" customFormat="false" ht="15" hidden="false" customHeight="true" outlineLevel="0" collapsed="false">
      <c r="A4" s="68" t="s">
        <v>838</v>
      </c>
      <c r="B4" s="59" t="s">
        <v>839</v>
      </c>
      <c r="C4" s="59" t="s">
        <v>840</v>
      </c>
      <c r="D4" s="59" t="s">
        <v>841</v>
      </c>
    </row>
    <row r="5" customFormat="false" ht="15" hidden="false" customHeight="true" outlineLevel="0" collapsed="false">
      <c r="A5" s="3" t="s">
        <v>41</v>
      </c>
      <c r="B5" s="22" t="n">
        <f aca="false">Inputs!$C$11</f>
        <v>1440978</v>
      </c>
      <c r="C5" s="24" t="n">
        <v>0</v>
      </c>
      <c r="D5" s="24" t="n">
        <f aca="false">B5</f>
        <v>1440978</v>
      </c>
    </row>
    <row r="6" customFormat="false" ht="15" hidden="false" customHeight="true" outlineLevel="0" collapsed="false">
      <c r="A6" s="3" t="s">
        <v>842</v>
      </c>
      <c r="B6" s="22" t="n">
        <f aca="false">-Inputs!$C$15</f>
        <v>-1448943</v>
      </c>
      <c r="C6" s="24" t="n">
        <f aca="false">B5+B6</f>
        <v>-7965</v>
      </c>
      <c r="D6" s="24" t="n">
        <f aca="false">-B6</f>
        <v>1448943</v>
      </c>
    </row>
    <row r="7" customFormat="false" ht="15" hidden="false" customHeight="true" outlineLevel="0" collapsed="false">
      <c r="A7" s="3" t="s">
        <v>843</v>
      </c>
      <c r="B7" s="22" t="n">
        <f aca="false">Inputs!$C$16</f>
        <v>3511</v>
      </c>
      <c r="C7" s="24" t="n">
        <f aca="false">C6+IF(B6&lt;0,0,D6)</f>
        <v>-7965</v>
      </c>
      <c r="D7" s="24" t="n">
        <f aca="false">B7</f>
        <v>3511</v>
      </c>
    </row>
    <row r="8" customFormat="false" ht="15" hidden="false" customHeight="true" outlineLevel="0" collapsed="false">
      <c r="A8" s="3" t="s">
        <v>641</v>
      </c>
      <c r="B8" s="22" t="n">
        <f aca="false">Inputs!$C$17</f>
        <v>3610</v>
      </c>
      <c r="C8" s="24" t="n">
        <f aca="false">C7+D7</f>
        <v>-4454</v>
      </c>
      <c r="D8" s="24" t="n">
        <f aca="false">B8</f>
        <v>3610</v>
      </c>
    </row>
    <row r="9" customFormat="false" ht="15" hidden="false" customHeight="true" outlineLevel="0" collapsed="false">
      <c r="A9" s="3" t="s">
        <v>844</v>
      </c>
      <c r="B9" s="22" t="n">
        <f aca="false">Inputs!$C$18</f>
        <v>43825</v>
      </c>
      <c r="C9" s="24" t="n">
        <f aca="false">C8+D8</f>
        <v>-844</v>
      </c>
      <c r="D9" s="24" t="n">
        <f aca="false">B9</f>
        <v>43825</v>
      </c>
    </row>
    <row r="10" customFormat="false" ht="15" hidden="false" customHeight="true" outlineLevel="0" collapsed="false">
      <c r="A10" s="3" t="s">
        <v>845</v>
      </c>
      <c r="B10" s="22" t="n">
        <f aca="false">Inputs!$C$19</f>
        <v>365071</v>
      </c>
      <c r="C10" s="24" t="n">
        <f aca="false">C9+D9</f>
        <v>42981</v>
      </c>
      <c r="D10" s="24" t="n">
        <f aca="false">B10</f>
        <v>365071</v>
      </c>
    </row>
    <row r="11" customFormat="false" ht="15" hidden="false" customHeight="true" outlineLevel="0" collapsed="false">
      <c r="A11" s="28" t="s">
        <v>447</v>
      </c>
      <c r="B11" s="50" t="n">
        <f aca="false">SUM(B5:B10)</f>
        <v>408052</v>
      </c>
      <c r="C11" s="24" t="n">
        <v>0</v>
      </c>
      <c r="D11" s="24" t="n">
        <f aca="false">B11</f>
        <v>408052</v>
      </c>
    </row>
    <row r="12" customFormat="false" ht="15" hidden="false" customHeight="true" outlineLevel="0" collapsed="false">
      <c r="A12" s="3" t="s">
        <v>846</v>
      </c>
      <c r="B12" s="49" t="n">
        <f aca="false">-B11*Inputs!$C$14/Inputs!$C$11</f>
        <v>-2822.42635487842</v>
      </c>
    </row>
    <row r="13" customFormat="false" ht="15" hidden="false" customHeight="true" outlineLevel="0" collapsed="false">
      <c r="A13" s="28" t="s">
        <v>847</v>
      </c>
      <c r="B13" s="50" t="n">
        <f aca="false">B11+B12</f>
        <v>405229.573645122</v>
      </c>
    </row>
    <row r="14" customFormat="false" ht="15" hidden="false" customHeight="true" outlineLevel="0" collapsed="false">
      <c r="A14" s="3" t="s">
        <v>848</v>
      </c>
      <c r="B14" s="22" t="n">
        <f aca="false">Inputs!$C$20</f>
        <v>405300</v>
      </c>
    </row>
    <row r="15" customFormat="false" ht="15" hidden="false" customHeight="true" outlineLevel="0" collapsed="false">
      <c r="A15" s="3" t="s">
        <v>849</v>
      </c>
      <c r="B15" s="53" t="n">
        <f aca="false">B13/B14-1</f>
        <v>-0.000173763520548764</v>
      </c>
    </row>
    <row r="16" customFormat="false" ht="15" hidden="false" customHeight="true" outlineLevel="0" collapsed="false">
      <c r="A16" s="3" t="s">
        <v>850</v>
      </c>
      <c r="B16" s="48" t="n">
        <f aca="false">B9/B13</f>
        <v>0.108148572686305</v>
      </c>
    </row>
    <row r="18" customFormat="false" ht="15" hidden="false" customHeight="true" outlineLevel="0" collapsed="false">
      <c r="A18" s="14" t="s">
        <v>851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8" min="2" style="1" width="14"/>
    <col collapsed="false" customWidth="true" hidden="false" outlineLevel="0" max="11" min="11" style="1" width="14"/>
    <col collapsed="false" customWidth="true" hidden="false" outlineLevel="0" max="12" min="12" style="1" width="15"/>
    <col collapsed="false" customWidth="true" hidden="false" outlineLevel="0" max="13" min="13" style="1" width="10"/>
  </cols>
  <sheetData>
    <row r="1" customFormat="false" ht="15" hidden="false" customHeight="true" outlineLevel="0" collapsed="false">
      <c r="A1" s="2" t="s">
        <v>852</v>
      </c>
    </row>
    <row r="2" customFormat="false" ht="15" hidden="false" customHeight="true" outlineLevel="0" collapsed="false">
      <c r="A2" s="14" t="s">
        <v>853</v>
      </c>
    </row>
    <row r="4" customFormat="false" ht="15" hidden="false" customHeight="true" outlineLevel="0" collapsed="false">
      <c r="A4" s="68"/>
      <c r="B4" s="59" t="s">
        <v>24</v>
      </c>
      <c r="C4" s="59" t="s">
        <v>27</v>
      </c>
      <c r="D4" s="59" t="s">
        <v>30</v>
      </c>
      <c r="E4" s="59" t="s">
        <v>33</v>
      </c>
      <c r="K4" s="5" t="s">
        <v>33</v>
      </c>
      <c r="L4" s="5" t="s">
        <v>854</v>
      </c>
      <c r="M4" s="5" t="s">
        <v>855</v>
      </c>
    </row>
    <row r="5" customFormat="false" ht="15" hidden="false" customHeight="true" outlineLevel="0" collapsed="false">
      <c r="A5" s="3" t="s">
        <v>856</v>
      </c>
      <c r="B5" s="22" t="n">
        <f aca="false">Inputs!$C$5</f>
        <v>494605</v>
      </c>
      <c r="C5" s="22" t="n">
        <f aca="false">Inputs!$C$6</f>
        <v>653911</v>
      </c>
      <c r="D5" s="22" t="n">
        <f aca="false">Inputs!$C$7</f>
        <v>316108</v>
      </c>
      <c r="E5" s="22" t="n">
        <f aca="false">Inputs!$C$8</f>
        <v>339530</v>
      </c>
      <c r="K5" s="3" t="s">
        <v>857</v>
      </c>
      <c r="L5" s="48" t="n">
        <f aca="false">B27</f>
        <v>0.0605395748961521</v>
      </c>
      <c r="M5" s="48" t="n">
        <f aca="false">F27</f>
        <v>0.0282669888727396</v>
      </c>
    </row>
    <row r="6" customFormat="false" ht="15" hidden="false" customHeight="true" outlineLevel="0" collapsed="false">
      <c r="A6" s="3" t="s">
        <v>420</v>
      </c>
      <c r="B6" s="22" t="n">
        <f aca="false">Inputs!$C$35</f>
        <v>428322</v>
      </c>
      <c r="C6" s="22" t="n">
        <f aca="false">Inputs!$C$36</f>
        <v>469964</v>
      </c>
      <c r="D6" s="22" t="n">
        <f aca="false">Inputs!$C$29</f>
        <v>230626</v>
      </c>
      <c r="E6" s="22" t="n">
        <f aca="false">Inputs!$C$30</f>
        <v>244588</v>
      </c>
      <c r="K6" s="3" t="s">
        <v>858</v>
      </c>
      <c r="L6" s="48" t="n">
        <f aca="false">B28</f>
        <v>0.0891390540923251</v>
      </c>
      <c r="M6" s="48" t="n">
        <f aca="false">F28</f>
        <v>0.0449210177156982</v>
      </c>
    </row>
    <row r="7" customFormat="false" ht="15" hidden="false" customHeight="true" outlineLevel="0" collapsed="false">
      <c r="A7" s="3" t="s">
        <v>859</v>
      </c>
      <c r="B7" s="22" t="n">
        <f aca="false">Inputs!$C$37</f>
        <v>52671</v>
      </c>
      <c r="C7" s="22" t="n">
        <f aca="false">Inputs!$C$38</f>
        <v>62627</v>
      </c>
      <c r="D7" s="22" t="n">
        <f aca="false">Inputs!$C$31</f>
        <v>29393</v>
      </c>
      <c r="E7" s="22" t="n">
        <f aca="false">Inputs!$C$32</f>
        <v>33899</v>
      </c>
      <c r="K7" s="3" t="s">
        <v>860</v>
      </c>
      <c r="L7" s="48" t="n">
        <f aca="false">B31</f>
        <v>0.153301806552581</v>
      </c>
      <c r="M7" s="48" t="n">
        <f aca="false">F31</f>
        <v>0.0110814969088568</v>
      </c>
    </row>
    <row r="8" customFormat="false" ht="15" hidden="false" customHeight="true" outlineLevel="0" collapsed="false">
      <c r="A8" s="3" t="s">
        <v>421</v>
      </c>
      <c r="B8" s="22" t="n">
        <f aca="false">Inputs!$C$39</f>
        <v>13612</v>
      </c>
      <c r="C8" s="22" t="n">
        <f aca="false">Inputs!$C$40</f>
        <v>121320</v>
      </c>
      <c r="D8" s="22" t="n">
        <f aca="false">Inputs!$C$33</f>
        <v>56496</v>
      </c>
      <c r="E8" s="22" t="n">
        <f aca="false">Inputs!$C$34</f>
        <v>61532</v>
      </c>
      <c r="K8" s="3" t="s">
        <v>861</v>
      </c>
      <c r="L8" s="48" t="n">
        <f aca="false">B32</f>
        <v>0.0740949295810294</v>
      </c>
      <c r="M8" s="48" t="n">
        <f aca="false">F32</f>
        <v>0.0297109024542601</v>
      </c>
    </row>
    <row r="9" customFormat="false" ht="15" hidden="false" customHeight="true" outlineLevel="0" collapsed="false">
      <c r="A9" s="3" t="s">
        <v>104</v>
      </c>
      <c r="B9" s="22" t="n">
        <f aca="false">Inputs!$C$42</f>
        <v>24833</v>
      </c>
      <c r="C9" s="22" t="n">
        <f aca="false">Inputs!$C$43</f>
        <v>38936</v>
      </c>
      <c r="D9" s="22" t="n">
        <f aca="false">Inputs!$C$44</f>
        <v>17521</v>
      </c>
      <c r="E9" s="22" t="n">
        <f aca="false">Inputs!$C$45</f>
        <v>17332</v>
      </c>
      <c r="K9" s="14" t="s">
        <v>862</v>
      </c>
    </row>
    <row r="10" customFormat="false" ht="15" hidden="false" customHeight="true" outlineLevel="0" collapsed="false">
      <c r="A10" s="3" t="s">
        <v>863</v>
      </c>
      <c r="B10" s="69" t="n">
        <f aca="false">Inputs!$C$46</f>
        <v>37569.64</v>
      </c>
      <c r="C10" s="69" t="n">
        <f aca="false">Inputs!$C$47</f>
        <v>39206.28</v>
      </c>
      <c r="D10" s="69" t="n">
        <f aca="false">Inputs!$C$48</f>
        <v>38841.29</v>
      </c>
      <c r="E10" s="69" t="n">
        <f aca="false">Inputs!$C$49</f>
        <v>40060.34</v>
      </c>
    </row>
    <row r="12" customFormat="false" ht="15" hidden="false" customHeight="true" outlineLevel="0" collapsed="false">
      <c r="A12" s="68" t="s">
        <v>864</v>
      </c>
      <c r="B12" s="59"/>
      <c r="C12" s="59" t="s">
        <v>27</v>
      </c>
      <c r="D12" s="59"/>
      <c r="E12" s="59" t="s">
        <v>33</v>
      </c>
    </row>
    <row r="13" customFormat="false" ht="15" hidden="false" customHeight="true" outlineLevel="0" collapsed="false">
      <c r="A13" s="3" t="s">
        <v>865</v>
      </c>
      <c r="B13" s="48"/>
      <c r="C13" s="48" t="n">
        <f aca="false">C5/B5-1</f>
        <v>0.322087322206609</v>
      </c>
      <c r="D13" s="48"/>
      <c r="E13" s="48" t="n">
        <f aca="false">E5/D5-1</f>
        <v>0.0740949295810294</v>
      </c>
      <c r="G13" s="1" t="s">
        <v>866</v>
      </c>
      <c r="H13" s="1" t="s">
        <v>27</v>
      </c>
      <c r="I13" s="1" t="s">
        <v>33</v>
      </c>
    </row>
    <row r="14" customFormat="false" ht="15" hidden="false" customHeight="true" outlineLevel="0" collapsed="false">
      <c r="A14" s="3" t="s">
        <v>867</v>
      </c>
      <c r="B14" s="48"/>
      <c r="C14" s="48" t="n">
        <f aca="false">(C8-B8)/B5</f>
        <v>0.21776569181468</v>
      </c>
      <c r="D14" s="48"/>
      <c r="E14" s="48"/>
      <c r="G14" s="1" t="s">
        <v>868</v>
      </c>
      <c r="H14" s="70" t="n">
        <f aca="false">C16</f>
        <v>0.0972212494338371</v>
      </c>
      <c r="I14" s="70" t="n">
        <f aca="false">E16</f>
        <v>0.0605395748961521</v>
      </c>
    </row>
    <row r="15" customFormat="false" ht="15" hidden="false" customHeight="true" outlineLevel="0" collapsed="false">
      <c r="A15" s="3" t="s">
        <v>869</v>
      </c>
      <c r="B15" s="48"/>
      <c r="C15" s="48" t="n">
        <f aca="false">(C6+C7)/(B6+B7)-1</f>
        <v>0.107273910431129</v>
      </c>
      <c r="D15" s="48"/>
      <c r="E15" s="48" t="n">
        <f aca="false">(E6+E7)/(D6+D7)-1</f>
        <v>0.0710255789000034</v>
      </c>
      <c r="G15" s="1" t="s">
        <v>870</v>
      </c>
      <c r="H15" s="70" t="n">
        <f aca="false">C17</f>
        <v>0.0435628342459495</v>
      </c>
      <c r="I15" s="70" t="n">
        <f aca="false">E17</f>
        <v>0.0313854148510515</v>
      </c>
    </row>
    <row r="16" customFormat="false" ht="15" hidden="false" customHeight="true" outlineLevel="0" collapsed="false">
      <c r="A16" s="3" t="s">
        <v>871</v>
      </c>
      <c r="B16" s="48"/>
      <c r="C16" s="48" t="n">
        <f aca="false">C6/B6-1</f>
        <v>0.0972212494338371</v>
      </c>
      <c r="D16" s="48"/>
      <c r="E16" s="48" t="n">
        <f aca="false">E6/D6-1</f>
        <v>0.0605395748961521</v>
      </c>
      <c r="G16" s="1" t="s">
        <v>855</v>
      </c>
      <c r="H16" s="70" t="n">
        <f aca="false">C18</f>
        <v>0.0514184804469966</v>
      </c>
      <c r="I16" s="70" t="n">
        <f aca="false">E18</f>
        <v>0.0282669888727396</v>
      </c>
    </row>
    <row r="17" customFormat="false" ht="15" hidden="false" customHeight="true" outlineLevel="0" collapsed="false">
      <c r="A17" s="3" t="s">
        <v>872</v>
      </c>
      <c r="B17" s="48"/>
      <c r="C17" s="48" t="n">
        <f aca="false">C10/B10-1</f>
        <v>0.0435628342459495</v>
      </c>
      <c r="D17" s="48"/>
      <c r="E17" s="48" t="n">
        <f aca="false">E10/D10-1</f>
        <v>0.0313854148510515</v>
      </c>
    </row>
    <row r="18" customFormat="false" ht="15" hidden="false" customHeight="true" outlineLevel="0" collapsed="false">
      <c r="A18" s="28" t="s">
        <v>873</v>
      </c>
      <c r="B18" s="60"/>
      <c r="C18" s="60" t="n">
        <f aca="false">(1+C16)/(1+C17)-1</f>
        <v>0.0514184804469966</v>
      </c>
      <c r="D18" s="60"/>
      <c r="E18" s="60" t="n">
        <f aca="false">(1+E16)/(1+E17)-1</f>
        <v>0.0282669888727396</v>
      </c>
    </row>
    <row r="19" customFormat="false" ht="15" hidden="false" customHeight="true" outlineLevel="0" collapsed="false">
      <c r="A19" s="3" t="s">
        <v>874</v>
      </c>
      <c r="B19" s="48"/>
      <c r="C19" s="48" t="n">
        <f aca="false">C7/B7-1</f>
        <v>0.189022422205768</v>
      </c>
      <c r="D19" s="48"/>
      <c r="E19" s="48" t="n">
        <f aca="false">E7/D7-1</f>
        <v>0.153301806552581</v>
      </c>
    </row>
    <row r="20" customFormat="false" ht="15" hidden="false" customHeight="true" outlineLevel="0" collapsed="false">
      <c r="A20" s="3" t="s">
        <v>875</v>
      </c>
      <c r="B20" s="48"/>
      <c r="C20" s="48" t="s">
        <v>876</v>
      </c>
      <c r="D20" s="48"/>
      <c r="E20" s="48" t="n">
        <f aca="false">E8/D8-1</f>
        <v>0.0891390540923251</v>
      </c>
    </row>
    <row r="21" customFormat="false" ht="15" hidden="false" customHeight="true" outlineLevel="0" collapsed="false">
      <c r="A21" s="3" t="s">
        <v>877</v>
      </c>
      <c r="B21" s="48" t="n">
        <f aca="false">B9/B5</f>
        <v>0.0502077415311208</v>
      </c>
      <c r="C21" s="48" t="n">
        <f aca="false">C9/C5</f>
        <v>0.0595432711791054</v>
      </c>
      <c r="D21" s="48" t="n">
        <f aca="false">D9/D5</f>
        <v>0.0554272590380503</v>
      </c>
      <c r="E21" s="48" t="n">
        <f aca="false">E9/E5</f>
        <v>0.0510470356080464</v>
      </c>
    </row>
    <row r="22" customFormat="false" ht="15" hidden="false" customHeight="true" outlineLevel="0" collapsed="false">
      <c r="A22" s="3" t="s">
        <v>878</v>
      </c>
      <c r="B22" s="48"/>
      <c r="C22" s="48" t="n">
        <f aca="false">C9/B9-1</f>
        <v>0.567913663270648</v>
      </c>
      <c r="D22" s="48"/>
      <c r="E22" s="48" t="n">
        <f aca="false">E9/D9-1</f>
        <v>-0.01078705553336</v>
      </c>
    </row>
    <row r="23" customFormat="false" ht="15" hidden="false" customHeight="true" outlineLevel="0" collapsed="false">
      <c r="A23" s="3" t="s">
        <v>879</v>
      </c>
      <c r="B23" s="48"/>
      <c r="C23" s="48" t="n">
        <f aca="false">(C5-C9)/(B5-B9)-1</f>
        <v>0.309092495934198</v>
      </c>
      <c r="D23" s="48"/>
      <c r="E23" s="48" t="n">
        <f aca="false">(E5-E9)/(D5-D9)-1</f>
        <v>0.0790757802583502</v>
      </c>
    </row>
    <row r="25" customFormat="false" ht="15" hidden="false" customHeight="true" outlineLevel="0" collapsed="false">
      <c r="A25" s="5" t="s">
        <v>880</v>
      </c>
      <c r="B25" s="5" t="s">
        <v>881</v>
      </c>
      <c r="C25" s="5" t="s">
        <v>882</v>
      </c>
      <c r="D25" s="5" t="s">
        <v>883</v>
      </c>
      <c r="E25" s="5" t="s">
        <v>884</v>
      </c>
      <c r="F25" s="5" t="s">
        <v>855</v>
      </c>
    </row>
    <row r="26" customFormat="false" ht="15" hidden="false" customHeight="true" outlineLevel="0" collapsed="false">
      <c r="A26" s="3" t="s">
        <v>885</v>
      </c>
      <c r="B26" s="48" t="n">
        <f aca="false">C16</f>
        <v>0.0972212494338371</v>
      </c>
      <c r="C26" s="48" t="n">
        <v>0</v>
      </c>
      <c r="D26" s="48" t="n">
        <f aca="false">(1+B26)/(1+C26)-1</f>
        <v>0.0972212494338371</v>
      </c>
      <c r="E26" s="48" t="n">
        <f aca="false">C17</f>
        <v>0.0435628342459495</v>
      </c>
      <c r="F26" s="48" t="n">
        <f aca="false">(1+D26)/(1+E26)-1</f>
        <v>0.0514184804469966</v>
      </c>
    </row>
    <row r="27" customFormat="false" ht="15" hidden="false" customHeight="true" outlineLevel="0" collapsed="false">
      <c r="A27" s="3" t="s">
        <v>886</v>
      </c>
      <c r="B27" s="48" t="n">
        <f aca="false">E16</f>
        <v>0.0605395748961521</v>
      </c>
      <c r="C27" s="48" t="n">
        <v>0</v>
      </c>
      <c r="D27" s="48" t="n">
        <f aca="false">(1+B27)/(1+C27)-1</f>
        <v>0.0605395748961521</v>
      </c>
      <c r="E27" s="48" t="n">
        <f aca="false">E17</f>
        <v>0.0313854148510515</v>
      </c>
      <c r="F27" s="48" t="n">
        <f aca="false">(1+D27)/(1+E27)-1</f>
        <v>0.0282669888727396</v>
      </c>
    </row>
    <row r="28" customFormat="false" ht="15" hidden="false" customHeight="true" outlineLevel="0" collapsed="false">
      <c r="A28" s="3" t="s">
        <v>887</v>
      </c>
      <c r="B28" s="48" t="n">
        <f aca="false">E20</f>
        <v>0.0891390540923251</v>
      </c>
      <c r="C28" s="34" t="n">
        <f aca="false">Inputs!$C$109/Inputs!$C$108-1</f>
        <v>0.00921681566317445</v>
      </c>
      <c r="D28" s="48" t="n">
        <f aca="false">(1+B28)/(1+C28)-1</f>
        <v>0.0791923372547378</v>
      </c>
      <c r="E28" s="34" t="n">
        <f aca="false">Inputs!$C$112</f>
        <v>0.032798</v>
      </c>
      <c r="F28" s="48" t="n">
        <f aca="false">(1+D28)/(1+E28)-1</f>
        <v>0.0449210177156982</v>
      </c>
    </row>
    <row r="29" customFormat="false" ht="15" hidden="false" customHeight="true" outlineLevel="0" collapsed="false">
      <c r="A29" s="3" t="s">
        <v>888</v>
      </c>
      <c r="B29" s="34" t="n">
        <f aca="false">Inputs!$C$37/Inputs!$C$100-1</f>
        <v>0.448597359735974</v>
      </c>
      <c r="C29" s="34" t="n">
        <f aca="false">Inputs!$C$102/Inputs!$C$101-1</f>
        <v>0.172186969525503</v>
      </c>
      <c r="D29" s="48" t="n">
        <f aca="false">(1+B29)/(1+C29)-1</f>
        <v>0.235807424409743</v>
      </c>
      <c r="E29" s="34" t="n">
        <f aca="false">Inputs!$C$113</f>
        <v>0.052</v>
      </c>
      <c r="F29" s="48" t="n">
        <f aca="false">(1+D29)/(1+E29)-1</f>
        <v>0.174721886321048</v>
      </c>
    </row>
    <row r="30" customFormat="false" ht="15" hidden="false" customHeight="true" outlineLevel="0" collapsed="false">
      <c r="A30" s="3" t="s">
        <v>889</v>
      </c>
      <c r="B30" s="48" t="n">
        <f aca="false">C19</f>
        <v>0.189022422205768</v>
      </c>
      <c r="C30" s="34" t="n">
        <f aca="false">Inputs!$C$103/Inputs!$C$102-1</f>
        <v>0.0133955124171401</v>
      </c>
      <c r="D30" s="48" t="n">
        <f aca="false">(1+B30)/(1+C30)-1</f>
        <v>0.173305395215067</v>
      </c>
      <c r="E30" s="34" t="n">
        <f aca="false">Inputs!$C$114</f>
        <v>0.051</v>
      </c>
      <c r="F30" s="48" t="n">
        <f aca="false">(1+D30)/(1+E30)-1</f>
        <v>0.116370499728893</v>
      </c>
    </row>
    <row r="31" customFormat="false" ht="15" hidden="false" customHeight="true" outlineLevel="0" collapsed="false">
      <c r="A31" s="3" t="s">
        <v>890</v>
      </c>
      <c r="B31" s="48" t="n">
        <f aca="false">E19</f>
        <v>0.153301806552581</v>
      </c>
      <c r="C31" s="34" t="n">
        <f aca="false">Inputs!$C$105/Inputs!$C$104-1</f>
        <v>0.0746764357478174</v>
      </c>
      <c r="D31" s="48" t="n">
        <f aca="false">(1+B31)/(1+C31)-1</f>
        <v>0.0731619008190605</v>
      </c>
      <c r="E31" s="34" t="n">
        <f aca="false">Inputs!$C$115</f>
        <v>0.0614</v>
      </c>
      <c r="F31" s="48" t="n">
        <f aca="false">(1+D31)/(1+E31)-1</f>
        <v>0.0110814969088568</v>
      </c>
    </row>
    <row r="32" customFormat="false" ht="15" hidden="false" customHeight="true" outlineLevel="0" collapsed="false">
      <c r="A32" s="28" t="s">
        <v>891</v>
      </c>
      <c r="B32" s="48" t="n">
        <f aca="false">E13</f>
        <v>0.0740949295810294</v>
      </c>
      <c r="F32" s="71" t="n">
        <f aca="false">(F27*Inputs!$C$36+F28*Inputs!$C$40+F31*Inputs!$C$38)/Inputs!$C$6</f>
        <v>0.0297109024542601</v>
      </c>
    </row>
    <row r="33" customFormat="false" ht="15" hidden="false" customHeight="true" outlineLevel="0" collapsed="false">
      <c r="A33" s="14" t="s">
        <v>892</v>
      </c>
    </row>
    <row r="34" customFormat="false" ht="15" hidden="false" customHeight="true" outlineLevel="0" collapsed="false">
      <c r="A34" s="14" t="s">
        <v>893</v>
      </c>
    </row>
    <row r="35" customFormat="false" ht="15" hidden="false" customHeight="true" outlineLevel="0" collapsed="false">
      <c r="A35" s="14" t="s">
        <v>894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8" min="2" style="1" width="14"/>
  </cols>
  <sheetData>
    <row r="1" customFormat="false" ht="15" hidden="false" customHeight="true" outlineLevel="0" collapsed="false">
      <c r="A1" s="2" t="s">
        <v>895</v>
      </c>
    </row>
    <row r="2" customFormat="false" ht="15" hidden="false" customHeight="true" outlineLevel="0" collapsed="false">
      <c r="A2" s="14" t="s">
        <v>896</v>
      </c>
    </row>
    <row r="4" customFormat="false" ht="15" hidden="false" customHeight="true" outlineLevel="0" collapsed="false">
      <c r="A4" s="68"/>
      <c r="B4" s="59" t="s">
        <v>24</v>
      </c>
      <c r="C4" s="59" t="s">
        <v>27</v>
      </c>
      <c r="D4" s="59" t="s">
        <v>33</v>
      </c>
    </row>
    <row r="5" customFormat="false" ht="15" hidden="false" customHeight="true" outlineLevel="0" collapsed="false">
      <c r="A5" s="3" t="s">
        <v>542</v>
      </c>
      <c r="B5" s="22" t="n">
        <f aca="false">Inputs!$C$9</f>
        <v>380637</v>
      </c>
      <c r="C5" s="22" t="n">
        <f aca="false">Inputs!$C$10</f>
        <v>526228</v>
      </c>
      <c r="D5" s="6" t="n">
        <f aca="false">270574</f>
        <v>270574</v>
      </c>
    </row>
    <row r="6" customFormat="false" ht="15" hidden="false" customHeight="true" outlineLevel="0" collapsed="false">
      <c r="A6" s="3" t="s">
        <v>897</v>
      </c>
      <c r="B6" s="22" t="n">
        <f aca="false">Inputs!$C$50</f>
        <v>300822</v>
      </c>
      <c r="C6" s="22" t="n">
        <f aca="false">Inputs!$C$51</f>
        <v>441135</v>
      </c>
      <c r="D6" s="22" t="n">
        <f aca="false">Inputs!$C$52</f>
        <v>258193</v>
      </c>
    </row>
    <row r="7" customFormat="false" ht="15" hidden="false" customHeight="true" outlineLevel="0" collapsed="false">
      <c r="A7" s="3" t="s">
        <v>898</v>
      </c>
      <c r="B7" s="22" t="n">
        <f aca="false">-Inputs!$C$53</f>
        <v>-76321</v>
      </c>
      <c r="C7" s="22" t="n">
        <f aca="false">-Inputs!$C$54</f>
        <v>-103642</v>
      </c>
      <c r="D7" s="22" t="n">
        <f aca="false">-Inputs!$C$55</f>
        <v>-84241</v>
      </c>
    </row>
    <row r="8" customFormat="false" ht="15" hidden="false" customHeight="true" outlineLevel="0" collapsed="false">
      <c r="A8" s="3" t="s">
        <v>899</v>
      </c>
      <c r="B8" s="22" t="n">
        <f aca="false">-Inputs!$C$56</f>
        <v>-33436</v>
      </c>
      <c r="C8" s="22" t="n">
        <f aca="false">-Inputs!$C$57</f>
        <v>-57423</v>
      </c>
      <c r="D8" s="22" t="n">
        <f aca="false">-Inputs!$C$58</f>
        <v>-21601</v>
      </c>
    </row>
    <row r="9" customFormat="false" ht="15" hidden="false" customHeight="true" outlineLevel="0" collapsed="false">
      <c r="A9" s="28" t="s">
        <v>900</v>
      </c>
      <c r="B9" s="50" t="n">
        <f aca="false">SUM(B6:B8)</f>
        <v>191065</v>
      </c>
      <c r="C9" s="50" t="n">
        <f aca="false">SUM(C6:C8)</f>
        <v>280070</v>
      </c>
      <c r="D9" s="50" t="n">
        <f aca="false">SUM(D6:D8)</f>
        <v>152351</v>
      </c>
    </row>
    <row r="10" customFormat="false" ht="15" hidden="false" customHeight="true" outlineLevel="0" collapsed="false">
      <c r="A10" s="3" t="s">
        <v>147</v>
      </c>
      <c r="B10" s="22" t="n">
        <f aca="false">Inputs!$C$59</f>
        <v>125751</v>
      </c>
      <c r="C10" s="22" t="n">
        <f aca="false">Inputs!$C$60</f>
        <v>108499</v>
      </c>
      <c r="D10" s="22" t="n">
        <f aca="false">Inputs!$C$61</f>
        <v>87617</v>
      </c>
    </row>
    <row r="11" customFormat="false" ht="15" hidden="false" customHeight="true" outlineLevel="0" collapsed="false">
      <c r="A11" s="28" t="s">
        <v>901</v>
      </c>
      <c r="B11" s="72" t="n">
        <f aca="false">B9/B10</f>
        <v>1.51939149589268</v>
      </c>
      <c r="C11" s="72" t="n">
        <f aca="false">C9/C10</f>
        <v>2.58131411349413</v>
      </c>
      <c r="D11" s="72" t="n">
        <f aca="false">D9/D10</f>
        <v>1.73882922263944</v>
      </c>
    </row>
    <row r="12" customFormat="false" ht="15" hidden="false" customHeight="true" outlineLevel="0" collapsed="false">
      <c r="A12" s="3" t="s">
        <v>902</v>
      </c>
      <c r="B12" s="48" t="n">
        <f aca="false">-B7/Inputs!$C$5</f>
        <v>0.154306972230366</v>
      </c>
      <c r="C12" s="48" t="n">
        <f aca="false">-C7/Inputs!$C$6</f>
        <v>0.158495575085906</v>
      </c>
      <c r="D12" s="48" t="n">
        <f aca="false">-D7/Inputs!$C$8</f>
        <v>0.248110623508968</v>
      </c>
    </row>
    <row r="13" customFormat="false" ht="15" hidden="false" customHeight="true" outlineLevel="0" collapsed="false">
      <c r="A13" s="3" t="s">
        <v>903</v>
      </c>
      <c r="B13" s="48" t="n">
        <f aca="false">B6/B5</f>
        <v>0.790312029571482</v>
      </c>
      <c r="C13" s="48" t="n">
        <f aca="false">C6/C5</f>
        <v>0.838296327827482</v>
      </c>
      <c r="D13" s="48" t="n">
        <f aca="false">D6/D5</f>
        <v>0.954241723151522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8" min="2" style="1" width="14"/>
  </cols>
  <sheetData>
    <row r="1" customFormat="false" ht="15" hidden="false" customHeight="true" outlineLevel="0" collapsed="false">
      <c r="A1" s="2" t="s">
        <v>904</v>
      </c>
    </row>
    <row r="2" customFormat="false" ht="15" hidden="false" customHeight="true" outlineLevel="0" collapsed="false">
      <c r="A2" s="14" t="s">
        <v>905</v>
      </c>
    </row>
    <row r="4" customFormat="false" ht="15" hidden="false" customHeight="true" outlineLevel="0" collapsed="false">
      <c r="A4" s="68"/>
      <c r="B4" s="59" t="s">
        <v>74</v>
      </c>
      <c r="C4" s="59" t="s">
        <v>77</v>
      </c>
      <c r="D4" s="59" t="s">
        <v>159</v>
      </c>
    </row>
    <row r="5" customFormat="false" ht="15" hidden="false" customHeight="true" outlineLevel="0" collapsed="false">
      <c r="A5" s="3" t="s">
        <v>906</v>
      </c>
      <c r="B5" s="22" t="n">
        <f aca="false">Inputs!$C$62</f>
        <v>1438401</v>
      </c>
      <c r="C5" s="22" t="n">
        <f aca="false">Inputs!$C$63</f>
        <v>1311024</v>
      </c>
      <c r="D5" s="22" t="n">
        <f aca="false">Inputs!$C$64</f>
        <v>1285740</v>
      </c>
    </row>
    <row r="6" customFormat="false" ht="15" hidden="false" customHeight="true" outlineLevel="0" collapsed="false">
      <c r="A6" s="3" t="s">
        <v>162</v>
      </c>
      <c r="B6" s="22" t="n">
        <f aca="false">Inputs!$C$65</f>
        <v>5356540</v>
      </c>
      <c r="C6" s="22" t="n">
        <f aca="false">Inputs!$C$66</f>
        <v>6961880</v>
      </c>
      <c r="D6" s="22" t="n">
        <f aca="false">Inputs!$C$67</f>
        <v>7309810</v>
      </c>
    </row>
    <row r="7" customFormat="false" ht="15" hidden="false" customHeight="true" outlineLevel="0" collapsed="false">
      <c r="A7" s="28" t="s">
        <v>907</v>
      </c>
      <c r="B7" s="60" t="n">
        <f aca="false">B5/B6</f>
        <v>0.26853173877167</v>
      </c>
      <c r="C7" s="60" t="n">
        <f aca="false">C5/C6</f>
        <v>0.188314650640344</v>
      </c>
      <c r="D7" s="60" t="n">
        <f aca="false">D5/D6</f>
        <v>0.175892396656001</v>
      </c>
    </row>
    <row r="8" customFormat="false" ht="15" hidden="false" customHeight="true" outlineLevel="0" collapsed="false">
      <c r="A8" s="3" t="s">
        <v>170</v>
      </c>
      <c r="B8" s="73" t="n">
        <f aca="false">Inputs!$C$69</f>
        <v>3.78</v>
      </c>
      <c r="C8" s="73" t="n">
        <f aca="false">Inputs!$C$70</f>
        <v>2.49</v>
      </c>
      <c r="D8" s="73" t="n">
        <f aca="false">Inputs!$C$71</f>
        <v>2.36</v>
      </c>
    </row>
    <row r="9" customFormat="false" ht="15" hidden="false" customHeight="true" outlineLevel="0" collapsed="false">
      <c r="A9" s="3" t="s">
        <v>177</v>
      </c>
      <c r="B9" s="73" t="n">
        <f aca="false">Inputs!$C$72</f>
        <v>0.45</v>
      </c>
      <c r="C9" s="73" t="n">
        <f aca="false">Inputs!$C$73</f>
        <v>0.29</v>
      </c>
      <c r="D9" s="73" t="n">
        <f aca="false">Inputs!$C$74</f>
        <v>0.26</v>
      </c>
    </row>
    <row r="11" customFormat="false" ht="15" hidden="false" customHeight="true" outlineLevel="0" collapsed="false">
      <c r="A11" s="68" t="s">
        <v>908</v>
      </c>
      <c r="B11" s="59" t="s">
        <v>909</v>
      </c>
    </row>
    <row r="12" customFormat="false" ht="15" hidden="false" customHeight="true" outlineLevel="0" collapsed="false">
      <c r="A12" s="3" t="s">
        <v>910</v>
      </c>
      <c r="B12" s="48" t="n">
        <f aca="false">B7</f>
        <v>0.26853173877167</v>
      </c>
    </row>
    <row r="13" customFormat="false" ht="15" hidden="false" customHeight="true" outlineLevel="0" collapsed="false">
      <c r="A13" s="3" t="s">
        <v>911</v>
      </c>
      <c r="B13" s="48" t="n">
        <f aca="false">C5/(C6-Inputs!$C$68)</f>
        <v>0.237730708805341</v>
      </c>
    </row>
    <row r="14" customFormat="false" ht="15" hidden="false" customHeight="true" outlineLevel="0" collapsed="false">
      <c r="A14" s="3" t="s">
        <v>912</v>
      </c>
      <c r="B14" s="48" t="n">
        <f aca="false">B13-B12</f>
        <v>-0.030801029966329</v>
      </c>
    </row>
    <row r="15" customFormat="false" ht="15" hidden="false" customHeight="true" outlineLevel="0" collapsed="false">
      <c r="A15" s="3" t="s">
        <v>913</v>
      </c>
      <c r="B15" s="48" t="n">
        <f aca="false">C7-B13</f>
        <v>-0.0494160581649965</v>
      </c>
    </row>
    <row r="16" customFormat="false" ht="15" hidden="false" customHeight="true" outlineLevel="0" collapsed="false">
      <c r="A16" s="28" t="s">
        <v>914</v>
      </c>
      <c r="B16" s="60" t="n">
        <f aca="false">C7</f>
        <v>0.188314650640344</v>
      </c>
    </row>
    <row r="17" customFormat="false" ht="15" hidden="false" customHeight="true" outlineLevel="0" collapsed="false">
      <c r="A17" s="3" t="s">
        <v>915</v>
      </c>
      <c r="B17" s="48" t="n">
        <f aca="false">B15/(B16-B12)</f>
        <v>0.616029069568022</v>
      </c>
    </row>
    <row r="19" customFormat="false" ht="15" hidden="false" customHeight="true" outlineLevel="0" collapsed="false">
      <c r="A19" s="74" t="s">
        <v>916</v>
      </c>
    </row>
    <row r="21" customFormat="false" ht="15" hidden="false" customHeight="true" outlineLevel="0" collapsed="false">
      <c r="A21" s="5" t="s">
        <v>917</v>
      </c>
      <c r="B21" s="5" t="s">
        <v>918</v>
      </c>
      <c r="C21" s="5" t="s">
        <v>919</v>
      </c>
      <c r="D21" s="5" t="s">
        <v>920</v>
      </c>
    </row>
    <row r="22" customFormat="false" ht="15" hidden="false" customHeight="true" outlineLevel="0" collapsed="false">
      <c r="A22" s="3" t="s">
        <v>921</v>
      </c>
      <c r="B22" s="48" t="n">
        <f aca="false">C7</f>
        <v>0.188314650640344</v>
      </c>
      <c r="C22" s="34" t="n">
        <f aca="false">Peers_inputs!$F$42</f>
        <v>0.429039132439782</v>
      </c>
      <c r="D22" s="34" t="n">
        <f aca="false">Peers_inputs!$F$54</f>
        <v>0.16332277639376</v>
      </c>
    </row>
    <row r="23" customFormat="false" ht="15" hidden="false" customHeight="true" outlineLevel="0" collapsed="false">
      <c r="A23" s="3" t="s">
        <v>922</v>
      </c>
      <c r="B23" s="58" t="n">
        <f aca="false">C8</f>
        <v>2.49</v>
      </c>
      <c r="C23" s="67" t="n">
        <f aca="false">Peers_inputs!$F$43</f>
        <v>5.68412797125991</v>
      </c>
      <c r="D23" s="67" t="n">
        <f aca="false">Peers_inputs!$F$55</f>
        <v>2.10794280410898</v>
      </c>
    </row>
    <row r="24" customFormat="false" ht="15" hidden="false" customHeight="true" outlineLevel="0" collapsed="false">
      <c r="A24" s="3" t="s">
        <v>923</v>
      </c>
      <c r="B24" s="67" t="n">
        <f aca="false">Inputs!$C$25/Inputs!$C$28</f>
        <v>1.69168050627885</v>
      </c>
      <c r="C24" s="67" t="n">
        <f aca="false">Peers_inputs!$F$44</f>
        <v>2.68712688752632</v>
      </c>
      <c r="D24" s="67" t="n">
        <f aca="false">Peers_inputs!$F$56</f>
        <v>1.50592176470377</v>
      </c>
    </row>
    <row r="25" customFormat="false" ht="15" hidden="false" customHeight="true" outlineLevel="0" collapsed="false">
      <c r="A25" s="14" t="s">
        <v>924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7" min="2" style="1" width="14"/>
    <col collapsed="false" customWidth="true" hidden="false" outlineLevel="0" max="8" min="8" style="1" width="18"/>
  </cols>
  <sheetData>
    <row r="1" customFormat="false" ht="15" hidden="false" customHeight="true" outlineLevel="0" collapsed="false">
      <c r="A1" s="2" t="s">
        <v>925</v>
      </c>
    </row>
    <row r="2" customFormat="false" ht="15" hidden="false" customHeight="true" outlineLevel="0" collapsed="false">
      <c r="A2" s="14" t="s">
        <v>926</v>
      </c>
    </row>
    <row r="4" customFormat="false" ht="15" hidden="false" customHeight="true" outlineLevel="0" collapsed="false">
      <c r="A4" s="68" t="s">
        <v>866</v>
      </c>
      <c r="B4" s="59" t="s">
        <v>927</v>
      </c>
      <c r="C4" s="59" t="s">
        <v>928</v>
      </c>
      <c r="D4" s="59" t="s">
        <v>929</v>
      </c>
      <c r="E4" s="59" t="s">
        <v>930</v>
      </c>
      <c r="G4" s="5" t="s">
        <v>931</v>
      </c>
      <c r="H4" s="5" t="s">
        <v>932</v>
      </c>
    </row>
    <row r="5" customFormat="false" ht="15" hidden="false" customHeight="true" outlineLevel="0" collapsed="false">
      <c r="A5" s="3" t="s">
        <v>933</v>
      </c>
      <c r="B5" s="33" t="n">
        <v>2027</v>
      </c>
      <c r="C5" s="6" t="n">
        <v>39887</v>
      </c>
      <c r="D5" s="12" t="n">
        <v>0.028</v>
      </c>
      <c r="E5" s="12" t="n">
        <v>0.0332</v>
      </c>
      <c r="G5" s="1" t="s">
        <v>934</v>
      </c>
      <c r="H5" s="75" t="n">
        <f aca="false">SUMIFS($C$5:$C$18,$B$5:$B$18,2027)</f>
        <v>39887</v>
      </c>
    </row>
    <row r="6" customFormat="false" ht="15" hidden="false" customHeight="true" outlineLevel="0" collapsed="false">
      <c r="A6" s="3" t="s">
        <v>935</v>
      </c>
      <c r="B6" s="33" t="n">
        <v>2028</v>
      </c>
      <c r="C6" s="6" t="n">
        <v>59226</v>
      </c>
      <c r="D6" s="12" t="n">
        <v>0.036</v>
      </c>
      <c r="E6" s="12" t="n">
        <v>0.0421</v>
      </c>
      <c r="G6" s="1" t="s">
        <v>936</v>
      </c>
      <c r="H6" s="75" t="n">
        <f aca="false">SUMIFS($C$5:$C$18,$B$5:$B$18,2028)</f>
        <v>59226</v>
      </c>
    </row>
    <row r="7" customFormat="false" ht="15" hidden="false" customHeight="true" outlineLevel="0" collapsed="false">
      <c r="A7" s="3" t="s">
        <v>352</v>
      </c>
      <c r="B7" s="33" t="n">
        <v>2029</v>
      </c>
      <c r="C7" s="6" t="n">
        <v>161405</v>
      </c>
      <c r="D7" s="12" t="n">
        <v>0.017</v>
      </c>
      <c r="E7" s="12" t="n">
        <v>0.0132</v>
      </c>
      <c r="G7" s="1" t="s">
        <v>937</v>
      </c>
      <c r="H7" s="75" t="n">
        <f aca="false">SUMIFS($C$5:$C$18,$B$5:$B$18,2029)</f>
        <v>161405</v>
      </c>
    </row>
    <row r="8" customFormat="false" ht="15" hidden="false" customHeight="true" outlineLevel="0" collapsed="false">
      <c r="A8" s="3" t="s">
        <v>115</v>
      </c>
      <c r="B8" s="33" t="n">
        <v>2030</v>
      </c>
      <c r="C8" s="6" t="n">
        <v>6063</v>
      </c>
      <c r="D8" s="12" t="n">
        <v>0.045</v>
      </c>
      <c r="E8" s="12" t="n">
        <v>0.0472</v>
      </c>
      <c r="G8" s="1" t="s">
        <v>938</v>
      </c>
      <c r="H8" s="75" t="n">
        <f aca="false">SUMIFS($C$5:$C$18,$B$5:$B$18,2030)</f>
        <v>6063</v>
      </c>
    </row>
    <row r="9" customFormat="false" ht="15" hidden="false" customHeight="true" outlineLevel="0" collapsed="false">
      <c r="A9" s="3" t="s">
        <v>939</v>
      </c>
      <c r="B9" s="33" t="n">
        <v>2031</v>
      </c>
      <c r="C9" s="6" t="n">
        <v>118970</v>
      </c>
      <c r="D9" s="12" t="n">
        <v>0.0385</v>
      </c>
      <c r="E9" s="12" t="n">
        <v>0.04</v>
      </c>
      <c r="G9" s="1" t="s">
        <v>940</v>
      </c>
      <c r="H9" s="75" t="n">
        <f aca="false">SUMIFS($C$5:$C$18,$B$5:$B$18,2031)</f>
        <v>198317</v>
      </c>
    </row>
    <row r="10" customFormat="false" ht="15" hidden="false" customHeight="true" outlineLevel="0" collapsed="false">
      <c r="A10" s="3" t="s">
        <v>941</v>
      </c>
      <c r="B10" s="33" t="n">
        <v>2031</v>
      </c>
      <c r="C10" s="6" t="n">
        <v>79347</v>
      </c>
      <c r="D10" s="12" t="n">
        <v>0.0385</v>
      </c>
      <c r="E10" s="12" t="n">
        <v>0.0399</v>
      </c>
      <c r="G10" s="1" t="s">
        <v>942</v>
      </c>
      <c r="H10" s="75" t="n">
        <f aca="false">SUMIFS($C$5:$C$18,$B$5:$B$18,2032)</f>
        <v>89214</v>
      </c>
    </row>
    <row r="11" customFormat="false" ht="15" hidden="false" customHeight="true" outlineLevel="0" collapsed="false">
      <c r="A11" s="3" t="s">
        <v>943</v>
      </c>
      <c r="B11" s="33" t="n">
        <v>2032</v>
      </c>
      <c r="C11" s="6" t="n">
        <v>89214</v>
      </c>
      <c r="D11" s="12" t="n">
        <v>0.036</v>
      </c>
      <c r="E11" s="12" t="n">
        <v>0.0476</v>
      </c>
      <c r="G11" s="1" t="s">
        <v>944</v>
      </c>
      <c r="H11" s="75" t="n">
        <f aca="false">SUMIFS($C$5:$C$18,$B$5:$B$18,2033)</f>
        <v>154709</v>
      </c>
    </row>
    <row r="12" customFormat="false" ht="15" hidden="false" customHeight="true" outlineLevel="0" collapsed="false">
      <c r="A12" s="3" t="s">
        <v>945</v>
      </c>
      <c r="B12" s="33" t="n">
        <v>2033</v>
      </c>
      <c r="C12" s="6" t="n">
        <v>97208</v>
      </c>
      <c r="D12" s="12" t="n">
        <v>0.035</v>
      </c>
      <c r="E12" s="12" t="n">
        <v>0.039</v>
      </c>
      <c r="G12" s="1" t="s">
        <v>946</v>
      </c>
      <c r="H12" s="75" t="n">
        <f aca="false">SUMIFS($C$5:$C$18,$B$5:$B$18,2034)</f>
        <v>119065</v>
      </c>
    </row>
    <row r="13" customFormat="false" ht="15" hidden="false" customHeight="true" outlineLevel="0" collapsed="false">
      <c r="A13" s="3" t="s">
        <v>947</v>
      </c>
      <c r="B13" s="33" t="n">
        <v>2033</v>
      </c>
      <c r="C13" s="6" t="n">
        <v>57501</v>
      </c>
      <c r="D13" s="12" t="n">
        <v>0.036</v>
      </c>
      <c r="E13" s="12" t="n">
        <v>0.0433</v>
      </c>
      <c r="G13" s="1" t="s">
        <v>948</v>
      </c>
      <c r="H13" s="75" t="n">
        <f aca="false">SUMIFS($C$5:$C$18,$B$5:$B$18,2035)</f>
        <v>120963</v>
      </c>
    </row>
    <row r="14" customFormat="false" ht="15" hidden="false" customHeight="true" outlineLevel="0" collapsed="false">
      <c r="A14" s="3" t="s">
        <v>949</v>
      </c>
      <c r="B14" s="33" t="n">
        <v>2034</v>
      </c>
      <c r="C14" s="6" t="n">
        <v>119065</v>
      </c>
      <c r="D14" s="12" t="n">
        <v>0.039</v>
      </c>
      <c r="E14" s="12" t="n">
        <v>0.0392</v>
      </c>
      <c r="G14" s="1" t="s">
        <v>950</v>
      </c>
      <c r="H14" s="75" t="n">
        <f aca="false">SUMIFS($C$5:$C$18,$B$5:$B$18,2043)</f>
        <v>128521</v>
      </c>
    </row>
    <row r="15" customFormat="false" ht="15" hidden="false" customHeight="true" outlineLevel="0" collapsed="false">
      <c r="A15" s="3" t="s">
        <v>951</v>
      </c>
      <c r="B15" s="33" t="n">
        <v>2035</v>
      </c>
      <c r="C15" s="6" t="n">
        <v>120963</v>
      </c>
      <c r="D15" s="12" t="n">
        <v>0.038</v>
      </c>
      <c r="E15" s="12" t="n">
        <v>0.0376</v>
      </c>
      <c r="G15" s="1" t="s">
        <v>952</v>
      </c>
      <c r="H15" s="75" t="n">
        <f aca="false">SUMIFS($C$5:$C$18,$B$5:$B$18,2045)</f>
        <v>80219</v>
      </c>
    </row>
    <row r="16" customFormat="false" ht="15" hidden="false" customHeight="true" outlineLevel="0" collapsed="false">
      <c r="A16" s="3" t="s">
        <v>953</v>
      </c>
      <c r="B16" s="33" t="n">
        <v>2043</v>
      </c>
      <c r="C16" s="6" t="n">
        <v>128521</v>
      </c>
      <c r="D16" s="12" t="n">
        <v>0.042</v>
      </c>
      <c r="E16" s="12" t="n">
        <v>0.0366</v>
      </c>
      <c r="G16" s="1" t="s">
        <v>954</v>
      </c>
      <c r="H16" s="75" t="n">
        <f aca="false">SUMIFS($C$5:$C$18,$B$5:$B$18,2047)</f>
        <v>120126</v>
      </c>
    </row>
    <row r="17" customFormat="false" ht="15" hidden="false" customHeight="true" outlineLevel="0" collapsed="false">
      <c r="A17" s="3" t="s">
        <v>215</v>
      </c>
      <c r="B17" s="33" t="n">
        <v>2045</v>
      </c>
      <c r="C17" s="6" t="n">
        <v>80219</v>
      </c>
      <c r="D17" s="12" t="n">
        <v>0.021</v>
      </c>
      <c r="E17" s="12" t="n">
        <v>0.0209</v>
      </c>
    </row>
    <row r="18" customFormat="false" ht="15" hidden="false" customHeight="true" outlineLevel="0" collapsed="false">
      <c r="A18" s="3" t="s">
        <v>955</v>
      </c>
      <c r="B18" s="33" t="n">
        <v>2047</v>
      </c>
      <c r="C18" s="6" t="n">
        <v>120126</v>
      </c>
      <c r="D18" s="12" t="n">
        <v>0.034</v>
      </c>
      <c r="E18" s="12" t="n">
        <v>0.0344</v>
      </c>
    </row>
    <row r="19" customFormat="false" ht="15" hidden="false" customHeight="true" outlineLevel="0" collapsed="false">
      <c r="A19" s="28" t="s">
        <v>956</v>
      </c>
      <c r="C19" s="75" t="n">
        <f aca="false">SUM(C5:C18)</f>
        <v>1277715</v>
      </c>
      <c r="D19" s="76" t="n">
        <f aca="false">SUMPRODUCT(C5:C18,D5:D18)/C19</f>
        <v>0.0336474178513988</v>
      </c>
      <c r="E19" s="76" t="n">
        <f aca="false">SUMPRODUCT(C5:C18,E5:E18)/C19</f>
        <v>0.0347612390086991</v>
      </c>
    </row>
    <row r="20" customFormat="false" ht="15" hidden="false" customHeight="true" outlineLevel="0" collapsed="false">
      <c r="A20" s="1" t="s">
        <v>957</v>
      </c>
      <c r="C20" s="22" t="n">
        <f aca="false">Inputs!$C$99</f>
        <v>301600</v>
      </c>
    </row>
    <row r="21" customFormat="false" ht="15" hidden="false" customHeight="true" outlineLevel="0" collapsed="false">
      <c r="A21" s="28" t="s">
        <v>958</v>
      </c>
      <c r="C21" s="75" t="n">
        <f aca="false">C19+C20</f>
        <v>1579315</v>
      </c>
    </row>
    <row r="22" customFormat="false" ht="15" hidden="false" customHeight="true" outlineLevel="0" collapsed="false">
      <c r="A22" s="1" t="s">
        <v>959</v>
      </c>
      <c r="C22" s="75" t="n">
        <f aca="false">C21-1579315</f>
        <v>0</v>
      </c>
    </row>
    <row r="24" customFormat="false" ht="15" hidden="false" customHeight="true" outlineLevel="0" collapsed="false">
      <c r="A24" s="3" t="s">
        <v>960</v>
      </c>
      <c r="C24" s="75" t="n">
        <f aca="false">C7*(E13-E7)</f>
        <v>4858.2905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7" min="2" style="1" width="12"/>
    <col collapsed="false" customWidth="true" hidden="false" outlineLevel="0" max="8" min="8" style="1" width="46"/>
    <col collapsed="false" customWidth="true" hidden="false" outlineLevel="0" max="10" min="10" style="1" width="10"/>
    <col collapsed="false" customWidth="true" hidden="false" outlineLevel="0" max="12" min="11" style="1" width="16"/>
  </cols>
  <sheetData>
    <row r="1" customFormat="false" ht="15" hidden="false" customHeight="true" outlineLevel="0" collapsed="false">
      <c r="A1" s="2" t="s">
        <v>961</v>
      </c>
    </row>
    <row r="2" customFormat="false" ht="15" hidden="false" customHeight="true" outlineLevel="0" collapsed="false">
      <c r="A2" s="14" t="s">
        <v>962</v>
      </c>
    </row>
    <row r="3" customFormat="false" ht="15" hidden="false" customHeight="true" outlineLevel="0" collapsed="false">
      <c r="A3" s="14" t="s">
        <v>963</v>
      </c>
    </row>
    <row r="5" customFormat="false" ht="15" hidden="false" customHeight="true" outlineLevel="0" collapsed="false">
      <c r="A5" s="5" t="s">
        <v>964</v>
      </c>
      <c r="B5" s="5" t="s">
        <v>71</v>
      </c>
      <c r="C5" s="5" t="s">
        <v>965</v>
      </c>
      <c r="D5" s="5" t="s">
        <v>74</v>
      </c>
      <c r="E5" s="5" t="s">
        <v>966</v>
      </c>
      <c r="F5" s="5" t="s">
        <v>77</v>
      </c>
      <c r="G5" s="5" t="s">
        <v>159</v>
      </c>
      <c r="H5" s="5" t="s">
        <v>967</v>
      </c>
      <c r="J5" s="5" t="s">
        <v>716</v>
      </c>
      <c r="K5" s="5" t="s">
        <v>968</v>
      </c>
      <c r="L5" s="5" t="s">
        <v>969</v>
      </c>
    </row>
    <row r="6" customFormat="false" ht="15" hidden="false" customHeight="true" outlineLevel="0" collapsed="false">
      <c r="A6" s="3" t="s">
        <v>970</v>
      </c>
      <c r="B6" s="12" t="n">
        <v>0.038791</v>
      </c>
      <c r="C6" s="12" t="n">
        <v>0.043961</v>
      </c>
      <c r="D6" s="12" t="n">
        <v>0.04569</v>
      </c>
      <c r="E6" s="12" t="n">
        <v>0.04228</v>
      </c>
      <c r="F6" s="12" t="n">
        <v>0.04167</v>
      </c>
      <c r="G6" s="12" t="n">
        <v>0.044652</v>
      </c>
      <c r="H6" s="3" t="s">
        <v>971</v>
      </c>
      <c r="J6" s="3" t="s">
        <v>71</v>
      </c>
      <c r="K6" s="49" t="n">
        <f aca="false">(B24-$B$24)*10000</f>
        <v>0</v>
      </c>
      <c r="L6" s="49" t="n">
        <f aca="false">(B8-$B$8)*10000</f>
        <v>0</v>
      </c>
    </row>
    <row r="7" customFormat="false" ht="15" hidden="false" customHeight="true" outlineLevel="0" collapsed="false">
      <c r="A7" s="3" t="s">
        <v>972</v>
      </c>
      <c r="B7" s="12" t="n">
        <v>0.017056</v>
      </c>
      <c r="C7" s="12" t="n">
        <v>0.02107</v>
      </c>
      <c r="D7" s="12" t="n">
        <v>0.022277</v>
      </c>
      <c r="E7" s="12" t="n">
        <v>0.019286</v>
      </c>
      <c r="F7" s="12" t="n">
        <v>0.018984</v>
      </c>
      <c r="G7" s="12" t="n">
        <v>0.022221</v>
      </c>
      <c r="H7" s="3" t="s">
        <v>973</v>
      </c>
      <c r="J7" s="3" t="s">
        <v>965</v>
      </c>
      <c r="K7" s="49" t="n">
        <f aca="false">(C24-$B$24)*10000</f>
        <v>-2.5</v>
      </c>
      <c r="L7" s="49" t="n">
        <f aca="false">(C8-$B$8)*10000</f>
        <v>38.9999999999999</v>
      </c>
    </row>
    <row r="8" customFormat="false" ht="15" hidden="false" customHeight="true" outlineLevel="0" collapsed="false">
      <c r="A8" s="3" t="s">
        <v>974</v>
      </c>
      <c r="B8" s="12" t="n">
        <v>0.04889</v>
      </c>
      <c r="C8" s="12" t="n">
        <v>0.05279</v>
      </c>
      <c r="D8" s="12" t="n">
        <v>0.05448</v>
      </c>
      <c r="E8" s="12" t="n">
        <v>0.052</v>
      </c>
      <c r="F8" s="12" t="n">
        <v>0.04852</v>
      </c>
      <c r="G8" s="12" t="n">
        <v>0.05116</v>
      </c>
      <c r="H8" s="3" t="s">
        <v>975</v>
      </c>
      <c r="J8" s="3" t="s">
        <v>74</v>
      </c>
      <c r="K8" s="49" t="n">
        <f aca="false">(D24-$B$24)*10000</f>
        <v>13.0000000000001</v>
      </c>
      <c r="L8" s="49" t="n">
        <f aca="false">(D8-$B$8)*10000</f>
        <v>55.9</v>
      </c>
    </row>
    <row r="9" customFormat="false" ht="15" hidden="false" customHeight="true" outlineLevel="0" collapsed="false">
      <c r="A9" s="3" t="s">
        <v>976</v>
      </c>
      <c r="B9" s="12" t="n">
        <v>0.05019</v>
      </c>
      <c r="C9" s="12" t="n">
        <v>0.05553</v>
      </c>
      <c r="D9" s="12" t="n">
        <v>0.05826</v>
      </c>
      <c r="E9" s="12" t="n">
        <v>0.05421</v>
      </c>
      <c r="F9" s="12" t="n">
        <v>0.05244</v>
      </c>
      <c r="G9" s="12" t="n">
        <v>0.05379</v>
      </c>
      <c r="H9" s="3" t="s">
        <v>977</v>
      </c>
      <c r="J9" s="3" t="s">
        <v>77</v>
      </c>
      <c r="K9" s="49" t="n">
        <f aca="false">(F24-$B$24)*10000</f>
        <v>-84.9999999999999</v>
      </c>
      <c r="L9" s="49" t="n">
        <f aca="false">(F8-$B$8)*10000</f>
        <v>-3.70000000000002</v>
      </c>
    </row>
    <row r="10" customFormat="false" ht="15" hidden="false" customHeight="true" outlineLevel="0" collapsed="false">
      <c r="A10" s="3" t="s">
        <v>978</v>
      </c>
      <c r="B10" s="12" t="n">
        <v>0.06746</v>
      </c>
      <c r="C10" s="12" t="n">
        <v>0.07513</v>
      </c>
      <c r="D10" s="12" t="n">
        <v>0.07704</v>
      </c>
      <c r="E10" s="12" t="n">
        <v>0.07933</v>
      </c>
      <c r="F10" s="12" t="n">
        <v>0.07056</v>
      </c>
      <c r="G10" s="12" t="n">
        <v>0.06541</v>
      </c>
      <c r="H10" s="3" t="s">
        <v>979</v>
      </c>
      <c r="J10" s="3" t="s">
        <v>159</v>
      </c>
      <c r="K10" s="49" t="n">
        <f aca="false">(G24-$B$24)*10000</f>
        <v>-93.4999999999999</v>
      </c>
      <c r="L10" s="49" t="n">
        <f aca="false">(G8-$B$8)*10000</f>
        <v>22.6999999999999</v>
      </c>
    </row>
    <row r="11" customFormat="false" ht="15" hidden="false" customHeight="true" outlineLevel="0" collapsed="false">
      <c r="A11" s="3" t="s">
        <v>980</v>
      </c>
      <c r="B11" s="12" t="n">
        <v>0.0616</v>
      </c>
      <c r="C11" s="12" t="n">
        <v>0.062</v>
      </c>
      <c r="D11" s="12" t="n">
        <v>0.0656</v>
      </c>
      <c r="E11" s="12" t="n">
        <v>0.0602</v>
      </c>
      <c r="F11" s="12" t="n">
        <v>0.0546</v>
      </c>
      <c r="G11" s="12" t="n">
        <v>0.0547</v>
      </c>
      <c r="H11" s="3" t="s">
        <v>981</v>
      </c>
      <c r="J11" s="14" t="s">
        <v>982</v>
      </c>
    </row>
    <row r="12" customFormat="false" ht="15" hidden="false" customHeight="true" outlineLevel="0" collapsed="false">
      <c r="A12" s="3" t="s">
        <v>983</v>
      </c>
      <c r="B12" s="12" t="n">
        <v>0.0681</v>
      </c>
      <c r="C12" s="12" t="n">
        <v>0.0672</v>
      </c>
      <c r="D12" s="12" t="n">
        <v>0.0667</v>
      </c>
      <c r="E12" s="12" t="n">
        <v>0.0615</v>
      </c>
      <c r="F12" s="12" t="n">
        <v>0.0581</v>
      </c>
      <c r="G12" s="12" t="n">
        <v>0.0563</v>
      </c>
      <c r="H12" s="3" t="s">
        <v>981</v>
      </c>
    </row>
    <row r="13" customFormat="false" ht="15" hidden="false" customHeight="true" outlineLevel="0" collapsed="false">
      <c r="A13" s="3" t="s">
        <v>984</v>
      </c>
      <c r="B13" s="12" t="n">
        <v>0.0626</v>
      </c>
      <c r="C13" s="12" t="n">
        <v>0.0632</v>
      </c>
      <c r="D13" s="12" t="n">
        <v>0.0672</v>
      </c>
      <c r="E13" s="12" t="n">
        <v>0.0627</v>
      </c>
      <c r="F13" s="12" t="n">
        <v>0.0562</v>
      </c>
      <c r="G13" s="12" t="n">
        <v>0.0575</v>
      </c>
      <c r="H13" s="3" t="s">
        <v>981</v>
      </c>
    </row>
    <row r="14" customFormat="false" ht="15" hidden="false" customHeight="true" outlineLevel="0" collapsed="false">
      <c r="A14" s="3" t="s">
        <v>985</v>
      </c>
      <c r="B14" s="12" t="n">
        <v>0.069</v>
      </c>
      <c r="C14" s="12" t="n">
        <v>0.0683</v>
      </c>
      <c r="D14" s="12" t="n">
        <v>0.0683</v>
      </c>
      <c r="E14" s="12" t="n">
        <v>0.064</v>
      </c>
      <c r="F14" s="12" t="n">
        <v>0.0597</v>
      </c>
      <c r="G14" s="12" t="n">
        <v>0.059</v>
      </c>
      <c r="H14" s="3" t="s">
        <v>981</v>
      </c>
    </row>
    <row r="15" customFormat="false" ht="15" hidden="false" customHeight="true" outlineLevel="0" collapsed="false">
      <c r="A15" s="3" t="s">
        <v>986</v>
      </c>
      <c r="B15" s="12" t="n">
        <v>0.0756</v>
      </c>
      <c r="C15" s="12" t="n">
        <v>0.0766</v>
      </c>
      <c r="D15" s="12" t="n">
        <v>0.0816</v>
      </c>
      <c r="E15" s="12" t="n">
        <v>0.0804</v>
      </c>
      <c r="F15" s="12" t="n">
        <v>0.0723</v>
      </c>
      <c r="G15" s="12" t="n">
        <v>0.072</v>
      </c>
      <c r="H15" s="3" t="s">
        <v>981</v>
      </c>
    </row>
    <row r="16" customFormat="false" ht="15" hidden="false" customHeight="true" outlineLevel="0" collapsed="false">
      <c r="A16" s="3" t="s">
        <v>987</v>
      </c>
      <c r="B16" s="12" t="n">
        <v>0.0819</v>
      </c>
      <c r="C16" s="12" t="n">
        <v>0.0816</v>
      </c>
      <c r="D16" s="12" t="n">
        <v>0.0826</v>
      </c>
      <c r="E16" s="12" t="n">
        <v>0.0817</v>
      </c>
      <c r="F16" s="12" t="n">
        <v>0.0756</v>
      </c>
      <c r="G16" s="12" t="n">
        <v>0.0735</v>
      </c>
      <c r="H16" s="3" t="s">
        <v>981</v>
      </c>
    </row>
    <row r="17" customFormat="false" ht="15" hidden="false" customHeight="true" outlineLevel="0" collapsed="false">
      <c r="A17" s="14" t="s">
        <v>988</v>
      </c>
    </row>
    <row r="19" customFormat="false" ht="15" hidden="false" customHeight="true" outlineLevel="0" collapsed="false">
      <c r="A19" s="5" t="s">
        <v>758</v>
      </c>
      <c r="B19" s="5" t="s">
        <v>71</v>
      </c>
      <c r="C19" s="5" t="s">
        <v>965</v>
      </c>
      <c r="D19" s="5" t="s">
        <v>74</v>
      </c>
      <c r="E19" s="5" t="s">
        <v>966</v>
      </c>
      <c r="F19" s="5" t="s">
        <v>77</v>
      </c>
      <c r="G19" s="5" t="s">
        <v>159</v>
      </c>
    </row>
    <row r="20" customFormat="false" ht="15" hidden="false" customHeight="true" outlineLevel="0" collapsed="false">
      <c r="A20" s="3" t="s">
        <v>989</v>
      </c>
      <c r="B20" s="53" t="n">
        <f aca="false">B6-B7</f>
        <v>0.021735</v>
      </c>
      <c r="C20" s="53" t="n">
        <f aca="false">C6-C7</f>
        <v>0.022891</v>
      </c>
      <c r="D20" s="53" t="n">
        <f aca="false">D6-D7</f>
        <v>0.023413</v>
      </c>
      <c r="E20" s="53" t="n">
        <f aca="false">E6-E7</f>
        <v>0.022994</v>
      </c>
      <c r="F20" s="53" t="n">
        <f aca="false">F6-F7</f>
        <v>0.022686</v>
      </c>
      <c r="G20" s="53" t="n">
        <f aca="false">G6-G7</f>
        <v>0.022431</v>
      </c>
    </row>
    <row r="21" customFormat="false" ht="15" hidden="false" customHeight="true" outlineLevel="0" collapsed="false">
      <c r="A21" s="3" t="s">
        <v>990</v>
      </c>
      <c r="B21" s="53" t="n">
        <f aca="false">B8-B6</f>
        <v>0.010099</v>
      </c>
      <c r="C21" s="53" t="n">
        <f aca="false">C8-C6</f>
        <v>0.008829</v>
      </c>
      <c r="D21" s="53" t="n">
        <f aca="false">D8-D6</f>
        <v>0.00879</v>
      </c>
      <c r="E21" s="53" t="n">
        <f aca="false">E8-E6</f>
        <v>0.00972</v>
      </c>
      <c r="F21" s="53" t="n">
        <f aca="false">F8-F6</f>
        <v>0.00685</v>
      </c>
      <c r="G21" s="53" t="n">
        <f aca="false">G8-G6</f>
        <v>0.006508</v>
      </c>
    </row>
    <row r="22" customFormat="false" ht="15" hidden="false" customHeight="true" outlineLevel="0" collapsed="false">
      <c r="A22" s="3" t="s">
        <v>991</v>
      </c>
      <c r="B22" s="53" t="n">
        <f aca="false">B9-B6</f>
        <v>0.011399</v>
      </c>
      <c r="C22" s="53" t="n">
        <f aca="false">C9-C6</f>
        <v>0.011569</v>
      </c>
      <c r="D22" s="53" t="n">
        <f aca="false">D9-D6</f>
        <v>0.01257</v>
      </c>
      <c r="E22" s="53" t="n">
        <f aca="false">E9-E6</f>
        <v>0.01193</v>
      </c>
      <c r="F22" s="53" t="n">
        <f aca="false">F9-F6</f>
        <v>0.01077</v>
      </c>
      <c r="G22" s="53" t="n">
        <f aca="false">G9-G6</f>
        <v>0.009138</v>
      </c>
    </row>
    <row r="23" customFormat="false" ht="15" hidden="false" customHeight="true" outlineLevel="0" collapsed="false">
      <c r="A23" s="3" t="s">
        <v>992</v>
      </c>
      <c r="B23" s="53" t="n">
        <f aca="false">B10-B6</f>
        <v>0.028669</v>
      </c>
      <c r="C23" s="53" t="n">
        <f aca="false">C10-C6</f>
        <v>0.031169</v>
      </c>
      <c r="D23" s="53" t="n">
        <f aca="false">D10-D6</f>
        <v>0.03135</v>
      </c>
      <c r="E23" s="53" t="n">
        <f aca="false">E10-E6</f>
        <v>0.03705</v>
      </c>
      <c r="F23" s="53" t="n">
        <f aca="false">F10-F6</f>
        <v>0.02889</v>
      </c>
      <c r="G23" s="53" t="n">
        <f aca="false">G10-G6</f>
        <v>0.020758</v>
      </c>
    </row>
    <row r="24" customFormat="false" ht="15" hidden="false" customHeight="true" outlineLevel="0" collapsed="false">
      <c r="A24" s="3" t="s">
        <v>993</v>
      </c>
      <c r="B24" s="53" t="n">
        <f aca="false">IF(OR(B11="",B12=""),"",(B11+B12)/2)</f>
        <v>0.06485</v>
      </c>
      <c r="C24" s="53" t="n">
        <f aca="false">IF(OR(C11="",C12=""),"",(C11+C12)/2)</f>
        <v>0.0646</v>
      </c>
      <c r="D24" s="53" t="n">
        <f aca="false">IF(OR(D11="",D12=""),"",(D11+D12)/2)</f>
        <v>0.06615</v>
      </c>
      <c r="E24" s="53" t="n">
        <f aca="false">IF(OR(E11="",E12=""),"",(E11+E12)/2)</f>
        <v>0.06085</v>
      </c>
      <c r="F24" s="53" t="n">
        <f aca="false">IF(OR(F11="",F12=""),"",(F11+F12)/2)</f>
        <v>0.05635</v>
      </c>
      <c r="G24" s="53" t="n">
        <f aca="false">IF(OR(G11="",G12=""),"",(G11+G12)/2)</f>
        <v>0.0555</v>
      </c>
    </row>
    <row r="25" customFormat="false" ht="15" hidden="false" customHeight="true" outlineLevel="0" collapsed="false">
      <c r="A25" s="3" t="s">
        <v>994</v>
      </c>
      <c r="B25" s="53" t="n">
        <f aca="false">IF(OR(B13="",B14=""),"",(B13+B14)/2)</f>
        <v>0.0658</v>
      </c>
      <c r="C25" s="53" t="n">
        <f aca="false">IF(OR(C13="",C14=""),"",(C13+C14)/2)</f>
        <v>0.06575</v>
      </c>
      <c r="D25" s="53" t="n">
        <f aca="false">IF(OR(D13="",D14=""),"",(D13+D14)/2)</f>
        <v>0.06775</v>
      </c>
      <c r="E25" s="53" t="n">
        <f aca="false">IF(OR(E13="",E14=""),"",(E13+E14)/2)</f>
        <v>0.06335</v>
      </c>
      <c r="F25" s="53" t="n">
        <f aca="false">IF(OR(F13="",F14=""),"",(F13+F14)/2)</f>
        <v>0.05795</v>
      </c>
      <c r="G25" s="53" t="n">
        <f aca="false">IF(OR(G13="",G14=""),"",(G13+G14)/2)</f>
        <v>0.05825</v>
      </c>
    </row>
    <row r="26" customFormat="false" ht="15" hidden="false" customHeight="true" outlineLevel="0" collapsed="false">
      <c r="A26" s="3" t="s">
        <v>995</v>
      </c>
      <c r="B26" s="53" t="n">
        <f aca="false">IF(OR(B15="",B16=""),"",(B15+B16)/2)</f>
        <v>0.07875</v>
      </c>
      <c r="C26" s="53" t="n">
        <f aca="false">IF(OR(C15="",C16=""),"",(C15+C16)/2)</f>
        <v>0.0791</v>
      </c>
      <c r="D26" s="53" t="n">
        <f aca="false">IF(OR(D15="",D16=""),"",(D15+D16)/2)</f>
        <v>0.0821</v>
      </c>
      <c r="E26" s="53" t="n">
        <f aca="false">IF(OR(E15="",E16=""),"",(E15+E16)/2)</f>
        <v>0.08105</v>
      </c>
      <c r="F26" s="53" t="n">
        <f aca="false">IF(OR(F15="",F16=""),"",(F15+F16)/2)</f>
        <v>0.07395</v>
      </c>
      <c r="G26" s="53" t="n">
        <f aca="false">IF(OR(G15="",G16=""),"",(G15+G16)/2)</f>
        <v>0.07275</v>
      </c>
    </row>
    <row r="28" customFormat="false" ht="15" hidden="false" customHeight="true" outlineLevel="0" collapsed="false">
      <c r="A28" s="5" t="s">
        <v>996</v>
      </c>
      <c r="B28" s="5" t="s">
        <v>857</v>
      </c>
      <c r="C28" s="5" t="s">
        <v>997</v>
      </c>
      <c r="D28" s="5" t="s">
        <v>860</v>
      </c>
    </row>
    <row r="29" customFormat="false" ht="15" hidden="false" customHeight="true" outlineLevel="0" collapsed="false">
      <c r="A29" s="3" t="s">
        <v>998</v>
      </c>
      <c r="B29" s="24" t="n">
        <f aca="false">((D24-B24)-(D8-B8))*10000</f>
        <v>-42.8999999999999</v>
      </c>
      <c r="C29" s="24" t="n">
        <f aca="false">((D25-B25)-(D9-B9))*10000</f>
        <v>-61.1999999999999</v>
      </c>
      <c r="D29" s="24" t="n">
        <f aca="false">((D26-B26)-(D10-B10))*10000</f>
        <v>-62.2999999999999</v>
      </c>
    </row>
    <row r="30" customFormat="false" ht="15" hidden="false" customHeight="true" outlineLevel="0" collapsed="false">
      <c r="A30" s="3" t="s">
        <v>999</v>
      </c>
      <c r="B30" s="24" t="n">
        <f aca="false">((F24-D24)-(F8-D8))*10000</f>
        <v>-38.4</v>
      </c>
      <c r="C30" s="24" t="n">
        <f aca="false">((F25-D25)-(F9-D9))*10000</f>
        <v>-39.8000000000001</v>
      </c>
      <c r="D30" s="24" t="n">
        <f aca="false">((F26-D26)-(F10-D10))*10000</f>
        <v>-16.7000000000001</v>
      </c>
    </row>
    <row r="31" customFormat="false" ht="15" hidden="false" customHeight="true" outlineLevel="0" collapsed="false">
      <c r="A31" s="3" t="s">
        <v>1000</v>
      </c>
      <c r="B31" s="24" t="n">
        <f aca="false">((G24-F24)-(G8-F8))*10000</f>
        <v>-34.8999999999999</v>
      </c>
      <c r="C31" s="24" t="n">
        <f aca="false">((G25-F25)-(G9-F9))*10000</f>
        <v>-10.5</v>
      </c>
      <c r="D31" s="24" t="n">
        <f aca="false">((G26-F26)-(G10-F10))*10000</f>
        <v>39.5</v>
      </c>
    </row>
    <row r="32" customFormat="false" ht="15" hidden="false" customHeight="true" outlineLevel="0" collapsed="false">
      <c r="A32" s="28" t="s">
        <v>1001</v>
      </c>
      <c r="B32" s="30" t="n">
        <f aca="false">((G24-B24)-(G8-B8))*10000</f>
        <v>-116.2</v>
      </c>
      <c r="C32" s="30" t="n">
        <f aca="false">((G25-B25)-(G9-B9))*10000</f>
        <v>-111.5</v>
      </c>
      <c r="D32" s="30" t="n">
        <f aca="false">((G26-B26)-(G10-B10))*10000</f>
        <v>-39.5</v>
      </c>
    </row>
    <row r="33" customFormat="false" ht="15" hidden="false" customHeight="true" outlineLevel="0" collapsed="false">
      <c r="A33" s="3" t="s">
        <v>1002</v>
      </c>
      <c r="B33" s="34" t="n">
        <f aca="false">Inputs!$C$122/(Inputs!$C$122+Inputs!$C$123+Inputs!$C$124)</f>
        <v>0.745985052963073</v>
      </c>
      <c r="C33" s="34" t="n">
        <f aca="false">Inputs!$C$123/(Inputs!$C$122+Inputs!$C$123+Inputs!$C$124)</f>
        <v>0.1763504112966</v>
      </c>
      <c r="D33" s="34" t="n">
        <f aca="false">Inputs!$C$124/(Inputs!$C$122+Inputs!$C$123+Inputs!$C$124)</f>
        <v>0.077664535740327</v>
      </c>
    </row>
    <row r="34" customFormat="false" ht="15" hidden="false" customHeight="true" outlineLevel="0" collapsed="false">
      <c r="A34" s="28" t="s">
        <v>1003</v>
      </c>
      <c r="B34" s="30" t="n">
        <f aca="false">SUMPRODUCT(B32:D32,B33:D33)</f>
        <v>-109.414283175623</v>
      </c>
    </row>
    <row r="36" customFormat="false" ht="15" hidden="false" customHeight="true" outlineLevel="0" collapsed="false">
      <c r="A36" s="5" t="s">
        <v>1004</v>
      </c>
      <c r="B36" s="5" t="s">
        <v>857</v>
      </c>
      <c r="C36" s="5" t="s">
        <v>997</v>
      </c>
      <c r="D36" s="5" t="s">
        <v>860</v>
      </c>
    </row>
    <row r="37" customFormat="false" ht="15" hidden="false" customHeight="true" outlineLevel="0" collapsed="false">
      <c r="A37" s="3" t="s">
        <v>1005</v>
      </c>
      <c r="B37" s="16" t="n">
        <v>0.5</v>
      </c>
    </row>
    <row r="38" customFormat="false" ht="15" hidden="false" customHeight="true" outlineLevel="0" collapsed="false">
      <c r="A38" s="3" t="s">
        <v>1006</v>
      </c>
      <c r="B38" s="16" t="n">
        <v>0.8</v>
      </c>
    </row>
    <row r="39" customFormat="false" ht="15" hidden="false" customHeight="true" outlineLevel="0" collapsed="false">
      <c r="A39" s="3" t="s">
        <v>1007</v>
      </c>
      <c r="B39" s="49" t="n">
        <f aca="false">(G8-D8)*10000</f>
        <v>-33.2</v>
      </c>
      <c r="C39" s="49" t="n">
        <f aca="false">(G9-D9)*10000</f>
        <v>-44.7</v>
      </c>
      <c r="D39" s="49" t="n">
        <f aca="false">(G10-D10)*10000</f>
        <v>-116.3</v>
      </c>
    </row>
    <row r="40" customFormat="false" ht="15" hidden="false" customHeight="true" outlineLevel="0" collapsed="false">
      <c r="A40" s="3" t="s">
        <v>1008</v>
      </c>
      <c r="B40" s="49" t="n">
        <f aca="false">(G24-D24)*10000</f>
        <v>-106.5</v>
      </c>
      <c r="C40" s="49" t="n">
        <f aca="false">(G25-D25)*10000</f>
        <v>-95.0000000000001</v>
      </c>
      <c r="D40" s="49" t="n">
        <f aca="false">(G26-D26)*10000</f>
        <v>-93.5000000000001</v>
      </c>
    </row>
    <row r="41" customFormat="false" ht="15" hidden="false" customHeight="true" outlineLevel="0" collapsed="false">
      <c r="A41" s="3" t="s">
        <v>1009</v>
      </c>
      <c r="B41" s="77" t="n">
        <f aca="false">IF(B40=0,"",B39/B40)</f>
        <v>0.311737089201878</v>
      </c>
      <c r="C41" s="77" t="n">
        <f aca="false">IF(C40=0,"",C39/C40)</f>
        <v>0.470526315789473</v>
      </c>
      <c r="D41" s="77" t="n">
        <f aca="false">IF(D40=0,"",D39/D40)</f>
        <v>1.24385026737968</v>
      </c>
    </row>
    <row r="42" customFormat="false" ht="15" hidden="false" customHeight="true" outlineLevel="0" collapsed="false">
      <c r="A42" s="28" t="s">
        <v>1010</v>
      </c>
      <c r="B42" s="28" t="str">
        <f aca="false">IF(B41="","",IF(B41&lt;$B$37,"Se mantiene",IF(B41&gt;$B$38,"No se mantiene","Zona intermedia")))</f>
        <v>Se mantiene</v>
      </c>
      <c r="C42" s="28" t="str">
        <f aca="false">IF(C41="","",IF(C41&lt;$B$37,"Se mantiene",IF(C41&gt;$B$38,"No se mantiene","Zona intermedia")))</f>
        <v>Se mantiene</v>
      </c>
      <c r="D42" s="28" t="str">
        <f aca="false">IF(D41="","",IF(D41&lt;$B$37,"Se mantiene",IF(D41&gt;$B$38,"No se mantiene","Zona intermedia")))</f>
        <v>No se mantiene</v>
      </c>
    </row>
    <row r="44" customFormat="false" ht="15" hidden="false" customHeight="true" outlineLevel="0" collapsed="false">
      <c r="A44" s="5" t="s">
        <v>1011</v>
      </c>
      <c r="B44" s="5" t="s">
        <v>1012</v>
      </c>
      <c r="C44" s="5" t="s">
        <v>1013</v>
      </c>
      <c r="D44" s="5" t="s">
        <v>16</v>
      </c>
    </row>
    <row r="45" customFormat="false" ht="15" hidden="false" customHeight="true" outlineLevel="0" collapsed="false">
      <c r="A45" s="3" t="s">
        <v>970</v>
      </c>
      <c r="B45" s="12" t="n">
        <v>0.052277</v>
      </c>
      <c r="C45" s="49" t="n">
        <f aca="false">(B45-G6)*10000</f>
        <v>76.25</v>
      </c>
      <c r="D45" s="3" t="s">
        <v>1014</v>
      </c>
    </row>
    <row r="46" customFormat="false" ht="15" hidden="false" customHeight="true" outlineLevel="0" collapsed="false">
      <c r="A46" s="3" t="s">
        <v>974</v>
      </c>
      <c r="B46" s="12" t="n">
        <v>0.05956</v>
      </c>
      <c r="C46" s="49" t="n">
        <f aca="false">(B46-G8)*10000</f>
        <v>84</v>
      </c>
      <c r="D46" s="3" t="s">
        <v>1015</v>
      </c>
    </row>
    <row r="47" customFormat="false" ht="15" hidden="false" customHeight="true" outlineLevel="0" collapsed="false">
      <c r="A47" s="3" t="s">
        <v>976</v>
      </c>
      <c r="B47" s="12" t="n">
        <v>0.06146</v>
      </c>
      <c r="C47" s="49" t="n">
        <f aca="false">(B47-G9)*10000</f>
        <v>76.7</v>
      </c>
      <c r="D47" s="3" t="s">
        <v>1015</v>
      </c>
    </row>
    <row r="48" customFormat="false" ht="15" hidden="false" customHeight="true" outlineLevel="0" collapsed="false">
      <c r="A48" s="3" t="s">
        <v>978</v>
      </c>
      <c r="B48" s="12" t="n">
        <v>0.07557</v>
      </c>
      <c r="C48" s="49" t="n">
        <f aca="false">(B48-G10)*10000</f>
        <v>101.6</v>
      </c>
      <c r="D48" s="3" t="s">
        <v>1015</v>
      </c>
    </row>
    <row r="49" customFormat="false" ht="15" hidden="false" customHeight="true" outlineLevel="0" collapsed="false">
      <c r="A49" s="14" t="s">
        <v>1016</v>
      </c>
    </row>
    <row r="51" customFormat="false" ht="15" hidden="false" customHeight="true" outlineLevel="0" collapsed="false">
      <c r="A51" s="5" t="s">
        <v>1017</v>
      </c>
      <c r="B51" s="28" t="s">
        <v>857</v>
      </c>
      <c r="C51" s="28" t="s">
        <v>997</v>
      </c>
      <c r="D51" s="28" t="s">
        <v>860</v>
      </c>
    </row>
    <row r="52" customFormat="false" ht="15" hidden="false" customHeight="true" outlineLevel="0" collapsed="false">
      <c r="A52" s="3" t="s">
        <v>1018</v>
      </c>
      <c r="B52" s="25" t="n">
        <f aca="false">((E24-D24)-(E8-D8))*10000</f>
        <v>-28.2</v>
      </c>
      <c r="C52" s="25" t="n">
        <f aca="false">((E25-D25)-(E9-D9))*10000</f>
        <v>-3.50000000000003</v>
      </c>
      <c r="D52" s="25" t="n">
        <f aca="false">((E26-D26)-(E10-D10))*10000</f>
        <v>-33.4000000000001</v>
      </c>
    </row>
    <row r="53" customFormat="false" ht="15" hidden="false" customHeight="true" outlineLevel="0" collapsed="false">
      <c r="A53" s="3" t="s">
        <v>1019</v>
      </c>
      <c r="B53" s="25" t="n">
        <f aca="false">((F24-E24)-(F8-E8))*10000</f>
        <v>-10.2000000000001</v>
      </c>
      <c r="C53" s="25" t="n">
        <f aca="false">((F25-E25)-(F9-E9))*10000</f>
        <v>-36.3</v>
      </c>
      <c r="D53" s="25" t="n">
        <f aca="false">((F26-E26)-(F10-E10))*10000</f>
        <v>16.7000000000001</v>
      </c>
    </row>
    <row r="54" customFormat="false" ht="15" hidden="false" customHeight="true" outlineLevel="0" collapsed="false">
      <c r="A54" s="3" t="s">
        <v>1020</v>
      </c>
      <c r="B54" s="16" t="n">
        <v>0.27</v>
      </c>
    </row>
    <row r="55" customFormat="false" ht="15" hidden="false" customHeight="true" outlineLevel="0" collapsed="false">
      <c r="A55" s="3" t="s">
        <v>536</v>
      </c>
      <c r="B55" s="22" t="n">
        <f aca="false">Inputs!$C$125</f>
        <v>2190</v>
      </c>
    </row>
    <row r="56" customFormat="false" ht="15" hidden="false" customHeight="true" outlineLevel="0" collapsed="false">
      <c r="A56" s="3" t="s">
        <v>1021</v>
      </c>
      <c r="B56" s="53" t="n">
        <f aca="false">G24</f>
        <v>0.0555</v>
      </c>
    </row>
    <row r="58" customFormat="false" ht="15" hidden="false" customHeight="true" outlineLevel="0" collapsed="false">
      <c r="A58" s="5" t="s">
        <v>1022</v>
      </c>
      <c r="B58" s="5" t="s">
        <v>1023</v>
      </c>
      <c r="C58" s="5" t="s">
        <v>1024</v>
      </c>
      <c r="D58" s="5" t="s">
        <v>1025</v>
      </c>
      <c r="E58" s="5" t="s">
        <v>1026</v>
      </c>
      <c r="F58" s="5" t="s">
        <v>1027</v>
      </c>
    </row>
    <row r="59" customFormat="false" ht="15" hidden="false" customHeight="true" outlineLevel="0" collapsed="false">
      <c r="A59" s="3" t="s">
        <v>1028</v>
      </c>
      <c r="B59" s="53" t="n">
        <f aca="false">B24+(G8-B8)</f>
        <v>0.06712</v>
      </c>
      <c r="C59" s="48" t="n">
        <f aca="false">($B$56-$B$53)/(B59-$B$53)-1</f>
        <v>-0.0011317682076375</v>
      </c>
      <c r="D59" s="49" t="n">
        <f aca="false">C59*$B$52</f>
        <v>0.0319158634553773</v>
      </c>
      <c r="E59" s="49" t="n">
        <f aca="false">D59*(1-$B$54)</f>
        <v>0.0232985803224255</v>
      </c>
      <c r="F59" s="49" t="n">
        <f aca="false">E59/$B$55</f>
        <v>1.06386211517924E-005</v>
      </c>
    </row>
    <row r="60" customFormat="false" ht="15" hidden="false" customHeight="true" outlineLevel="0" collapsed="false">
      <c r="A60" s="3" t="s">
        <v>1029</v>
      </c>
      <c r="B60" s="53" t="n">
        <f aca="false">B56+(B46-G8)</f>
        <v>0.0639</v>
      </c>
      <c r="C60" s="48" t="n">
        <f aca="false">($B$56-$B$53)/(B60-$B$53)-1</f>
        <v>-0.000818402361675408</v>
      </c>
      <c r="D60" s="49" t="n">
        <f aca="false">C60*$B$52</f>
        <v>0.0230789465992465</v>
      </c>
      <c r="E60" s="49" t="n">
        <f aca="false">D60*(1-$B$54)</f>
        <v>0.0168476310174499</v>
      </c>
      <c r="F60" s="49" t="n">
        <f aca="false">E60/$B$55</f>
        <v>7.69298219974882E-006</v>
      </c>
    </row>
    <row r="61" customFormat="false" ht="15" hidden="false" customHeight="true" outlineLevel="0" collapsed="false">
      <c r="A61" s="14" t="s">
        <v>1030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3" min="2" style="1" width="14"/>
  </cols>
  <sheetData>
    <row r="1" customFormat="false" ht="15" hidden="false" customHeight="true" outlineLevel="0" collapsed="false">
      <c r="A1" s="78" t="s">
        <v>1031</v>
      </c>
    </row>
    <row r="2" customFormat="false" ht="15" hidden="false" customHeight="true" outlineLevel="0" collapsed="false">
      <c r="A2" s="79" t="s">
        <v>1032</v>
      </c>
    </row>
    <row r="3" customFormat="false" ht="15" hidden="false" customHeight="true" outlineLevel="0" collapsed="false">
      <c r="A3" s="79" t="s">
        <v>1033</v>
      </c>
    </row>
    <row r="5" customFormat="false" ht="15" hidden="false" customHeight="true" outlineLevel="0" collapsed="false">
      <c r="A5" s="5" t="s">
        <v>1034</v>
      </c>
      <c r="B5" s="15" t="s">
        <v>74</v>
      </c>
      <c r="C5" s="15" t="s">
        <v>77</v>
      </c>
    </row>
    <row r="6" customFormat="false" ht="15" hidden="false" customHeight="true" outlineLevel="0" collapsed="false">
      <c r="A6" s="80" t="s">
        <v>36</v>
      </c>
      <c r="B6" s="22" t="n">
        <f aca="false">Inputs!$C$9</f>
        <v>380637</v>
      </c>
      <c r="C6" s="22" t="n">
        <f aca="false">Inputs!$C$10</f>
        <v>526228</v>
      </c>
    </row>
    <row r="7" customFormat="false" ht="15" hidden="false" customHeight="true" outlineLevel="0" collapsed="false">
      <c r="A7" s="80" t="s">
        <v>1035</v>
      </c>
      <c r="B7" s="49" t="n">
        <f aca="false">B8*B9</f>
        <v>2730.53068383924</v>
      </c>
      <c r="C7" s="22" t="n">
        <f aca="false">Inputs!$C$17</f>
        <v>3610</v>
      </c>
    </row>
    <row r="8" customFormat="false" ht="15" hidden="false" customHeight="true" outlineLevel="0" collapsed="false">
      <c r="A8" s="80" t="s">
        <v>626</v>
      </c>
      <c r="B8" s="81" t="n">
        <f aca="false">C8</f>
        <v>0.00552062895409314</v>
      </c>
      <c r="C8" s="81" t="n">
        <f aca="false">C7/C9</f>
        <v>0.00552062895409314</v>
      </c>
    </row>
    <row r="9" customFormat="false" ht="15" hidden="false" customHeight="true" outlineLevel="0" collapsed="false">
      <c r="A9" s="80" t="s">
        <v>18</v>
      </c>
      <c r="B9" s="22" t="n">
        <f aca="false">Inputs!$C$5</f>
        <v>494605</v>
      </c>
      <c r="C9" s="22" t="n">
        <f aca="false">Inputs!$C$6</f>
        <v>653911</v>
      </c>
    </row>
    <row r="10" customFormat="false" ht="15" hidden="false" customHeight="true" outlineLevel="0" collapsed="false">
      <c r="A10" s="80" t="s">
        <v>1036</v>
      </c>
      <c r="B10" s="49" t="n">
        <f aca="false">B6-B7</f>
        <v>377906.469316161</v>
      </c>
      <c r="C10" s="49" t="n">
        <f aca="false">C6-C7</f>
        <v>522618</v>
      </c>
    </row>
    <row r="11" customFormat="false" ht="15" hidden="false" customHeight="true" outlineLevel="0" collapsed="false">
      <c r="A11" s="80" t="s">
        <v>1037</v>
      </c>
      <c r="B11" s="48" t="n">
        <f aca="false">$C$11</f>
        <v>0.27</v>
      </c>
      <c r="C11" s="16" t="n">
        <v>0.27</v>
      </c>
    </row>
    <row r="12" customFormat="false" ht="15" hidden="false" customHeight="true" outlineLevel="0" collapsed="false">
      <c r="A12" s="82" t="s">
        <v>1038</v>
      </c>
      <c r="B12" s="50" t="n">
        <f aca="false">B10*(1-B11)</f>
        <v>275871.722600797</v>
      </c>
      <c r="C12" s="50" t="n">
        <f aca="false">C10*(1-C11)</f>
        <v>381511.14</v>
      </c>
    </row>
    <row r="14" customFormat="false" ht="15" hidden="false" customHeight="true" outlineLevel="0" collapsed="false">
      <c r="A14" s="80" t="s">
        <v>798</v>
      </c>
      <c r="B14" s="22" t="n">
        <f aca="false">Inputs!$C$27</f>
        <v>3157863</v>
      </c>
      <c r="C14" s="22" t="n">
        <f aca="false">Inputs!$C$28</f>
        <v>4482905</v>
      </c>
    </row>
    <row r="15" customFormat="false" ht="15" hidden="false" customHeight="true" outlineLevel="0" collapsed="false">
      <c r="A15" s="80" t="s">
        <v>1039</v>
      </c>
      <c r="B15" s="22" t="n">
        <f aca="false">Inputs!$C$62</f>
        <v>1438401</v>
      </c>
      <c r="C15" s="22" t="n">
        <f aca="false">Inputs!$C$63</f>
        <v>1311024</v>
      </c>
    </row>
    <row r="16" customFormat="false" ht="15" hidden="false" customHeight="true" outlineLevel="0" collapsed="false">
      <c r="A16" s="82" t="s">
        <v>1040</v>
      </c>
      <c r="B16" s="50" t="n">
        <f aca="false">B14+B15</f>
        <v>4596264</v>
      </c>
      <c r="C16" s="50" t="n">
        <f aca="false">C14+C15</f>
        <v>5793929</v>
      </c>
    </row>
    <row r="17" customFormat="false" ht="15" hidden="false" customHeight="true" outlineLevel="0" collapsed="false">
      <c r="A17" s="80" t="s">
        <v>1041</v>
      </c>
      <c r="C17" s="49" t="n">
        <f aca="false">AVERAGE(B16:C16)</f>
        <v>5195096.5</v>
      </c>
    </row>
    <row r="18" customFormat="false" ht="15" hidden="false" customHeight="true" outlineLevel="0" collapsed="false">
      <c r="A18" s="80" t="s">
        <v>501</v>
      </c>
      <c r="B18" s="22" t="n">
        <f aca="false">Inputs!$C$65</f>
        <v>5356540</v>
      </c>
      <c r="C18" s="22" t="n">
        <f aca="false">Inputs!$C$66</f>
        <v>6961880</v>
      </c>
    </row>
    <row r="20" customFormat="false" ht="15" hidden="false" customHeight="true" outlineLevel="0" collapsed="false">
      <c r="A20" s="5" t="s">
        <v>1042</v>
      </c>
      <c r="B20" s="15"/>
      <c r="C20" s="15" t="s">
        <v>1043</v>
      </c>
    </row>
    <row r="21" customFormat="false" ht="15" hidden="false" customHeight="true" outlineLevel="0" collapsed="false">
      <c r="A21" s="82" t="s">
        <v>1044</v>
      </c>
      <c r="C21" s="83" t="n">
        <f aca="false">C12/C17</f>
        <v>0.0734367763909679</v>
      </c>
    </row>
    <row r="22" customFormat="false" ht="15" hidden="false" customHeight="true" outlineLevel="0" collapsed="false">
      <c r="A22" s="80" t="s">
        <v>1045</v>
      </c>
      <c r="C22" s="53" t="n">
        <f aca="false">C12/C16</f>
        <v>0.0658467060952939</v>
      </c>
    </row>
    <row r="23" customFormat="false" ht="15" hidden="false" customHeight="true" outlineLevel="0" collapsed="false">
      <c r="A23" s="80" t="s">
        <v>1046</v>
      </c>
      <c r="C23" s="53" t="n">
        <f aca="false">C12/C18</f>
        <v>0.054800016662166</v>
      </c>
    </row>
    <row r="24" customFormat="false" ht="15" hidden="false" customHeight="true" outlineLevel="0" collapsed="false">
      <c r="A24" s="80" t="s">
        <v>1047</v>
      </c>
      <c r="C24" s="12" t="n">
        <v>0.073</v>
      </c>
    </row>
    <row r="25" customFormat="false" ht="15" hidden="false" customHeight="true" outlineLevel="0" collapsed="false">
      <c r="A25" s="79" t="s">
        <v>1048</v>
      </c>
      <c r="C25" s="84" t="n">
        <f aca="false">C11</f>
        <v>0.27</v>
      </c>
    </row>
    <row r="26" customFormat="false" ht="15" hidden="false" customHeight="true" outlineLevel="0" collapsed="false">
      <c r="A26" s="80" t="s">
        <v>1049</v>
      </c>
      <c r="C26" s="85" t="n">
        <f aca="false">(C21-C24)*100</f>
        <v>0.0436776390967911</v>
      </c>
    </row>
    <row r="27" customFormat="false" ht="15" hidden="false" customHeight="true" outlineLevel="0" collapsed="false">
      <c r="A27" s="86" t="s">
        <v>1050</v>
      </c>
    </row>
    <row r="29" customFormat="false" ht="15" hidden="false" customHeight="true" outlineLevel="0" collapsed="false">
      <c r="A29" s="5" t="s">
        <v>1051</v>
      </c>
      <c r="B29" s="15"/>
      <c r="C29" s="15" t="s">
        <v>12</v>
      </c>
    </row>
    <row r="30" customFormat="false" ht="15" hidden="false" customHeight="true" outlineLevel="0" collapsed="false">
      <c r="A30" s="80" t="s">
        <v>1052</v>
      </c>
      <c r="C30" s="39" t="n">
        <v>0.104138867416109</v>
      </c>
    </row>
    <row r="31" customFormat="false" ht="15" hidden="false" customHeight="true" outlineLevel="0" collapsed="false">
      <c r="A31" s="80" t="s">
        <v>1053</v>
      </c>
      <c r="C31" s="39" t="n">
        <v>0.0719794829282607</v>
      </c>
    </row>
    <row r="32" customFormat="false" ht="15" hidden="false" customHeight="true" outlineLevel="0" collapsed="false">
      <c r="A32" s="80" t="s">
        <v>1054</v>
      </c>
      <c r="C32" s="87" t="n">
        <f aca="false">(C21-C30)*100</f>
        <v>-3.07020910251411</v>
      </c>
    </row>
    <row r="33" customFormat="false" ht="15" hidden="false" customHeight="true" outlineLevel="0" collapsed="false">
      <c r="A33" s="80" t="s">
        <v>1055</v>
      </c>
      <c r="C33" s="87" t="n">
        <f aca="false">(C21-C31)*100</f>
        <v>0.14572934627072</v>
      </c>
    </row>
    <row r="34" customFormat="false" ht="15" hidden="false" customHeight="true" outlineLevel="0" collapsed="false">
      <c r="A34" s="79" t="s">
        <v>1056</v>
      </c>
    </row>
    <row r="36" customFormat="false" ht="15" hidden="false" customHeight="true" outlineLevel="0" collapsed="false">
      <c r="A36" s="5" t="s">
        <v>1057</v>
      </c>
      <c r="B36" s="15"/>
      <c r="C36" s="15" t="s">
        <v>12</v>
      </c>
    </row>
    <row r="37" customFormat="false" ht="15" hidden="false" customHeight="true" outlineLevel="0" collapsed="false">
      <c r="A37" s="80" t="s">
        <v>1058</v>
      </c>
      <c r="C37" s="39" t="n">
        <v>0.0690189707474264</v>
      </c>
    </row>
    <row r="38" customFormat="false" ht="15" hidden="false" customHeight="true" outlineLevel="0" collapsed="false">
      <c r="A38" s="80" t="s">
        <v>1037</v>
      </c>
      <c r="C38" s="48" t="n">
        <f aca="false">C11</f>
        <v>0.27</v>
      </c>
    </row>
    <row r="39" customFormat="false" ht="15" hidden="false" customHeight="true" outlineLevel="0" collapsed="false">
      <c r="A39" s="82" t="s">
        <v>1059</v>
      </c>
      <c r="C39" s="83" t="n">
        <f aca="false">C37*(1-C38)</f>
        <v>0.0503838486456213</v>
      </c>
    </row>
    <row r="40" customFormat="false" ht="15" hidden="false" customHeight="true" outlineLevel="0" collapsed="false">
      <c r="A40" s="80" t="s">
        <v>1053</v>
      </c>
      <c r="C40" s="53" t="n">
        <f aca="false">C31</f>
        <v>0.0719794829282607</v>
      </c>
    </row>
    <row r="41" customFormat="false" ht="15" hidden="false" customHeight="true" outlineLevel="0" collapsed="false">
      <c r="A41" s="80" t="s">
        <v>1060</v>
      </c>
      <c r="C41" s="87" t="n">
        <f aca="false">(C39-C40)*100</f>
        <v>-2.15956342826394</v>
      </c>
    </row>
    <row r="42" customFormat="false" ht="15" hidden="false" customHeight="true" outlineLevel="0" collapsed="false">
      <c r="A42" s="80" t="s">
        <v>1061</v>
      </c>
      <c r="C42" s="80" t="str">
        <f aca="false">IF(C39&gt;C40,"Sí","No: resta valor")</f>
        <v>No: resta valor</v>
      </c>
    </row>
    <row r="43" customFormat="false" ht="15" hidden="false" customHeight="true" outlineLevel="0" collapsed="false">
      <c r="A43" s="80" t="s">
        <v>525</v>
      </c>
      <c r="C43" s="26" t="n">
        <v>0.03</v>
      </c>
    </row>
    <row r="44" customFormat="false" ht="15" hidden="false" customHeight="true" outlineLevel="0" collapsed="false">
      <c r="A44" s="80" t="s">
        <v>1062</v>
      </c>
      <c r="C44" s="26" t="n">
        <v>0.03</v>
      </c>
    </row>
    <row r="45" customFormat="false" ht="15" hidden="false" customHeight="true" outlineLevel="0" collapsed="false">
      <c r="A45" s="80" t="s">
        <v>1063</v>
      </c>
      <c r="C45" s="48" t="n">
        <f aca="false">(1+C43)/(1+C44)-1</f>
        <v>0</v>
      </c>
    </row>
    <row r="46" customFormat="false" ht="15" hidden="false" customHeight="true" outlineLevel="0" collapsed="false">
      <c r="A46" s="80" t="s">
        <v>1064</v>
      </c>
      <c r="C46" s="48" t="n">
        <f aca="false">C45/C39</f>
        <v>0</v>
      </c>
    </row>
    <row r="47" customFormat="false" ht="15" hidden="false" customHeight="true" outlineLevel="0" collapsed="false">
      <c r="A47" s="79" t="s">
        <v>1065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2026-09-27T23:06:53Z</dcterms:created>
  <dc:creator>openpyxl</dc:creator>
  <dc:description/>
  <dc:language>en-US</dc:language>
  <cp:lastModifiedBy/>
  <dcterms:modified xsi:type="dcterms:W3CDTF">2026-10-17T22:08:27Z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